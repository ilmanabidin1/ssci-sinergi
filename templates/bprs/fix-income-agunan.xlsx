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codeName="ThisWorkbook" defaultThemeVersion="124226"/>
  <bookViews>
    <workbookView xWindow="0" yWindow="495" windowWidth="20520" windowHeight="11040" tabRatio="833" firstSheet="1" activeTab="8"/>
  </bookViews>
  <sheets>
    <sheet name="Informasi Pokok" sheetId="17" r:id="rId1"/>
    <sheet name="Aspek Non Keuangan" sheetId="13" r:id="rId2"/>
    <sheet name="Aspek Keuangan" sheetId="12" r:id="rId3"/>
    <sheet name="AKTIVITAS USAHA" sheetId="20" state="hidden" r:id="rId4"/>
    <sheet name="Rekening Koran &amp; Aset" sheetId="25" r:id="rId5"/>
    <sheet name="Usulan Pembiayaan" sheetId="14" r:id="rId6"/>
    <sheet name="K Modal" sheetId="19" state="hidden" r:id="rId7"/>
    <sheet name="Komite Kredit" sheetId="18" state="hidden" r:id="rId8"/>
    <sheet name="Keputusan Pembiayaan" sheetId="15" r:id="rId9"/>
    <sheet name="Rekomendasi AO" sheetId="26" r:id="rId10"/>
    <sheet name="Jadang" sheetId="23" r:id="rId11"/>
    <sheet name="Parameter" sheetId="21" r:id="rId12"/>
    <sheet name="Rating" sheetId="22" r:id="rId13"/>
    <sheet name="SPPK" sheetId="16" state="hidden" r:id="rId14"/>
  </sheets>
  <externalReferences>
    <externalReference r:id="rId15"/>
    <externalReference r:id="rId16"/>
    <externalReference r:id="rId17"/>
    <externalReference r:id="rId18"/>
    <externalReference r:id="rId19"/>
    <externalReference r:id="rId20"/>
  </externalReferences>
  <definedNames>
    <definedName name="BULAN">[1]KASUS10!$I$23:$I$202</definedName>
    <definedName name="JKL">[2]parameter!$E$163:$E$164</definedName>
    <definedName name="JKW">[2]parameter!$E$190:$E$211</definedName>
    <definedName name="kolek">'[3]ASPEK KEU'!$K$46:$K$50</definedName>
    <definedName name="PENY">[2]parameter_tier!$E$141:$E$161</definedName>
    <definedName name="PKR">[2]parameter!$E$174:$E$177</definedName>
    <definedName name="PKS">[2]parameter!$E$184:$E$187</definedName>
    <definedName name="_xlnm.Print_Area" localSheetId="2">'Aspek Keuangan'!$A$1:$AB$130</definedName>
    <definedName name="_xlnm.Print_Area" localSheetId="1">'Aspek Non Keuangan'!$A$1:$Z$98</definedName>
    <definedName name="_xlnm.Print_Area" localSheetId="0">'Informasi Pokok'!$A$1:$J$67</definedName>
    <definedName name="_xlnm.Print_Area" localSheetId="8">'Keputusan Pembiayaan'!$A$1:$Y$76</definedName>
    <definedName name="_xlnm.Print_Area" localSheetId="4">'Rekening Koran &amp; Aset'!$A$1:$L$83</definedName>
    <definedName name="_xlnm.Print_Area" localSheetId="9">'Rekomendasi AO'!$A$1:$H$29</definedName>
    <definedName name="_xlnm.Print_Area" localSheetId="5">'Usulan Pembiayaan'!$A$1:$Y$92</definedName>
    <definedName name="S1A">[2]parameter!$E$6:$E$9</definedName>
    <definedName name="S1B">[2]parameter!$E$11:$E$12</definedName>
    <definedName name="S1C">[2]parameter!$E$14:$E$17</definedName>
    <definedName name="S1D">[2]parameter!$E$19:$E$22</definedName>
    <definedName name="S2A">[2]parameter!$E$26:$E$29</definedName>
    <definedName name="S2B">[2]parameter!$E$31:$E$34</definedName>
    <definedName name="S2C">[2]parameter!$E$36:$E$39</definedName>
    <definedName name="S3A">[2]parameter!$E$43:$E$46</definedName>
    <definedName name="S3B">[2]parameter_tier!$E$48:$E$55</definedName>
    <definedName name="S3C">[2]parameter!$E$53:$E$55</definedName>
    <definedName name="S3D">[2]parameter!$E$57:$E$60</definedName>
    <definedName name="S3E">[2]parameter!$E$62:$E$65</definedName>
    <definedName name="S3F">[2]parameter!$E$67:$E$70</definedName>
    <definedName name="S3I">[2]parameter!$E$86:$E$89</definedName>
    <definedName name="S3J">[2]parameter!$E$91:$E$94</definedName>
    <definedName name="S3K">[2]parameter!$E$96:$E$99</definedName>
    <definedName name="S4A">[2]parameter!$E$103:$E$106</definedName>
    <definedName name="S4D">[2]parameter!$E$118:$E$121</definedName>
    <definedName name="S6A">[2]parameter!$E$132:$E$133</definedName>
    <definedName name="STA">[2]parameter!$E$180:$E$181</definedName>
    <definedName name="TUJ">[2]parameter!$E$159:$E$160</definedName>
  </definedNames>
  <calcPr calcId="144525" fullCalcOnLoad="1"/>
</workbook>
</file>

<file path=xl/calcChain.xml><?xml version="1.0" encoding="utf-8"?>
<calcChain xmlns="http://schemas.openxmlformats.org/spreadsheetml/2006/main">
  <c r="I62" i="13" l="1"/>
  <c r="D14" i="26" l="1"/>
  <c r="D13" i="26"/>
  <c r="F10" i="26" l="1"/>
  <c r="D4" i="26" l="1"/>
  <c r="F11" i="26" l="1"/>
  <c r="R96" i="13" l="1"/>
  <c r="D12" i="26"/>
  <c r="D17" i="26"/>
  <c r="D6" i="26"/>
  <c r="AG74" i="12"/>
  <c r="AH74" i="12"/>
  <c r="AM74" i="12" s="1"/>
  <c r="D18" i="26" l="1"/>
  <c r="AJ74" i="12"/>
  <c r="AK74" i="12" s="1"/>
  <c r="AE74" i="12" s="1"/>
  <c r="N74" i="12" s="1"/>
  <c r="N78" i="12" l="1"/>
  <c r="I78" i="12"/>
  <c r="N77" i="12"/>
  <c r="I77" i="12"/>
  <c r="B57" i="17"/>
  <c r="K99" i="21" l="1"/>
  <c r="M45" i="15" l="1"/>
  <c r="AB52" i="14" l="1"/>
  <c r="M50" i="14" s="1"/>
  <c r="M55" i="12" l="1"/>
  <c r="M45" i="12"/>
  <c r="O30" i="12"/>
  <c r="I29" i="12"/>
  <c r="H29" i="12"/>
  <c r="C29" i="12"/>
  <c r="I28" i="12"/>
  <c r="H28" i="12"/>
  <c r="C28" i="12"/>
  <c r="X22" i="12"/>
  <c r="P22" i="12"/>
  <c r="I22" i="12"/>
  <c r="Z21" i="12"/>
  <c r="S21" i="12"/>
  <c r="L21" i="12"/>
  <c r="Z20" i="12"/>
  <c r="S20" i="12"/>
  <c r="L20" i="12"/>
  <c r="L28" i="12" l="1"/>
  <c r="L29" i="12"/>
  <c r="P29" i="12" s="1"/>
  <c r="M62" i="12"/>
  <c r="S22" i="12"/>
  <c r="Z22" i="12"/>
  <c r="H30" i="12"/>
  <c r="I30" i="12"/>
  <c r="L22" i="12"/>
  <c r="L30" i="12" l="1"/>
  <c r="P28" i="12"/>
  <c r="P30" i="12" s="1"/>
  <c r="M60" i="12" s="1"/>
  <c r="N32" i="12"/>
  <c r="M59" i="12" s="1"/>
  <c r="M61" i="12" l="1"/>
  <c r="M63" i="12"/>
  <c r="M22" i="15"/>
  <c r="M21" i="15"/>
  <c r="M64" i="12" l="1"/>
  <c r="M65" i="12" l="1"/>
  <c r="R18" i="14"/>
  <c r="N19" i="14"/>
  <c r="N18" i="14"/>
  <c r="N16" i="15" s="1"/>
  <c r="T108" i="21"/>
  <c r="T110" i="21" s="1"/>
  <c r="M40" i="15" s="1"/>
  <c r="M69" i="12" l="1"/>
  <c r="N25" i="14" s="1"/>
  <c r="AA55" i="14"/>
  <c r="AA54" i="14"/>
  <c r="R16" i="15"/>
  <c r="N15" i="15"/>
  <c r="K110" i="21"/>
  <c r="P110" i="21" s="1"/>
  <c r="A11" i="17"/>
  <c r="A14" i="17" s="1"/>
  <c r="A15" i="17" s="1"/>
  <c r="AB43" i="15"/>
  <c r="A19" i="17" l="1"/>
  <c r="A20" i="17"/>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3" i="17" s="1"/>
  <c r="Q60" i="13"/>
  <c r="L60" i="13"/>
  <c r="S59" i="13"/>
  <c r="S58" i="13"/>
  <c r="S57" i="13"/>
  <c r="S56" i="13"/>
  <c r="R51" i="13"/>
  <c r="O51" i="13"/>
  <c r="V50" i="13"/>
  <c r="V49" i="13"/>
  <c r="V48" i="13"/>
  <c r="V47" i="13"/>
  <c r="N41" i="13"/>
  <c r="R40" i="13"/>
  <c r="R39" i="13"/>
  <c r="R38" i="13"/>
  <c r="R37" i="13"/>
  <c r="R36" i="13"/>
  <c r="A36" i="13"/>
  <c r="A37" i="13" s="1"/>
  <c r="A38" i="13" s="1"/>
  <c r="A39" i="13" s="1"/>
  <c r="A40" i="13" s="1"/>
  <c r="R34" i="13"/>
  <c r="V51" i="13" l="1"/>
  <c r="S60" i="13"/>
  <c r="R41" i="13"/>
  <c r="AB19" i="14" l="1"/>
  <c r="AB51" i="14" s="1"/>
  <c r="F10" i="17"/>
  <c r="AN19" i="14" l="1"/>
  <c r="AP19" i="14"/>
  <c r="B61" i="14" s="1"/>
  <c r="AG19" i="14"/>
  <c r="AL19" i="14"/>
  <c r="AD19" i="14"/>
  <c r="AI19" i="14"/>
  <c r="AE19" i="14"/>
  <c r="AK19" i="14"/>
  <c r="AC19" i="14"/>
  <c r="AH19" i="14"/>
  <c r="AM19" i="14"/>
  <c r="AF19" i="14"/>
  <c r="AJ19" i="14"/>
  <c r="AH92" i="12" l="1"/>
  <c r="AM92" i="12" s="1"/>
  <c r="AH91" i="12"/>
  <c r="AJ91" i="12" s="1"/>
  <c r="AK91" i="12" s="1"/>
  <c r="AE91" i="12" s="1"/>
  <c r="N91" i="12" s="1"/>
  <c r="AH90" i="12"/>
  <c r="AJ90" i="12" s="1"/>
  <c r="AK90" i="12" s="1"/>
  <c r="AE90" i="12" s="1"/>
  <c r="N90" i="12" s="1"/>
  <c r="AH80" i="12"/>
  <c r="AM80" i="12" s="1"/>
  <c r="AH79" i="12"/>
  <c r="AJ79" i="12" s="1"/>
  <c r="AK79" i="12" s="1"/>
  <c r="AH75" i="12"/>
  <c r="AM75" i="12" s="1"/>
  <c r="AM91" i="12" l="1"/>
  <c r="AJ80" i="12"/>
  <c r="AK80" i="12" s="1"/>
  <c r="AJ92" i="12"/>
  <c r="AK92" i="12" s="1"/>
  <c r="AE92" i="12" s="1"/>
  <c r="N92" i="12" s="1"/>
  <c r="AM90" i="12"/>
  <c r="AJ75" i="12"/>
  <c r="AK75" i="12" s="1"/>
  <c r="AM79" i="12"/>
  <c r="M48" i="15" l="1"/>
  <c r="Q60" i="15" l="1"/>
  <c r="K62" i="15"/>
  <c r="K61" i="15"/>
  <c r="K60" i="15"/>
  <c r="K59" i="15"/>
  <c r="AO9" i="14"/>
  <c r="AO10" i="14"/>
  <c r="AO11" i="14"/>
  <c r="AO12" i="14"/>
  <c r="AO8" i="14"/>
  <c r="AO7" i="14"/>
  <c r="AO13" i="14"/>
  <c r="AO6" i="14"/>
  <c r="AO5" i="14"/>
  <c r="AO4" i="14"/>
  <c r="AO3" i="14"/>
  <c r="AO19" i="14" s="1"/>
  <c r="B56" i="14"/>
  <c r="C64" i="15" s="1"/>
  <c r="I33" i="14" l="1"/>
  <c r="I39" i="14"/>
  <c r="J53" i="14"/>
  <c r="J65" i="14" s="1"/>
  <c r="T119" i="21" s="1"/>
  <c r="T120" i="21" s="1"/>
  <c r="B59" i="14"/>
  <c r="C67" i="15" s="1"/>
  <c r="B49" i="14"/>
  <c r="B53" i="14"/>
  <c r="C63" i="15" s="1"/>
  <c r="B60" i="14"/>
  <c r="C68" i="15" s="1"/>
  <c r="B51" i="14"/>
  <c r="C61" i="15" s="1"/>
  <c r="B55" i="14"/>
  <c r="C58" i="15" s="1"/>
  <c r="B52" i="14"/>
  <c r="C62" i="15" s="1"/>
  <c r="B50" i="14"/>
  <c r="C60" i="15" s="1"/>
  <c r="B58" i="14"/>
  <c r="C66" i="15" s="1"/>
  <c r="G32" i="21"/>
  <c r="L65" i="14" l="1"/>
  <c r="M44" i="15"/>
  <c r="K63" i="15"/>
  <c r="B57" i="14"/>
  <c r="C65" i="15" s="1"/>
  <c r="I40" i="14"/>
  <c r="I34" i="14"/>
  <c r="I38" i="14"/>
  <c r="I32" i="14"/>
  <c r="E9" i="21"/>
  <c r="E59" i="21"/>
  <c r="E57" i="21"/>
  <c r="E58" i="21"/>
  <c r="E56" i="21"/>
  <c r="E7" i="21"/>
  <c r="E8" i="21"/>
  <c r="E6" i="21"/>
  <c r="K139" i="21"/>
  <c r="K138" i="21"/>
  <c r="Q139" i="21" s="1"/>
  <c r="K136" i="21"/>
  <c r="U136" i="21" s="1"/>
  <c r="K135" i="21"/>
  <c r="Q136" i="21" s="1"/>
  <c r="P136" i="21" l="1"/>
  <c r="P139" i="21"/>
  <c r="U139" i="21"/>
  <c r="J81" i="25"/>
  <c r="D64" i="25" l="1"/>
  <c r="AA35" i="14" l="1"/>
  <c r="M8" i="12" l="1"/>
  <c r="M12" i="12" s="1"/>
  <c r="N24" i="14" s="1"/>
  <c r="N14" i="15" l="1"/>
  <c r="C3" i="25"/>
  <c r="M30" i="15" l="1"/>
  <c r="K48" i="21"/>
  <c r="O47" i="21"/>
  <c r="K47" i="21"/>
  <c r="O46" i="21"/>
  <c r="K46" i="21"/>
  <c r="O45" i="21"/>
  <c r="K45" i="21"/>
  <c r="O44" i="21"/>
  <c r="K44" i="21"/>
  <c r="D6" i="25"/>
  <c r="M34" i="15"/>
  <c r="M33" i="15"/>
  <c r="M32" i="15"/>
  <c r="M29" i="15"/>
  <c r="M28" i="15"/>
  <c r="AA63" i="14"/>
  <c r="AA65" i="14" s="1"/>
  <c r="O76" i="21"/>
  <c r="K76" i="21"/>
  <c r="O75" i="21"/>
  <c r="K75" i="21"/>
  <c r="S72" i="21" l="1"/>
  <c r="R72" i="21"/>
  <c r="R67" i="21"/>
  <c r="R63" i="21"/>
  <c r="K57" i="25"/>
  <c r="Q9" i="25" s="1"/>
  <c r="J57" i="25"/>
  <c r="N9" i="25" s="1"/>
  <c r="G57" i="25"/>
  <c r="Q8" i="25" s="1"/>
  <c r="F57" i="25"/>
  <c r="N8" i="25" s="1"/>
  <c r="C57" i="25"/>
  <c r="Q7" i="25" s="1"/>
  <c r="B57" i="25"/>
  <c r="N7" i="25" s="1"/>
  <c r="K56" i="25"/>
  <c r="S9" i="25" s="1"/>
  <c r="J56" i="25"/>
  <c r="P9" i="25" s="1"/>
  <c r="G56" i="25"/>
  <c r="S8" i="25" s="1"/>
  <c r="F56" i="25"/>
  <c r="P8" i="25" s="1"/>
  <c r="C56" i="25"/>
  <c r="S7" i="25" s="1"/>
  <c r="B56" i="25"/>
  <c r="P7" i="25" s="1"/>
  <c r="K55" i="25"/>
  <c r="R9" i="25" s="1"/>
  <c r="J55" i="25"/>
  <c r="O9" i="25" s="1"/>
  <c r="G55" i="25"/>
  <c r="R8" i="25" s="1"/>
  <c r="F55" i="25"/>
  <c r="O8" i="25" s="1"/>
  <c r="C55" i="25"/>
  <c r="R7" i="25" s="1"/>
  <c r="B55" i="25"/>
  <c r="O7" i="25" s="1"/>
  <c r="O77" i="21"/>
  <c r="O73" i="21"/>
  <c r="O72" i="21"/>
  <c r="K72" i="21"/>
  <c r="P72" i="21" s="1"/>
  <c r="O71" i="21"/>
  <c r="K71" i="21"/>
  <c r="Q72" i="21" s="1"/>
  <c r="O69" i="21"/>
  <c r="O68" i="21"/>
  <c r="O67" i="21"/>
  <c r="K67" i="21"/>
  <c r="P67" i="21" s="1"/>
  <c r="O66" i="21"/>
  <c r="K66" i="21"/>
  <c r="Q67" i="21" s="1"/>
  <c r="O63" i="21"/>
  <c r="K63" i="21"/>
  <c r="P63" i="21" s="1"/>
  <c r="O62" i="21"/>
  <c r="K62" i="21"/>
  <c r="Q63" i="21" s="1"/>
  <c r="K42" i="21"/>
  <c r="O41" i="21"/>
  <c r="K41" i="21"/>
  <c r="O40" i="21"/>
  <c r="K40" i="21"/>
  <c r="O39" i="21"/>
  <c r="K39" i="21"/>
  <c r="O38" i="21"/>
  <c r="K38" i="21"/>
  <c r="D7" i="25"/>
  <c r="D8" i="25" s="1"/>
  <c r="D9" i="25" s="1"/>
  <c r="D10" i="25" s="1"/>
  <c r="D11" i="25" s="1"/>
  <c r="D12" i="25" s="1"/>
  <c r="D13" i="25" s="1"/>
  <c r="D14" i="25" s="1"/>
  <c r="D15" i="25" s="1"/>
  <c r="D16" i="25" s="1"/>
  <c r="D17" i="25" s="1"/>
  <c r="D18" i="25" s="1"/>
  <c r="D19" i="25" s="1"/>
  <c r="D20" i="25" s="1"/>
  <c r="D21" i="25" s="1"/>
  <c r="D22" i="25" s="1"/>
  <c r="D23" i="25" s="1"/>
  <c r="D24" i="25" s="1"/>
  <c r="D25" i="25" s="1"/>
  <c r="D26" i="25" s="1"/>
  <c r="D27" i="25" s="1"/>
  <c r="D28" i="25" s="1"/>
  <c r="D29" i="25" s="1"/>
  <c r="D30" i="25" s="1"/>
  <c r="D31" i="25" s="1"/>
  <c r="D32" i="25" s="1"/>
  <c r="D33" i="25" s="1"/>
  <c r="D34" i="25" s="1"/>
  <c r="D35" i="25" s="1"/>
  <c r="D36" i="25" s="1"/>
  <c r="D37" i="25" s="1"/>
  <c r="D38" i="25" s="1"/>
  <c r="D39" i="25" s="1"/>
  <c r="D40" i="25" s="1"/>
  <c r="D41" i="25" s="1"/>
  <c r="D42" i="25" s="1"/>
  <c r="D43" i="25" s="1"/>
  <c r="D44" i="25" s="1"/>
  <c r="D45" i="25" s="1"/>
  <c r="D46" i="25" s="1"/>
  <c r="D47" i="25" s="1"/>
  <c r="D48" i="25" s="1"/>
  <c r="D49" i="25" s="1"/>
  <c r="D50" i="25" s="1"/>
  <c r="D51" i="25" s="1"/>
  <c r="D52" i="25" s="1"/>
  <c r="D53" i="25" s="1"/>
  <c r="U63" i="21" l="1"/>
  <c r="U72" i="21"/>
  <c r="U67" i="21"/>
  <c r="Q10" i="25"/>
  <c r="N10" i="25"/>
  <c r="S10" i="25"/>
  <c r="P10" i="25"/>
  <c r="R10" i="25"/>
  <c r="O10" i="25"/>
  <c r="T7" i="25"/>
  <c r="H6" i="25"/>
  <c r="H7" i="25" s="1"/>
  <c r="H8" i="25" s="1"/>
  <c r="H9" i="25" s="1"/>
  <c r="H10" i="25" s="1"/>
  <c r="H11" i="25" s="1"/>
  <c r="H12" i="25" s="1"/>
  <c r="H13" i="25" s="1"/>
  <c r="H14" i="25" s="1"/>
  <c r="H15" i="25" s="1"/>
  <c r="H16" i="25" s="1"/>
  <c r="H17" i="25" s="1"/>
  <c r="H18" i="25" s="1"/>
  <c r="H19" i="25" s="1"/>
  <c r="H20" i="25" s="1"/>
  <c r="H21" i="25" s="1"/>
  <c r="H22" i="25" s="1"/>
  <c r="H23" i="25" s="1"/>
  <c r="H24" i="25" s="1"/>
  <c r="H25" i="25" s="1"/>
  <c r="H26" i="25" s="1"/>
  <c r="H27" i="25" s="1"/>
  <c r="H28" i="25" s="1"/>
  <c r="H29" i="25" s="1"/>
  <c r="H30" i="25" s="1"/>
  <c r="H31" i="25" s="1"/>
  <c r="H32" i="25" s="1"/>
  <c r="H33" i="25" s="1"/>
  <c r="H34" i="25" s="1"/>
  <c r="H35" i="25" s="1"/>
  <c r="H36" i="25" s="1"/>
  <c r="H37" i="25" s="1"/>
  <c r="H38" i="25" s="1"/>
  <c r="H39" i="25" s="1"/>
  <c r="H40" i="25" s="1"/>
  <c r="H41" i="25" s="1"/>
  <c r="H42" i="25" s="1"/>
  <c r="H43" i="25" s="1"/>
  <c r="H44" i="25" s="1"/>
  <c r="H45" i="25" s="1"/>
  <c r="H46" i="25" s="1"/>
  <c r="H47" i="25" s="1"/>
  <c r="H48" i="25" s="1"/>
  <c r="H49" i="25" s="1"/>
  <c r="H50" i="25" s="1"/>
  <c r="H51" i="25" s="1"/>
  <c r="H52" i="25" s="1"/>
  <c r="H53" i="25" s="1"/>
  <c r="T8" i="25" l="1"/>
  <c r="L6" i="25"/>
  <c r="L7" i="25" s="1"/>
  <c r="L8" i="25" s="1"/>
  <c r="L9" i="25" s="1"/>
  <c r="L10" i="25" s="1"/>
  <c r="L11" i="25" s="1"/>
  <c r="L12" i="25" s="1"/>
  <c r="L13" i="25" s="1"/>
  <c r="L14" i="25" s="1"/>
  <c r="L15" i="25" s="1"/>
  <c r="L16" i="25" s="1"/>
  <c r="L17" i="25" s="1"/>
  <c r="L18" i="25" s="1"/>
  <c r="L19" i="25" s="1"/>
  <c r="L20" i="25" s="1"/>
  <c r="L21" i="25" s="1"/>
  <c r="L22" i="25" s="1"/>
  <c r="L23" i="25" s="1"/>
  <c r="L24" i="25" s="1"/>
  <c r="L25" i="25" s="1"/>
  <c r="L26" i="25" s="1"/>
  <c r="L27" i="25" s="1"/>
  <c r="L28" i="25" s="1"/>
  <c r="L29" i="25" s="1"/>
  <c r="L30" i="25" s="1"/>
  <c r="L31" i="25" s="1"/>
  <c r="L32" i="25" s="1"/>
  <c r="L33" i="25" s="1"/>
  <c r="L34" i="25" s="1"/>
  <c r="L35" i="25" s="1"/>
  <c r="L36" i="25" s="1"/>
  <c r="L37" i="25" s="1"/>
  <c r="L38" i="25" s="1"/>
  <c r="L39" i="25" s="1"/>
  <c r="L40" i="25" s="1"/>
  <c r="L41" i="25" s="1"/>
  <c r="L42" i="25" s="1"/>
  <c r="L43" i="25" s="1"/>
  <c r="L44" i="25" s="1"/>
  <c r="L45" i="25" s="1"/>
  <c r="L46" i="25" s="1"/>
  <c r="L47" i="25" s="1"/>
  <c r="L48" i="25" s="1"/>
  <c r="L49" i="25" s="1"/>
  <c r="L50" i="25" s="1"/>
  <c r="L51" i="25" s="1"/>
  <c r="L52" i="25" s="1"/>
  <c r="L53" i="25" s="1"/>
  <c r="T9" i="25" s="1"/>
  <c r="D63" i="25" s="1"/>
  <c r="F72" i="25" s="1"/>
  <c r="T10" i="25" l="1"/>
  <c r="K57" i="15"/>
  <c r="AB46" i="15"/>
  <c r="S120" i="21"/>
  <c r="M35" i="15" l="1"/>
  <c r="M27" i="15"/>
  <c r="Q28" i="23" l="1"/>
  <c r="Q27" i="23"/>
  <c r="R4" i="23" s="1"/>
  <c r="Q25" i="23"/>
  <c r="R25" i="23" s="1"/>
  <c r="S55" i="14" s="1"/>
  <c r="AB73" i="14" l="1"/>
  <c r="AB71" i="14"/>
  <c r="AB72" i="14"/>
  <c r="AB70" i="14"/>
  <c r="AB37" i="14"/>
  <c r="AB35" i="14"/>
  <c r="H139" i="23"/>
  <c r="H131" i="23"/>
  <c r="Q32" i="23"/>
  <c r="N17" i="14" l="1"/>
  <c r="AB20" i="14" l="1"/>
  <c r="AC20" i="14"/>
  <c r="K36" i="21"/>
  <c r="N20" i="14" l="1"/>
  <c r="AG92" i="12"/>
  <c r="AG91" i="12"/>
  <c r="AG90" i="12"/>
  <c r="AG80" i="12"/>
  <c r="AG79" i="12"/>
  <c r="AG75" i="12"/>
  <c r="B101" i="12" l="1"/>
  <c r="B100" i="12"/>
  <c r="K114" i="21"/>
  <c r="K113" i="21"/>
  <c r="K112" i="21"/>
  <c r="T114" i="21" l="1"/>
  <c r="E53" i="17" l="1"/>
  <c r="M42" i="15" s="1"/>
  <c r="P114" i="21"/>
  <c r="R114" i="21"/>
  <c r="S114" i="21"/>
  <c r="U114" i="21" l="1"/>
  <c r="C59" i="15" l="1"/>
  <c r="K58" i="15"/>
  <c r="Q26" i="23" l="1"/>
  <c r="Q58" i="15"/>
  <c r="P2" i="23" l="1"/>
  <c r="Q29" i="23"/>
  <c r="Q33" i="23" s="1"/>
  <c r="P37" i="23" s="1"/>
  <c r="A131" i="23"/>
  <c r="P38" i="23" l="1"/>
  <c r="R5" i="23"/>
  <c r="U8" i="23" s="1"/>
  <c r="Q37" i="23"/>
  <c r="Q34" i="23"/>
  <c r="J8" i="23"/>
  <c r="C8" i="23"/>
  <c r="V8" i="23"/>
  <c r="AB4" i="23"/>
  <c r="Z4" i="23"/>
  <c r="AB2" i="23"/>
  <c r="AA1" i="23"/>
  <c r="Z1" i="23"/>
  <c r="U124" i="23" l="1"/>
  <c r="U116" i="23"/>
  <c r="U108" i="23"/>
  <c r="U100" i="23"/>
  <c r="U92" i="23"/>
  <c r="U84" i="23"/>
  <c r="U122" i="23"/>
  <c r="U114" i="23"/>
  <c r="U106" i="23"/>
  <c r="U98" i="23"/>
  <c r="U90" i="23"/>
  <c r="U82" i="23"/>
  <c r="U127" i="23"/>
  <c r="U111" i="23"/>
  <c r="U95" i="23"/>
  <c r="U113" i="23"/>
  <c r="U97" i="23"/>
  <c r="U81" i="23"/>
  <c r="U120" i="23"/>
  <c r="U112" i="23"/>
  <c r="U104" i="23"/>
  <c r="U96" i="23"/>
  <c r="U88" i="23"/>
  <c r="U80" i="23"/>
  <c r="U123" i="23"/>
  <c r="U107" i="23"/>
  <c r="U91" i="23"/>
  <c r="U125" i="23"/>
  <c r="U109" i="23"/>
  <c r="U93" i="23"/>
  <c r="U126" i="23"/>
  <c r="U94" i="23"/>
  <c r="U119" i="23"/>
  <c r="U87" i="23"/>
  <c r="U105" i="23"/>
  <c r="U86" i="23"/>
  <c r="U115" i="23"/>
  <c r="U101" i="23"/>
  <c r="U110" i="23"/>
  <c r="U103" i="23"/>
  <c r="U121" i="23"/>
  <c r="U89" i="23"/>
  <c r="U102" i="23"/>
  <c r="U99" i="23"/>
  <c r="U117" i="23"/>
  <c r="U85" i="23"/>
  <c r="U118" i="23"/>
  <c r="U83" i="23"/>
  <c r="U20" i="23"/>
  <c r="U77" i="23"/>
  <c r="U73" i="23"/>
  <c r="U69" i="23"/>
  <c r="U65" i="23"/>
  <c r="U61" i="23"/>
  <c r="U57" i="23"/>
  <c r="U53" i="23"/>
  <c r="U49" i="23"/>
  <c r="U45" i="23"/>
  <c r="U41" i="23"/>
  <c r="U37" i="23"/>
  <c r="U33" i="23"/>
  <c r="U29" i="23"/>
  <c r="U25" i="23"/>
  <c r="U21" i="23"/>
  <c r="U78" i="23"/>
  <c r="U74" i="23"/>
  <c r="U70" i="23"/>
  <c r="U79" i="23"/>
  <c r="U75" i="23"/>
  <c r="U71" i="23"/>
  <c r="U67" i="23"/>
  <c r="U63" i="23"/>
  <c r="U59" i="23"/>
  <c r="U55" i="23"/>
  <c r="U51" i="23"/>
  <c r="U47" i="23"/>
  <c r="U43" i="23"/>
  <c r="U39" i="23"/>
  <c r="U35" i="23"/>
  <c r="U31" i="23"/>
  <c r="U27" i="23"/>
  <c r="U23" i="23"/>
  <c r="U76" i="23"/>
  <c r="U72" i="23"/>
  <c r="U68" i="23"/>
  <c r="U64" i="23"/>
  <c r="U60" i="23"/>
  <c r="U56" i="23"/>
  <c r="U52" i="23"/>
  <c r="U48" i="23"/>
  <c r="U44" i="23"/>
  <c r="U40" i="23"/>
  <c r="U36" i="23"/>
  <c r="U66" i="23"/>
  <c r="U58" i="23"/>
  <c r="U50" i="23"/>
  <c r="U42" i="23"/>
  <c r="U34" i="23"/>
  <c r="U30" i="23"/>
  <c r="U26" i="23"/>
  <c r="U22" i="23"/>
  <c r="U62" i="23"/>
  <c r="U54" i="23"/>
  <c r="U46" i="23"/>
  <c r="U38" i="23"/>
  <c r="U32" i="23"/>
  <c r="U28" i="23"/>
  <c r="U24" i="23"/>
  <c r="U17" i="23"/>
  <c r="U11" i="23"/>
  <c r="U18" i="23"/>
  <c r="U14" i="23"/>
  <c r="U10" i="23"/>
  <c r="U19" i="23"/>
  <c r="U15" i="23"/>
  <c r="U9" i="23"/>
  <c r="U16" i="23"/>
  <c r="U12" i="23"/>
  <c r="U13" i="23"/>
  <c r="Q38" i="23"/>
  <c r="T55" i="14"/>
  <c r="T8" i="23"/>
  <c r="T10" i="23"/>
  <c r="T12" i="23"/>
  <c r="T14" i="23"/>
  <c r="T16" i="23"/>
  <c r="T18" i="23"/>
  <c r="T20" i="23"/>
  <c r="T22" i="23"/>
  <c r="T24" i="23"/>
  <c r="T26" i="23"/>
  <c r="T28" i="23"/>
  <c r="T30" i="23"/>
  <c r="T32" i="23"/>
  <c r="T34" i="23"/>
  <c r="T36" i="23"/>
  <c r="T38" i="23"/>
  <c r="T40" i="23"/>
  <c r="T42" i="23"/>
  <c r="T44" i="23"/>
  <c r="T46" i="23"/>
  <c r="T48" i="23"/>
  <c r="T50" i="23"/>
  <c r="T52" i="23"/>
  <c r="T54" i="23"/>
  <c r="T56" i="23"/>
  <c r="T58" i="23"/>
  <c r="T60" i="23"/>
  <c r="T62" i="23"/>
  <c r="T64" i="23"/>
  <c r="T66" i="23"/>
  <c r="T68" i="23"/>
  <c r="T70" i="23"/>
  <c r="T72" i="23"/>
  <c r="T74" i="23"/>
  <c r="T76" i="23"/>
  <c r="T78" i="23"/>
  <c r="T80" i="23"/>
  <c r="T82" i="23"/>
  <c r="T84" i="23"/>
  <c r="T86" i="23"/>
  <c r="T88" i="23"/>
  <c r="T90" i="23"/>
  <c r="T92" i="23"/>
  <c r="T94" i="23"/>
  <c r="T96" i="23"/>
  <c r="T98" i="23"/>
  <c r="T100" i="23"/>
  <c r="T102" i="23"/>
  <c r="T104" i="23"/>
  <c r="T106" i="23"/>
  <c r="T108" i="23"/>
  <c r="T110" i="23"/>
  <c r="T112" i="23"/>
  <c r="T114" i="23"/>
  <c r="T116" i="23"/>
  <c r="T118" i="23"/>
  <c r="T120" i="23"/>
  <c r="T122" i="23"/>
  <c r="T124" i="23"/>
  <c r="T126" i="23"/>
  <c r="T9" i="23"/>
  <c r="T11" i="23"/>
  <c r="T13" i="23"/>
  <c r="T15" i="23"/>
  <c r="T17" i="23"/>
  <c r="T19" i="23"/>
  <c r="T21" i="23"/>
  <c r="T23" i="23"/>
  <c r="T25" i="23"/>
  <c r="T27" i="23"/>
  <c r="T29" i="23"/>
  <c r="T31" i="23"/>
  <c r="T33" i="23"/>
  <c r="T35" i="23"/>
  <c r="T37" i="23"/>
  <c r="T39" i="23"/>
  <c r="T41" i="23"/>
  <c r="T43" i="23"/>
  <c r="T45" i="23"/>
  <c r="T47" i="23"/>
  <c r="T49" i="23"/>
  <c r="T51" i="23"/>
  <c r="T53" i="23"/>
  <c r="T55" i="23"/>
  <c r="T57" i="23"/>
  <c r="T59" i="23"/>
  <c r="T61" i="23"/>
  <c r="T63" i="23"/>
  <c r="T65" i="23"/>
  <c r="T67" i="23"/>
  <c r="T69" i="23"/>
  <c r="T71" i="23"/>
  <c r="T73" i="23"/>
  <c r="T75" i="23"/>
  <c r="T77" i="23"/>
  <c r="T79" i="23"/>
  <c r="T81" i="23"/>
  <c r="T83" i="23"/>
  <c r="T85" i="23"/>
  <c r="T87" i="23"/>
  <c r="T89" i="23"/>
  <c r="T91" i="23"/>
  <c r="T93" i="23"/>
  <c r="T95" i="23"/>
  <c r="T97" i="23"/>
  <c r="T99" i="23"/>
  <c r="T101" i="23"/>
  <c r="T103" i="23"/>
  <c r="T105" i="23"/>
  <c r="T107" i="23"/>
  <c r="T109" i="23"/>
  <c r="T111" i="23"/>
  <c r="T113" i="23"/>
  <c r="T115" i="23"/>
  <c r="T117" i="23"/>
  <c r="T119" i="23"/>
  <c r="T121" i="23"/>
  <c r="T123" i="23"/>
  <c r="T125" i="23"/>
  <c r="T127" i="23"/>
  <c r="AC4" i="23"/>
  <c r="AD4" i="23" s="1"/>
  <c r="R6" i="23" l="1"/>
  <c r="T56" i="14"/>
  <c r="U129" i="23"/>
  <c r="T129" i="23"/>
  <c r="Y8" i="23" l="1"/>
  <c r="X8" i="23"/>
  <c r="P8" i="23"/>
  <c r="P15" i="23"/>
  <c r="P16" i="23" s="1"/>
  <c r="P9" i="23"/>
  <c r="Y127" i="23" l="1"/>
  <c r="Y119" i="23"/>
  <c r="Y111" i="23"/>
  <c r="Y103" i="23"/>
  <c r="Y95" i="23"/>
  <c r="Y87" i="23"/>
  <c r="Y122" i="23"/>
  <c r="Y106" i="23"/>
  <c r="Y90" i="23"/>
  <c r="Y125" i="23"/>
  <c r="Y117" i="23"/>
  <c r="Y109" i="23"/>
  <c r="Y101" i="23"/>
  <c r="Y93" i="23"/>
  <c r="Y85" i="23"/>
  <c r="Y118" i="23"/>
  <c r="Y102" i="23"/>
  <c r="Y86" i="23"/>
  <c r="Y108" i="23"/>
  <c r="Y112" i="23"/>
  <c r="Y80" i="23"/>
  <c r="Y123" i="23"/>
  <c r="Y115" i="23"/>
  <c r="Y107" i="23"/>
  <c r="Y99" i="23"/>
  <c r="Y91" i="23"/>
  <c r="Y83" i="23"/>
  <c r="Y114" i="23"/>
  <c r="Y98" i="23"/>
  <c r="Y82" i="23"/>
  <c r="Y100" i="23"/>
  <c r="Y104" i="23"/>
  <c r="Y121" i="23"/>
  <c r="Y113" i="23"/>
  <c r="Y105" i="23"/>
  <c r="Y97" i="23"/>
  <c r="Y124" i="23"/>
  <c r="Y96" i="23"/>
  <c r="Y88" i="23"/>
  <c r="Y89" i="23"/>
  <c r="Y110" i="23"/>
  <c r="Y92" i="23"/>
  <c r="Y81" i="23"/>
  <c r="Y94" i="23"/>
  <c r="Y84" i="23"/>
  <c r="Y120" i="23"/>
  <c r="Y126" i="23"/>
  <c r="Y116" i="23"/>
  <c r="L8" i="23"/>
  <c r="E8" i="23"/>
  <c r="Y20" i="23"/>
  <c r="Y79" i="23"/>
  <c r="Y75" i="23"/>
  <c r="Y71" i="23"/>
  <c r="Y78" i="23"/>
  <c r="Y70" i="23"/>
  <c r="Y65" i="23"/>
  <c r="Y61" i="23"/>
  <c r="Y57" i="23"/>
  <c r="Y53" i="23"/>
  <c r="Y49" i="23"/>
  <c r="Y45" i="23"/>
  <c r="Y41" i="23"/>
  <c r="Y37" i="23"/>
  <c r="Y33" i="23"/>
  <c r="Y29" i="23"/>
  <c r="Y25" i="23"/>
  <c r="Y21" i="23"/>
  <c r="Y76" i="23"/>
  <c r="Y64" i="23"/>
  <c r="Y56" i="23"/>
  <c r="Y48" i="23"/>
  <c r="Y40" i="23"/>
  <c r="Y32" i="23"/>
  <c r="Y24" i="23"/>
  <c r="Y66" i="23"/>
  <c r="Y58" i="23"/>
  <c r="Y50" i="23"/>
  <c r="Y42" i="23"/>
  <c r="Y34" i="23"/>
  <c r="Y26" i="23"/>
  <c r="Y77" i="23"/>
  <c r="Y73" i="23"/>
  <c r="Y69" i="23"/>
  <c r="Y74" i="23"/>
  <c r="Y67" i="23"/>
  <c r="Y63" i="23"/>
  <c r="Y59" i="23"/>
  <c r="Y55" i="23"/>
  <c r="Y51" i="23"/>
  <c r="Y47" i="23"/>
  <c r="Y43" i="23"/>
  <c r="Y39" i="23"/>
  <c r="Y35" i="23"/>
  <c r="Y31" i="23"/>
  <c r="Y27" i="23"/>
  <c r="Y23" i="23"/>
  <c r="Y68" i="23"/>
  <c r="Y60" i="23"/>
  <c r="Y52" i="23"/>
  <c r="Y44" i="23"/>
  <c r="Y36" i="23"/>
  <c r="Y28" i="23"/>
  <c r="Y72" i="23"/>
  <c r="Y62" i="23"/>
  <c r="Y54" i="23"/>
  <c r="Y46" i="23"/>
  <c r="Y38" i="23"/>
  <c r="Y30" i="23"/>
  <c r="Y22" i="23"/>
  <c r="Y17" i="23"/>
  <c r="Y14" i="23"/>
  <c r="Y11" i="23"/>
  <c r="Y19" i="23"/>
  <c r="Y16" i="23"/>
  <c r="Y13" i="23"/>
  <c r="Y10" i="23"/>
  <c r="Y18" i="23"/>
  <c r="Y15" i="23"/>
  <c r="Y12" i="23"/>
  <c r="Y9" i="23"/>
  <c r="W8" i="23"/>
  <c r="D8" i="23" s="1"/>
  <c r="P10" i="23"/>
  <c r="D276" i="21"/>
  <c r="D275" i="21"/>
  <c r="AI92" i="12" s="1"/>
  <c r="D274" i="21"/>
  <c r="D273" i="21"/>
  <c r="AI91" i="12" s="1"/>
  <c r="D272" i="21"/>
  <c r="D271" i="21"/>
  <c r="AI90" i="12" s="1"/>
  <c r="D270" i="21"/>
  <c r="D269" i="21"/>
  <c r="E276" i="21"/>
  <c r="F276" i="21" s="1"/>
  <c r="F275" i="21" s="1"/>
  <c r="AL92" i="12" s="1"/>
  <c r="AN92" i="12" s="1"/>
  <c r="AO92" i="12" s="1"/>
  <c r="I92" i="12" s="1"/>
  <c r="AF92" i="12" s="1"/>
  <c r="E274" i="21"/>
  <c r="E272" i="21"/>
  <c r="E270" i="21"/>
  <c r="D268" i="21"/>
  <c r="D267" i="21"/>
  <c r="E268" i="21"/>
  <c r="D265" i="21"/>
  <c r="D264" i="21"/>
  <c r="AI80" i="12" s="1"/>
  <c r="AE80" i="12" s="1"/>
  <c r="N80" i="12" s="1"/>
  <c r="D263" i="21"/>
  <c r="D262" i="21"/>
  <c r="AI79" i="12" s="1"/>
  <c r="AE79" i="12" s="1"/>
  <c r="N79" i="12" s="1"/>
  <c r="D261" i="21"/>
  <c r="D260" i="21"/>
  <c r="D259" i="21"/>
  <c r="D258" i="21"/>
  <c r="AI75" i="12" s="1"/>
  <c r="AE75" i="12" s="1"/>
  <c r="N75" i="12" s="1"/>
  <c r="E265" i="21"/>
  <c r="E263" i="21"/>
  <c r="E261" i="21"/>
  <c r="E259" i="21"/>
  <c r="D256" i="21"/>
  <c r="AI74" i="12" s="1"/>
  <c r="D257" i="21"/>
  <c r="E257" i="21"/>
  <c r="N93" i="12" l="1"/>
  <c r="F8" i="23"/>
  <c r="J59" i="14"/>
  <c r="K67" i="15" s="1"/>
  <c r="J58" i="14"/>
  <c r="K66" i="15" s="1"/>
  <c r="C9" i="23"/>
  <c r="Y129" i="23"/>
  <c r="V9" i="23"/>
  <c r="X9" i="23" s="1"/>
  <c r="E9" i="23" s="1"/>
  <c r="K8" i="23"/>
  <c r="M8" i="23" s="1"/>
  <c r="F274" i="21"/>
  <c r="F273" i="21" s="1"/>
  <c r="F265" i="21"/>
  <c r="F264" i="21" s="1"/>
  <c r="AE93" i="12"/>
  <c r="F268" i="21"/>
  <c r="F272" i="21"/>
  <c r="F270" i="21"/>
  <c r="G257" i="21"/>
  <c r="G268" i="21"/>
  <c r="G272" i="21"/>
  <c r="G270" i="21"/>
  <c r="G274" i="21"/>
  <c r="G261" i="21"/>
  <c r="G265" i="21"/>
  <c r="F259" i="21"/>
  <c r="G259" i="21"/>
  <c r="G263" i="21"/>
  <c r="G276" i="21"/>
  <c r="G275" i="21"/>
  <c r="F263" i="21"/>
  <c r="F262" i="21" s="1"/>
  <c r="F261" i="21"/>
  <c r="F260" i="21" s="1"/>
  <c r="F257" i="21"/>
  <c r="E252" i="21"/>
  <c r="G273" i="21" l="1"/>
  <c r="AP91" i="12" s="1"/>
  <c r="AL91" i="12"/>
  <c r="AN91" i="12" s="1"/>
  <c r="AO91" i="12" s="1"/>
  <c r="I91" i="12" s="1"/>
  <c r="AF91" i="12" s="1"/>
  <c r="F269" i="21"/>
  <c r="F267" i="21"/>
  <c r="G267" i="21" s="1"/>
  <c r="F271" i="21"/>
  <c r="AL90" i="12" s="1"/>
  <c r="AN90" i="12" s="1"/>
  <c r="AO90" i="12" s="1"/>
  <c r="AE81" i="12"/>
  <c r="N81" i="12"/>
  <c r="G264" i="21"/>
  <c r="AP80" i="12" s="1"/>
  <c r="AL80" i="12"/>
  <c r="AN80" i="12" s="1"/>
  <c r="AO80" i="12" s="1"/>
  <c r="G262" i="21"/>
  <c r="AP79" i="12" s="1"/>
  <c r="AL79" i="12"/>
  <c r="AN79" i="12" s="1"/>
  <c r="AO79" i="12" s="1"/>
  <c r="F256" i="21"/>
  <c r="AL74" i="12" s="1"/>
  <c r="AN74" i="12" s="1"/>
  <c r="AO74" i="12" s="1"/>
  <c r="I74" i="12" s="1"/>
  <c r="AF74" i="12" s="1"/>
  <c r="F258" i="21"/>
  <c r="AL75" i="12" s="1"/>
  <c r="AN75" i="12" s="1"/>
  <c r="AO75" i="12" s="1"/>
  <c r="I75" i="12" s="1"/>
  <c r="G260" i="21"/>
  <c r="J9" i="23"/>
  <c r="L9" i="23"/>
  <c r="W9" i="23"/>
  <c r="AP92" i="12"/>
  <c r="Y107" i="21"/>
  <c r="D9" i="23" l="1"/>
  <c r="F9" i="23" s="1"/>
  <c r="AF90" i="12"/>
  <c r="I90" i="12"/>
  <c r="N26" i="14"/>
  <c r="G256" i="21"/>
  <c r="AP74" i="12" s="1"/>
  <c r="G271" i="21"/>
  <c r="AP90" i="12" s="1"/>
  <c r="G269" i="21"/>
  <c r="I79" i="12"/>
  <c r="AF79" i="12" s="1"/>
  <c r="I80" i="12"/>
  <c r="AF80" i="12" s="1"/>
  <c r="G258" i="21"/>
  <c r="AP75" i="12" s="1"/>
  <c r="K9" i="23"/>
  <c r="M9" i="23" s="1"/>
  <c r="V10" i="23"/>
  <c r="X10" i="23" s="1"/>
  <c r="E10" i="23" s="1"/>
  <c r="G4" i="14"/>
  <c r="C10" i="23" l="1"/>
  <c r="I93" i="12"/>
  <c r="N27" i="14"/>
  <c r="Q34" i="14" s="1"/>
  <c r="AF75" i="12"/>
  <c r="J10" i="23"/>
  <c r="L10" i="23"/>
  <c r="W10" i="23"/>
  <c r="M47" i="15"/>
  <c r="AF93" i="12" l="1"/>
  <c r="M101" i="12" s="1"/>
  <c r="D10" i="23"/>
  <c r="C11" i="23" s="1"/>
  <c r="Q35" i="14"/>
  <c r="Q32" i="14"/>
  <c r="AA56" i="14"/>
  <c r="AA58" i="14" s="1"/>
  <c r="AB54" i="14" s="1"/>
  <c r="AB55" i="14" s="1"/>
  <c r="E99" i="21" s="1"/>
  <c r="I81" i="12"/>
  <c r="AF81" i="12"/>
  <c r="M100" i="12" s="1"/>
  <c r="K10" i="23"/>
  <c r="M10" i="23" s="1"/>
  <c r="V11" i="23"/>
  <c r="X11" i="23" s="1"/>
  <c r="L11" i="23" s="1"/>
  <c r="M103" i="12" l="1"/>
  <c r="F10" i="23"/>
  <c r="E11" i="23"/>
  <c r="AC54" i="14"/>
  <c r="AC55" i="14" s="1"/>
  <c r="E100" i="21" s="1"/>
  <c r="J11" i="23"/>
  <c r="W11" i="23"/>
  <c r="K133" i="21"/>
  <c r="K132" i="21"/>
  <c r="Q133" i="21" s="1"/>
  <c r="K11" i="23" l="1"/>
  <c r="M11" i="23" s="1"/>
  <c r="D11" i="23"/>
  <c r="C12" i="23" s="1"/>
  <c r="AD54" i="14"/>
  <c r="AE55" i="14" s="1"/>
  <c r="E102" i="21" s="1"/>
  <c r="V12" i="23"/>
  <c r="X12" i="23" s="1"/>
  <c r="L12" i="23" s="1"/>
  <c r="P133" i="21"/>
  <c r="U133" i="21"/>
  <c r="J12" i="23" l="1"/>
  <c r="AD55" i="14"/>
  <c r="E101" i="21" s="1"/>
  <c r="F11" i="23"/>
  <c r="E12" i="23"/>
  <c r="W12" i="23"/>
  <c r="H66" i="17"/>
  <c r="K12" i="23" l="1"/>
  <c r="J13" i="23" s="1"/>
  <c r="D12" i="23"/>
  <c r="C13" i="23" s="1"/>
  <c r="V13" i="23"/>
  <c r="X13" i="23" s="1"/>
  <c r="L13" i="23" s="1"/>
  <c r="M12" i="23" l="1"/>
  <c r="F12" i="23"/>
  <c r="E13" i="23"/>
  <c r="W13" i="23"/>
  <c r="K13" i="23" l="1"/>
  <c r="J14" i="23" s="1"/>
  <c r="D13" i="23"/>
  <c r="F13" i="23" s="1"/>
  <c r="V14" i="23"/>
  <c r="X14" i="23" s="1"/>
  <c r="L14" i="23" s="1"/>
  <c r="M13" i="23" l="1"/>
  <c r="E14" i="23"/>
  <c r="C14" i="23"/>
  <c r="W14" i="23"/>
  <c r="K14" i="23" l="1"/>
  <c r="J15" i="23" s="1"/>
  <c r="D14" i="23"/>
  <c r="C15" i="23" s="1"/>
  <c r="V15" i="23"/>
  <c r="X15" i="23" s="1"/>
  <c r="L15" i="23" s="1"/>
  <c r="K130" i="21"/>
  <c r="K129" i="21"/>
  <c r="Q130" i="21" s="1"/>
  <c r="K126" i="21"/>
  <c r="K125" i="21"/>
  <c r="Q126" i="21" s="1"/>
  <c r="K120" i="21"/>
  <c r="P120" i="21" s="1"/>
  <c r="T111" i="12"/>
  <c r="P90" i="14"/>
  <c r="M14" i="23" l="1"/>
  <c r="F14" i="23"/>
  <c r="E15" i="23"/>
  <c r="W15" i="23"/>
  <c r="K15" i="23" l="1"/>
  <c r="J16" i="23" s="1"/>
  <c r="D15" i="23"/>
  <c r="C16" i="23" s="1"/>
  <c r="V16" i="23"/>
  <c r="X16" i="23" s="1"/>
  <c r="L16" i="23" s="1"/>
  <c r="M15" i="23" l="1"/>
  <c r="F15" i="23"/>
  <c r="E16" i="23"/>
  <c r="W16" i="23"/>
  <c r="K16" i="23" l="1"/>
  <c r="M16" i="23" s="1"/>
  <c r="D16" i="23"/>
  <c r="C17" i="23" s="1"/>
  <c r="V17" i="23"/>
  <c r="X17" i="23" s="1"/>
  <c r="L17" i="23" s="1"/>
  <c r="D254" i="21"/>
  <c r="J17" i="23" l="1"/>
  <c r="F16" i="23"/>
  <c r="E17" i="23"/>
  <c r="W17" i="23"/>
  <c r="G1" i="25"/>
  <c r="E6" i="25" s="1"/>
  <c r="I6" i="25" s="1"/>
  <c r="L8" i="17"/>
  <c r="M8" i="17" s="1"/>
  <c r="L6" i="17"/>
  <c r="B3" i="23"/>
  <c r="N10" i="15"/>
  <c r="K17" i="23" l="1"/>
  <c r="J18" i="23" s="1"/>
  <c r="D17" i="23"/>
  <c r="C18" i="23" s="1"/>
  <c r="V18" i="23"/>
  <c r="X18" i="23" s="1"/>
  <c r="L18" i="23" s="1"/>
  <c r="E253" i="21"/>
  <c r="E254" i="21"/>
  <c r="H253" i="21"/>
  <c r="I253" i="21" s="1"/>
  <c r="M5" i="17"/>
  <c r="A15" i="25"/>
  <c r="A23" i="25"/>
  <c r="A31" i="25"/>
  <c r="A39" i="25"/>
  <c r="A47" i="25"/>
  <c r="A8" i="25"/>
  <c r="A16" i="25"/>
  <c r="A24" i="25"/>
  <c r="A32" i="25"/>
  <c r="A40" i="25"/>
  <c r="A48" i="25"/>
  <c r="A51" i="25"/>
  <c r="A9" i="25"/>
  <c r="A19" i="25"/>
  <c r="A27" i="25"/>
  <c r="A35" i="25"/>
  <c r="A43" i="25"/>
  <c r="A53" i="25"/>
  <c r="A12" i="25"/>
  <c r="A20" i="25"/>
  <c r="A28" i="25"/>
  <c r="A36" i="25"/>
  <c r="A44" i="25"/>
  <c r="A52" i="25"/>
  <c r="A7" i="25"/>
  <c r="A11" i="25"/>
  <c r="A17" i="25"/>
  <c r="A21" i="25"/>
  <c r="A25" i="25"/>
  <c r="A29" i="25"/>
  <c r="A33" i="25"/>
  <c r="A37" i="25"/>
  <c r="A41" i="25"/>
  <c r="A45" i="25"/>
  <c r="A49" i="25"/>
  <c r="M7" i="25"/>
  <c r="A10" i="25"/>
  <c r="A14" i="25"/>
  <c r="A18" i="25"/>
  <c r="A22" i="25"/>
  <c r="A26" i="25"/>
  <c r="A30" i="25"/>
  <c r="A34" i="25"/>
  <c r="A38" i="25"/>
  <c r="A42" i="25"/>
  <c r="A46" i="25"/>
  <c r="A50" i="25"/>
  <c r="A13" i="25"/>
  <c r="H254" i="21"/>
  <c r="E52" i="25"/>
  <c r="E50" i="25"/>
  <c r="E48" i="25"/>
  <c r="E44" i="25"/>
  <c r="E40" i="25"/>
  <c r="E36" i="25"/>
  <c r="E32" i="25"/>
  <c r="E26" i="25"/>
  <c r="M8" i="25"/>
  <c r="E12" i="25"/>
  <c r="E16" i="25"/>
  <c r="E20" i="25"/>
  <c r="E53" i="25"/>
  <c r="E51" i="25"/>
  <c r="E49" i="25"/>
  <c r="E47" i="25"/>
  <c r="E45" i="25"/>
  <c r="E43" i="25"/>
  <c r="E41" i="25"/>
  <c r="E39" i="25"/>
  <c r="E37" i="25"/>
  <c r="E35" i="25"/>
  <c r="E33" i="25"/>
  <c r="E31" i="25"/>
  <c r="E29" i="25"/>
  <c r="E27" i="25"/>
  <c r="E8" i="25"/>
  <c r="E9" i="25"/>
  <c r="E11" i="25"/>
  <c r="E13" i="25"/>
  <c r="E15" i="25"/>
  <c r="E17" i="25"/>
  <c r="E19" i="25"/>
  <c r="E21" i="25"/>
  <c r="E23" i="25"/>
  <c r="E25" i="25"/>
  <c r="E46" i="25"/>
  <c r="E42" i="25"/>
  <c r="E38" i="25"/>
  <c r="E34" i="25"/>
  <c r="E30" i="25"/>
  <c r="E28" i="25"/>
  <c r="E7" i="25"/>
  <c r="E10" i="25"/>
  <c r="E14" i="25"/>
  <c r="E18" i="25"/>
  <c r="E22" i="25"/>
  <c r="E24" i="25"/>
  <c r="B8" i="23"/>
  <c r="N9" i="15"/>
  <c r="F17" i="23" l="1"/>
  <c r="M17" i="23"/>
  <c r="AA49" i="14"/>
  <c r="AB49" i="14" s="1"/>
  <c r="AC49" i="14" s="1"/>
  <c r="D28" i="17"/>
  <c r="M31" i="15" s="1"/>
  <c r="AA48" i="14"/>
  <c r="AB48" i="14" s="1"/>
  <c r="AC48" i="14" s="1"/>
  <c r="I254" i="21"/>
  <c r="T56" i="21"/>
  <c r="I14" i="17"/>
  <c r="I52" i="25"/>
  <c r="I50" i="25"/>
  <c r="I48" i="25"/>
  <c r="I46" i="25"/>
  <c r="I44" i="25"/>
  <c r="I42" i="25"/>
  <c r="I40" i="25"/>
  <c r="I38" i="25"/>
  <c r="I36" i="25"/>
  <c r="I34" i="25"/>
  <c r="I32" i="25"/>
  <c r="I30" i="25"/>
  <c r="I28" i="25"/>
  <c r="I26" i="25"/>
  <c r="I24" i="25"/>
  <c r="I22" i="25"/>
  <c r="I20" i="25"/>
  <c r="I18" i="25"/>
  <c r="I16" i="25"/>
  <c r="I14" i="25"/>
  <c r="I12" i="25"/>
  <c r="I10" i="25"/>
  <c r="I9" i="25"/>
  <c r="I7" i="25"/>
  <c r="I53" i="25"/>
  <c r="I51" i="25"/>
  <c r="I49" i="25"/>
  <c r="I47" i="25"/>
  <c r="I45" i="25"/>
  <c r="I43" i="25"/>
  <c r="I41" i="25"/>
  <c r="I39" i="25"/>
  <c r="I37" i="25"/>
  <c r="I35" i="25"/>
  <c r="I33" i="25"/>
  <c r="I31" i="25"/>
  <c r="I29" i="25"/>
  <c r="I27" i="25"/>
  <c r="I25" i="25"/>
  <c r="I23" i="25"/>
  <c r="I21" i="25"/>
  <c r="I19" i="25"/>
  <c r="I17" i="25"/>
  <c r="I15" i="25"/>
  <c r="I13" i="25"/>
  <c r="I11" i="25"/>
  <c r="M9" i="25"/>
  <c r="I8" i="25"/>
  <c r="G3" i="14"/>
  <c r="N8" i="15"/>
  <c r="B9" i="23"/>
  <c r="B10" i="23" s="1"/>
  <c r="B11" i="23" s="1"/>
  <c r="B12" i="23" s="1"/>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B35" i="23" s="1"/>
  <c r="B36" i="23" s="1"/>
  <c r="B37" i="23" s="1"/>
  <c r="B38" i="23" s="1"/>
  <c r="B39" i="23" s="1"/>
  <c r="B40" i="23" s="1"/>
  <c r="B41" i="23" s="1"/>
  <c r="B42" i="23" s="1"/>
  <c r="B43" i="23" s="1"/>
  <c r="B44" i="23" s="1"/>
  <c r="B45" i="23" s="1"/>
  <c r="B46" i="23" s="1"/>
  <c r="B47" i="23" s="1"/>
  <c r="B48" i="23" s="1"/>
  <c r="B49" i="23" s="1"/>
  <c r="B50" i="23" s="1"/>
  <c r="B51" i="23" s="1"/>
  <c r="B52" i="23" s="1"/>
  <c r="B53" i="23" s="1"/>
  <c r="B54" i="23" s="1"/>
  <c r="B55" i="23" s="1"/>
  <c r="B56" i="23" s="1"/>
  <c r="B57" i="23" s="1"/>
  <c r="B58" i="23" s="1"/>
  <c r="B59" i="23" s="1"/>
  <c r="B60" i="23" s="1"/>
  <c r="B61" i="23" s="1"/>
  <c r="B62" i="23" s="1"/>
  <c r="B63" i="23" s="1"/>
  <c r="B64" i="23" s="1"/>
  <c r="B65" i="23" s="1"/>
  <c r="B66" i="23" s="1"/>
  <c r="B67" i="23" s="1"/>
  <c r="B68" i="23" s="1"/>
  <c r="B69" i="23" s="1"/>
  <c r="B70" i="23" s="1"/>
  <c r="B71" i="23" s="1"/>
  <c r="B72" i="23" s="1"/>
  <c r="B73" i="23" s="1"/>
  <c r="B74" i="23" s="1"/>
  <c r="B75" i="23" s="1"/>
  <c r="B76" i="23" s="1"/>
  <c r="B77" i="23" s="1"/>
  <c r="B78" i="23" s="1"/>
  <c r="B79" i="23" s="1"/>
  <c r="B80" i="23" s="1"/>
  <c r="B81" i="23" s="1"/>
  <c r="B82" i="23" s="1"/>
  <c r="B83" i="23" s="1"/>
  <c r="B84" i="23" s="1"/>
  <c r="B85" i="23" s="1"/>
  <c r="B86" i="23" s="1"/>
  <c r="B87" i="23" s="1"/>
  <c r="B88" i="23" s="1"/>
  <c r="B89" i="23" s="1"/>
  <c r="B90" i="23" s="1"/>
  <c r="B91" i="23" s="1"/>
  <c r="B92" i="23" s="1"/>
  <c r="B93" i="23" s="1"/>
  <c r="B94" i="23" s="1"/>
  <c r="B95" i="23" s="1"/>
  <c r="B96" i="23" s="1"/>
  <c r="B97" i="23" s="1"/>
  <c r="B98" i="23" s="1"/>
  <c r="B99" i="23" s="1"/>
  <c r="B100" i="23" s="1"/>
  <c r="B101" i="23" s="1"/>
  <c r="B102" i="23" s="1"/>
  <c r="B103" i="23" s="1"/>
  <c r="B104" i="23" s="1"/>
  <c r="B105" i="23" s="1"/>
  <c r="B106" i="23" s="1"/>
  <c r="B107" i="23" s="1"/>
  <c r="B108" i="23" s="1"/>
  <c r="B109" i="23" s="1"/>
  <c r="B110" i="23" s="1"/>
  <c r="B111" i="23" s="1"/>
  <c r="B112" i="23" s="1"/>
  <c r="B113" i="23" s="1"/>
  <c r="B114" i="23" s="1"/>
  <c r="B115" i="23" s="1"/>
  <c r="B116" i="23" s="1"/>
  <c r="B117" i="23" s="1"/>
  <c r="B118" i="23" s="1"/>
  <c r="B119" i="23" s="1"/>
  <c r="B120" i="23" s="1"/>
  <c r="B121" i="23" s="1"/>
  <c r="B122" i="23" s="1"/>
  <c r="B123" i="23" s="1"/>
  <c r="B124" i="23" s="1"/>
  <c r="B125" i="23" s="1"/>
  <c r="B126" i="23" s="1"/>
  <c r="B127" i="23" s="1"/>
  <c r="I8" i="23"/>
  <c r="E18" i="23"/>
  <c r="W18" i="23"/>
  <c r="N13" i="15"/>
  <c r="K56" i="15" s="1"/>
  <c r="N12" i="15"/>
  <c r="N14" i="14"/>
  <c r="K18" i="23" l="1"/>
  <c r="M18" i="23" s="1"/>
  <c r="D18" i="23"/>
  <c r="N48" i="14"/>
  <c r="AB82" i="14" s="1"/>
  <c r="T57" i="21"/>
  <c r="A1" i="23"/>
  <c r="H1" i="23"/>
  <c r="I9" i="23"/>
  <c r="I10" i="23" s="1"/>
  <c r="I11" i="23" s="1"/>
  <c r="I12" i="23" s="1"/>
  <c r="I13" i="23" s="1"/>
  <c r="I14" i="23" s="1"/>
  <c r="I15" i="23" s="1"/>
  <c r="I16" i="23" s="1"/>
  <c r="I17" i="23" s="1"/>
  <c r="I18" i="23" s="1"/>
  <c r="I19" i="23" s="1"/>
  <c r="I20" i="23" s="1"/>
  <c r="I21" i="23" s="1"/>
  <c r="I22" i="23" s="1"/>
  <c r="I23" i="23" s="1"/>
  <c r="I24" i="23" s="1"/>
  <c r="I25" i="23" s="1"/>
  <c r="I26" i="23" s="1"/>
  <c r="I27" i="23" s="1"/>
  <c r="I28" i="23" s="1"/>
  <c r="I29" i="23" s="1"/>
  <c r="I30" i="23" s="1"/>
  <c r="I31" i="23" s="1"/>
  <c r="I32" i="23" s="1"/>
  <c r="I33" i="23" s="1"/>
  <c r="I34" i="23" s="1"/>
  <c r="I35" i="23" s="1"/>
  <c r="I36" i="23" s="1"/>
  <c r="I37" i="23" s="1"/>
  <c r="I38" i="23" s="1"/>
  <c r="I39" i="23" s="1"/>
  <c r="I40" i="23" s="1"/>
  <c r="I41" i="23" s="1"/>
  <c r="I42" i="23" s="1"/>
  <c r="I43" i="23" s="1"/>
  <c r="I44" i="23" s="1"/>
  <c r="I45" i="23" s="1"/>
  <c r="I46" i="23" s="1"/>
  <c r="I47" i="23" s="1"/>
  <c r="I48" i="23" s="1"/>
  <c r="I49" i="23" s="1"/>
  <c r="I50" i="23" s="1"/>
  <c r="I51" i="23" s="1"/>
  <c r="I52" i="23" s="1"/>
  <c r="I53" i="23" s="1"/>
  <c r="I54" i="23" s="1"/>
  <c r="I55" i="23" s="1"/>
  <c r="I56" i="23" s="1"/>
  <c r="I57" i="23" s="1"/>
  <c r="I58" i="23" s="1"/>
  <c r="I59" i="23" s="1"/>
  <c r="I60" i="23" s="1"/>
  <c r="I61" i="23" s="1"/>
  <c r="I62" i="23" s="1"/>
  <c r="I63" i="23" s="1"/>
  <c r="I64" i="23" s="1"/>
  <c r="I65" i="23" s="1"/>
  <c r="I66" i="23" s="1"/>
  <c r="I67" i="23" s="1"/>
  <c r="I68" i="23" s="1"/>
  <c r="I69" i="23" s="1"/>
  <c r="I70" i="23" s="1"/>
  <c r="I71" i="23" s="1"/>
  <c r="I72" i="23" s="1"/>
  <c r="I73" i="23" s="1"/>
  <c r="I74" i="23" s="1"/>
  <c r="I75" i="23" s="1"/>
  <c r="I76" i="23" s="1"/>
  <c r="I77" i="23" s="1"/>
  <c r="I78" i="23" s="1"/>
  <c r="I79" i="23" s="1"/>
  <c r="I80" i="23" s="1"/>
  <c r="I81" i="23" s="1"/>
  <c r="I82" i="23" s="1"/>
  <c r="I83" i="23" s="1"/>
  <c r="I84" i="23" s="1"/>
  <c r="I85" i="23" s="1"/>
  <c r="I86" i="23" s="1"/>
  <c r="I87" i="23" s="1"/>
  <c r="I88" i="23" s="1"/>
  <c r="I89" i="23" s="1"/>
  <c r="I90" i="23" s="1"/>
  <c r="I91" i="23" s="1"/>
  <c r="I92" i="23" s="1"/>
  <c r="I93" i="23" s="1"/>
  <c r="I94" i="23" s="1"/>
  <c r="I95" i="23" s="1"/>
  <c r="I96" i="23" s="1"/>
  <c r="I97" i="23" s="1"/>
  <c r="I98" i="23" s="1"/>
  <c r="I99" i="23" s="1"/>
  <c r="I100" i="23" s="1"/>
  <c r="I101" i="23" s="1"/>
  <c r="I102" i="23" s="1"/>
  <c r="I103" i="23" s="1"/>
  <c r="I104" i="23" s="1"/>
  <c r="I105" i="23" s="1"/>
  <c r="I106" i="23" s="1"/>
  <c r="I107" i="23" s="1"/>
  <c r="I108" i="23" s="1"/>
  <c r="I109" i="23" s="1"/>
  <c r="I110" i="23" s="1"/>
  <c r="I111" i="23" s="1"/>
  <c r="I112" i="23" s="1"/>
  <c r="I113" i="23" s="1"/>
  <c r="I114" i="23" s="1"/>
  <c r="I115" i="23" s="1"/>
  <c r="I116" i="23" s="1"/>
  <c r="I117" i="23" s="1"/>
  <c r="I118" i="23" s="1"/>
  <c r="I119" i="23" s="1"/>
  <c r="I120" i="23" s="1"/>
  <c r="I121" i="23" s="1"/>
  <c r="I122" i="23" s="1"/>
  <c r="I123" i="23" s="1"/>
  <c r="I124" i="23" s="1"/>
  <c r="I125" i="23" s="1"/>
  <c r="I126" i="23" s="1"/>
  <c r="I127" i="23" s="1"/>
  <c r="K55" i="15"/>
  <c r="V19" i="23"/>
  <c r="X19" i="23" s="1"/>
  <c r="L19" i="23" s="1"/>
  <c r="B10" i="14"/>
  <c r="J19" i="23" l="1"/>
  <c r="C19" i="23"/>
  <c r="F18" i="23"/>
  <c r="W19" i="23"/>
  <c r="D19" i="23" s="1"/>
  <c r="C20" i="23" l="1"/>
  <c r="K19" i="23"/>
  <c r="M19" i="23" s="1"/>
  <c r="E19" i="23"/>
  <c r="V20" i="23"/>
  <c r="X20" i="23" s="1"/>
  <c r="L20" i="23" s="1"/>
  <c r="N16" i="14"/>
  <c r="N15" i="14"/>
  <c r="F19" i="23" l="1"/>
  <c r="J20" i="23"/>
  <c r="E20" i="23"/>
  <c r="W20" i="23" l="1"/>
  <c r="Q38" i="14"/>
  <c r="K20" i="23" l="1"/>
  <c r="M20" i="23" s="1"/>
  <c r="D20" i="23"/>
  <c r="V21" i="23"/>
  <c r="J21" i="23" l="1"/>
  <c r="X21" i="23"/>
  <c r="L21" i="23" s="1"/>
  <c r="C21" i="23"/>
  <c r="F20" i="23"/>
  <c r="G7" i="14"/>
  <c r="E21" i="23" l="1"/>
  <c r="W21" i="23"/>
  <c r="B103" i="14"/>
  <c r="B94" i="14"/>
  <c r="K21" i="23" l="1"/>
  <c r="M21" i="23" s="1"/>
  <c r="D21" i="23"/>
  <c r="C22" i="23" s="1"/>
  <c r="V22" i="23"/>
  <c r="X22" i="23" s="1"/>
  <c r="L22" i="23" s="1"/>
  <c r="N11" i="15"/>
  <c r="H2" i="23" s="1"/>
  <c r="J22" i="23" l="1"/>
  <c r="F21" i="23"/>
  <c r="E22" i="23"/>
  <c r="W22" i="23"/>
  <c r="A139" i="23"/>
  <c r="A2" i="23"/>
  <c r="K22" i="23" l="1"/>
  <c r="M22" i="23" s="1"/>
  <c r="D22" i="23"/>
  <c r="C23" i="23" s="1"/>
  <c r="V23" i="23"/>
  <c r="X23" i="23" s="1"/>
  <c r="J23" i="23" l="1"/>
  <c r="F22" i="23"/>
  <c r="L23" i="23"/>
  <c r="E23" i="23"/>
  <c r="W23" i="23"/>
  <c r="K23" i="23" l="1"/>
  <c r="M23" i="23" s="1"/>
  <c r="D23" i="23"/>
  <c r="C24" i="23" s="1"/>
  <c r="V24" i="23"/>
  <c r="X24" i="23" s="1"/>
  <c r="J24" i="23" l="1"/>
  <c r="F23" i="23"/>
  <c r="L24" i="23"/>
  <c r="E24" i="23"/>
  <c r="W24" i="23"/>
  <c r="K24" i="23" l="1"/>
  <c r="M24" i="23" s="1"/>
  <c r="D24" i="23"/>
  <c r="C25" i="23" s="1"/>
  <c r="V25" i="23"/>
  <c r="X25" i="23" s="1"/>
  <c r="L25" i="23" s="1"/>
  <c r="J25" i="23" l="1"/>
  <c r="F24" i="23"/>
  <c r="E25" i="23"/>
  <c r="W25" i="23"/>
  <c r="M25" i="15"/>
  <c r="K25" i="23" l="1"/>
  <c r="M25" i="23" s="1"/>
  <c r="D25" i="23"/>
  <c r="C26" i="23" s="1"/>
  <c r="V26" i="23"/>
  <c r="X26" i="23" s="1"/>
  <c r="L26" i="23" s="1"/>
  <c r="M38" i="15"/>
  <c r="M37" i="15"/>
  <c r="M26" i="15"/>
  <c r="M24" i="15"/>
  <c r="M23" i="15"/>
  <c r="J26" i="23" l="1"/>
  <c r="F25" i="23"/>
  <c r="W26" i="23"/>
  <c r="E26" i="23"/>
  <c r="K26" i="23" l="1"/>
  <c r="M26" i="23" s="1"/>
  <c r="D26" i="23"/>
  <c r="V27" i="23"/>
  <c r="X27" i="23" s="1"/>
  <c r="L27" i="23" s="1"/>
  <c r="B48" i="17"/>
  <c r="J27" i="23" l="1"/>
  <c r="C27" i="23"/>
  <c r="F26" i="23"/>
  <c r="W27" i="23"/>
  <c r="E27" i="23"/>
  <c r="K27" i="23" l="1"/>
  <c r="M27" i="23" s="1"/>
  <c r="D27" i="23"/>
  <c r="V28" i="23"/>
  <c r="X28" i="23" s="1"/>
  <c r="L28" i="23" s="1"/>
  <c r="J28" i="23" l="1"/>
  <c r="C28" i="23"/>
  <c r="F27" i="23"/>
  <c r="W28" i="23"/>
  <c r="E28" i="23"/>
  <c r="K28" i="23" l="1"/>
  <c r="M28" i="23" s="1"/>
  <c r="D28" i="23"/>
  <c r="V29" i="23"/>
  <c r="X29" i="23" s="1"/>
  <c r="L29" i="23" s="1"/>
  <c r="J29" i="23" l="1"/>
  <c r="C29" i="23"/>
  <c r="F28" i="23"/>
  <c r="W29" i="23" l="1"/>
  <c r="E29" i="23"/>
  <c r="B49" i="17"/>
  <c r="K29" i="23" l="1"/>
  <c r="M29" i="23" s="1"/>
  <c r="D29" i="23"/>
  <c r="V30" i="23"/>
  <c r="X30" i="23" s="1"/>
  <c r="L30" i="23" s="1"/>
  <c r="K13" i="21"/>
  <c r="S12" i="21" s="1"/>
  <c r="K118" i="21"/>
  <c r="U120" i="21" s="1"/>
  <c r="K100" i="21"/>
  <c r="K101" i="21"/>
  <c r="K102" i="21"/>
  <c r="S102" i="21"/>
  <c r="K93" i="21"/>
  <c r="K94" i="21"/>
  <c r="R96" i="21" s="1"/>
  <c r="K95" i="21"/>
  <c r="Q96" i="21" s="1"/>
  <c r="K96" i="21"/>
  <c r="K92" i="21"/>
  <c r="O144" i="21"/>
  <c r="O145" i="21" s="1"/>
  <c r="O146" i="21" s="1"/>
  <c r="O147" i="21" s="1"/>
  <c r="O148" i="21" s="1"/>
  <c r="O149" i="21" s="1"/>
  <c r="O150" i="21" s="1"/>
  <c r="O151" i="21" s="1"/>
  <c r="O152" i="21" s="1"/>
  <c r="O153" i="21" s="1"/>
  <c r="O154" i="21" s="1"/>
  <c r="O155" i="21" s="1"/>
  <c r="O156" i="21" s="1"/>
  <c r="O157" i="21" s="1"/>
  <c r="O158" i="21" s="1"/>
  <c r="O159" i="21" s="1"/>
  <c r="O160" i="21" s="1"/>
  <c r="O161" i="21" s="1"/>
  <c r="O162" i="21" s="1"/>
  <c r="O163" i="21" s="1"/>
  <c r="E144" i="21"/>
  <c r="E145" i="21" s="1"/>
  <c r="E146" i="21" s="1"/>
  <c r="E147" i="21" s="1"/>
  <c r="E148" i="21" s="1"/>
  <c r="E149" i="21" s="1"/>
  <c r="E150" i="21" s="1"/>
  <c r="E151" i="21" s="1"/>
  <c r="E152" i="21" s="1"/>
  <c r="E153" i="21" s="1"/>
  <c r="E154" i="21" s="1"/>
  <c r="E155" i="21" s="1"/>
  <c r="E156" i="21" s="1"/>
  <c r="E157" i="21" s="1"/>
  <c r="E158" i="21" s="1"/>
  <c r="E159" i="21" s="1"/>
  <c r="E160" i="21" s="1"/>
  <c r="E161" i="21" s="1"/>
  <c r="E162" i="21" s="1"/>
  <c r="E163" i="21" s="1"/>
  <c r="O120" i="21"/>
  <c r="O119" i="21"/>
  <c r="K119" i="21"/>
  <c r="Q120" i="21" s="1"/>
  <c r="O109" i="21"/>
  <c r="K109" i="21"/>
  <c r="O108" i="21"/>
  <c r="K108" i="21"/>
  <c r="O107" i="21"/>
  <c r="K107" i="21"/>
  <c r="R110" i="21" s="1"/>
  <c r="O106" i="21"/>
  <c r="K106" i="21"/>
  <c r="S110" i="21" s="1"/>
  <c r="O90" i="21"/>
  <c r="K90" i="21"/>
  <c r="P90" i="21" s="1"/>
  <c r="O89" i="21"/>
  <c r="K89" i="21"/>
  <c r="Q90" i="21" s="1"/>
  <c r="O88" i="21"/>
  <c r="K88" i="21"/>
  <c r="R90" i="21" s="1"/>
  <c r="O87" i="21"/>
  <c r="K87" i="21"/>
  <c r="O85" i="21"/>
  <c r="K85" i="21"/>
  <c r="P85" i="21" s="1"/>
  <c r="O84" i="21"/>
  <c r="K84" i="21"/>
  <c r="Q85" i="21" s="1"/>
  <c r="O83" i="21"/>
  <c r="K83" i="21"/>
  <c r="R85" i="21" s="1"/>
  <c r="O82" i="21"/>
  <c r="K82" i="21"/>
  <c r="O59" i="21"/>
  <c r="K59" i="21"/>
  <c r="O58" i="21"/>
  <c r="K58" i="21"/>
  <c r="O57" i="21"/>
  <c r="K57" i="21"/>
  <c r="R59" i="21" s="1"/>
  <c r="O56" i="21"/>
  <c r="K56" i="21"/>
  <c r="K53" i="21"/>
  <c r="U53" i="21" s="1"/>
  <c r="K52" i="21"/>
  <c r="Q53" i="21" s="1"/>
  <c r="K51" i="21"/>
  <c r="R53" i="21" s="1"/>
  <c r="K50" i="21"/>
  <c r="O35" i="21"/>
  <c r="K35" i="21"/>
  <c r="Q36" i="21" s="1"/>
  <c r="O34" i="21"/>
  <c r="K34" i="21"/>
  <c r="R36" i="21" s="1"/>
  <c r="O33" i="21"/>
  <c r="K33" i="21"/>
  <c r="O32" i="21"/>
  <c r="K32" i="21"/>
  <c r="U36" i="21" s="1"/>
  <c r="O30" i="21"/>
  <c r="K30" i="21"/>
  <c r="O29" i="21"/>
  <c r="K29" i="21"/>
  <c r="Q30" i="21" s="1"/>
  <c r="O28" i="21"/>
  <c r="K28" i="21"/>
  <c r="R30" i="21" s="1"/>
  <c r="O27" i="21"/>
  <c r="K27" i="21"/>
  <c r="K23" i="21"/>
  <c r="P23" i="21" s="1"/>
  <c r="K22" i="21"/>
  <c r="Q23" i="21" s="1"/>
  <c r="K21" i="21"/>
  <c r="K20" i="21"/>
  <c r="S23" i="21" s="1"/>
  <c r="O18" i="21"/>
  <c r="K18" i="21"/>
  <c r="P18" i="21" s="1"/>
  <c r="O17" i="21"/>
  <c r="K17" i="21"/>
  <c r="O16" i="21"/>
  <c r="K16" i="21"/>
  <c r="R18" i="21" s="1"/>
  <c r="O15" i="21"/>
  <c r="K15" i="21"/>
  <c r="S18" i="21" s="1"/>
  <c r="O12" i="21"/>
  <c r="K12" i="21"/>
  <c r="Q12" i="21" s="1"/>
  <c r="O11" i="21"/>
  <c r="K11" i="21"/>
  <c r="O9" i="21"/>
  <c r="K9" i="21"/>
  <c r="S9" i="21" s="1"/>
  <c r="O8" i="21"/>
  <c r="K8" i="21"/>
  <c r="R9" i="21" s="1"/>
  <c r="O7" i="21"/>
  <c r="K7" i="21"/>
  <c r="Q9" i="21" s="1"/>
  <c r="O6" i="21"/>
  <c r="K6" i="21"/>
  <c r="P9" i="21" s="1"/>
  <c r="J30" i="23" l="1"/>
  <c r="Q110" i="21"/>
  <c r="U110" i="21"/>
  <c r="S36" i="21"/>
  <c r="P36" i="21"/>
  <c r="Q59" i="21"/>
  <c r="U59" i="21"/>
  <c r="R102" i="21"/>
  <c r="C30" i="23"/>
  <c r="F29" i="23"/>
  <c r="P30" i="21"/>
  <c r="U30" i="21"/>
  <c r="P59" i="21"/>
  <c r="P12" i="21"/>
  <c r="R120" i="21"/>
  <c r="Q102" i="21"/>
  <c r="P53" i="21"/>
  <c r="S59" i="21"/>
  <c r="S30" i="21"/>
  <c r="Q18" i="21"/>
  <c r="U18" i="21"/>
  <c r="R23" i="21"/>
  <c r="U23" i="21"/>
  <c r="S96" i="21"/>
  <c r="U7" i="21"/>
  <c r="S53" i="21"/>
  <c r="S85" i="21"/>
  <c r="U85" i="21"/>
  <c r="S90" i="21"/>
  <c r="U90" i="21"/>
  <c r="P102" i="21"/>
  <c r="U12" i="21"/>
  <c r="P141" i="21" l="1"/>
  <c r="Q141" i="21"/>
  <c r="W30" i="23"/>
  <c r="E30" i="23"/>
  <c r="S141" i="21"/>
  <c r="R141" i="21"/>
  <c r="F93" i="12"/>
  <c r="F81" i="12"/>
  <c r="K30" i="23" l="1"/>
  <c r="M30" i="23" s="1"/>
  <c r="D30" i="23"/>
  <c r="V31" i="23"/>
  <c r="X31" i="23" s="1"/>
  <c r="L31" i="23" s="1"/>
  <c r="J31" i="23" l="1"/>
  <c r="C31" i="23"/>
  <c r="F30" i="23"/>
  <c r="W31" i="23"/>
  <c r="D31" i="23" s="1"/>
  <c r="S41" i="19"/>
  <c r="V32" i="23" l="1"/>
  <c r="X32" i="23" s="1"/>
  <c r="L32" i="23" s="1"/>
  <c r="K31" i="23"/>
  <c r="M31" i="23" s="1"/>
  <c r="E31" i="23"/>
  <c r="E32" i="23" l="1"/>
  <c r="J32" i="23"/>
  <c r="C32" i="23"/>
  <c r="F31" i="23"/>
  <c r="W32" i="23"/>
  <c r="AC41" i="18"/>
  <c r="AC43" i="18" s="1"/>
  <c r="K32" i="23" l="1"/>
  <c r="M32" i="23" s="1"/>
  <c r="D32" i="23"/>
  <c r="T121" i="21"/>
  <c r="V120" i="21" s="1"/>
  <c r="V33" i="23"/>
  <c r="X33" i="23" s="1"/>
  <c r="L33" i="23" s="1"/>
  <c r="AD42" i="18"/>
  <c r="J15" i="18"/>
  <c r="J14" i="18"/>
  <c r="J13" i="18"/>
  <c r="J12" i="18"/>
  <c r="J11" i="18"/>
  <c r="J6" i="18"/>
  <c r="J5" i="18"/>
  <c r="S21" i="18"/>
  <c r="N20" i="18"/>
  <c r="N21" i="18"/>
  <c r="N19" i="18"/>
  <c r="K20" i="18"/>
  <c r="K21" i="18"/>
  <c r="K19" i="18"/>
  <c r="U3" i="18"/>
  <c r="C11" i="18"/>
  <c r="C15" i="18"/>
  <c r="C14" i="18"/>
  <c r="C13" i="18"/>
  <c r="C12" i="18"/>
  <c r="C10" i="18"/>
  <c r="J33" i="23" l="1"/>
  <c r="C33" i="23"/>
  <c r="F32" i="23"/>
  <c r="E33" i="23"/>
  <c r="S20" i="18"/>
  <c r="S19" i="18"/>
  <c r="W21" i="18"/>
  <c r="N22" i="18"/>
  <c r="W33" i="23" l="1"/>
  <c r="W20" i="18"/>
  <c r="S22" i="18"/>
  <c r="W19" i="18"/>
  <c r="N11" i="19"/>
  <c r="J10" i="18"/>
  <c r="K33" i="23" l="1"/>
  <c r="M33" i="23" s="1"/>
  <c r="D33" i="23"/>
  <c r="V34" i="23"/>
  <c r="X34" i="23" s="1"/>
  <c r="L34" i="23" s="1"/>
  <c r="W22" i="18"/>
  <c r="J34" i="23" l="1"/>
  <c r="C34" i="23"/>
  <c r="F33" i="23"/>
  <c r="E34" i="23"/>
  <c r="Z5" i="19"/>
  <c r="W34" i="23" l="1"/>
  <c r="N5" i="19"/>
  <c r="K34" i="23" l="1"/>
  <c r="M34" i="23" s="1"/>
  <c r="D34" i="23"/>
  <c r="V35" i="23"/>
  <c r="X35" i="23" s="1"/>
  <c r="L35" i="23" s="1"/>
  <c r="N17" i="19"/>
  <c r="J35" i="23" l="1"/>
  <c r="C35" i="23"/>
  <c r="F34" i="23"/>
  <c r="E35" i="23"/>
  <c r="S34" i="19"/>
  <c r="Z4" i="19"/>
  <c r="Z6" i="19" s="1"/>
  <c r="Z7" i="19" s="1"/>
  <c r="W35" i="23" l="1"/>
  <c r="Z8" i="19"/>
  <c r="Z9" i="19" s="1"/>
  <c r="K35" i="23" l="1"/>
  <c r="M35" i="23" s="1"/>
  <c r="D35" i="23"/>
  <c r="V36" i="23"/>
  <c r="X36" i="23" s="1"/>
  <c r="L36" i="23" s="1"/>
  <c r="J36" i="23" l="1"/>
  <c r="C36" i="23"/>
  <c r="F35" i="23"/>
  <c r="E36" i="23"/>
  <c r="W36" i="23" l="1"/>
  <c r="K36" i="23" l="1"/>
  <c r="M36" i="23" s="1"/>
  <c r="D36" i="23"/>
  <c r="V37" i="23"/>
  <c r="X37" i="23" s="1"/>
  <c r="L37" i="23" s="1"/>
  <c r="J37" i="23" l="1"/>
  <c r="C37" i="23"/>
  <c r="F36" i="23"/>
  <c r="N4" i="19"/>
  <c r="W37" i="23" l="1"/>
  <c r="E37" i="23"/>
  <c r="Y14" i="19"/>
  <c r="N16" i="19" s="1"/>
  <c r="AC5" i="19"/>
  <c r="N10" i="19"/>
  <c r="K23" i="19"/>
  <c r="T4" i="19"/>
  <c r="M8" i="19" s="1"/>
  <c r="P7" i="19" s="1"/>
  <c r="H23" i="19" s="1"/>
  <c r="AC6" i="19"/>
  <c r="AC4" i="19"/>
  <c r="V38" i="23" l="1"/>
  <c r="X38" i="23" s="1"/>
  <c r="L38" i="23" s="1"/>
  <c r="D37" i="23"/>
  <c r="F37" i="23" s="1"/>
  <c r="K37" i="23"/>
  <c r="M37" i="23" s="1"/>
  <c r="AC7" i="19"/>
  <c r="AC8" i="19" s="1"/>
  <c r="AC9" i="19" s="1"/>
  <c r="AC10" i="19" s="1"/>
  <c r="K26" i="19"/>
  <c r="T10" i="19"/>
  <c r="M14" i="19" s="1"/>
  <c r="P13" i="19" s="1"/>
  <c r="H26" i="19" s="1"/>
  <c r="S23" i="19"/>
  <c r="T16" i="19"/>
  <c r="M20" i="19" s="1"/>
  <c r="P19" i="19" s="1"/>
  <c r="H29" i="19" s="1"/>
  <c r="K29" i="19"/>
  <c r="C38" i="23" l="1"/>
  <c r="J38" i="23"/>
  <c r="W38" i="23"/>
  <c r="E38" i="23"/>
  <c r="S29" i="19"/>
  <c r="S26" i="19"/>
  <c r="V39" i="23" l="1"/>
  <c r="X39" i="23" s="1"/>
  <c r="L39" i="23" s="1"/>
  <c r="D38" i="23"/>
  <c r="C39" i="23" s="1"/>
  <c r="K38" i="23"/>
  <c r="M38" i="23" s="1"/>
  <c r="E39" i="23"/>
  <c r="S32" i="19"/>
  <c r="S35" i="19" s="1"/>
  <c r="S43" i="19" s="1"/>
  <c r="W39" i="23" l="1"/>
  <c r="V40" i="23" s="1"/>
  <c r="X40" i="23" s="1"/>
  <c r="L40" i="23" s="1"/>
  <c r="D39" i="23"/>
  <c r="F39" i="23" s="1"/>
  <c r="J39" i="23"/>
  <c r="F38" i="23"/>
  <c r="K39" i="23" l="1"/>
  <c r="M39" i="23" s="1"/>
  <c r="C40" i="23"/>
  <c r="W40" i="23"/>
  <c r="E40" i="23"/>
  <c r="J40" i="23" l="1"/>
  <c r="V41" i="23"/>
  <c r="X41" i="23" s="1"/>
  <c r="L41" i="23" s="1"/>
  <c r="D40" i="23"/>
  <c r="F40" i="23" s="1"/>
  <c r="K40" i="23"/>
  <c r="M40" i="23" s="1"/>
  <c r="E41" i="23" l="1"/>
  <c r="W41" i="23"/>
  <c r="V42" i="23" s="1"/>
  <c r="X42" i="23" s="1"/>
  <c r="L42" i="23" s="1"/>
  <c r="C41" i="23"/>
  <c r="J41" i="23"/>
  <c r="D41" i="23" l="1"/>
  <c r="F41" i="23" s="1"/>
  <c r="K41" i="23"/>
  <c r="M41" i="23" s="1"/>
  <c r="W42" i="23"/>
  <c r="E42" i="23"/>
  <c r="C42" i="23" l="1"/>
  <c r="J42" i="23"/>
  <c r="V43" i="23"/>
  <c r="X43" i="23" s="1"/>
  <c r="L43" i="23" s="1"/>
  <c r="D42" i="23"/>
  <c r="F42" i="23" s="1"/>
  <c r="K42" i="23"/>
  <c r="M42" i="23" s="1"/>
  <c r="E43" i="23" l="1"/>
  <c r="W43" i="23"/>
  <c r="V44" i="23" s="1"/>
  <c r="X44" i="23" s="1"/>
  <c r="L44" i="23" s="1"/>
  <c r="D43" i="23"/>
  <c r="C43" i="23"/>
  <c r="J43" i="23"/>
  <c r="F43" i="23" l="1"/>
  <c r="Q43" i="23" s="1"/>
  <c r="K43" i="23"/>
  <c r="M43" i="23" s="1"/>
  <c r="C44" i="23"/>
  <c r="W44" i="23"/>
  <c r="E44" i="23"/>
  <c r="J44" i="23" l="1"/>
  <c r="V45" i="23"/>
  <c r="X45" i="23" s="1"/>
  <c r="L45" i="23" s="1"/>
  <c r="D44" i="23"/>
  <c r="F44" i="23" s="1"/>
  <c r="K44" i="23"/>
  <c r="M44" i="23" s="1"/>
  <c r="E45" i="23" l="1"/>
  <c r="W45" i="23"/>
  <c r="V46" i="23" s="1"/>
  <c r="X46" i="23" s="1"/>
  <c r="E46" i="23" s="1"/>
  <c r="D45" i="23"/>
  <c r="C45" i="23"/>
  <c r="J45" i="23"/>
  <c r="F45" i="23" l="1"/>
  <c r="L46" i="23"/>
  <c r="W46" i="23"/>
  <c r="V47" i="23" s="1"/>
  <c r="X47" i="23" s="1"/>
  <c r="E47" i="23" s="1"/>
  <c r="K45" i="23"/>
  <c r="M45" i="23" s="1"/>
  <c r="C46" i="23"/>
  <c r="D46" i="23" l="1"/>
  <c r="F46" i="23" s="1"/>
  <c r="J46" i="23"/>
  <c r="L47" i="23"/>
  <c r="W47" i="23"/>
  <c r="V48" i="23" s="1"/>
  <c r="X48" i="23" s="1"/>
  <c r="L48" i="23" s="1"/>
  <c r="K46" i="23"/>
  <c r="M46" i="23" s="1"/>
  <c r="C47" i="23" l="1"/>
  <c r="D47" i="23"/>
  <c r="F47" i="23" s="1"/>
  <c r="J47" i="23"/>
  <c r="K47" i="23"/>
  <c r="W48" i="23"/>
  <c r="E48" i="23"/>
  <c r="J48" i="23" l="1"/>
  <c r="C48" i="23"/>
  <c r="M47" i="23"/>
  <c r="V49" i="23"/>
  <c r="X49" i="23" s="1"/>
  <c r="L49" i="23" s="1"/>
  <c r="D48" i="23"/>
  <c r="F48" i="23" s="1"/>
  <c r="K48" i="23"/>
  <c r="M48" i="23" s="1"/>
  <c r="E49" i="23" l="1"/>
  <c r="W49" i="23"/>
  <c r="V50" i="23" s="1"/>
  <c r="X50" i="23" s="1"/>
  <c r="L50" i="23" s="1"/>
  <c r="D49" i="23"/>
  <c r="C49" i="23"/>
  <c r="J49" i="23"/>
  <c r="K49" i="23" l="1"/>
  <c r="M49" i="23" s="1"/>
  <c r="F49" i="23"/>
  <c r="C50" i="23"/>
  <c r="W50" i="23"/>
  <c r="E50" i="23"/>
  <c r="J50" i="23" l="1"/>
  <c r="V51" i="23"/>
  <c r="X51" i="23" s="1"/>
  <c r="L51" i="23" s="1"/>
  <c r="D50" i="23"/>
  <c r="F50" i="23" s="1"/>
  <c r="K50" i="23"/>
  <c r="M50" i="23" s="1"/>
  <c r="E51" i="23"/>
  <c r="W51" i="23" l="1"/>
  <c r="K51" i="23" s="1"/>
  <c r="M51" i="23" s="1"/>
  <c r="D51" i="23"/>
  <c r="C51" i="23"/>
  <c r="J51" i="23"/>
  <c r="V52" i="23"/>
  <c r="X52" i="23" s="1"/>
  <c r="L52" i="23" s="1"/>
  <c r="J52" i="23" l="1"/>
  <c r="E52" i="23"/>
  <c r="W52" i="23"/>
  <c r="C52" i="23"/>
  <c r="F51" i="23"/>
  <c r="V53" i="23" l="1"/>
  <c r="X53" i="23" s="1"/>
  <c r="L53" i="23" s="1"/>
  <c r="D52" i="23"/>
  <c r="F52" i="23" s="1"/>
  <c r="K52" i="23"/>
  <c r="M52" i="23" s="1"/>
  <c r="W53" i="23" l="1"/>
  <c r="V54" i="23" s="1"/>
  <c r="X54" i="23" s="1"/>
  <c r="L54" i="23" s="1"/>
  <c r="D53" i="23"/>
  <c r="E53" i="23"/>
  <c r="J53" i="23"/>
  <c r="C53" i="23"/>
  <c r="E54" i="23"/>
  <c r="K53" i="23" l="1"/>
  <c r="M53" i="23" s="1"/>
  <c r="F53" i="23"/>
  <c r="W54" i="23"/>
  <c r="K54" i="23" s="1"/>
  <c r="M54" i="23" s="1"/>
  <c r="C54" i="23"/>
  <c r="J54" i="23"/>
  <c r="V55" i="23" l="1"/>
  <c r="X55" i="23" s="1"/>
  <c r="D54" i="23"/>
  <c r="F54" i="23" s="1"/>
  <c r="J55" i="23"/>
  <c r="C55" i="23" l="1"/>
  <c r="L55" i="23"/>
  <c r="W55" i="23"/>
  <c r="K55" i="23" s="1"/>
  <c r="J56" i="23" s="1"/>
  <c r="E55" i="23"/>
  <c r="M55" i="23" l="1"/>
  <c r="V56" i="23"/>
  <c r="X56" i="23" s="1"/>
  <c r="D55" i="23"/>
  <c r="L56" i="23" l="1"/>
  <c r="W56" i="23"/>
  <c r="K56" i="23" s="1"/>
  <c r="J57" i="23" s="1"/>
  <c r="E56" i="23"/>
  <c r="F55" i="23"/>
  <c r="F129" i="23" s="1"/>
  <c r="C56" i="23"/>
  <c r="M56" i="23" l="1"/>
  <c r="V57" i="23"/>
  <c r="X57" i="23" s="1"/>
  <c r="D56" i="23"/>
  <c r="F56" i="23" l="1"/>
  <c r="C57" i="23"/>
  <c r="L57" i="23"/>
  <c r="M57" i="23" s="1"/>
  <c r="E57" i="23"/>
  <c r="W57" i="23"/>
  <c r="K57" i="23" s="1"/>
  <c r="J58" i="23" s="1"/>
  <c r="V58" i="23" l="1"/>
  <c r="D57" i="23"/>
  <c r="F57" i="23" s="1"/>
  <c r="X58" i="23" l="1"/>
  <c r="L58" i="23"/>
  <c r="W58" i="23"/>
  <c r="V59" i="23" s="1"/>
  <c r="X59" i="23" s="1"/>
  <c r="E59" i="23" s="1"/>
  <c r="E58" i="23"/>
  <c r="C58" i="23"/>
  <c r="L59" i="23" l="1"/>
  <c r="W59" i="23"/>
  <c r="D59" i="23" s="1"/>
  <c r="F59" i="23" s="1"/>
  <c r="K58" i="23"/>
  <c r="D58" i="23"/>
  <c r="C59" i="23" s="1"/>
  <c r="C60" i="23" l="1"/>
  <c r="V60" i="23"/>
  <c r="X60" i="23" s="1"/>
  <c r="E60" i="23" s="1"/>
  <c r="K59" i="23"/>
  <c r="M59" i="23" s="1"/>
  <c r="M58" i="23"/>
  <c r="J59" i="23"/>
  <c r="J60" i="23" l="1"/>
  <c r="L60" i="23"/>
  <c r="W60" i="23"/>
  <c r="D60" i="23" s="1"/>
  <c r="F60" i="23" l="1"/>
  <c r="C61" i="23"/>
  <c r="V61" i="23"/>
  <c r="X61" i="23" s="1"/>
  <c r="E61" i="23" s="1"/>
  <c r="K60" i="23"/>
  <c r="M60" i="23" l="1"/>
  <c r="J61" i="23"/>
  <c r="L61" i="23"/>
  <c r="W61" i="23"/>
  <c r="D61" i="23" s="1"/>
  <c r="F61" i="23" s="1"/>
  <c r="C62" i="23" l="1"/>
  <c r="V62" i="23"/>
  <c r="X62" i="23" s="1"/>
  <c r="E62" i="23" s="1"/>
  <c r="K61" i="23"/>
  <c r="M61" i="23" s="1"/>
  <c r="J62" i="23" l="1"/>
  <c r="L62" i="23"/>
  <c r="W62" i="23"/>
  <c r="D62" i="23" s="1"/>
  <c r="C63" i="23" l="1"/>
  <c r="F62" i="23"/>
  <c r="V63" i="23"/>
  <c r="X63" i="23" s="1"/>
  <c r="E63" i="23" s="1"/>
  <c r="K62" i="23"/>
  <c r="V68" i="23"/>
  <c r="X68" i="23" s="1"/>
  <c r="L68" i="23" s="1"/>
  <c r="M62" i="23" l="1"/>
  <c r="J63" i="23"/>
  <c r="L63" i="23"/>
  <c r="W63" i="23"/>
  <c r="D63" i="23" s="1"/>
  <c r="F63" i="23" s="1"/>
  <c r="C64" i="23" l="1"/>
  <c r="V64" i="23"/>
  <c r="X64" i="23" s="1"/>
  <c r="E64" i="23" s="1"/>
  <c r="K63" i="23"/>
  <c r="M63" i="23" s="1"/>
  <c r="W68" i="23"/>
  <c r="V69" i="23" s="1"/>
  <c r="X69" i="23" s="1"/>
  <c r="L69" i="23" s="1"/>
  <c r="E68" i="23"/>
  <c r="J64" i="23" l="1"/>
  <c r="L64" i="23"/>
  <c r="W64" i="23"/>
  <c r="D64" i="23" s="1"/>
  <c r="F64" i="23" s="1"/>
  <c r="D68" i="23"/>
  <c r="F68" i="23" s="1"/>
  <c r="K68" i="23"/>
  <c r="M68" i="23" s="1"/>
  <c r="W69" i="23"/>
  <c r="V70" i="23" s="1"/>
  <c r="X70" i="23" s="1"/>
  <c r="L70" i="23" s="1"/>
  <c r="E69" i="23"/>
  <c r="C65" i="23" l="1"/>
  <c r="V65" i="23"/>
  <c r="X65" i="23" s="1"/>
  <c r="E65" i="23" s="1"/>
  <c r="K64" i="23"/>
  <c r="D69" i="23"/>
  <c r="F69" i="23" s="1"/>
  <c r="K69" i="23"/>
  <c r="M69" i="23" s="1"/>
  <c r="M64" i="23" l="1"/>
  <c r="J65" i="23"/>
  <c r="L65" i="23"/>
  <c r="W65" i="23"/>
  <c r="D65" i="23" s="1"/>
  <c r="F65" i="23" s="1"/>
  <c r="W70" i="23"/>
  <c r="V71" i="23" s="1"/>
  <c r="X71" i="23" s="1"/>
  <c r="L71" i="23" s="1"/>
  <c r="E70" i="23"/>
  <c r="C66" i="23" l="1"/>
  <c r="V66" i="23"/>
  <c r="X66" i="23" s="1"/>
  <c r="E66" i="23" s="1"/>
  <c r="K65" i="23"/>
  <c r="M65" i="23" s="1"/>
  <c r="D70" i="23"/>
  <c r="F70" i="23" s="1"/>
  <c r="K70" i="23"/>
  <c r="M70" i="23" s="1"/>
  <c r="W71" i="23"/>
  <c r="V72" i="23" s="1"/>
  <c r="X72" i="23" s="1"/>
  <c r="L72" i="23" s="1"/>
  <c r="E71" i="23"/>
  <c r="J66" i="23" l="1"/>
  <c r="L66" i="23"/>
  <c r="W66" i="23"/>
  <c r="D66" i="23" s="1"/>
  <c r="F66" i="23" s="1"/>
  <c r="D71" i="23"/>
  <c r="F71" i="23" s="1"/>
  <c r="K71" i="23"/>
  <c r="M71" i="23" s="1"/>
  <c r="C67" i="23" l="1"/>
  <c r="V67" i="23"/>
  <c r="X67" i="23" s="1"/>
  <c r="E67" i="23" s="1"/>
  <c r="K66" i="23"/>
  <c r="W72" i="23"/>
  <c r="V73" i="23" s="1"/>
  <c r="X73" i="23" s="1"/>
  <c r="L73" i="23" s="1"/>
  <c r="E72" i="23"/>
  <c r="M66" i="23" l="1"/>
  <c r="J67" i="23"/>
  <c r="L67" i="23"/>
  <c r="W67" i="23"/>
  <c r="D72" i="23"/>
  <c r="F72" i="23" s="1"/>
  <c r="K72" i="23"/>
  <c r="M72" i="23" s="1"/>
  <c r="W73" i="23"/>
  <c r="V74" i="23" s="1"/>
  <c r="X74" i="23" s="1"/>
  <c r="L74" i="23" s="1"/>
  <c r="E73" i="23"/>
  <c r="K67" i="23" l="1"/>
  <c r="M67" i="23" s="1"/>
  <c r="D67" i="23"/>
  <c r="D73" i="23"/>
  <c r="F73" i="23" s="1"/>
  <c r="K73" i="23"/>
  <c r="M73" i="23" s="1"/>
  <c r="J68" i="23" l="1"/>
  <c r="J69" i="23" s="1"/>
  <c r="J70" i="23" s="1"/>
  <c r="J71" i="23" s="1"/>
  <c r="J72" i="23" s="1"/>
  <c r="J73" i="23" s="1"/>
  <c r="J74" i="23" s="1"/>
  <c r="F67" i="23"/>
  <c r="C68" i="23"/>
  <c r="C69" i="23" s="1"/>
  <c r="C70" i="23" s="1"/>
  <c r="C71" i="23" s="1"/>
  <c r="C72" i="23" s="1"/>
  <c r="C73" i="23" s="1"/>
  <c r="C74" i="23" s="1"/>
  <c r="W74" i="23"/>
  <c r="V75" i="23" s="1"/>
  <c r="X75" i="23" s="1"/>
  <c r="L75" i="23" s="1"/>
  <c r="E74" i="23"/>
  <c r="D74" i="23" l="1"/>
  <c r="F74" i="23" s="1"/>
  <c r="K74" i="23"/>
  <c r="M74" i="23" s="1"/>
  <c r="W75" i="23"/>
  <c r="K75" i="23" s="1"/>
  <c r="M75" i="23" s="1"/>
  <c r="E75" i="23"/>
  <c r="C75" i="23" l="1"/>
  <c r="J75" i="23"/>
  <c r="J76" i="23" s="1"/>
  <c r="V76" i="23"/>
  <c r="X76" i="23" s="1"/>
  <c r="L76" i="23" s="1"/>
  <c r="D75" i="23"/>
  <c r="E76" i="23" l="1"/>
  <c r="W76" i="23"/>
  <c r="V77" i="23" s="1"/>
  <c r="X77" i="23" s="1"/>
  <c r="L77" i="23" s="1"/>
  <c r="C76" i="23"/>
  <c r="F75" i="23"/>
  <c r="D76" i="23" l="1"/>
  <c r="F76" i="23" s="1"/>
  <c r="K76" i="23"/>
  <c r="M76" i="23" s="1"/>
  <c r="W77" i="23"/>
  <c r="V78" i="23" s="1"/>
  <c r="X78" i="23" s="1"/>
  <c r="L78" i="23" s="1"/>
  <c r="E77" i="23"/>
  <c r="C77" i="23" l="1"/>
  <c r="J77" i="23"/>
  <c r="D77" i="23"/>
  <c r="F77" i="23" s="1"/>
  <c r="K77" i="23"/>
  <c r="M77" i="23" s="1"/>
  <c r="W78" i="23"/>
  <c r="K78" i="23" s="1"/>
  <c r="M78" i="23" s="1"/>
  <c r="E78" i="23"/>
  <c r="C78" i="23" l="1"/>
  <c r="J78" i="23"/>
  <c r="J79" i="23" s="1"/>
  <c r="V79" i="23"/>
  <c r="X79" i="23" s="1"/>
  <c r="L79" i="23" s="1"/>
  <c r="D78" i="23"/>
  <c r="E79" i="23" l="1"/>
  <c r="W79" i="23"/>
  <c r="D79" i="23" s="1"/>
  <c r="C79" i="23"/>
  <c r="F78" i="23"/>
  <c r="V80" i="23" l="1"/>
  <c r="X80" i="23" s="1"/>
  <c r="L80" i="23" s="1"/>
  <c r="F79" i="23"/>
  <c r="K79" i="23"/>
  <c r="M79" i="23" s="1"/>
  <c r="C80" i="23"/>
  <c r="V81" i="23"/>
  <c r="X81" i="23" s="1"/>
  <c r="L81" i="23" s="1"/>
  <c r="W80" i="23" l="1"/>
  <c r="D80" i="23" s="1"/>
  <c r="E80" i="23"/>
  <c r="J80" i="23"/>
  <c r="W81" i="23"/>
  <c r="V82" i="23" s="1"/>
  <c r="X82" i="23" s="1"/>
  <c r="L82" i="23" s="1"/>
  <c r="E81" i="23"/>
  <c r="K80" i="23" l="1"/>
  <c r="M80" i="23" s="1"/>
  <c r="F80" i="23"/>
  <c r="C81" i="23"/>
  <c r="D81" i="23"/>
  <c r="K81" i="23"/>
  <c r="M81" i="23" s="1"/>
  <c r="W82" i="23"/>
  <c r="E82" i="23"/>
  <c r="V83" i="23"/>
  <c r="X83" i="23" s="1"/>
  <c r="L83" i="23" s="1"/>
  <c r="J81" i="23" l="1"/>
  <c r="J82" i="23" s="1"/>
  <c r="C82" i="23"/>
  <c r="F81" i="23"/>
  <c r="D82" i="23"/>
  <c r="K82" i="23"/>
  <c r="M82" i="23" s="1"/>
  <c r="W83" i="23"/>
  <c r="E83" i="23"/>
  <c r="V84" i="23"/>
  <c r="X84" i="23" s="1"/>
  <c r="L84" i="23" s="1"/>
  <c r="C83" i="23" l="1"/>
  <c r="F82" i="23"/>
  <c r="J83" i="23"/>
  <c r="D83" i="23"/>
  <c r="K83" i="23"/>
  <c r="M83" i="23" s="1"/>
  <c r="W84" i="23"/>
  <c r="E84" i="23"/>
  <c r="V85" i="23"/>
  <c r="X85" i="23" s="1"/>
  <c r="L85" i="23" s="1"/>
  <c r="C84" i="23" l="1"/>
  <c r="F83" i="23"/>
  <c r="J84" i="23"/>
  <c r="D84" i="23"/>
  <c r="K84" i="23"/>
  <c r="M84" i="23" s="1"/>
  <c r="W85" i="23"/>
  <c r="E85" i="23"/>
  <c r="V86" i="23"/>
  <c r="X86" i="23" s="1"/>
  <c r="L86" i="23" s="1"/>
  <c r="C85" i="23" l="1"/>
  <c r="F84" i="23"/>
  <c r="J85" i="23"/>
  <c r="D85" i="23"/>
  <c r="F85" i="23" s="1"/>
  <c r="K85" i="23"/>
  <c r="M85" i="23" s="1"/>
  <c r="W86" i="23"/>
  <c r="E86" i="23"/>
  <c r="V87" i="23"/>
  <c r="X87" i="23" s="1"/>
  <c r="L87" i="23" s="1"/>
  <c r="C86" i="23" l="1"/>
  <c r="J86" i="23"/>
  <c r="D86" i="23"/>
  <c r="F86" i="23" s="1"/>
  <c r="K86" i="23"/>
  <c r="M86" i="23" s="1"/>
  <c r="W87" i="23"/>
  <c r="E87" i="23"/>
  <c r="V88" i="23"/>
  <c r="X88" i="23" s="1"/>
  <c r="L88" i="23" s="1"/>
  <c r="C87" i="23" l="1"/>
  <c r="J87" i="23"/>
  <c r="D87" i="23"/>
  <c r="K87" i="23"/>
  <c r="M87" i="23" s="1"/>
  <c r="W88" i="23"/>
  <c r="E88" i="23"/>
  <c r="V89" i="23"/>
  <c r="X89" i="23" s="1"/>
  <c r="L89" i="23" s="1"/>
  <c r="C88" i="23" l="1"/>
  <c r="J88" i="23"/>
  <c r="F87" i="23"/>
  <c r="D88" i="23"/>
  <c r="K88" i="23"/>
  <c r="M88" i="23" s="1"/>
  <c r="W89" i="23"/>
  <c r="E89" i="23"/>
  <c r="V90" i="23"/>
  <c r="X90" i="23" s="1"/>
  <c r="L90" i="23" s="1"/>
  <c r="C89" i="23" l="1"/>
  <c r="F88" i="23"/>
  <c r="J89" i="23"/>
  <c r="D89" i="23"/>
  <c r="F89" i="23" s="1"/>
  <c r="K89" i="23"/>
  <c r="M89" i="23" s="1"/>
  <c r="W90" i="23"/>
  <c r="E90" i="23"/>
  <c r="V91" i="23"/>
  <c r="X91" i="23" s="1"/>
  <c r="L91" i="23" s="1"/>
  <c r="C90" i="23" l="1"/>
  <c r="D90" i="23"/>
  <c r="K90" i="23"/>
  <c r="M90" i="23" s="1"/>
  <c r="J90" i="23"/>
  <c r="W91" i="23"/>
  <c r="K91" i="23" s="1"/>
  <c r="M91" i="23" s="1"/>
  <c r="E91" i="23"/>
  <c r="C91" i="23" l="1"/>
  <c r="J91" i="23"/>
  <c r="J92" i="23" s="1"/>
  <c r="F90" i="23"/>
  <c r="V92" i="23"/>
  <c r="X92" i="23" s="1"/>
  <c r="L92" i="23" s="1"/>
  <c r="D91" i="23"/>
  <c r="E92" i="23" l="1"/>
  <c r="W92" i="23"/>
  <c r="D92" i="23" s="1"/>
  <c r="C92" i="23"/>
  <c r="F91" i="23"/>
  <c r="F92" i="23" l="1"/>
  <c r="K92" i="23"/>
  <c r="M92" i="23" s="1"/>
  <c r="V93" i="23"/>
  <c r="X93" i="23" s="1"/>
  <c r="L93" i="23" s="1"/>
  <c r="C93" i="23"/>
  <c r="J93" i="23" l="1"/>
  <c r="E93" i="23"/>
  <c r="W93" i="23"/>
  <c r="V94" i="23" s="1"/>
  <c r="X94" i="23" s="1"/>
  <c r="L94" i="23" s="1"/>
  <c r="D93" i="23" l="1"/>
  <c r="C94" i="23" s="1"/>
  <c r="E94" i="23"/>
  <c r="K93" i="23"/>
  <c r="M93" i="23" s="1"/>
  <c r="W94" i="23"/>
  <c r="V95" i="23" s="1"/>
  <c r="X95" i="23" s="1"/>
  <c r="L95" i="23" s="1"/>
  <c r="V96" i="23"/>
  <c r="X96" i="23" s="1"/>
  <c r="L96" i="23" s="1"/>
  <c r="F93" i="23" l="1"/>
  <c r="J94" i="23"/>
  <c r="E95" i="23"/>
  <c r="D94" i="23"/>
  <c r="F94" i="23" s="1"/>
  <c r="W95" i="23"/>
  <c r="D95" i="23" s="1"/>
  <c r="K94" i="23"/>
  <c r="M94" i="23" s="1"/>
  <c r="W96" i="23"/>
  <c r="E96" i="23"/>
  <c r="V97" i="23"/>
  <c r="X97" i="23" s="1"/>
  <c r="L97" i="23" s="1"/>
  <c r="K95" i="23" l="1"/>
  <c r="M95" i="23" s="1"/>
  <c r="F95" i="23"/>
  <c r="C95" i="23"/>
  <c r="C96" i="23" s="1"/>
  <c r="J95" i="23"/>
  <c r="D96" i="23"/>
  <c r="F96" i="23" s="1"/>
  <c r="K96" i="23"/>
  <c r="M96" i="23" s="1"/>
  <c r="W97" i="23"/>
  <c r="E97" i="23"/>
  <c r="V98" i="23"/>
  <c r="X98" i="23" s="1"/>
  <c r="L98" i="23" s="1"/>
  <c r="J96" i="23" l="1"/>
  <c r="J97" i="23" s="1"/>
  <c r="C97" i="23"/>
  <c r="D97" i="23"/>
  <c r="F97" i="23" s="1"/>
  <c r="K97" i="23"/>
  <c r="M97" i="23" s="1"/>
  <c r="W98" i="23"/>
  <c r="E98" i="23"/>
  <c r="V99" i="23"/>
  <c r="X99" i="23" s="1"/>
  <c r="L99" i="23" s="1"/>
  <c r="C98" i="23" l="1"/>
  <c r="J98" i="23"/>
  <c r="D98" i="23"/>
  <c r="F98" i="23" s="1"/>
  <c r="K98" i="23"/>
  <c r="M98" i="23" s="1"/>
  <c r="W99" i="23"/>
  <c r="V100" i="23" s="1"/>
  <c r="X100" i="23" s="1"/>
  <c r="L100" i="23" s="1"/>
  <c r="E99" i="23"/>
  <c r="C99" i="23" l="1"/>
  <c r="J99" i="23"/>
  <c r="D99" i="23"/>
  <c r="F99" i="23" s="1"/>
  <c r="K99" i="23"/>
  <c r="M99" i="23" s="1"/>
  <c r="W100" i="23"/>
  <c r="E100" i="23"/>
  <c r="V101" i="23"/>
  <c r="X101" i="23" s="1"/>
  <c r="L101" i="23" s="1"/>
  <c r="C100" i="23" l="1"/>
  <c r="J100" i="23"/>
  <c r="D100" i="23"/>
  <c r="F100" i="23" s="1"/>
  <c r="K100" i="23"/>
  <c r="M100" i="23" s="1"/>
  <c r="W101" i="23"/>
  <c r="V102" i="23" s="1"/>
  <c r="X102" i="23" s="1"/>
  <c r="L102" i="23" s="1"/>
  <c r="E101" i="23"/>
  <c r="C101" i="23" l="1"/>
  <c r="J101" i="23"/>
  <c r="D101" i="23"/>
  <c r="F101" i="23" s="1"/>
  <c r="K101" i="23"/>
  <c r="M101" i="23" s="1"/>
  <c r="W102" i="23"/>
  <c r="E102" i="23"/>
  <c r="V103" i="23"/>
  <c r="X103" i="23" s="1"/>
  <c r="L103" i="23" s="1"/>
  <c r="C102" i="23" l="1"/>
  <c r="J102" i="23"/>
  <c r="D102" i="23"/>
  <c r="F102" i="23" s="1"/>
  <c r="K102" i="23"/>
  <c r="M102" i="23" s="1"/>
  <c r="W103" i="23"/>
  <c r="E103" i="23"/>
  <c r="V104" i="23"/>
  <c r="X104" i="23" s="1"/>
  <c r="L104" i="23" s="1"/>
  <c r="C103" i="23" l="1"/>
  <c r="J103" i="23"/>
  <c r="D103" i="23"/>
  <c r="F103" i="23" s="1"/>
  <c r="K103" i="23"/>
  <c r="M103" i="23" s="1"/>
  <c r="W104" i="23"/>
  <c r="V105" i="23" s="1"/>
  <c r="X105" i="23" s="1"/>
  <c r="L105" i="23" s="1"/>
  <c r="E104" i="23"/>
  <c r="C104" i="23" l="1"/>
  <c r="J104" i="23"/>
  <c r="D104" i="23"/>
  <c r="F104" i="23" s="1"/>
  <c r="K104" i="23"/>
  <c r="M104" i="23" s="1"/>
  <c r="W105" i="23"/>
  <c r="E105" i="23"/>
  <c r="V106" i="23"/>
  <c r="X106" i="23" s="1"/>
  <c r="L106" i="23" s="1"/>
  <c r="C105" i="23" l="1"/>
  <c r="J105" i="23"/>
  <c r="D105" i="23"/>
  <c r="F105" i="23" s="1"/>
  <c r="K105" i="23"/>
  <c r="M105" i="23" s="1"/>
  <c r="W106" i="23"/>
  <c r="K106" i="23" s="1"/>
  <c r="M106" i="23" s="1"/>
  <c r="E106" i="23"/>
  <c r="C106" i="23" l="1"/>
  <c r="J106" i="23"/>
  <c r="J107" i="23" s="1"/>
  <c r="V107" i="23"/>
  <c r="X107" i="23" s="1"/>
  <c r="L107" i="23" s="1"/>
  <c r="D106" i="23"/>
  <c r="E107" i="23" l="1"/>
  <c r="W107" i="23"/>
  <c r="K107" i="23" s="1"/>
  <c r="M107" i="23" s="1"/>
  <c r="C107" i="23"/>
  <c r="F106" i="23"/>
  <c r="V108" i="23"/>
  <c r="X108" i="23" s="1"/>
  <c r="L108" i="23" s="1"/>
  <c r="D107" i="23"/>
  <c r="E108" i="23" l="1"/>
  <c r="J108" i="23"/>
  <c r="W108" i="23"/>
  <c r="V109" i="23" s="1"/>
  <c r="X109" i="23" s="1"/>
  <c r="L109" i="23" s="1"/>
  <c r="C108" i="23"/>
  <c r="F107" i="23"/>
  <c r="D108" i="23" l="1"/>
  <c r="C109" i="23" s="1"/>
  <c r="K108" i="23"/>
  <c r="M108" i="23" s="1"/>
  <c r="W109" i="23"/>
  <c r="V110" i="23" s="1"/>
  <c r="X110" i="23" s="1"/>
  <c r="L110" i="23" s="1"/>
  <c r="E109" i="23"/>
  <c r="F108" i="23" l="1"/>
  <c r="J109" i="23"/>
  <c r="D109" i="23"/>
  <c r="C110" i="23" s="1"/>
  <c r="K109" i="23"/>
  <c r="M109" i="23" s="1"/>
  <c r="W110" i="23"/>
  <c r="K110" i="23" s="1"/>
  <c r="M110" i="23" s="1"/>
  <c r="E110" i="23"/>
  <c r="J110" i="23" l="1"/>
  <c r="J111" i="23" s="1"/>
  <c r="F109" i="23"/>
  <c r="V111" i="23"/>
  <c r="X111" i="23" s="1"/>
  <c r="L111" i="23" s="1"/>
  <c r="D110" i="23"/>
  <c r="E111" i="23" l="1"/>
  <c r="W111" i="23"/>
  <c r="K111" i="23" s="1"/>
  <c r="C111" i="23"/>
  <c r="F110" i="23"/>
  <c r="D111" i="23" l="1"/>
  <c r="F111" i="23" s="1"/>
  <c r="V112" i="23"/>
  <c r="X112" i="23" s="1"/>
  <c r="L112" i="23" s="1"/>
  <c r="M111" i="23"/>
  <c r="J112" i="23"/>
  <c r="E112" i="23" l="1"/>
  <c r="C112" i="23"/>
  <c r="W112" i="23"/>
  <c r="V113" i="23" s="1"/>
  <c r="X113" i="23" s="1"/>
  <c r="L113" i="23" s="1"/>
  <c r="D112" i="23" l="1"/>
  <c r="C113" i="23" s="1"/>
  <c r="E113" i="23"/>
  <c r="K112" i="23"/>
  <c r="M112" i="23" s="1"/>
  <c r="W113" i="23"/>
  <c r="V114" i="23" s="1"/>
  <c r="X114" i="23" s="1"/>
  <c r="L114" i="23" s="1"/>
  <c r="V115" i="23"/>
  <c r="X115" i="23" s="1"/>
  <c r="L115" i="23" s="1"/>
  <c r="F112" i="23" l="1"/>
  <c r="D113" i="23"/>
  <c r="F113" i="23" s="1"/>
  <c r="E114" i="23"/>
  <c r="W114" i="23"/>
  <c r="D114" i="23" s="1"/>
  <c r="K113" i="23"/>
  <c r="M113" i="23" s="1"/>
  <c r="J113" i="23"/>
  <c r="W115" i="23"/>
  <c r="E115" i="23"/>
  <c r="V116" i="23"/>
  <c r="X116" i="23" s="1"/>
  <c r="L116" i="23" s="1"/>
  <c r="K114" i="23" l="1"/>
  <c r="M114" i="23" s="1"/>
  <c r="F114" i="23"/>
  <c r="C114" i="23"/>
  <c r="C115" i="23" s="1"/>
  <c r="J114" i="23"/>
  <c r="D115" i="23"/>
  <c r="F115" i="23" s="1"/>
  <c r="K115" i="23"/>
  <c r="M115" i="23" s="1"/>
  <c r="W116" i="23"/>
  <c r="E116" i="23"/>
  <c r="V117" i="23"/>
  <c r="X117" i="23" s="1"/>
  <c r="L117" i="23" s="1"/>
  <c r="J115" i="23" l="1"/>
  <c r="J116" i="23" s="1"/>
  <c r="C116" i="23"/>
  <c r="D116" i="23"/>
  <c r="F116" i="23" s="1"/>
  <c r="K116" i="23"/>
  <c r="M116" i="23" s="1"/>
  <c r="W117" i="23"/>
  <c r="E117" i="23"/>
  <c r="V118" i="23"/>
  <c r="X118" i="23" s="1"/>
  <c r="L118" i="23" s="1"/>
  <c r="C117" i="23" l="1"/>
  <c r="J117" i="23"/>
  <c r="D117" i="23"/>
  <c r="F117" i="23" s="1"/>
  <c r="K117" i="23"/>
  <c r="M117" i="23" s="1"/>
  <c r="W118" i="23"/>
  <c r="E118" i="23"/>
  <c r="V119" i="23"/>
  <c r="X119" i="23" s="1"/>
  <c r="L119" i="23" s="1"/>
  <c r="C118" i="23" l="1"/>
  <c r="J118" i="23"/>
  <c r="D118" i="23"/>
  <c r="F118" i="23" s="1"/>
  <c r="K118" i="23"/>
  <c r="M118" i="23" s="1"/>
  <c r="W119" i="23"/>
  <c r="E119" i="23"/>
  <c r="V120" i="23"/>
  <c r="X120" i="23" s="1"/>
  <c r="L120" i="23" s="1"/>
  <c r="C119" i="23" l="1"/>
  <c r="J119" i="23"/>
  <c r="D119" i="23"/>
  <c r="F119" i="23" s="1"/>
  <c r="K119" i="23"/>
  <c r="M119" i="23" s="1"/>
  <c r="W120" i="23"/>
  <c r="E120" i="23"/>
  <c r="V121" i="23"/>
  <c r="X121" i="23" s="1"/>
  <c r="L121" i="23" s="1"/>
  <c r="C120" i="23" l="1"/>
  <c r="J120" i="23"/>
  <c r="D120" i="23"/>
  <c r="F120" i="23" s="1"/>
  <c r="K120" i="23"/>
  <c r="M120" i="23" s="1"/>
  <c r="W121" i="23"/>
  <c r="E121" i="23"/>
  <c r="V122" i="23"/>
  <c r="X122" i="23" s="1"/>
  <c r="L122" i="23" s="1"/>
  <c r="C121" i="23" l="1"/>
  <c r="J121" i="23"/>
  <c r="D121" i="23"/>
  <c r="F121" i="23" s="1"/>
  <c r="K121" i="23"/>
  <c r="M121" i="23" s="1"/>
  <c r="W122" i="23"/>
  <c r="E122" i="23"/>
  <c r="V123" i="23"/>
  <c r="X123" i="23" s="1"/>
  <c r="L123" i="23" s="1"/>
  <c r="C122" i="23" l="1"/>
  <c r="J122" i="23"/>
  <c r="D122" i="23"/>
  <c r="F122" i="23" s="1"/>
  <c r="K122" i="23"/>
  <c r="M122" i="23" s="1"/>
  <c r="W123" i="23"/>
  <c r="K123" i="23" s="1"/>
  <c r="M123" i="23" s="1"/>
  <c r="E123" i="23"/>
  <c r="C123" i="23" l="1"/>
  <c r="J123" i="23"/>
  <c r="J124" i="23" s="1"/>
  <c r="V124" i="23"/>
  <c r="X124" i="23" s="1"/>
  <c r="L124" i="23" s="1"/>
  <c r="D123" i="23"/>
  <c r="E124" i="23" l="1"/>
  <c r="W124" i="23"/>
  <c r="K124" i="23" s="1"/>
  <c r="M124" i="23" s="1"/>
  <c r="C124" i="23"/>
  <c r="F123" i="23"/>
  <c r="D124" i="23" l="1"/>
  <c r="F124" i="23" s="1"/>
  <c r="V125" i="23"/>
  <c r="X125" i="23" s="1"/>
  <c r="L125" i="23" s="1"/>
  <c r="J125" i="23"/>
  <c r="C125" i="23" l="1"/>
  <c r="E125" i="23"/>
  <c r="W125" i="23"/>
  <c r="V126" i="23" s="1"/>
  <c r="X126" i="23" s="1"/>
  <c r="L126" i="23" s="1"/>
  <c r="K125" i="23" l="1"/>
  <c r="M125" i="23" s="1"/>
  <c r="W126" i="23"/>
  <c r="V127" i="23" s="1"/>
  <c r="E126" i="23"/>
  <c r="D125" i="23"/>
  <c r="F125" i="23" s="1"/>
  <c r="X127" i="23"/>
  <c r="L127" i="23" s="1"/>
  <c r="L129" i="23" s="1"/>
  <c r="D126" i="23"/>
  <c r="K126" i="23" l="1"/>
  <c r="M126" i="23" s="1"/>
  <c r="J126" i="23"/>
  <c r="F126" i="23"/>
  <c r="W127" i="23"/>
  <c r="K127" i="23" s="1"/>
  <c r="M127" i="23" s="1"/>
  <c r="C126" i="23"/>
  <c r="C127" i="23" s="1"/>
  <c r="E127" i="23"/>
  <c r="E129" i="23" s="1"/>
  <c r="X129" i="23"/>
  <c r="J56" i="14" s="1"/>
  <c r="K64" i="15" s="1"/>
  <c r="M129" i="23" l="1"/>
  <c r="J127" i="23"/>
  <c r="W129" i="23"/>
  <c r="K129" i="23"/>
  <c r="D127" i="23"/>
  <c r="F127" i="23" s="1"/>
  <c r="X131" i="23"/>
  <c r="J57" i="14"/>
  <c r="K65" i="15" s="1"/>
  <c r="P12" i="23"/>
  <c r="P13" i="23" s="1"/>
  <c r="D129" i="23"/>
  <c r="J60" i="14" l="1"/>
  <c r="AA57" i="14" s="1"/>
  <c r="J61" i="14" l="1"/>
  <c r="K68" i="15"/>
  <c r="AA59" i="14"/>
  <c r="B74" i="14" s="1"/>
  <c r="AA81" i="14" s="1"/>
  <c r="AB81" i="14" s="1"/>
  <c r="AC81" i="14" s="1"/>
  <c r="AE57" i="14" l="1"/>
  <c r="AE58" i="14" s="1"/>
  <c r="AF62" i="14" s="1"/>
  <c r="AB57" i="14"/>
  <c r="AB58" i="14" s="1"/>
  <c r="AF59" i="14" s="1"/>
  <c r="AA37" i="14"/>
  <c r="AC41" i="14" s="1"/>
  <c r="AD57" i="14"/>
  <c r="AD58" i="14" s="1"/>
  <c r="AF61" i="14" s="1"/>
  <c r="AC57" i="14"/>
  <c r="AC58" i="14" s="1"/>
  <c r="AF60" i="14" s="1"/>
  <c r="AD81" i="14"/>
  <c r="E74" i="14" s="1"/>
  <c r="M41" i="15" s="1"/>
  <c r="T143" i="21"/>
  <c r="AB39" i="14" l="1"/>
  <c r="AC39" i="14"/>
  <c r="AA68" i="14" s="1"/>
  <c r="AD77" i="14" s="1"/>
  <c r="AF45" i="14"/>
  <c r="U102" i="21"/>
  <c r="AB41" i="14"/>
  <c r="AB40" i="14"/>
  <c r="AC40" i="14"/>
  <c r="N17" i="15"/>
  <c r="U141" i="21" l="1"/>
  <c r="U143" i="21" s="1"/>
  <c r="Q39" i="14"/>
  <c r="Q40" i="14" s="1"/>
  <c r="Q41" i="14" s="1"/>
  <c r="Q42" i="14" s="1"/>
  <c r="Q33" i="14" l="1"/>
  <c r="B71" i="14"/>
  <c r="E71" i="14" l="1"/>
  <c r="J70" i="14" s="1"/>
  <c r="T96" i="21"/>
  <c r="M50" i="15" s="1"/>
  <c r="G71" i="14"/>
  <c r="V96" i="21" l="1"/>
</calcChain>
</file>

<file path=xl/comments1.xml><?xml version="1.0" encoding="utf-8"?>
<comments xmlns="http://schemas.openxmlformats.org/spreadsheetml/2006/main">
  <authors>
    <author>Kepala SKAI</author>
  </authors>
  <commentList>
    <comment ref="G3" authorId="0">
      <text>
        <r>
          <rPr>
            <sz val="9"/>
            <color indexed="81"/>
            <rFont val="Tahoma"/>
            <family val="2"/>
          </rPr>
          <t>Nomor Registrasi Memo/MUP/BPRS/Nama Kantor Cabang/Bulan dibuat dlm angka romawi/Tahun dibuat dlm angka romawi. Contoh: 001/MUP/BPRS/LUWUK/IX/2021</t>
        </r>
      </text>
    </comment>
  </commentList>
</comments>
</file>

<file path=xl/sharedStrings.xml><?xml version="1.0" encoding="utf-8"?>
<sst xmlns="http://schemas.openxmlformats.org/spreadsheetml/2006/main" count="2022" uniqueCount="1075">
  <si>
    <t>:</t>
  </si>
  <si>
    <t>Nama</t>
  </si>
  <si>
    <t>Jangka Waktu</t>
  </si>
  <si>
    <t>Bulan</t>
  </si>
  <si>
    <t>Lain-lain</t>
  </si>
  <si>
    <t>Total</t>
  </si>
  <si>
    <t>Kredit</t>
  </si>
  <si>
    <t>-</t>
  </si>
  <si>
    <t>No</t>
  </si>
  <si>
    <t>Saldo</t>
  </si>
  <si>
    <t>%</t>
  </si>
  <si>
    <t>Penjualan</t>
  </si>
  <si>
    <t>hari</t>
  </si>
  <si>
    <t>Piutang</t>
  </si>
  <si>
    <t>Persediaan</t>
  </si>
  <si>
    <t>Hutang Dagang</t>
  </si>
  <si>
    <t>(-)</t>
  </si>
  <si>
    <t>=</t>
  </si>
  <si>
    <t>PERPUTARAN MODAL KERJA</t>
  </si>
  <si>
    <t>Perputaran Kas</t>
  </si>
  <si>
    <t>Δ</t>
  </si>
  <si>
    <t>kali</t>
  </si>
  <si>
    <t>Kas</t>
  </si>
  <si>
    <t>HARI</t>
  </si>
  <si>
    <t>Perputaran Piutang</t>
  </si>
  <si>
    <t>Perputaran Persediaan</t>
  </si>
  <si>
    <t>HPP</t>
  </si>
  <si>
    <t>Proyeksi Kas</t>
  </si>
  <si>
    <t>X</t>
  </si>
  <si>
    <t>Proyeksi Piutang</t>
  </si>
  <si>
    <t>Proyeksi Persediaan</t>
  </si>
  <si>
    <t>Jumlah Proyeksi Modal kerja</t>
  </si>
  <si>
    <t>Modal Kerja Bersih</t>
  </si>
  <si>
    <t>Kebutuhan Kredit</t>
  </si>
  <si>
    <t>Hutang Bank</t>
  </si>
  <si>
    <t>(+)</t>
  </si>
  <si>
    <t>Total Kebutuhan Kredit</t>
  </si>
  <si>
    <t>◊</t>
  </si>
  <si>
    <t>Keterangan :</t>
  </si>
  <si>
    <t>Pasangan</t>
  </si>
  <si>
    <t>ASPEK NON KEUANGAN</t>
  </si>
  <si>
    <t>ASPEK MANAJEMEN</t>
  </si>
  <si>
    <t>a.</t>
  </si>
  <si>
    <t>b.</t>
  </si>
  <si>
    <t>c.</t>
  </si>
  <si>
    <t>ASPEK PEMASARAN</t>
  </si>
  <si>
    <t>Jenis Agunan</t>
  </si>
  <si>
    <t>Pengikatan</t>
  </si>
  <si>
    <t>Nilai Pasar</t>
  </si>
  <si>
    <t>Nilai HT</t>
  </si>
  <si>
    <t>Nilai</t>
  </si>
  <si>
    <t>ANALISA KEUANGAN</t>
  </si>
  <si>
    <t>SMA</t>
  </si>
  <si>
    <t>1. INFORMASI POKOK</t>
  </si>
  <si>
    <t>S1</t>
  </si>
  <si>
    <t>Tanggal Lahir  :</t>
  </si>
  <si>
    <t>Kecamatan :</t>
  </si>
  <si>
    <t>Kab./Kotamadya :</t>
  </si>
  <si>
    <t>Kode Pos :</t>
  </si>
  <si>
    <t>Pertanian</t>
  </si>
  <si>
    <t>Telpon Rumah</t>
  </si>
  <si>
    <t>Industri</t>
  </si>
  <si>
    <t>Jasa</t>
  </si>
  <si>
    <t>Perdagangan</t>
  </si>
  <si>
    <t>Jumlah Tanggungan</t>
  </si>
  <si>
    <t>Sistem Penj</t>
  </si>
  <si>
    <t>Konsinyasi / Bagi Hasil</t>
  </si>
  <si>
    <t>Kredit &amp; Tunai</t>
  </si>
  <si>
    <t>Sewa</t>
  </si>
  <si>
    <t/>
  </si>
  <si>
    <t>Modal Kerja</t>
  </si>
  <si>
    <t>12</t>
  </si>
  <si>
    <t>13</t>
  </si>
  <si>
    <t>14</t>
  </si>
  <si>
    <t>15</t>
  </si>
  <si>
    <t>18</t>
  </si>
  <si>
    <t>19</t>
  </si>
  <si>
    <t>24</t>
  </si>
  <si>
    <t>36</t>
  </si>
  <si>
    <t>48</t>
  </si>
  <si>
    <t>50</t>
  </si>
  <si>
    <t>52</t>
  </si>
  <si>
    <t>Nama Pemohon</t>
  </si>
  <si>
    <t>PERMOHONAN YANG DIAJUKAN</t>
  </si>
  <si>
    <t>Flat</t>
  </si>
  <si>
    <t>Agsuran Perbulan</t>
  </si>
  <si>
    <t>Menikah</t>
  </si>
  <si>
    <t>KEPUTUSAN KREDIT</t>
  </si>
  <si>
    <t/>
  </si>
  <si>
    <t>A.</t>
  </si>
  <si>
    <t>DATA DEBITUR</t>
  </si>
  <si>
    <t>Nama Debitur</t>
  </si>
  <si>
    <t>Alamat Debitur</t>
  </si>
  <si>
    <t>Pekerjaan</t>
  </si>
  <si>
    <t>B.</t>
  </si>
  <si>
    <t>FASILITAS KREDIT</t>
  </si>
  <si>
    <t>Gol Debitur</t>
  </si>
  <si>
    <t>Sifat kredit</t>
  </si>
  <si>
    <t>Jenis Penggunaan</t>
  </si>
  <si>
    <t>Sektor Ekonomi</t>
  </si>
  <si>
    <t>Hub. dengan Bank</t>
  </si>
  <si>
    <t>Tanggal</t>
  </si>
  <si>
    <t>C.</t>
  </si>
  <si>
    <t>JAMINAN</t>
  </si>
  <si>
    <t/>
  </si>
  <si>
    <t>D.</t>
  </si>
  <si>
    <t>PENGIKATAN</t>
  </si>
  <si>
    <t>Pengikatan Kredit diikat Secara</t>
  </si>
  <si>
    <t>Daftar Asuransi Jiwa</t>
  </si>
  <si>
    <t/>
  </si>
  <si>
    <t/>
  </si>
  <si>
    <t/>
  </si>
  <si>
    <t/>
  </si>
  <si>
    <t/>
  </si>
  <si>
    <t>Pemutus Kredit Non Limit</t>
  </si>
  <si>
    <t>Area Manager</t>
  </si>
  <si>
    <t>Direktur Operasional</t>
  </si>
  <si>
    <t/>
  </si>
  <si>
    <t>Direktur Utama</t>
  </si>
  <si>
    <t/>
  </si>
  <si>
    <t>Demikian, Keputusan Komite Kredit ini dibuat sebagai pedoman keputusan pemberian kredit.</t>
  </si>
  <si>
    <t>02</t>
  </si>
  <si>
    <t>Pemutus Kredit Pemegang Limit</t>
  </si>
  <si>
    <t>Agunan Kendaraan</t>
  </si>
  <si>
    <t>Notaril</t>
  </si>
  <si>
    <t>Didaftarkan</t>
  </si>
  <si>
    <t>Diasuransikan (minimal TLO)</t>
  </si>
  <si>
    <t xml:space="preserve">Kebutuhan Modal Kerja </t>
  </si>
  <si>
    <t>Kebutuhan Modal Kerja Berdasakan Perputaran Usaha</t>
  </si>
  <si>
    <t>Tranding Asset</t>
  </si>
  <si>
    <t xml:space="preserve">Perputaran Persediaan </t>
  </si>
  <si>
    <t>SF</t>
  </si>
  <si>
    <t>Kebutuhan Modal</t>
  </si>
  <si>
    <t>Perputaran Utang</t>
  </si>
  <si>
    <t>PM 15%</t>
  </si>
  <si>
    <t>NTC</t>
  </si>
  <si>
    <t>Kebutuhan Modal Kerja Netto</t>
  </si>
  <si>
    <t>Lainnya</t>
  </si>
  <si>
    <t>URAIAN  AKTIVITAS USAHA DEBITUR/CALON DEBITUR</t>
  </si>
  <si>
    <t>TINGKAT PERMINTAAN</t>
  </si>
  <si>
    <t>Performance Indicator</t>
  </si>
  <si>
    <t>Uraian Singkat</t>
  </si>
  <si>
    <t>Ukuran target pasar (market size)</t>
  </si>
  <si>
    <t>Tingkat konsumsi tinggi, daya beli tinggi</t>
  </si>
  <si>
    <t>Luas area geografis target pasar.</t>
  </si>
  <si>
    <t xml:space="preserve">Regional </t>
  </si>
  <si>
    <t>Pola/sifat  permintaan target pasar</t>
  </si>
  <si>
    <t>stabil</t>
  </si>
  <si>
    <t>Pertumbuhan permintaan target pasar</t>
  </si>
  <si>
    <t>Diperkirakan 0% s/d 5%</t>
  </si>
  <si>
    <t>Pangsa Pasar Perusahaan</t>
  </si>
  <si>
    <t>Diperkirakan 20 besar</t>
  </si>
  <si>
    <t>Diversifikasi segmen pasar perusahaan</t>
  </si>
  <si>
    <t>5 segmen atau lebih</t>
  </si>
  <si>
    <t>Realisasi penjualan dibanding target</t>
  </si>
  <si>
    <t>Penjualan kurang dari 50% target</t>
  </si>
  <si>
    <t>KUALITAS PRODUK ATAU JASA</t>
  </si>
  <si>
    <t>Kualitas produk/jasa</t>
  </si>
  <si>
    <t>Jaminan Kepastian</t>
  </si>
  <si>
    <t xml:space="preserve">Produk yang ditawarkan cukup dikenal oleh masyarakat, dan tetap digunakan di setiap waktu. </t>
  </si>
  <si>
    <t>Empati</t>
  </si>
  <si>
    <t>Kebutuhan pelanggan terhadap produk tsb tetap dipertahankan. Apabila pelanggan mengeluh, pemohon mengantisipasi dengan cepat. Hal ini terlihat banyaknya pelanggan pemohon.</t>
  </si>
  <si>
    <t>Responsif</t>
  </si>
  <si>
    <t>Pemohon mampu memberikan pelayanan dan pengiriman yang cepat kepada pelanggannya. Hal ini terlihat dari jumlah alat transportasi yang digunakan oleh pemohon.</t>
  </si>
  <si>
    <t>Tingkat harga produk/jasa</t>
  </si>
  <si>
    <t>Di bawah harga pasar.</t>
  </si>
  <si>
    <t>Rentang jenis produk (diversifikasi produk)</t>
  </si>
  <si>
    <t>Kekuatan merk (brand image)</t>
  </si>
  <si>
    <t>Untuk produk yang ditawarkan oleh pemohon beberapa produk telah cukup dikenal oleh para pelanggannya. Hal ini terlihat dari jumlah penjualan setiap harinya.</t>
  </si>
  <si>
    <t>Inovasi produk/jasa</t>
  </si>
  <si>
    <t>Jaringan distribusi</t>
  </si>
  <si>
    <t>Di atas 15  cabang/ outlet/agen/sales forces</t>
  </si>
  <si>
    <t>Syarat-syarat penjualan</t>
  </si>
  <si>
    <t>Syarat-syarat penjualan yang dilakukan pemohon antara lain:</t>
  </si>
  <si>
    <t xml:space="preserve">Pemohon lebih mengutamakan pembayaran tunai </t>
  </si>
  <si>
    <t xml:space="preserve">Untuk pembayaran kredit diperbolehkan dengan  masa 1-2 hari </t>
  </si>
  <si>
    <t>Penjualan ditargetkan sebanyak +/-50%</t>
  </si>
  <si>
    <t>KONSENTRASI PELANGGAN</t>
  </si>
  <si>
    <t>Proporsi  penjualan per pelanggan</t>
  </si>
  <si>
    <t>4 pelanggan  menguasai 15% penjualan atau lebih</t>
  </si>
  <si>
    <t>Kualitas hubungan dengan pelanggan</t>
  </si>
  <si>
    <t>Hubungan antara pemohon dengan para pelanggannya telah terjalin baik hal ini terlihat antara lain:</t>
  </si>
  <si>
    <t>Lamanya hubungan dengan pelanggan</t>
  </si>
  <si>
    <t>Track record penyelesaian hak-kewajiban pelanggan</t>
  </si>
  <si>
    <t>Untuk di wilayah tsb pemohon telah dikenal baik oleh para pelanggannya</t>
  </si>
  <si>
    <t>Daya tawar pelanggan</t>
  </si>
  <si>
    <t>Tawar menawar antara pelanggan dengan pemohon cukup baik. Hal ini terlihat dari beberapa faktor antara lain:</t>
  </si>
  <si>
    <t xml:space="preserve">Planggan mengutamakan harga yang murah, hingga pelanggan </t>
  </si>
  <si>
    <t>TINGKAT PERSAINGAN</t>
  </si>
  <si>
    <t>Kondisi persaingan</t>
  </si>
  <si>
    <t>+/-    20%</t>
  </si>
  <si>
    <t>Daya saing produk substitusi</t>
  </si>
  <si>
    <t>Daya saing produk pengganti dari produk pemohon antara lain:</t>
  </si>
  <si>
    <t xml:space="preserve">Kecenderungan harga  </t>
  </si>
  <si>
    <t>Kualitas nya sangat bagus</t>
  </si>
  <si>
    <t>Kekuatan penghalang masuk/keluar</t>
  </si>
  <si>
    <t>Penghalang masuk rendah &amp; penghalang keluar tinggi</t>
  </si>
  <si>
    <t>Strategi persaingan</t>
  </si>
  <si>
    <t>Strategi persaingan usaha pemohon antara lain:</t>
  </si>
  <si>
    <t>Kejelasan strategi yang digunakan</t>
  </si>
  <si>
    <t>Kesesuaian strategi dengan kondisi (kekuatan-kelemahan) internal perusahaan.</t>
  </si>
  <si>
    <t>Kesesuaian strategi dengan kondisi (peluang-ancaman) eksternal perusahaan.</t>
  </si>
  <si>
    <t>Tingkat integrasi</t>
  </si>
  <si>
    <t>Mempunyai lebih dari satu aktivitas usaha yang tidak berkaitan.</t>
  </si>
  <si>
    <t>Hak patent atau lisensi</t>
  </si>
  <si>
    <t>Untuk usaha yang dijalankan, pemohon telah memiliki izin-izin dari pemerintahan setempat. Antara lain SIUP dan TDP.</t>
  </si>
  <si>
    <t>ASPEK TEKNIS/PRODUKSI</t>
  </si>
  <si>
    <t>E.</t>
  </si>
  <si>
    <t>KONDISI LOKASI USAHA</t>
  </si>
  <si>
    <t xml:space="preserve">Kondisi  lokasi usaha </t>
  </si>
  <si>
    <t>Kondisi lokasi usaha pemohon cukup baik, hal ini terlihat dari beberapa faktor, antara lain:</t>
  </si>
  <si>
    <t>Sekitar lokasi usaha tidak terdapat usaha yang sejenis.</t>
  </si>
  <si>
    <t>Lokasi usaha cukup dekat dengan para pelanggannya. Hal ini</t>
  </si>
  <si>
    <t>yang cukup memudahkan pemohon untuk menjalankan usaha.</t>
  </si>
  <si>
    <t>Kelayakan lahan usaha</t>
  </si>
  <si>
    <t xml:space="preserve">Ijin lokasi usaha </t>
  </si>
  <si>
    <t>Pemohon telah memiliki perijinan dari pemerintahan setempat.</t>
  </si>
  <si>
    <t>Ketaatan perijinan lokasi usaha.</t>
  </si>
  <si>
    <t>Ketaatan pengelolaan lingkungan</t>
  </si>
  <si>
    <t>Status kepemilikan lokasi usaha</t>
  </si>
  <si>
    <t>Hak pakai / guna usaha</t>
  </si>
  <si>
    <t>F.</t>
  </si>
  <si>
    <t>KONDISI PERALATAN</t>
  </si>
  <si>
    <t>Kapasitas terpasang (size) dibanding dengan pesaing terdekat</t>
  </si>
  <si>
    <t xml:space="preserve">Jauh di atas rata-rata </t>
  </si>
  <si>
    <t>Kapasitas terpakai (utilitas)</t>
  </si>
  <si>
    <t>61-80%</t>
  </si>
  <si>
    <t>Teknologi yang digunakan</t>
  </si>
  <si>
    <t>Modern</t>
  </si>
  <si>
    <t>Bio-teknologi</t>
  </si>
  <si>
    <t>Kondisi peralatan</t>
  </si>
  <si>
    <t>Kondisi sangat baik dan sangat terawat</t>
  </si>
  <si>
    <t>Dukungan vendor/supplier peralatan</t>
  </si>
  <si>
    <t>Pelayanan purna jual</t>
  </si>
  <si>
    <t>Tingkat kooperatif}</t>
  </si>
  <si>
    <t>G.</t>
  </si>
  <si>
    <t>PENILAIAN SUPPLY</t>
  </si>
  <si>
    <t>Tingkat konsentrasi supplier</t>
  </si>
  <si>
    <t>1 supplier  menguasai 50 % pembelian atau lebih</t>
  </si>
  <si>
    <t>Kualitas hubungan dengan supplier</t>
  </si>
  <si>
    <t>Hubungan pemohon dengan supplier telah terjalin lama dan baik. Hal ini terlihat dari beberapa faktor antara lain</t>
  </si>
  <si>
    <t>Lamanya hubungan dengan supplier</t>
  </si>
  <si>
    <t>Daya tawar supplier</t>
  </si>
  <si>
    <t>Daya tawar dari supplier terlihat dari beberapa faktor antara lain:</t>
  </si>
  <si>
    <t>Persediaan barang terpenuhi dan tetap jalan.</t>
  </si>
  <si>
    <t>Produk supplier merupakan bahan input yang penting bagi perusahaan.</t>
  </si>
  <si>
    <t>Supplier telah banyak menjalin kerjasama dengan para pihak</t>
  </si>
  <si>
    <t xml:space="preserve">penyediaan barang. Sehingga persediaan barang di tempat </t>
  </si>
  <si>
    <t>tidak pernah habis</t>
  </si>
  <si>
    <t>Kandungan bahan baku import</t>
  </si>
  <si>
    <t>Impor lebih dari 70%</t>
  </si>
  <si>
    <t>Ketersediaan bahan baku</t>
  </si>
  <si>
    <t>Kuantitas bahan baku</t>
  </si>
  <si>
    <t>Kualitas bahan baku</t>
  </si>
  <si>
    <t>Kontinuitas ketersediaan</t>
  </si>
  <si>
    <t>Efektivitas manajemen persediaan</t>
  </si>
  <si>
    <t>Demi menjaga kerjasama dengan para pelanggan.</t>
  </si>
  <si>
    <t>Persediaan dalam rangka antisipasi permintaan</t>
  </si>
  <si>
    <t>Sifat barang persediaan</t>
  </si>
  <si>
    <t>Administrasi dan kontrol persediaan</t>
  </si>
  <si>
    <t>Cara dan syarat pembelian</t>
  </si>
  <si>
    <t>Cara dan syarat pembelian yang dilakukan oleh supplier antara lain:</t>
  </si>
  <si>
    <t>Pembelian cash dengan sistem "one bill system"</t>
  </si>
  <si>
    <t>Melakukan perjanjian kerjasama pembelian produk</t>
  </si>
  <si>
    <t>H.</t>
  </si>
  <si>
    <t>PENGALAMAN</t>
  </si>
  <si>
    <t>Tingkat kompetensi</t>
  </si>
  <si>
    <t>Tingkat pendidikan yang dimiliki pemohon hanyalah tamat SLTA. Namun pemohon sanggup menjalankan usaha tsb dikarenakan:</t>
  </si>
  <si>
    <t>Pemohon merupakan pekerja keras dan ingin terus berkembang.</t>
  </si>
  <si>
    <t>Lamanya pengalaman</t>
  </si>
  <si>
    <t>Lebih dari 8 th</t>
  </si>
  <si>
    <t>Perencanaan usaha &amp; pengendalian keuangan</t>
  </si>
  <si>
    <t>Rencana usaha dan pengendalian keuangan yang dijalankan cukup bagus antara lain:</t>
  </si>
  <si>
    <t>Kejelasan rencana usaha dan pengendalian keuangan</t>
  </si>
  <si>
    <t>Kesesuaian rencana usaha dengan kondisi ekternal dan internal</t>
  </si>
  <si>
    <t>perusahaan.</t>
  </si>
  <si>
    <t>Kemampuan mengambil keputusan</t>
  </si>
  <si>
    <t>Banyak keputusan yang ditempuh oleh pemohon dalam rangka mempertahankan usahanya antara lain:</t>
  </si>
  <si>
    <t>Rasional dalam mempertimbangkannya.</t>
  </si>
  <si>
    <t>Melakukan banyak kerjasama dengan para supplier.</t>
  </si>
  <si>
    <t xml:space="preserve">Bernegosiasi secara tepat. </t>
  </si>
  <si>
    <t>Tegas, jelas, dan terkomunikasikan dengan baik ke seluruh manajemen (termasuk karyawan) perusahaan.</t>
  </si>
  <si>
    <t>Kemampuan pengelolaan risiko</t>
  </si>
  <si>
    <t>Resiko-resiko sering dialami oleh pemohon dalam menjalankan usaha, untuk mengantisipasinya banyak langkah yang dilakukannya misalnya:</t>
  </si>
  <si>
    <t>Identifikasi jenis-jenis risiko yang ada</t>
  </si>
  <si>
    <t>Pembayaran lebih banyak dilakukan tunai</t>
  </si>
  <si>
    <t>Solusi yang diambil dalam rangka mengurangi kerugian akibat risiko yang timbul.</t>
  </si>
  <si>
    <t>I.</t>
  </si>
  <si>
    <t>TINGKAT PENDIDIKAN</t>
  </si>
  <si>
    <t>Pendidikan formal Key Person</t>
  </si>
  <si>
    <t>SLTA</t>
  </si>
  <si>
    <t xml:space="preserve">Pendidikan formal mayoritas karyawan </t>
  </si>
  <si>
    <t>SLTP</t>
  </si>
  <si>
    <t>Pendidikan informal</t>
  </si>
  <si>
    <t>para karyawan yang ada di perusahaan tsb telah cukup lama bekerja dan cukup berpengalaman</t>
  </si>
  <si>
    <t>J.</t>
  </si>
  <si>
    <t>INTEGRASI/REPUTASI</t>
  </si>
  <si>
    <t>Kondisi manajemen dari perusahaan tersebut antara lain:</t>
  </si>
  <si>
    <t xml:space="preserve">Pemohon termasuk ulet dan pekerja keras. Selain itu ada kemauan besar pemohon untuk </t>
  </si>
  <si>
    <t>mengembangkan usahanya.</t>
  </si>
  <si>
    <t>K.</t>
  </si>
  <si>
    <t>STRUKTUR/SISTEM</t>
  </si>
  <si>
    <t>Sistem manajemen pada usaha pemohon antara lain:</t>
  </si>
  <si>
    <t>Sistem upah kepada karyawan diberikan cukup adil.</t>
  </si>
  <si>
    <t>Untuk pembukuan dan masalah keuangan dikelola sepenuhnya oleh istri pemohon, dikarenakan pemohon menilai istri pemohon lebih rapi dalam mengatur keuangan.</t>
  </si>
  <si>
    <t xml:space="preserve">Untuk tugas dan fungsi setiap bagian tenaga kerja telah diatur dengan baik. </t>
  </si>
  <si>
    <t>L.</t>
  </si>
  <si>
    <t>KADERISASI</t>
  </si>
  <si>
    <t>M.</t>
  </si>
  <si>
    <t>KUALITAS INFORMASI KEUANGAN</t>
  </si>
  <si>
    <t>Ketepatan waktu</t>
  </si>
  <si>
    <t>Diserahkan 1 bulan setelah periode pelaporan</t>
  </si>
  <si>
    <t>Kualitas informasi keuangan</t>
  </si>
  <si>
    <t xml:space="preserve">Home statement, valid dan konsisten  </t>
  </si>
  <si>
    <t xml:space="preserve">Kualitas teknologi informasi </t>
  </si>
  <si>
    <t>Untuk pencatatan masih dilakukan manual beruka pembukuan yang sering ditulis setiap hari, alat bantu lainnya hanya berupa kalkulator.</t>
  </si>
  <si>
    <t>N.</t>
  </si>
  <si>
    <t>KUALITAS HUBUNGAN DENGAN BANK</t>
  </si>
  <si>
    <t>Lamanya menjadi nasabah kredit</t>
  </si>
  <si>
    <t>5 thn atau lebih</t>
  </si>
  <si>
    <t>Lamanya menjadi nasabah dana</t>
  </si>
  <si>
    <t>4 thn atau lebih</t>
  </si>
  <si>
    <t>Sikap dan kerjasama dengan Bank</t>
  </si>
  <si>
    <t>Pemohon bersikap baik dan kooperatif terhadap lembaga keuangan, hal ini terlihat dari:</t>
  </si>
  <si>
    <t>Pemenuhan syarat-syarat kredit yang telah diperjanjikan.</t>
  </si>
  <si>
    <t xml:space="preserve">Penyampaian informasi keuangan perusahaan </t>
  </si>
  <si>
    <t>Keterbukaan dalam bernegosiasi dengan Bank</t>
  </si>
  <si>
    <t>Pemohon memperhitungkan dengan masalah bunga bank.</t>
  </si>
  <si>
    <t>Banyaknya utilitas/pemakaian produk Bank</t>
  </si>
  <si>
    <t>Tingkat utilitas / Pemakaian produk bank dari pemohon antara lain:</t>
  </si>
  <si>
    <t>Banyaknya jenis produk Bank (Bank Jabar) yang digunakan.</t>
  </si>
  <si>
    <t>Banyaknya nilai/volume transaksi yang disalurkan melalui Bank (Bank bjb)</t>
  </si>
  <si>
    <t>Prosentase pemakaian kredit terhadap maksimum kredit.</t>
  </si>
  <si>
    <t xml:space="preserve">Track-Record pemenuhan kewajiban </t>
  </si>
  <si>
    <t>Hubungan dengan Bank / kreditur lainnya</t>
  </si>
  <si>
    <t>Kesesuaian penggunaan kredit</t>
  </si>
  <si>
    <t>KESIMPULAN ANALISA</t>
  </si>
  <si>
    <t>1.</t>
  </si>
  <si>
    <t>Bapak Deden Wahyudin merupakan pengusaha distributor pul pasir yang jujur dan pekerja keras. Usaha ini dijalani selama 15 tahun. Awalnya pemohon merupakan karyawan pada salah satu supplier. Namun karena kemauan besar dan bertekad ingin maju pemohon pun membuka usaha distributor pul pasir. Usaha ini dikelola sepenuhnya oleh pemohon yang diperbantukan oleh 4 orang karyawan, sedangkan keuangan dikelola sepenuhnya oleh istrinya dengan baik.</t>
  </si>
  <si>
    <t>2.</t>
  </si>
  <si>
    <t>Pemohon merupakan nasabah kredit di perbankan. Pemohon telah melakukan pinjaman kepada pihak perbankan dengan tujuan menambah modal kerja usahanya. Pembayaran kepada pihak perbankan juga tergolong lancar dan bertanggung jawab.</t>
  </si>
  <si>
    <t>3.</t>
  </si>
  <si>
    <t xml:space="preserve">Kelemahan dari usaha pemohon ini adalah pemohon terlalu fokus kepada penjualan. Pemohon jarang sekali atau bahkan tidak terpikirkan untuk menambah stok barang jenis lainnya. </t>
  </si>
  <si>
    <t>Reliabilitas/Keandalan</t>
  </si>
  <si>
    <t>Pelayanan</t>
  </si>
  <si>
    <t>Menyetujui</t>
  </si>
  <si>
    <t>Merekomendasikan</t>
  </si>
  <si>
    <t>Tidak Merekomendasikan</t>
  </si>
  <si>
    <t>Tidak Menyetujui</t>
  </si>
  <si>
    <t>(......................................)</t>
  </si>
  <si>
    <t>(...................................)</t>
  </si>
  <si>
    <r>
      <rPr>
        <b/>
        <sz val="20"/>
        <rFont val="Arial"/>
        <family val="2"/>
      </rPr>
      <t>PARAMETER KREDIT SCORING</t>
    </r>
    <r>
      <rPr>
        <b/>
        <sz val="16"/>
        <rFont val="Arial"/>
        <family val="2"/>
      </rPr>
      <t xml:space="preserve"> 
KCR</t>
    </r>
  </si>
  <si>
    <t>EXISTING</t>
  </si>
  <si>
    <t>&lt;=50juta</t>
  </si>
  <si>
    <t>BBT  (a)</t>
  </si>
  <si>
    <t>% Fktr  (b)</t>
  </si>
  <si>
    <t>% Var  ©</t>
  </si>
  <si>
    <t>Nilai =    a x b x c</t>
  </si>
  <si>
    <t xml:space="preserve">STEP 1 - INFORMASI DASAR </t>
  </si>
  <si>
    <t>(a)</t>
  </si>
  <si>
    <t>Usia Calon Nasabah</t>
  </si>
  <si>
    <t>21 - 30 tahun</t>
  </si>
  <si>
    <t>31 - 40 tahun</t>
  </si>
  <si>
    <t>(b)</t>
  </si>
  <si>
    <t>Status Perkawinan</t>
  </si>
  <si>
    <t>Lajang</t>
  </si>
  <si>
    <t>(c)</t>
  </si>
  <si>
    <t>Tidak Mempunyai Tanggungan</t>
  </si>
  <si>
    <t>(d)</t>
  </si>
  <si>
    <t>Tingkat Pendidikan</t>
  </si>
  <si>
    <t>Sekolah Dasar/Sekolah Menengah Pertama</t>
  </si>
  <si>
    <t>Sekolah Menengah Umum</t>
  </si>
  <si>
    <t>Akademi</t>
  </si>
  <si>
    <t>Universitas</t>
  </si>
  <si>
    <t>Kepemilikan tempat tinggal</t>
  </si>
  <si>
    <t>Lain-lain (Menumpang)</t>
  </si>
  <si>
    <t>Milik sendiri</t>
  </si>
  <si>
    <t>Tidak dikenal</t>
  </si>
  <si>
    <t>Dikenal namum kurang bersosialisasi</t>
  </si>
  <si>
    <t>(e)</t>
  </si>
  <si>
    <t>STEP 4 - HUBUNGAN DENGAN PERBANKAN</t>
  </si>
  <si>
    <t>Belum Pernah</t>
  </si>
  <si>
    <t>Nasabah/debitur bank &lt; 1 tahun</t>
  </si>
  <si>
    <t>Nasabah/debitur bank 1 - 3 tahun</t>
  </si>
  <si>
    <t>Nasabah/debitur bank &gt; 3 tahun</t>
  </si>
  <si>
    <t>&gt; 3 tahun</t>
  </si>
  <si>
    <t>&gt;2 s.d. 3 tahun</t>
  </si>
  <si>
    <t>&gt;1 s.d.  2 tahun</t>
  </si>
  <si>
    <t>&lt;= 1 tahun</t>
  </si>
  <si>
    <t xml:space="preserve">STEP 6 - JAMINAN </t>
  </si>
  <si>
    <t>Agunan</t>
  </si>
  <si>
    <t>Penyesuaian</t>
  </si>
  <si>
    <t>Tujuan Penggunaan Pinjaman</t>
  </si>
  <si>
    <t>Investasi</t>
  </si>
  <si>
    <t>Jenis Kelamin</t>
  </si>
  <si>
    <t>Laki-laki</t>
  </si>
  <si>
    <t>Perempuan</t>
  </si>
  <si>
    <t>Pendidikan</t>
  </si>
  <si>
    <t>Pedagang</t>
  </si>
  <si>
    <t>Petani</t>
  </si>
  <si>
    <t>Swasta</t>
  </si>
  <si>
    <t>Lajang (termasuk janda/duda)</t>
  </si>
  <si>
    <t>Pekerjaan Suami/Istri</t>
  </si>
  <si>
    <t>01 Bulan</t>
  </si>
  <si>
    <t>02 Bulan</t>
  </si>
  <si>
    <t>03 Bulan</t>
  </si>
  <si>
    <t>04 Bulan</t>
  </si>
  <si>
    <t>05 Bulan</t>
  </si>
  <si>
    <t>06 Bulan</t>
  </si>
  <si>
    <t>10 Bulan</t>
  </si>
  <si>
    <t>12 Bulan</t>
  </si>
  <si>
    <t>13 Bulan</t>
  </si>
  <si>
    <t>14 Bulan</t>
  </si>
  <si>
    <t>15 Bulan</t>
  </si>
  <si>
    <t>16 Bulan</t>
  </si>
  <si>
    <t>17 Bulan</t>
  </si>
  <si>
    <t>18 Bulan</t>
  </si>
  <si>
    <t>19 Bulan</t>
  </si>
  <si>
    <t>20 Bulan</t>
  </si>
  <si>
    <t>24 Bulan</t>
  </si>
  <si>
    <t>36 Bulan</t>
  </si>
  <si>
    <t>48 Bulan</t>
  </si>
  <si>
    <t>50 Bulan</t>
  </si>
  <si>
    <t>52 Bulan</t>
  </si>
  <si>
    <t>60 Bulan</t>
  </si>
  <si>
    <t>Periode</t>
  </si>
  <si>
    <t>Harian</t>
  </si>
  <si>
    <t>Mingguan</t>
  </si>
  <si>
    <t>Bulanan</t>
  </si>
  <si>
    <t>Sistem Perhitungan Bunga</t>
  </si>
  <si>
    <t>Efektif</t>
  </si>
  <si>
    <t>RPC</t>
  </si>
  <si>
    <t>lajang</t>
  </si>
  <si>
    <t>Tering</t>
  </si>
  <si>
    <t>Cerai</t>
  </si>
  <si>
    <t>&gt; 5 Orang</t>
  </si>
  <si>
    <t>3 - 5 Orang</t>
  </si>
  <si>
    <t xml:space="preserve"> 1 - 2 Orang</t>
  </si>
  <si>
    <t>HIGH</t>
  </si>
  <si>
    <t>LOW</t>
  </si>
  <si>
    <t>TINGKAT RATING</t>
  </si>
  <si>
    <t>PD</t>
  </si>
  <si>
    <t>PENJELASAN DARI RATING</t>
  </si>
  <si>
    <t>AAA</t>
  </si>
  <si>
    <t>Outstanding</t>
  </si>
  <si>
    <t>Ini adalah rating tertinggi dan terbaik yang diberikan kepada debitur. Kapasitas debitur untuk memenuhi komitmen keuangannya pada pinjaman bank dipandang tidak diragukan.</t>
  </si>
  <si>
    <t>AA+</t>
  </si>
  <si>
    <t>Strong</t>
  </si>
  <si>
    <t>Debitur yang diberikan rating ‘AA’ hanya berbeda sedikit dari debitur yang diberikan rating tertinggi (AAA). Kapasitas debitur untuk memenuhi komitmen keuangannya pada pinjamannya sangat baik.</t>
  </si>
  <si>
    <t>AA</t>
  </si>
  <si>
    <t>AA-</t>
  </si>
  <si>
    <t>A+</t>
  </si>
  <si>
    <t>Good</t>
  </si>
  <si>
    <t>Debitur yang diberikan rating ‘A’ agak lebih rentan terhadap keadaan dan kondisi ekonomi yang memburuk dari pada debitur pada rating yang lebih tinggi. Meskipun demikian kapasitas debitur untuk memenuhi komitmen keuangannya pada obligasi masih kuat.</t>
  </si>
  <si>
    <t>A</t>
  </si>
  <si>
    <t>A-</t>
  </si>
  <si>
    <t>BBB+</t>
  </si>
  <si>
    <t>Average</t>
  </si>
  <si>
    <t>Debitur yang mendapat rating ‘BBB’ memperlihatkan kondisi yang memadai. Meskipun demikian kondisi ekonomi yang memburuk kemungkinan besar akan memperlemah kapasitas debitur untuk memenuhi komitmen keuangannya pada pinjamannya.</t>
  </si>
  <si>
    <t>BBB</t>
  </si>
  <si>
    <t>BBB-</t>
  </si>
  <si>
    <t>BB+</t>
  </si>
  <si>
    <t>Acceptable</t>
  </si>
  <si>
    <t xml:space="preserve">Debitur yang diberikan rating ‘BB’ lebih baik dibandingkan dengan debitur yang mendapat rating B dalam hal pembayaran pinjaman. Meskipun demikian, debitur ini menghadapi ketidakpastian yang besar pada kondisi bisnis, keuangan atau ekonomi yang memburuk yang dapat mengarah pada kapasitas debitur yang tidak memadai untuk memenuhi komitmen pinjamannya. </t>
  </si>
  <si>
    <t>BB</t>
  </si>
  <si>
    <t>BB-</t>
  </si>
  <si>
    <t>High Risk</t>
  </si>
  <si>
    <t>B+</t>
  </si>
  <si>
    <t xml:space="preserve">Debitur yang diberikan rating ‘B’ lebih rentan untuk menjadi kredit macet dari pada debitur yang diberikan rating ‘BB’. Debitur saat ini memiliki kapasitas untuk memenuhi komitmen keuangannya pada pinjamannya. Kondisi bisnis, keuangan atau ekonomi yang memburuk kemungkinan akan mengganggu kemampuan debitur untuk memenuhi komitmen pinjamannya. </t>
  </si>
  <si>
    <t>B</t>
  </si>
  <si>
    <t>Watch List</t>
  </si>
  <si>
    <t>B-</t>
  </si>
  <si>
    <t>CCC+</t>
  </si>
  <si>
    <t>Special Mention</t>
  </si>
  <si>
    <t>Debitur yang diberikan rating ‘CCC’ saat ini rentan untuk menjadi kredit macet. Debitur ini tergantung pada kondisi bisnis, keuangan dan ekonomi yang baik agar debitur dapat memenuhi komitmen pinjamannya. Saat kondisi bisnis, keuangan atau ekonomi memburuk, debitur kemungkinan besar tidak mempunyai kapasitas untuk memenuhi kewajiban keuangannya.</t>
  </si>
  <si>
    <t>CCC</t>
  </si>
  <si>
    <t>CCC-</t>
  </si>
  <si>
    <t>Substandard</t>
  </si>
  <si>
    <t>D</t>
  </si>
  <si>
    <t>Doubtful</t>
  </si>
  <si>
    <t xml:space="preserve">Tidak prospektif. Rating ini diberikan kepada debitur yang diperkirakan akan menjadi kredit macet. </t>
  </si>
  <si>
    <t>Unrated</t>
  </si>
  <si>
    <t>SCORE</t>
  </si>
  <si>
    <t>RATING</t>
  </si>
  <si>
    <t>STATUS</t>
  </si>
  <si>
    <t>Fidusia</t>
  </si>
  <si>
    <t>Ya</t>
  </si>
  <si>
    <t>PETUGAS VERIFIKASI</t>
  </si>
  <si>
    <t>CATATAN</t>
  </si>
  <si>
    <t>Jabatan</t>
  </si>
  <si>
    <t>Tanda tangan</t>
  </si>
  <si>
    <t>Kepala Cabang</t>
  </si>
  <si>
    <t>flat</t>
  </si>
  <si>
    <t>Terdapat Kol 2 di 12 bulan terakhir</t>
  </si>
  <si>
    <t>Terdapat Kol 3,4 dan 5 di 12 bulan terakhir</t>
  </si>
  <si>
    <t>Tidak pernah terlambat 12 bulan terakhir</t>
  </si>
  <si>
    <t>AGUNAN</t>
  </si>
  <si>
    <t xml:space="preserve">INFORMASI DASAR </t>
  </si>
  <si>
    <t>C</t>
  </si>
  <si>
    <t>HUBUNGAN DENGAN BANK</t>
  </si>
  <si>
    <t>KAPASITAS MEMBAYAR PINJAMAN</t>
  </si>
  <si>
    <t>b. Repayment Capacity (RPC)</t>
  </si>
  <si>
    <t>Angsuran Perbulan</t>
  </si>
  <si>
    <t>Nomor MUP</t>
  </si>
  <si>
    <t>Tanggal Usulan</t>
  </si>
  <si>
    <t>Dari</t>
  </si>
  <si>
    <t>Account Officer</t>
  </si>
  <si>
    <t>Kepada</t>
  </si>
  <si>
    <t>Komite Pemutus Pembiayaan (KMPP)</t>
  </si>
  <si>
    <t>Perihal</t>
  </si>
  <si>
    <t>Assalamu'alaikum wr.wb.</t>
  </si>
  <si>
    <t>MEMO KEPUTUSAN PEMBIAYAAN</t>
  </si>
  <si>
    <t xml:space="preserve">Jangka Waktu </t>
  </si>
  <si>
    <t>a. Jangka Waktu Pembiayaan</t>
  </si>
  <si>
    <t>USULAN PEMBIAYAAN</t>
  </si>
  <si>
    <t xml:space="preserve">STEP 5 - JANGKA WAKTU </t>
  </si>
  <si>
    <t xml:space="preserve">Jangka waktu </t>
  </si>
  <si>
    <t>Belum memiliki kredit/Pembiayaan</t>
  </si>
  <si>
    <t>MMQ</t>
  </si>
  <si>
    <t>Murabahah</t>
  </si>
  <si>
    <t>Istishna</t>
  </si>
  <si>
    <t>Salam</t>
  </si>
  <si>
    <t>Ijarah</t>
  </si>
  <si>
    <t>IMBT</t>
  </si>
  <si>
    <t>Ijarah Multijasa</t>
  </si>
  <si>
    <t>Musyarakah</t>
  </si>
  <si>
    <t>Mudharabah</t>
  </si>
  <si>
    <t>Qardh Haji</t>
  </si>
  <si>
    <t xml:space="preserve">Qardh  </t>
  </si>
  <si>
    <t>Akad Pembiayaan</t>
  </si>
  <si>
    <t>1 Modal Kerja</t>
  </si>
  <si>
    <t>2 Investasi</t>
  </si>
  <si>
    <t>3 Konsumtif</t>
  </si>
  <si>
    <t>Debitur yang diberikan rating ‘AA+’ hanya berbeda sedikit dari debitur yang diberikan rating tertinggi (AAA). Kapasitas debitur untuk memenuhi komitmen keuangannya pada pinjamannya sangat baik.</t>
  </si>
  <si>
    <t>Debitur yang diberikan rating ‘AA-’ hanya berbeda sedikit dari debitur yang diberikan rating tertinggi (AAA). Kapasitas debitur untuk memenuhi komitmen keuangannya pada pinjamannya sangat baik.</t>
  </si>
  <si>
    <t>Debitur yang diberikan rating ‘A+’ agak lebih rentan terhadap keadaan dan kondisi ekonomi yang memburuk dari pada debitur pada rating yang lebih tinggi. Meskipun demikian kapasitas debitur untuk memenuhi komitmen keuangannya pada obligasi masih kuat.</t>
  </si>
  <si>
    <t>Debitur yang diberikan rating ‘A-’ agak lebih rentan terhadap keadaan dan kondisi ekonomi yang memburuk dari pada debitur pada rating yang lebih tinggi. Meskipun demikian kapasitas debitur untuk memenuhi komitmen keuangannya pada obligasi masih kuat.</t>
  </si>
  <si>
    <t>Debitur yang mendapat rating ‘BBB+’ memperlihatkan kondisi yang memadai. Meskipun demikian kondisi ekonomi yang memburuk kemungkinan besar akan memperlemah kapasitas debitur untuk memenuhi komitmen keuangannya pada pinjamannya.</t>
  </si>
  <si>
    <t>Debitur yang mendapat rating ‘BBB-’ memperlihatkan kondisi yang memadai. Meskipun demikian kondisi ekonomi yang memburuk kemungkinan besar akan memperlemah kapasitas debitur untuk memenuhi komitmen keuangannya pada pinjamannya.</t>
  </si>
  <si>
    <t xml:space="preserve">Debitur yang diberikan rating ‘BB+’ lebih baik dibandingkan dengan debitur yang mendapat rating B dalam hal pembayaran pinjaman. Meskipun demikian, debitur ini menghadapi ketidakpastian yang besar pada kondisi bisnis, keuangan atau ekonomi yang memburuk yang dapat mengarah pada kapasitas debitur yang tidak memadai untuk memenuhi komitmen pinjamannya. </t>
  </si>
  <si>
    <t xml:space="preserve">Debitur yang diberikan rating ‘BB-’ lebih baik dibandingkan dengan debitur yang mendapat rating B dalam hal pembayaran pinjaman. Meskipun demikian, debitur ini menghadapi ketidakpastian yang besar pada kondisi bisnis, keuangan atau ekonomi yang memburuk yang dapat mengarah pada kapasitas debitur yang tidak memadai untuk memenuhi komitmen pinjamannya. </t>
  </si>
  <si>
    <t xml:space="preserve">Debitur yang diberikan rating ‘B+’ lebih rentan untuk menjadi kredit macet dari pada debitur yang diberikan rating ‘BB’. Debitur saat ini memiliki kapasitas untuk memenuhi komitmen keuangannya pada pinjamannya. Kondisi bisnis, keuangan atau ekonomi yang memburuk kemungkinan akan mengganggu kemampuan debitur untuk memenuhi komitmen pinjamannya. </t>
  </si>
  <si>
    <t xml:space="preserve">Debitur yang diberikan rating ‘B-’ lebih rentan untuk menjadi kredit macet dari pada debitur yang diberikan rating ‘BB’. Debitur saat ini memiliki kapasitas untuk memenuhi komitmen keuangannya pada pinjamannya. Kondisi bisnis, keuangan atau ekonomi yang memburuk kemungkinan akan mengganggu kemampuan debitur untuk memenuhi komitmen pinjamannya. </t>
  </si>
  <si>
    <t>Debitur yang diberikan rating ‘CCC+’ saat ini rentan untuk menjadi kredit macet. Debitur ini tergantung pada kondisi bisnis, keuangan dan ekonomi yang baik agar debitur dapat memenuhi komitmen pinjamannya. Saat kondisi bisnis, keuangan atau ekonomi memburuk, debitur kemungkinan besar tidak mempunyai kapasitas untuk memenuhi kewajiban keuangannya.</t>
  </si>
  <si>
    <t>Debitur yang diberikan rating ‘CCC-’ saat ini rentan untuk menjadi kredit macet. Debitur ini tergantung pada kondisi bisnis, keuangan dan ekonomi yang baik agar debitur dapat memenuhi komitmen pinjamannya. Saat kondisi bisnis, keuangan atau ekonomi memburuk, debitur kemungkinan besar tidak mempunyai kapasitas untuk memenuhi kewajiban keuangannya.</t>
  </si>
  <si>
    <t>Margin</t>
  </si>
  <si>
    <t>Harga Jual</t>
  </si>
  <si>
    <t>Expected Return/Bulan</t>
  </si>
  <si>
    <t>Angsuran/Bulan I</t>
  </si>
  <si>
    <t>Angsuran/Bulan II</t>
  </si>
  <si>
    <t>Plafond Maksimal</t>
  </si>
  <si>
    <t>Plafond yang Diajukan</t>
  </si>
  <si>
    <t>MEMORANDUM USULAN PEMBIAYAAN</t>
  </si>
  <si>
    <t>Harga Pokok</t>
  </si>
  <si>
    <t>4.</t>
  </si>
  <si>
    <t>5.</t>
  </si>
  <si>
    <t>6.</t>
  </si>
  <si>
    <t>7.</t>
  </si>
  <si>
    <t>8.</t>
  </si>
  <si>
    <t>Pengusul,</t>
  </si>
  <si>
    <t>MANAJEMEN RISIKO</t>
  </si>
  <si>
    <t>- Usaha (Pengusaha): Moral Hazar, Omset Usaha Menurun dll</t>
  </si>
  <si>
    <t>- Lembaga Pendidikan: Moral Hazar Pengurus, Konflik Pengurus, Jumlah Siswa/Santri/Mahasiswa Menurun</t>
  </si>
  <si>
    <t>Risiko Kematian</t>
  </si>
  <si>
    <t xml:space="preserve"> Kantor</t>
  </si>
  <si>
    <t>Nama Account Officer</t>
  </si>
  <si>
    <t>ANALISA PLAFOND</t>
  </si>
  <si>
    <t>VERIFIKASI</t>
  </si>
  <si>
    <t xml:space="preserve"> No. MUP</t>
  </si>
  <si>
    <t>Surplus Cashflow</t>
  </si>
  <si>
    <t>Desa/Kelurahan :</t>
  </si>
  <si>
    <t>Pefindo</t>
  </si>
  <si>
    <t/>
  </si>
  <si>
    <t/>
  </si>
  <si>
    <t/>
  </si>
  <si>
    <t/>
  </si>
  <si>
    <t/>
  </si>
  <si>
    <t/>
  </si>
  <si>
    <t/>
  </si>
  <si>
    <t/>
  </si>
  <si>
    <t/>
  </si>
  <si>
    <t/>
  </si>
  <si>
    <t/>
  </si>
  <si>
    <t xml:space="preserve">STEP 8 - PENYESUAIAN / ADJUSTMENT </t>
  </si>
  <si>
    <t>Tidak Diasuransikan</t>
  </si>
  <si>
    <t>kdprd</t>
  </si>
  <si>
    <t>prd</t>
  </si>
  <si>
    <t>PKE</t>
  </si>
  <si>
    <t>Harga Pokok Sewa</t>
  </si>
  <si>
    <t>Ujroh</t>
  </si>
  <si>
    <t>Harga Jual Sewa</t>
  </si>
  <si>
    <t>Angsuran</t>
  </si>
  <si>
    <t>Asuransi Jiwa Syariah</t>
  </si>
  <si>
    <t>Asuransi Jiwa PYD</t>
  </si>
  <si>
    <t>ASURANSI</t>
  </si>
  <si>
    <t>a. Asuransi Jiwa</t>
  </si>
  <si>
    <t>HASIL SKORING</t>
  </si>
  <si>
    <t>Repayment Capacity</t>
  </si>
  <si>
    <t>Tidak baik</t>
  </si>
  <si>
    <t>Usia :</t>
  </si>
  <si>
    <t>Surplus/Minus Cashflow</t>
  </si>
  <si>
    <t>a. Hubungan Dengan Perbankan</t>
  </si>
  <si>
    <t>KEPUTUSAN PEMBIAYAAN</t>
  </si>
  <si>
    <t>Pokok</t>
  </si>
  <si>
    <t/>
  </si>
  <si>
    <t>APHT</t>
  </si>
  <si>
    <t>1,5% flat = 0,83% Efektif</t>
  </si>
  <si>
    <t>1,5% efektif =  2,64% Flat</t>
  </si>
  <si>
    <t>jw</t>
  </si>
  <si>
    <t>Total Angsuran</t>
  </si>
  <si>
    <t>efektif</t>
  </si>
  <si>
    <t>margin</t>
  </si>
  <si>
    <t>total</t>
  </si>
  <si>
    <t>No.</t>
  </si>
  <si>
    <t>Nasabah,</t>
  </si>
  <si>
    <t>Suami/Istri</t>
  </si>
  <si>
    <t>______________________</t>
  </si>
  <si>
    <t>SKMHT</t>
  </si>
  <si>
    <t>Di Bawah Tangan</t>
  </si>
  <si>
    <t>Legalisasi</t>
  </si>
  <si>
    <t>Harga Pokok Barang</t>
  </si>
  <si>
    <t>Urbun/Uang Muka I</t>
  </si>
  <si>
    <t>Urbun/Uang Muka II</t>
  </si>
  <si>
    <t>9.</t>
  </si>
  <si>
    <t>10.</t>
  </si>
  <si>
    <t>11.</t>
  </si>
  <si>
    <t>Risiko Pembayaran Angsuran</t>
  </si>
  <si>
    <t>- Nasabah meninggal dunia</t>
  </si>
  <si>
    <t>- Pegawai/Karyawan: PHK, Moral Hazar, Perusahaan Bangkrut</t>
  </si>
  <si>
    <t>I</t>
  </si>
  <si>
    <t>Risiko Sangat Tinggi</t>
  </si>
  <si>
    <t>Risiko Tinggi</t>
  </si>
  <si>
    <t>Risiko Sedang</t>
  </si>
  <si>
    <t>Risiko Rendah</t>
  </si>
  <si>
    <t>Risiko Sangat Rendah</t>
  </si>
  <si>
    <t>&lt;70</t>
  </si>
  <si>
    <t>&gt;=70 sd &lt;80</t>
  </si>
  <si>
    <t>&gt;=80 sd &lt;90</t>
  </si>
  <si>
    <t>&gt;=90</t>
  </si>
  <si>
    <t>Pembiayaan ke-</t>
  </si>
  <si>
    <t>1-2</t>
  </si>
  <si>
    <t>3-4</t>
  </si>
  <si>
    <t>&gt;=5</t>
  </si>
  <si>
    <t>- Tingkat Risiko Nasabah</t>
  </si>
  <si>
    <t>RANK</t>
  </si>
  <si>
    <t>c. Permohonan Pembiayaan Ke-</t>
  </si>
  <si>
    <t>RISIKO NASABAH</t>
  </si>
  <si>
    <t>HASIL SCORING DEBITUR</t>
  </si>
  <si>
    <t>Nama (M)</t>
  </si>
  <si>
    <t>Tempat Lahir (M)</t>
  </si>
  <si>
    <t>NIK (M)</t>
  </si>
  <si>
    <t>Alamat (M)</t>
  </si>
  <si>
    <t>HP (M)</t>
  </si>
  <si>
    <t>Jumlah Tanggungan (PG)</t>
  </si>
  <si>
    <t>Pendidikan Terakhir (PG)</t>
  </si>
  <si>
    <t>No. KTP/SIM/Paspor (M)</t>
  </si>
  <si>
    <t>Sektor Ekonomi (PG)</t>
  </si>
  <si>
    <t>Jenis Penggunaan (PG)</t>
  </si>
  <si>
    <t>Nama Gadis Ibu Kandung (M)</t>
  </si>
  <si>
    <t>Nama Pasangan (Suami-Istri) (M)</t>
  </si>
  <si>
    <t>Tempat/Tanggal Lahir (M)</t>
  </si>
  <si>
    <t>Pekerjaan Pasangan (Suami-Istri) (M)</t>
  </si>
  <si>
    <t>Dihubungi dan Tidak Serumah (M)</t>
  </si>
  <si>
    <t>Kantor (PG)</t>
  </si>
  <si>
    <t>Tanggal Analisa (M)</t>
  </si>
  <si>
    <t>Hubungan dengan perbankan (PG)</t>
  </si>
  <si>
    <r>
      <t xml:space="preserve">Riwayat Kredit/Pemb di </t>
    </r>
    <r>
      <rPr>
        <sz val="9"/>
        <rFont val="Courier New"/>
        <family val="3"/>
      </rPr>
      <t>bank (SLIK)</t>
    </r>
    <r>
      <rPr>
        <b/>
        <sz val="9"/>
        <rFont val="Courier New"/>
        <family val="3"/>
      </rPr>
      <t xml:space="preserve"> (PG)</t>
    </r>
  </si>
  <si>
    <t>Tanggal Permohonan (M)</t>
  </si>
  <si>
    <t>Risiko: Tunggakan pembayaran angsuran pembiayaan</t>
  </si>
  <si>
    <t>Perhatian:</t>
  </si>
  <si>
    <t>Kotak Warna Putih Diisi Manual</t>
  </si>
  <si>
    <t>Kotak Warna Kuning Jangan Diisi Manual (Otomatis)</t>
  </si>
  <si>
    <t>Status Karyawan</t>
  </si>
  <si>
    <t>Kontrak Swasta</t>
  </si>
  <si>
    <t>Kontrak ASN/PPPK</t>
  </si>
  <si>
    <t>Tetap Swasta</t>
  </si>
  <si>
    <t>&gt;8 Tahun</t>
  </si>
  <si>
    <t>PNS</t>
  </si>
  <si>
    <t>Dikenal baik</t>
  </si>
  <si>
    <t>D1 - D4</t>
  </si>
  <si>
    <t>41 - 50 tahun</t>
  </si>
  <si>
    <t>S2 - S3</t>
  </si>
  <si>
    <t>Alamat Perusahaan (M)</t>
  </si>
  <si>
    <t>RPC &lt;2.50</t>
  </si>
  <si>
    <t>Risiko Kerja</t>
  </si>
  <si>
    <t>3. HUBUNGAN BANK</t>
  </si>
  <si>
    <t>Nama Instansi/Lembaga</t>
  </si>
  <si>
    <t>Nomor SK</t>
  </si>
  <si>
    <t>Atas Nama</t>
  </si>
  <si>
    <t>DATA</t>
  </si>
  <si>
    <t>Jenis Margin</t>
  </si>
  <si>
    <t>Plafond</t>
  </si>
  <si>
    <t>%Margin/bulan</t>
  </si>
  <si>
    <t>KONVERSI</t>
  </si>
  <si>
    <t>FLAT</t>
  </si>
  <si>
    <t>EFEKTIF</t>
  </si>
  <si>
    <t>OS. Pokok</t>
  </si>
  <si>
    <t>Os. Pokok</t>
  </si>
  <si>
    <t>Per Tahun:</t>
  </si>
  <si>
    <t>II</t>
  </si>
  <si>
    <t>III</t>
  </si>
  <si>
    <t>IV</t>
  </si>
  <si>
    <t>V</t>
  </si>
  <si>
    <t>VI</t>
  </si>
  <si>
    <t>VII</t>
  </si>
  <si>
    <t>VIII</t>
  </si>
  <si>
    <t>IX</t>
  </si>
  <si>
    <t>XI</t>
  </si>
  <si>
    <t>XII</t>
  </si>
  <si>
    <t>Permohonan Pembiayaan Ke- (M)</t>
  </si>
  <si>
    <t>TNI/POLRI</t>
  </si>
  <si>
    <t>min</t>
  </si>
  <si>
    <t>mid</t>
  </si>
  <si>
    <t>RPC &gt;4 sd. 6</t>
  </si>
  <si>
    <t>RPC &gt;6</t>
  </si>
  <si>
    <t>RPC &lt;2.86</t>
  </si>
  <si>
    <t>RPC 2.86 sd. 4.25</t>
  </si>
  <si>
    <t>RPC &lt;3.33</t>
  </si>
  <si>
    <t>RPC &gt;6.50</t>
  </si>
  <si>
    <t>Status Pernikahan (PG)</t>
  </si>
  <si>
    <t>b. Riwayat Pembiayaan Bank (SLIK)</t>
  </si>
  <si>
    <t>RPC 2.50 sd. 4</t>
  </si>
  <si>
    <t>RPC 3.33 sd. 4.50</t>
  </si>
  <si>
    <t>RPC &gt;4.50 sd. 6.50</t>
  </si>
  <si>
    <t>RPC &gt;4.25 sd. 6.50</t>
  </si>
  <si>
    <t>E</t>
  </si>
  <si>
    <t>IDR</t>
  </si>
  <si>
    <t>Mutasi Debet</t>
  </si>
  <si>
    <t>Mutasi Kredit</t>
  </si>
  <si>
    <t>FQ</t>
  </si>
  <si>
    <t>Debet</t>
  </si>
  <si>
    <t>Rata2 Transaksi</t>
  </si>
  <si>
    <t>Saldo Akhir</t>
  </si>
  <si>
    <t>Rata-rata</t>
  </si>
  <si>
    <t>Bidang Usaha Pekerjaan</t>
  </si>
  <si>
    <t>Kesehatan</t>
  </si>
  <si>
    <t>Pemerintahan</t>
  </si>
  <si>
    <t>Surat Keterangan Bekerja</t>
  </si>
  <si>
    <t>Slip Gaji</t>
  </si>
  <si>
    <t>Rekening Gaji</t>
  </si>
  <si>
    <t>Ada</t>
  </si>
  <si>
    <t>Tidak Ada</t>
  </si>
  <si>
    <t>System Angsuran</t>
  </si>
  <si>
    <t>Tunai/Transfer</t>
  </si>
  <si>
    <t>Potong Gaji Langsung</t>
  </si>
  <si>
    <t>Tanpa Agunan/Potong Gaji Langsung</t>
  </si>
  <si>
    <t>Persentase Agunan terhadap Pembiayaan</t>
  </si>
  <si>
    <t>Usia Pensiun</t>
  </si>
  <si>
    <t>&lt;5 Tahun</t>
  </si>
  <si>
    <t>&gt;15 - 25 Tahun</t>
  </si>
  <si>
    <t>&gt;25 Tahun</t>
  </si>
  <si>
    <t>5 Tahun - 15 Tahun</t>
  </si>
  <si>
    <t>Bonafiditas Perusahaan</t>
  </si>
  <si>
    <t>Bonafide</t>
  </si>
  <si>
    <t>Kurang Bonafide</t>
  </si>
  <si>
    <t>Cukup Bonafide</t>
  </si>
  <si>
    <t>51 - 55 tahun</t>
  </si>
  <si>
    <t>ASSET YANG DIMILIKI</t>
  </si>
  <si>
    <t>Reputasi</t>
  </si>
  <si>
    <t>Potensi Besarnya Angsuran</t>
  </si>
  <si>
    <t>Kewajiban Kepada Pihak Lain</t>
  </si>
  <si>
    <t>Saldo Bank</t>
  </si>
  <si>
    <t xml:space="preserve"> *  Penyesuaian/Adjustment</t>
  </si>
  <si>
    <t>MoU</t>
  </si>
  <si>
    <t>MoU dengan BPRS Amanah Ummah</t>
  </si>
  <si>
    <t>Surat Kuasa Potong Gaji</t>
  </si>
  <si>
    <t/>
  </si>
  <si>
    <t>Risiko Hukum</t>
  </si>
  <si>
    <t>Pengikatan Notaril</t>
  </si>
  <si>
    <t>Risiko Agunan</t>
  </si>
  <si>
    <t>Asuransi Kerugian Syariah</t>
  </si>
  <si>
    <t>Pengikatan Agunan</t>
  </si>
  <si>
    <t>Asuransi Agunan</t>
  </si>
  <si>
    <t>Tidak Pengikatan Notaril</t>
  </si>
  <si>
    <t>51 - 60 tahun</t>
  </si>
  <si>
    <t>NON PNS</t>
  </si>
  <si>
    <t>20 - 30 tahun</t>
  </si>
  <si>
    <t>&gt;30 Tahun</t>
  </si>
  <si>
    <t>&gt;15 - 30 Tahun</t>
  </si>
  <si>
    <t>2. HUBUNGAN DENGAN PERBANKAN</t>
  </si>
  <si>
    <t>3. PERMOHONAN PEMBIAYAAN</t>
  </si>
  <si>
    <t/>
  </si>
  <si>
    <t>Remedial (Surat Panggilan/Surat Peringatan/Somasi)/Eksekusi Agunan</t>
  </si>
  <si>
    <t>Nasabah Wanprestasi/Melakukan Gugatan Hukum/Penyalahgunaan Agunan.</t>
  </si>
  <si>
    <t>Tahun</t>
  </si>
  <si>
    <t/>
  </si>
  <si>
    <t>---∞∞∞∞∞¶¶¶¶¶∞∞∞∞∞---</t>
  </si>
  <si>
    <t>Pembiayaan Bank</t>
  </si>
  <si>
    <t>Angsuran Margin/Bulan</t>
  </si>
  <si>
    <t>Angsuran Pokok/Bulan</t>
  </si>
  <si>
    <t>Total Angsuran/Bulan</t>
  </si>
  <si>
    <t>Angsuran Pokok</t>
  </si>
  <si>
    <t>Harga Pokok sewa</t>
  </si>
  <si>
    <t>Ujroh Sewa/Bulan</t>
  </si>
  <si>
    <t>Ujroh Sewa (Setara)/Bulan</t>
  </si>
  <si>
    <t>Angsuran Pokok Sewa/Bulan</t>
  </si>
  <si>
    <t>Total Angsuran Sewa/Bln</t>
  </si>
  <si>
    <t>Harga Pasar Aset</t>
  </si>
  <si>
    <t>Harga Aset yang Dibeli Bank dari Nas.</t>
  </si>
  <si>
    <t>Harga Aset yang Disewa Nasabah</t>
  </si>
  <si>
    <t>Proyeksi Bagi Hasil</t>
  </si>
  <si>
    <t>Nilai Proyek</t>
  </si>
  <si>
    <t>Modal Nasabah</t>
  </si>
  <si>
    <t>Modal Bank</t>
  </si>
  <si>
    <t>Pokok (Hishah)</t>
  </si>
  <si>
    <t>Bagi Hasil Atas Sewa</t>
  </si>
  <si>
    <t>Kepemilikan Aset Bank (Hishah)</t>
  </si>
  <si>
    <t>Kepemilikan Aset Nasabah (Hishah)</t>
  </si>
  <si>
    <t>Penebusan Aset/Hishah Oleh Nas.</t>
  </si>
  <si>
    <t>12.</t>
  </si>
  <si>
    <t>13.</t>
  </si>
  <si>
    <t>14.</t>
  </si>
  <si>
    <t>b. Asuransi Agunan</t>
  </si>
  <si>
    <t>- Agunan Tanah/Bangunan</t>
  </si>
  <si>
    <r>
      <t>LT</t>
    </r>
    <r>
      <rPr>
        <b/>
        <vertAlign val="superscript"/>
        <sz val="11"/>
        <rFont val="Calibri"/>
        <family val="2"/>
      </rPr>
      <t>2</t>
    </r>
  </si>
  <si>
    <r>
      <t>LB</t>
    </r>
    <r>
      <rPr>
        <b/>
        <vertAlign val="superscript"/>
        <sz val="11"/>
        <rFont val="Calibri"/>
        <family val="2"/>
      </rPr>
      <t>2</t>
    </r>
  </si>
  <si>
    <t xml:space="preserve">Os. Pokok </t>
  </si>
  <si>
    <t>Sertipikat Hak Milik</t>
  </si>
  <si>
    <t>BPKB-Merek</t>
  </si>
  <si>
    <t>Type</t>
  </si>
  <si>
    <t>Thn</t>
  </si>
  <si>
    <t>No. BPKB</t>
  </si>
  <si>
    <t>Nopol</t>
  </si>
  <si>
    <t>- Surat Berharga/Logam Mulia</t>
  </si>
  <si>
    <t>Jenis</t>
  </si>
  <si>
    <t>Nomor</t>
  </si>
  <si>
    <t>Sertipikat Hak Guna Bangunan</t>
  </si>
  <si>
    <t>Sertipikat Rusun/Apartemen</t>
  </si>
  <si>
    <t>Sertipikat Hak Guna Usaha</t>
  </si>
  <si>
    <t>Akta Jual Beli</t>
  </si>
  <si>
    <t>Akta Hibah</t>
  </si>
  <si>
    <t>SIPTB</t>
  </si>
  <si>
    <t>SKMHT&amp;APHT</t>
  </si>
  <si>
    <t>Warmeking</t>
  </si>
  <si>
    <t>Mitigasi Risiko</t>
  </si>
  <si>
    <t>Non Litigasi (Musyawarah/Mediasi)</t>
  </si>
  <si>
    <t>Litigasi, Gugatan Melalui (PA/KPKNL/Kepolisian)</t>
  </si>
  <si>
    <t>Pick-Up Angsuran/Adanya Agunan</t>
  </si>
  <si>
    <t>F</t>
  </si>
  <si>
    <t>a. Persentase Agunan</t>
  </si>
  <si>
    <t>b. Pengikatan Agunan</t>
  </si>
  <si>
    <t>- Agunan rumah/bangunan kebakaran</t>
  </si>
  <si>
    <t>- Agunan kendaraan hilang/rusak</t>
  </si>
  <si>
    <t>Akad Pembiayaan (PG)</t>
  </si>
  <si>
    <t>Manajer Bisnis</t>
  </si>
  <si>
    <t>Bukti Penggunaan Dana Pembiayaan Sebelumnya (PG)</t>
  </si>
  <si>
    <t>7 - 8 Tahun</t>
  </si>
  <si>
    <t>5 - 6 Tahun</t>
  </si>
  <si>
    <t>3 - 4 Tahun</t>
  </si>
  <si>
    <t>1 - 2 Tahun</t>
  </si>
  <si>
    <t>MMQ RS</t>
  </si>
  <si>
    <t>Proyeksi Surplus/Minus Cashflow</t>
  </si>
  <si>
    <t>Proyeksi Bagi Hasil/Bulan</t>
  </si>
  <si>
    <t>Proyeksi Angsuran Pokok&amp;Bagas/Bln</t>
  </si>
  <si>
    <t>Proyeksi Angsuran Pokok/Bulan</t>
  </si>
  <si>
    <t>Qardh</t>
  </si>
  <si>
    <t>IMBT RS</t>
  </si>
  <si>
    <t>Nama AO (M)</t>
  </si>
  <si>
    <t>Jenis Kategori Nasabah (PG)</t>
  </si>
  <si>
    <t>Kepemilikan Tempat Tinggal (PG)</t>
  </si>
  <si>
    <t>Status Karyawan (PG)</t>
  </si>
  <si>
    <t>Bidang Usaha Pekerjaan (PG)</t>
  </si>
  <si>
    <t>Bonafiditas Perusahaan (PG)</t>
  </si>
  <si>
    <t>Usia Pensiun (O)</t>
  </si>
  <si>
    <t>Surat Keterangan Bekerja (PG)</t>
  </si>
  <si>
    <t>Slip Gaji (PG)</t>
  </si>
  <si>
    <t>Rekening Gaji (PG)</t>
  </si>
  <si>
    <t>Reputasi di Tempat Kerja dan Tempat Tinggal (PG)</t>
  </si>
  <si>
    <t>Indikator Reputasi di Tempat Kerja dan Tempat Tinggal (M)</t>
  </si>
  <si>
    <t>Jenis Surat/Dokumen (PG)</t>
  </si>
  <si>
    <t>Total (O)</t>
  </si>
  <si>
    <t>Persentase Potongan Gaji (%)(PG)</t>
  </si>
  <si>
    <t>Gaji Bulanan (THP) (M)</t>
  </si>
  <si>
    <t>Uang Lembur (M)</t>
  </si>
  <si>
    <t>Pendapatan Tetap Lainnya (M)</t>
  </si>
  <si>
    <t>Total Pendapatan Tetap (O)</t>
  </si>
  <si>
    <t>TOTAL (O)</t>
  </si>
  <si>
    <t>Jenis Asset (M)</t>
  </si>
  <si>
    <t>Jumlah (O)</t>
  </si>
  <si>
    <t>Nama Bank (O)</t>
  </si>
  <si>
    <t>Jumlah (M)</t>
  </si>
  <si>
    <t>Tahun Perolehan (M)</t>
  </si>
  <si>
    <t>Nilai Taksasi Bank (M)</t>
  </si>
  <si>
    <t>Total Asset (O)</t>
  </si>
  <si>
    <t>O: Otomatis</t>
  </si>
  <si>
    <t>M: Manual</t>
  </si>
  <si>
    <t>PG: Pilihan Ganda</t>
  </si>
  <si>
    <t>Jangka Waktu/Bulan (PG)</t>
  </si>
  <si>
    <t>Nilai Bank (O)</t>
  </si>
  <si>
    <t>Nilai Agunan (%) (M)</t>
  </si>
  <si>
    <t>Paripasu (M)</t>
  </si>
  <si>
    <t>Nominal (M)</t>
  </si>
  <si>
    <t>BANK (M):</t>
  </si>
  <si>
    <t>Nomor Rekening (M):</t>
  </si>
  <si>
    <t>Atas Nama (M):</t>
  </si>
  <si>
    <t>Currency (M):</t>
  </si>
  <si>
    <t>Saldo Awal (M):</t>
  </si>
  <si>
    <t>Jumlah Permohonan (M)</t>
  </si>
  <si>
    <t>Peng ikatan (PG)</t>
  </si>
  <si>
    <t>Nilai Agunan</t>
  </si>
  <si>
    <t>(%) (M)</t>
  </si>
  <si>
    <t>Tujuan Penggunaan Dana (M)</t>
  </si>
  <si>
    <t>ASPEK LEGALITAS AGUNAN</t>
  </si>
  <si>
    <t>Latar Belakang Nasabah (M)</t>
  </si>
  <si>
    <t>Pengalaman Bekerja Nasabah (M)</t>
  </si>
  <si>
    <t>- Agunan Kendaraan Bermotor</t>
  </si>
  <si>
    <t>Atas Nama (M)</t>
  </si>
  <si>
    <t>KJPP/Internal (M)</t>
  </si>
  <si>
    <t>Agunan (%) (M)</t>
  </si>
  <si>
    <t>Pengikatan (PG)</t>
  </si>
  <si>
    <t>Calon Nasabah</t>
  </si>
  <si>
    <t>ASPEK LEGALITAS NASABAH</t>
  </si>
  <si>
    <t>Total Nilai Agunan (O) :</t>
  </si>
  <si>
    <t>Lokasi  Agunan (M)</t>
  </si>
  <si>
    <t>a. Jenis Kategori Nasabah</t>
  </si>
  <si>
    <t>b. Jenis Kelamin</t>
  </si>
  <si>
    <t>c. Usia</t>
  </si>
  <si>
    <t>d. Status Perkawinan</t>
  </si>
  <si>
    <t>e. Jumlah Tanggungan</t>
  </si>
  <si>
    <t>f. Tingkat Pendidikan</t>
  </si>
  <si>
    <t>g. Kepemilikan Tempat Tinggal</t>
  </si>
  <si>
    <t>h. Status Karyawan</t>
  </si>
  <si>
    <t>i. Bidang Usaha Pekerjaan</t>
  </si>
  <si>
    <t>j. Bonafiditas Perusahaan</t>
  </si>
  <si>
    <t>k. Usia Pensiun</t>
  </si>
  <si>
    <t>l. Surat Keterangan Bekerja</t>
  </si>
  <si>
    <t>m. Slip Gaji</t>
  </si>
  <si>
    <t>n. Rekening Gaji</t>
  </si>
  <si>
    <t>o. Reputasi di Tempat Bekerja dan Tempat Tinggal</t>
  </si>
  <si>
    <t>PENJUALAN</t>
  </si>
  <si>
    <t>BULAN  I</t>
  </si>
  <si>
    <t>BULAN  II</t>
  </si>
  <si>
    <t>BULAN III</t>
  </si>
  <si>
    <t>Hari</t>
  </si>
  <si>
    <t>Omset/Hari</t>
  </si>
  <si>
    <t>Omset/Bulan</t>
  </si>
  <si>
    <t>Omzet/Bulan</t>
  </si>
  <si>
    <t>RATA-RATA</t>
  </si>
  <si>
    <t>3. BIAYA TENAGA KERJA</t>
  </si>
  <si>
    <t>Jumlah Tenaga Kerja Yang Digaji Harian (M)</t>
  </si>
  <si>
    <t>Besarnya Upah Per Hari Per Orang (M)</t>
  </si>
  <si>
    <t>Jumlah Tenaga Kerja Yang Digaji Mingguan (M)</t>
  </si>
  <si>
    <t>Besarnya Upah Per Minggu Per Orang (M)</t>
  </si>
  <si>
    <t>Jumlah Tenaga Kerja Yang Digaji Bulanan (M)</t>
  </si>
  <si>
    <t>Besarnya Upah Per Bulan Per Orang (M)</t>
  </si>
  <si>
    <t>TOTAL BIAYA TENAGA KERJA (O)</t>
  </si>
  <si>
    <t>4. BIAYA USAHA</t>
  </si>
  <si>
    <t>Biaya LISTRIK &amp; Air Tempat Usaha (M)</t>
  </si>
  <si>
    <t>Biaya Perawatan (M)</t>
  </si>
  <si>
    <t>Biaya SEWA Tempat Usaha (M)</t>
  </si>
  <si>
    <t>Biaya Transportasi &amp; Perawatan (M)</t>
  </si>
  <si>
    <t>Biaya HANDPHONE Usaha (M)</t>
  </si>
  <si>
    <t>TOTAL BIAYA USAHA (O)</t>
  </si>
  <si>
    <t>Total Biaya</t>
  </si>
  <si>
    <t>% RPC/NPM</t>
  </si>
  <si>
    <t>1. PENDAPATAN TETAP</t>
  </si>
  <si>
    <t>2. PENDAPATAN TIDAK TETAP</t>
  </si>
  <si>
    <t>RPC/NPM</t>
  </si>
  <si>
    <t>Nominal</t>
  </si>
  <si>
    <t>Omzet/Hari</t>
  </si>
  <si>
    <t>Nama Barang</t>
  </si>
  <si>
    <t>Omset/Bulan (O)</t>
  </si>
  <si>
    <t>Rata-Rata Penjualan 3 Bulan Terakhir</t>
  </si>
  <si>
    <t>Nama Bank</t>
  </si>
  <si>
    <t>Baki Debet</t>
  </si>
  <si>
    <t>Biaya Lain-Lain</t>
  </si>
  <si>
    <t xml:space="preserve">% </t>
  </si>
  <si>
    <t>Margin/ Tahun</t>
  </si>
  <si>
    <t>Angsuran/ Bulan</t>
  </si>
  <si>
    <t>Tgl. Mulai</t>
  </si>
  <si>
    <t>Tgl. Akhir</t>
  </si>
  <si>
    <t>Pangsa</t>
  </si>
  <si>
    <t>Kol</t>
  </si>
  <si>
    <t>Dilunasi</t>
  </si>
  <si>
    <t>Sudah diserahkan kepada penjual, bukti pembayaran/kwitansi terlampir</t>
  </si>
  <si>
    <t>Jumlah Permohonan</t>
  </si>
  <si>
    <t>100% s.d 125%</t>
  </si>
  <si>
    <t>&gt;125% s.d 150%</t>
  </si>
  <si>
    <t>&gt;150%</t>
  </si>
  <si>
    <t>&lt;100%</t>
  </si>
  <si>
    <t>4. LABA RUGI USAHA</t>
  </si>
  <si>
    <t>Taksiran Pajak</t>
  </si>
  <si>
    <t>max</t>
  </si>
  <si>
    <t>PELUNASAN BANK</t>
  </si>
  <si>
    <t>JUMLAH PELUNASAN (O)</t>
  </si>
  <si>
    <t xml:space="preserve">Nama Bank </t>
  </si>
  <si>
    <t>Laba Kotor</t>
  </si>
  <si>
    <t>Laba Sebelum Pajak</t>
  </si>
  <si>
    <t>Laba Bersih</t>
  </si>
  <si>
    <t>RPC Pendapatan Tetap</t>
  </si>
  <si>
    <t>RPC Pendapatan Tidak Tetap</t>
  </si>
  <si>
    <t>Menyetujui,</t>
  </si>
  <si>
    <t>Data Pembiayaan/Kredit berdasarkan hasil Slik OJK (data Slik terlampir)</t>
  </si>
  <si>
    <t/>
  </si>
  <si>
    <t/>
  </si>
  <si>
    <t/>
  </si>
  <si>
    <t>Pengusul</t>
  </si>
  <si>
    <t/>
  </si>
  <si>
    <t>Koord. Marketing</t>
  </si>
  <si>
    <t xml:space="preserve">REKOMENDASI USULAN PEMBIAYAAN </t>
  </si>
  <si>
    <t xml:space="preserve">Nama </t>
  </si>
  <si>
    <t xml:space="preserve">Maksimal Plaffond </t>
  </si>
  <si>
    <t xml:space="preserve">Harga Jual </t>
  </si>
  <si>
    <t>Akad</t>
  </si>
  <si>
    <t>Tujuan Penggunaan</t>
  </si>
  <si>
    <t>Angsuran Margin</t>
  </si>
  <si>
    <t>Angsuran Per bulan</t>
  </si>
  <si>
    <t>Biaya Asuransi</t>
  </si>
  <si>
    <t/>
  </si>
  <si>
    <t>Biaya ADM</t>
  </si>
  <si>
    <t>Tabungan Blokiran</t>
  </si>
  <si>
    <t>Rate</t>
  </si>
  <si>
    <t>Skema Angsuran</t>
  </si>
  <si>
    <t>Mengetahui</t>
  </si>
  <si>
    <t/>
  </si>
  <si>
    <t>Koord Marketing</t>
  </si>
  <si>
    <t/>
  </si>
  <si>
    <t/>
  </si>
  <si>
    <t>Nomor REGISTER</t>
  </si>
  <si>
    <t>Nomor PROPOSAL</t>
  </si>
  <si>
    <t/>
  </si>
  <si>
    <t/>
  </si>
  <si>
    <t xml:space="preserve">Nama Anak Yang Dapat </t>
  </si>
  <si>
    <t xml:space="preserve">Dari Kesimpulan tersebut maka calon Pemohon dapat direkomendasikan </t>
  </si>
  <si>
    <t xml:space="preserve">untuk mendpatkan pembiayaan sebagai berikut: </t>
  </si>
  <si>
    <t/>
  </si>
  <si>
    <t/>
  </si>
  <si>
    <t/>
  </si>
  <si>
    <t/>
  </si>
  <si>
    <t/>
  </si>
  <si>
    <t>Kabag. Marketing</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</si>
  <si>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</si>
  <si>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</si>
  <si>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</si>
  <si>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</si>
  <si>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</si>
  <si>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</si>
  <si>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</si>
  <si>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</si>
  <si>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</si>
  <si>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</si>
  <si>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</si>
  <si>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</si>
  <si>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</si>
  <si>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</si>
  <si>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</si>
  <si>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</si>
  <si>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</si>
  <si>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</si>
  <si>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</si>
  <si>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</si>
  <si>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</si>
  <si>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</si>
  <si>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</si>
  <si>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</si>
  <si>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</si>
  <si>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</si>
  <si>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</si>
  <si>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</si>
  <si>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</si>
  <si>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</si>
  <si>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</si>
  <si>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</si>
  <si>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</si>
  <si>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</si>
  <si>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</si>
  <si>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Selain potong gaji pemohon menjaminkan aset sebagai berikut :</t>
  </si>
  <si>
    <t/>
  </si>
  <si>
    <t/>
  </si>
  <si>
    <t>Catatan :</t>
  </si>
  <si>
    <t>Kartu ATM dan Buku tabungan sebagai alat trasaksi gaji</t>
  </si>
  <si>
    <t xml:space="preserve">Disimpan dikantor sampai dengan pembiayaan lunas </t>
  </si>
  <si>
    <t>Angsuran Per tgl 10</t>
  </si>
  <si>
    <t>Angsuran Per tgl 25</t>
  </si>
  <si>
    <t>Biaya Notaris</t>
  </si>
</sst>
</file>

<file path=xl/styles.xml><?xml version="1.0" encoding="utf-8"?>
<styleSheet xmlns="http://schemas.openxmlformats.org/spreadsheetml/2006/main" xmlns:mc="http://schemas.openxmlformats.org/markup-compatibility/2006" xmlns:x14ac="http://schemas.microsoft.com/office/spreadsheetml/2009/9/ac" mc:Ignorable="x14ac">
  <numFmts count="29">
    <numFmt numFmtId="41" formatCode="_(* #,##0_);_(* \(#,##0\);_(* &quot;-&quot;_);_(@_)"/>
    <numFmt numFmtId="44" formatCode="_(&quot;$&quot;* #,##0.00_);_(&quot;$&quot;* \(#,##0.00\);_(&quot;$&quot;* &quot;-&quot;??_);_(@_)"/>
    <numFmt numFmtId="43" formatCode="_(* #,##0.00_);_(* \(#,##0.00\);_(* &quot;-&quot;??_);_(@_)"/>
    <numFmt numFmtId="164" formatCode="_(&quot;Rp&quot;* #,##0_);_(&quot;Rp&quot;* \(#,##0\);_(&quot;Rp&quot;* &quot;-&quot;_);_(@_)"/>
    <numFmt numFmtId="165" formatCode="_(* #,##0_);_(* \(#,##0\);_(* &quot;-&quot;??_);_(@_)"/>
    <numFmt numFmtId="166" formatCode="#,##0.000_);\(#,##0.000\)"/>
    <numFmt numFmtId="167" formatCode="dd/mmm/yyyy"/>
    <numFmt numFmtId="168" formatCode="_(* #,##0.00_);_(* \(#,##0.00\);_(* &quot;-&quot;_);_(@_)"/>
    <numFmt numFmtId="169" formatCode="0.0%"/>
    <numFmt numFmtId="170" formatCode="#,##0.0000"/>
    <numFmt numFmtId="171" formatCode="[$-409]mmm\-yy;@"/>
    <numFmt numFmtId="172" formatCode="0.00_)"/>
    <numFmt numFmtId="173" formatCode="0.0000_)"/>
    <numFmt numFmtId="174" formatCode="0.0_)"/>
    <numFmt numFmtId="175" formatCode="#,##0.000"/>
    <numFmt numFmtId="176" formatCode="0.0000000%"/>
    <numFmt numFmtId="177" formatCode="[$-409]d\-mmm\-yyyy;@"/>
    <numFmt numFmtId="178" formatCode="_([$Rp-421]* #,##0_);_([$Rp-421]* \(#,##0\);_([$Rp-421]* &quot;-&quot;_);_(@_)"/>
    <numFmt numFmtId="179" formatCode="[$Rp-421]#,##0"/>
    <numFmt numFmtId="180" formatCode="[$Rp-421]#,##0_);\([$Rp-421]#,##0\)"/>
    <numFmt numFmtId="181" formatCode="0.000"/>
    <numFmt numFmtId="182" formatCode="[$-409]dd\-mmm\-yy;@"/>
    <numFmt numFmtId="183" formatCode="[$-409]d\-mmm\-yy;@"/>
    <numFmt numFmtId="184" formatCode="_(&quot;Rp.&quot;* #,##0_);_(&quot;Rp.&quot;* \(#,##0\);_(&quot;Rp.&quot;* &quot;-&quot;??_);_(@_)"/>
    <numFmt numFmtId="185" formatCode="#,##0.00;[Red]#,##0.00"/>
    <numFmt numFmtId="186" formatCode="@\ * &quot;:&quot;"/>
    <numFmt numFmtId="187" formatCode="#,###"/>
    <numFmt numFmtId="188" formatCode="[$Rp-421]#,##0;[Red][$Rp-421]#,##0"/>
    <numFmt numFmtId="189" formatCode="[$Rp-421]#,##0.00;[Red][$Rp-421]#,##0.00"/>
  </numFmts>
  <fonts count="125">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Calibri"/>
      <family val="2"/>
    </font>
    <font>
      <b/>
      <sz val="10"/>
      <name val="Arial"/>
      <family val="2"/>
    </font>
    <font>
      <sz val="11"/>
      <color rgb="FF000000"/>
      <name val="Calibri"/>
      <family val="2"/>
    </font>
    <font>
      <sz val="11"/>
      <name val="Calibri"/>
      <family val="2"/>
    </font>
    <font>
      <sz val="11"/>
      <name val="Calibri"/>
      <family val="2"/>
      <charset val="1"/>
      <scheme val="minor"/>
    </font>
    <font>
      <b/>
      <sz val="14"/>
      <name val="Calibri"/>
      <family val="2"/>
      <scheme val="minor"/>
    </font>
    <font>
      <b/>
      <sz val="11"/>
      <name val="Calibri"/>
      <family val="2"/>
      <scheme val="minor"/>
    </font>
    <font>
      <sz val="11"/>
      <name val="Calibri"/>
      <family val="2"/>
      <scheme val="minor"/>
    </font>
    <font>
      <sz val="10"/>
      <name val="Calibri"/>
      <family val="2"/>
      <charset val="1"/>
      <scheme val="minor"/>
    </font>
    <font>
      <sz val="10"/>
      <name val="Arial"/>
      <family val="2"/>
    </font>
    <font>
      <sz val="9"/>
      <name val="Arial"/>
      <family val="2"/>
    </font>
    <font>
      <b/>
      <sz val="11"/>
      <name val="Calibri"/>
      <family val="2"/>
    </font>
    <font>
      <sz val="11"/>
      <name val="Calibri"/>
      <family val="2"/>
    </font>
    <font>
      <b/>
      <sz val="11"/>
      <color theme="1"/>
      <name val="Calibri"/>
      <family val="2"/>
      <scheme val="minor"/>
    </font>
    <font>
      <sz val="10"/>
      <name val="Calibri"/>
      <family val="2"/>
    </font>
    <font>
      <sz val="11"/>
      <color theme="1"/>
      <name val="Calibri"/>
      <family val="2"/>
      <scheme val="minor"/>
    </font>
    <font>
      <sz val="12"/>
      <name val="Calibri"/>
      <family val="2"/>
      <scheme val="minor"/>
    </font>
    <font>
      <b/>
      <u/>
      <sz val="11"/>
      <name val="Calibri"/>
      <family val="2"/>
    </font>
    <font>
      <sz val="14"/>
      <color theme="1"/>
      <name val="Calibri"/>
      <family val="2"/>
      <charset val="1"/>
      <scheme val="minor"/>
    </font>
    <font>
      <b/>
      <sz val="16"/>
      <name val="Arial"/>
      <family val="2"/>
    </font>
    <font>
      <b/>
      <sz val="20"/>
      <name val="Arial"/>
      <family val="2"/>
    </font>
    <font>
      <b/>
      <sz val="8"/>
      <name val="Arial"/>
      <family val="2"/>
    </font>
    <font>
      <sz val="9"/>
      <name val="Courier New"/>
      <family val="3"/>
    </font>
    <font>
      <b/>
      <sz val="10"/>
      <name val="Courier New"/>
      <family val="3"/>
    </font>
    <font>
      <sz val="10"/>
      <name val="Courier New"/>
      <family val="3"/>
    </font>
    <font>
      <b/>
      <sz val="9"/>
      <name val="Courier New"/>
      <family val="3"/>
    </font>
    <font>
      <sz val="10"/>
      <name val="Arial Narrow"/>
      <family val="2"/>
    </font>
    <font>
      <i/>
      <sz val="9"/>
      <name val="Courier New"/>
      <family val="3"/>
    </font>
    <font>
      <sz val="9"/>
      <color rgb="FFFF0000"/>
      <name val="Courier New"/>
      <family val="3"/>
    </font>
    <font>
      <b/>
      <i/>
      <sz val="16"/>
      <name val="Helv"/>
    </font>
    <font>
      <sz val="9"/>
      <color indexed="81"/>
      <name val="Tahoma"/>
      <family val="2"/>
    </font>
    <font>
      <sz val="12"/>
      <color theme="1"/>
      <name val="Calibri"/>
      <family val="2"/>
      <charset val="1"/>
      <scheme val="minor"/>
    </font>
    <font>
      <i/>
      <sz val="11"/>
      <name val="Calibri"/>
      <family val="2"/>
    </font>
    <font>
      <sz val="12"/>
      <name val="Bahnschrift Light Condensed"/>
      <family val="2"/>
    </font>
    <font>
      <b/>
      <sz val="12"/>
      <name val="Bahnschrift Light Condensed"/>
      <family val="2"/>
    </font>
    <font>
      <b/>
      <sz val="12"/>
      <color theme="1"/>
      <name val="Bahnschrift Light Condensed"/>
      <family val="2"/>
    </font>
    <font>
      <i/>
      <sz val="12"/>
      <name val="Calibri"/>
      <family val="2"/>
      <scheme val="minor"/>
    </font>
    <font>
      <b/>
      <sz val="12"/>
      <name val="Calibri"/>
      <family val="2"/>
      <scheme val="minor"/>
    </font>
    <font>
      <b/>
      <sz val="12"/>
      <name val="Bahnschrift Light Condensed"/>
      <family val="2"/>
    </font>
    <font>
      <sz val="12"/>
      <name val="Calibri"/>
      <family val="2"/>
    </font>
    <font>
      <sz val="12"/>
      <color rgb="FF000000"/>
      <name val="Calibri"/>
      <family val="2"/>
      <scheme val="minor"/>
    </font>
    <font>
      <b/>
      <sz val="11"/>
      <color theme="0"/>
      <name val="Calibri"/>
      <family val="2"/>
    </font>
    <font>
      <b/>
      <sz val="11"/>
      <color theme="0"/>
      <name val="Calibri"/>
      <family val="2"/>
      <scheme val="minor"/>
    </font>
    <font>
      <sz val="11"/>
      <color rgb="FF002060"/>
      <name val="Calibri"/>
      <family val="2"/>
    </font>
    <font>
      <b/>
      <sz val="12"/>
      <color theme="0"/>
      <name val="Calibri"/>
      <family val="2"/>
    </font>
    <font>
      <b/>
      <sz val="16"/>
      <color rgb="FF002060"/>
      <name val="Calibri"/>
      <family val="2"/>
    </font>
    <font>
      <b/>
      <sz val="12"/>
      <color theme="0"/>
      <name val="Times New Roman"/>
      <family val="1"/>
    </font>
    <font>
      <sz val="9"/>
      <color theme="0"/>
      <name val="Courier New"/>
      <family val="3"/>
    </font>
    <font>
      <sz val="9"/>
      <name val="Calibri"/>
      <family val="2"/>
    </font>
    <font>
      <sz val="9"/>
      <name val="Calibri"/>
      <family val="2"/>
      <scheme val="minor"/>
    </font>
    <font>
      <b/>
      <sz val="12"/>
      <name val="Tahoma"/>
      <family val="2"/>
    </font>
    <font>
      <sz val="11"/>
      <name val="Tahoma"/>
      <family val="2"/>
    </font>
    <font>
      <b/>
      <sz val="11"/>
      <color rgb="FF444444"/>
      <name val="Droid Serif"/>
    </font>
    <font>
      <b/>
      <sz val="11"/>
      <name val="Tahoma"/>
      <family val="2"/>
    </font>
    <font>
      <b/>
      <sz val="11"/>
      <color theme="0"/>
      <name val="Tahoma"/>
      <family val="2"/>
    </font>
    <font>
      <sz val="11"/>
      <name val="Times New Roman"/>
      <family val="1"/>
    </font>
    <font>
      <sz val="11"/>
      <color rgb="FFFF0000"/>
      <name val="Tahoma"/>
      <family val="2"/>
    </font>
    <font>
      <b/>
      <u/>
      <sz val="11"/>
      <name val="Tahoma"/>
      <family val="2"/>
    </font>
    <font>
      <b/>
      <sz val="14"/>
      <name val="Calibri"/>
      <family val="2"/>
    </font>
    <font>
      <sz val="9"/>
      <color rgb="FFC00000"/>
      <name val="Courier New"/>
      <family val="3"/>
    </font>
    <font>
      <b/>
      <sz val="12"/>
      <color theme="1"/>
      <name val="Calibri"/>
      <family val="2"/>
      <scheme val="minor"/>
    </font>
    <font>
      <sz val="16"/>
      <color rgb="FFFF0000"/>
      <name val="Calibri"/>
      <family val="2"/>
    </font>
    <font>
      <sz val="11"/>
      <color rgb="FFFFFFFF"/>
      <name val="Arial"/>
      <family val="2"/>
    </font>
    <font>
      <sz val="11"/>
      <color rgb="FFFFFFFF"/>
      <name val="Arial"/>
      <family val="2"/>
    </font>
    <font>
      <b/>
      <sz val="10"/>
      <color theme="1"/>
      <name val="Arial Narrow"/>
      <family val="2"/>
    </font>
    <font>
      <i/>
      <sz val="10"/>
      <name val="Calibri"/>
      <family val="2"/>
    </font>
    <font>
      <sz val="10"/>
      <color theme="0"/>
      <name val="Arial"/>
      <family val="2"/>
    </font>
    <font>
      <b/>
      <sz val="9"/>
      <name val="Times New Roman"/>
      <family val="1"/>
    </font>
    <font>
      <sz val="9"/>
      <name val="Times New Roman"/>
      <family val="1"/>
    </font>
    <font>
      <sz val="10"/>
      <color rgb="FFFF0000"/>
      <name val="Arial"/>
      <family val="2"/>
    </font>
    <font>
      <sz val="10"/>
      <color indexed="10"/>
      <name val="Arial"/>
      <family val="2"/>
    </font>
    <font>
      <b/>
      <sz val="11"/>
      <name val="Arial"/>
      <family val="2"/>
    </font>
    <font>
      <sz val="11"/>
      <name val="Arial"/>
      <family val="2"/>
    </font>
    <font>
      <b/>
      <sz val="13"/>
      <color theme="0"/>
      <name val="Calibri"/>
      <family val="2"/>
    </font>
    <font>
      <u val="singleAccounting"/>
      <sz val="11"/>
      <name val="Calibri"/>
      <family val="2"/>
    </font>
    <font>
      <i/>
      <sz val="11"/>
      <color rgb="FFFF0000"/>
      <name val="Calibri"/>
      <family val="2"/>
    </font>
    <font>
      <b/>
      <sz val="12"/>
      <name val="Cambria"/>
      <family val="1"/>
      <scheme val="major"/>
    </font>
    <font>
      <b/>
      <sz val="14"/>
      <color theme="0"/>
      <name val="Arial Black"/>
      <family val="2"/>
    </font>
    <font>
      <sz val="11"/>
      <color theme="0"/>
      <name val="Calibri"/>
      <family val="2"/>
    </font>
    <font>
      <b/>
      <vertAlign val="superscript"/>
      <sz val="11"/>
      <name val="Calibri"/>
      <family val="2"/>
    </font>
    <font>
      <sz val="11"/>
      <name val="Arial Narrow"/>
      <family val="2"/>
    </font>
    <font>
      <sz val="9"/>
      <name val="Arial Narrow"/>
      <family val="2"/>
    </font>
    <font>
      <b/>
      <sz val="11"/>
      <name val="Arial Narrow"/>
      <family val="2"/>
    </font>
    <font>
      <b/>
      <sz val="11"/>
      <color rgb="FF0070C0"/>
      <name val="Calibri"/>
      <family val="2"/>
    </font>
    <font>
      <b/>
      <i/>
      <sz val="12"/>
      <name val="Calibri"/>
      <family val="2"/>
      <scheme val="minor"/>
    </font>
    <font>
      <sz val="12"/>
      <name val="Courier New"/>
      <family val="3"/>
    </font>
    <font>
      <sz val="12"/>
      <color theme="1"/>
      <name val="Calibri"/>
      <family val="2"/>
      <scheme val="minor"/>
    </font>
    <font>
      <b/>
      <sz val="12"/>
      <color rgb="FF002060"/>
      <name val="Calibri"/>
      <family val="2"/>
      <scheme val="minor"/>
    </font>
    <font>
      <u val="singleAccounting"/>
      <sz val="12"/>
      <color rgb="FFFF0000"/>
      <name val="Calibri"/>
      <family val="2"/>
      <scheme val="minor"/>
    </font>
    <font>
      <sz val="12"/>
      <color rgb="FFFF0000"/>
      <name val="Calibri"/>
      <family val="2"/>
      <scheme val="minor"/>
    </font>
    <font>
      <b/>
      <sz val="12"/>
      <color rgb="FF002060"/>
      <name val="Calibri"/>
      <family val="2"/>
    </font>
    <font>
      <b/>
      <sz val="12"/>
      <color theme="1"/>
      <name val="Calibri"/>
      <family val="2"/>
    </font>
    <font>
      <b/>
      <sz val="11"/>
      <color rgb="FF002060"/>
      <name val="Arial Black"/>
      <family val="2"/>
    </font>
    <font>
      <b/>
      <sz val="12"/>
      <color rgb="FF002060"/>
      <name val="Cambria"/>
      <family val="1"/>
    </font>
    <font>
      <b/>
      <sz val="14"/>
      <color theme="1"/>
      <name val="Calibri"/>
      <family val="2"/>
      <scheme val="minor"/>
    </font>
    <font>
      <b/>
      <sz val="14"/>
      <color theme="1"/>
      <name val="Calibri"/>
      <family val="2"/>
    </font>
    <font>
      <b/>
      <sz val="12"/>
      <color theme="1"/>
      <name val="Calibri (Body)"/>
    </font>
    <font>
      <sz val="12"/>
      <name val="Calibri (Body)"/>
    </font>
    <font>
      <b/>
      <sz val="12"/>
      <name val="Calibri (Body)"/>
    </font>
    <font>
      <b/>
      <sz val="13"/>
      <color theme="1"/>
      <name val="Calibri"/>
      <family val="2"/>
    </font>
    <font>
      <b/>
      <sz val="15"/>
      <name val="Calibri"/>
      <family val="2"/>
    </font>
    <font>
      <sz val="12"/>
      <name val="Calibri"/>
      <family val="2"/>
      <charset val="1"/>
      <scheme val="minor"/>
    </font>
    <font>
      <sz val="12"/>
      <color rgb="FFFFFFFF"/>
      <name val="Arial"/>
      <family val="2"/>
    </font>
    <font>
      <b/>
      <sz val="12"/>
      <name val="Calibri"/>
      <family val="2"/>
      <charset val="1"/>
      <scheme val="minor"/>
    </font>
    <font>
      <i/>
      <sz val="12"/>
      <name val="Calibri"/>
      <family val="2"/>
    </font>
    <font>
      <b/>
      <sz val="11"/>
      <color rgb="FF002060"/>
      <name val="Calibri"/>
      <family val="2"/>
    </font>
    <font>
      <b/>
      <sz val="14"/>
      <color rgb="FF002060"/>
      <name val="Cambria"/>
      <family val="1"/>
      <scheme val="major"/>
    </font>
    <font>
      <b/>
      <sz val="11"/>
      <color theme="1"/>
      <name val="Arial"/>
      <family val="2"/>
    </font>
    <font>
      <u/>
      <sz val="11"/>
      <name val="Arial"/>
      <family val="2"/>
    </font>
    <font>
      <u val="singleAccounting"/>
      <sz val="11"/>
      <name val="Arial"/>
      <family val="2"/>
    </font>
    <font>
      <b/>
      <sz val="10"/>
      <name val="Arial Narrow"/>
      <family val="2"/>
    </font>
    <font>
      <b/>
      <u/>
      <sz val="16"/>
      <name val="Calibri"/>
      <family val="2"/>
    </font>
    <font>
      <sz val="11"/>
      <name val="Century Gothic"/>
      <family val="2"/>
    </font>
    <font>
      <u val="singleAccounting"/>
      <sz val="12"/>
      <name val="Calibri"/>
      <family val="2"/>
    </font>
    <font>
      <sz val="12"/>
      <name val="Arial"/>
      <family val="2"/>
    </font>
    <font>
      <sz val="12"/>
      <color theme="0"/>
      <name val="Arial"/>
      <family val="2"/>
    </font>
    <font>
      <sz val="10"/>
      <name val="Arial"/>
      <family val="2"/>
      <charset val="178"/>
    </font>
    <font>
      <sz val="12"/>
      <color rgb="FFFF0000"/>
      <name val="Calibri"/>
      <family val="2"/>
    </font>
    <font>
      <b/>
      <u/>
      <sz val="10"/>
      <name val="Arial Narrow"/>
      <family val="2"/>
    </font>
    <font>
      <b/>
      <i/>
      <sz val="10"/>
      <name val="Arial Narrow"/>
      <family val="2"/>
    </font>
  </fonts>
  <fills count="3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00B0F0"/>
        <bgColor indexed="64"/>
      </patternFill>
    </fill>
    <fill>
      <patternFill patternType="solid">
        <fgColor theme="3"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B2EAFE"/>
        <bgColor indexed="64"/>
      </patternFill>
    </fill>
    <fill>
      <patternFill patternType="solid">
        <fgColor rgb="FF0070C0"/>
        <bgColor indexed="64"/>
      </patternFill>
    </fill>
    <fill>
      <patternFill patternType="solid">
        <fgColor rgb="FFFDF5B9"/>
        <bgColor indexed="64"/>
      </patternFill>
    </fill>
    <fill>
      <patternFill patternType="solid">
        <fgColor rgb="FFCCFFCC"/>
        <bgColor indexed="64"/>
      </patternFill>
    </fill>
    <fill>
      <patternFill patternType="solid">
        <fgColor rgb="FF7030A0"/>
        <bgColor indexed="64"/>
      </patternFill>
    </fill>
    <fill>
      <patternFill patternType="solid">
        <fgColor rgb="FF002060"/>
        <bgColor indexed="64"/>
      </patternFill>
    </fill>
    <fill>
      <patternFill patternType="solid">
        <fgColor theme="7" tint="0.79998168889431442"/>
        <bgColor indexed="64"/>
      </patternFill>
    </fill>
    <fill>
      <patternFill patternType="solid">
        <fgColor theme="9"/>
        <bgColor indexed="64"/>
      </patternFill>
    </fill>
    <fill>
      <patternFill patternType="solid">
        <fgColor theme="8" tint="0.59999389629810485"/>
        <bgColor indexed="64"/>
      </patternFill>
    </fill>
    <fill>
      <patternFill patternType="solid">
        <fgColor theme="0"/>
        <bgColor rgb="FF000000"/>
      </patternFill>
    </fill>
    <fill>
      <patternFill patternType="solid">
        <fgColor indexed="22"/>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4" tint="0.59999389629810485"/>
        <bgColor indexed="64"/>
      </patternFill>
    </fill>
  </fills>
  <borders count="73">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right style="thin">
        <color indexed="64"/>
      </right>
      <top style="medium">
        <color indexed="64"/>
      </top>
      <bottom/>
      <diagonal/>
    </border>
    <border>
      <left style="medium">
        <color indexed="64"/>
      </left>
      <right style="thin">
        <color indexed="64"/>
      </right>
      <top/>
      <bottom/>
      <diagonal/>
    </border>
    <border>
      <left/>
      <right style="thin">
        <color rgb="FF000000"/>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3">
    <xf numFmtId="0" fontId="0" fillId="0" borderId="0">
      <alignment vertical="center"/>
    </xf>
    <xf numFmtId="43" fontId="7" fillId="0" borderId="0">
      <alignment vertical="top"/>
      <protection locked="0"/>
    </xf>
    <xf numFmtId="9" fontId="8" fillId="0" borderId="0" applyFont="0" applyFill="0" applyBorder="0" applyAlignment="0" applyProtection="0"/>
    <xf numFmtId="41" fontId="17" fillId="0" borderId="0" applyFont="0" applyFill="0" applyBorder="0" applyAlignment="0" applyProtection="0"/>
    <xf numFmtId="0" fontId="14" fillId="0" borderId="0"/>
    <xf numFmtId="0" fontId="14" fillId="0" borderId="0"/>
    <xf numFmtId="9" fontId="31" fillId="0" borderId="0" applyFont="0" applyFill="0" applyBorder="0" applyAlignment="0" applyProtection="0"/>
    <xf numFmtId="0" fontId="14" fillId="0" borderId="0"/>
    <xf numFmtId="0" fontId="14" fillId="0" borderId="0"/>
    <xf numFmtId="41" fontId="14" fillId="0" borderId="0" applyFont="0" applyFill="0" applyBorder="0" applyAlignment="0" applyProtection="0"/>
    <xf numFmtId="174" fontId="14" fillId="0" borderId="0" applyFont="0" applyFill="0" applyBorder="0" applyAlignment="0" applyProtection="0"/>
    <xf numFmtId="176" fontId="14" fillId="0" borderId="0" applyFont="0" applyFill="0" applyBorder="0" applyAlignment="0" applyProtection="0"/>
    <xf numFmtId="172" fontId="34" fillId="0" borderId="0"/>
    <xf numFmtId="0" fontId="14" fillId="0" borderId="0"/>
    <xf numFmtId="173" fontId="14" fillId="0" borderId="0" applyFont="0" applyFill="0" applyBorder="0" applyAlignment="0" applyProtection="0"/>
    <xf numFmtId="175" fontId="14" fillId="0" borderId="0" applyFont="0" applyFill="0" applyBorder="0" applyAlignment="0" applyProtection="0"/>
    <xf numFmtId="0" fontId="14" fillId="0" borderId="0"/>
    <xf numFmtId="43" fontId="14" fillId="0" borderId="0" applyFont="0" applyFill="0" applyBorder="0" applyAlignment="0" applyProtection="0"/>
    <xf numFmtId="9" fontId="14" fillId="0" borderId="0" applyFont="0" applyFill="0" applyBorder="0" applyAlignment="0" applyProtection="0"/>
    <xf numFmtId="0" fontId="4" fillId="0" borderId="0"/>
    <xf numFmtId="0" fontId="3" fillId="0" borderId="0"/>
    <xf numFmtId="0" fontId="2" fillId="0" borderId="0"/>
    <xf numFmtId="41" fontId="8" fillId="0" borderId="0" applyFont="0" applyFill="0" applyBorder="0" applyAlignment="0" applyProtection="0"/>
    <xf numFmtId="0" fontId="1" fillId="0" borderId="0"/>
    <xf numFmtId="0" fontId="1" fillId="0" borderId="0"/>
    <xf numFmtId="0" fontId="1" fillId="0" borderId="0"/>
    <xf numFmtId="0" fontId="8" fillId="0" borderId="0">
      <alignment vertical="center"/>
    </xf>
    <xf numFmtId="43" fontId="121" fillId="0" borderId="0" applyFont="0" applyFill="0" applyBorder="0" applyAlignment="0" applyProtection="0"/>
    <xf numFmtId="0" fontId="14" fillId="0" borderId="0"/>
    <xf numFmtId="41" fontId="8" fillId="0" borderId="0" applyFont="0" applyFill="0" applyBorder="0" applyAlignment="0" applyProtection="0"/>
    <xf numFmtId="0" fontId="1" fillId="0" borderId="0"/>
    <xf numFmtId="0" fontId="1" fillId="0" borderId="0"/>
    <xf numFmtId="0" fontId="1" fillId="0" borderId="0"/>
  </cellStyleXfs>
  <cellXfs count="1877">
    <xf numFmtId="0" fontId="0" fillId="0" borderId="0" xfId="0">
      <alignment vertical="center"/>
    </xf>
    <xf numFmtId="0" fontId="9" fillId="2" borderId="11" xfId="0" applyFont="1" applyFill="1" applyBorder="1" applyAlignment="1" applyProtection="1">
      <protection hidden="1"/>
    </xf>
    <xf numFmtId="0" fontId="9" fillId="2" borderId="27" xfId="0" applyFont="1" applyFill="1" applyBorder="1" applyAlignment="1" applyProtection="1">
      <protection hidden="1"/>
    </xf>
    <xf numFmtId="0" fontId="9" fillId="2" borderId="0" xfId="0" applyFont="1" applyFill="1" applyAlignment="1" applyProtection="1">
      <protection hidden="1"/>
    </xf>
    <xf numFmtId="0" fontId="9" fillId="2" borderId="28" xfId="0" applyFont="1" applyFill="1" applyBorder="1" applyAlignment="1" applyProtection="1">
      <protection hidden="1"/>
    </xf>
    <xf numFmtId="0" fontId="9" fillId="2" borderId="5" xfId="0" applyFont="1" applyFill="1" applyBorder="1" applyAlignment="1" applyProtection="1">
      <protection hidden="1"/>
    </xf>
    <xf numFmtId="0" fontId="9" fillId="2" borderId="30" xfId="0" applyFont="1" applyFill="1" applyBorder="1" applyAlignment="1" applyProtection="1">
      <protection hidden="1"/>
    </xf>
    <xf numFmtId="0" fontId="9" fillId="2" borderId="29" xfId="0" applyFont="1" applyFill="1" applyBorder="1" applyAlignment="1" applyProtection="1">
      <protection hidden="1"/>
    </xf>
    <xf numFmtId="0" fontId="11" fillId="2" borderId="0" xfId="0" applyFont="1" applyFill="1" applyAlignment="1" applyProtection="1">
      <protection hidden="1"/>
    </xf>
    <xf numFmtId="0" fontId="9" fillId="2" borderId="31" xfId="0" applyFont="1" applyFill="1" applyBorder="1" applyAlignment="1" applyProtection="1">
      <protection hidden="1"/>
    </xf>
    <xf numFmtId="0" fontId="9" fillId="2" borderId="16" xfId="0" applyFont="1" applyFill="1" applyBorder="1" applyAlignment="1" applyProtection="1">
      <protection hidden="1"/>
    </xf>
    <xf numFmtId="0" fontId="0" fillId="2" borderId="0" xfId="0" applyFill="1" applyAlignment="1" applyProtection="1">
      <protection hidden="1"/>
    </xf>
    <xf numFmtId="0" fontId="11" fillId="2" borderId="31" xfId="0" applyFont="1" applyFill="1" applyBorder="1" applyAlignment="1" applyProtection="1">
      <protection hidden="1"/>
    </xf>
    <xf numFmtId="0" fontId="9" fillId="2" borderId="0" xfId="0" applyFont="1" applyFill="1" applyAlignment="1" applyProtection="1">
      <alignment horizontal="right"/>
      <protection hidden="1"/>
    </xf>
    <xf numFmtId="0" fontId="11" fillId="2" borderId="16" xfId="0" applyFont="1" applyFill="1" applyBorder="1" applyAlignment="1" applyProtection="1">
      <protection hidden="1"/>
    </xf>
    <xf numFmtId="0" fontId="11" fillId="2" borderId="28" xfId="0" applyFont="1" applyFill="1" applyBorder="1" applyAlignment="1" applyProtection="1">
      <protection hidden="1"/>
    </xf>
    <xf numFmtId="0" fontId="11" fillId="2" borderId="5" xfId="0" applyFont="1" applyFill="1" applyBorder="1" applyAlignment="1" applyProtection="1">
      <protection hidden="1"/>
    </xf>
    <xf numFmtId="0" fontId="11" fillId="2" borderId="30" xfId="0" applyFont="1" applyFill="1" applyBorder="1" applyAlignment="1" applyProtection="1">
      <protection hidden="1"/>
    </xf>
    <xf numFmtId="0" fontId="14" fillId="0" borderId="0" xfId="0" applyFont="1" applyAlignment="1"/>
    <xf numFmtId="0" fontId="0" fillId="0" borderId="0" xfId="0" applyAlignment="1"/>
    <xf numFmtId="0" fontId="8" fillId="0" borderId="0" xfId="0" applyFont="1">
      <alignment vertical="center"/>
    </xf>
    <xf numFmtId="0" fontId="16" fillId="0" borderId="17" xfId="0" applyFont="1" applyBorder="1">
      <alignment vertical="center"/>
    </xf>
    <xf numFmtId="0" fontId="16" fillId="0" borderId="0" xfId="0" applyFont="1">
      <alignment vertical="center"/>
    </xf>
    <xf numFmtId="0" fontId="0" fillId="0" borderId="5" xfId="0" applyBorder="1">
      <alignment vertical="center"/>
    </xf>
    <xf numFmtId="0" fontId="0" fillId="0" borderId="39" xfId="0" applyBorder="1" applyAlignment="1">
      <alignment horizontal="center" vertical="center"/>
    </xf>
    <xf numFmtId="0" fontId="16" fillId="0" borderId="17" xfId="0" applyFont="1" applyBorder="1" applyAlignment="1">
      <alignment horizontal="center" vertical="center"/>
    </xf>
    <xf numFmtId="0" fontId="16" fillId="0" borderId="39" xfId="0" applyFont="1" applyBorder="1" applyAlignment="1">
      <alignment horizontal="center" vertical="center"/>
    </xf>
    <xf numFmtId="0" fontId="0" fillId="0" borderId="0" xfId="0" applyAlignment="1">
      <alignment horizontal="center" vertical="center"/>
    </xf>
    <xf numFmtId="0" fontId="9" fillId="2" borderId="0" xfId="0" applyFont="1" applyFill="1" applyAlignment="1" applyProtection="1">
      <alignment horizontal="center"/>
      <protection hidden="1"/>
    </xf>
    <xf numFmtId="41" fontId="0" fillId="0" borderId="0" xfId="0" applyNumberFormat="1">
      <alignment vertical="center"/>
    </xf>
    <xf numFmtId="9" fontId="0" fillId="0" borderId="17" xfId="0" applyNumberFormat="1" applyBorder="1">
      <alignment vertical="center"/>
    </xf>
    <xf numFmtId="41" fontId="0" fillId="0" borderId="0" xfId="3" applyFont="1" applyAlignment="1">
      <alignment vertical="center"/>
    </xf>
    <xf numFmtId="0" fontId="0" fillId="0" borderId="30" xfId="0" applyBorder="1">
      <alignment vertical="center"/>
    </xf>
    <xf numFmtId="0" fontId="22" fillId="0" borderId="0" xfId="0" applyFont="1">
      <alignment vertical="center"/>
    </xf>
    <xf numFmtId="0" fontId="8" fillId="0" borderId="0" xfId="0" quotePrefix="1" applyFont="1">
      <alignment vertical="center"/>
    </xf>
    <xf numFmtId="43" fontId="8" fillId="0" borderId="0" xfId="0" applyNumberFormat="1" applyFont="1">
      <alignment vertical="center"/>
    </xf>
    <xf numFmtId="43" fontId="0" fillId="0" borderId="0" xfId="0" applyNumberFormat="1">
      <alignment vertical="center"/>
    </xf>
    <xf numFmtId="0" fontId="8" fillId="0" borderId="0" xfId="0" applyFont="1" applyAlignment="1">
      <alignment horizontal="center" vertical="center"/>
    </xf>
    <xf numFmtId="0" fontId="0" fillId="0" borderId="31" xfId="0" applyBorder="1">
      <alignment vertical="center"/>
    </xf>
    <xf numFmtId="0" fontId="16" fillId="0" borderId="16" xfId="0" applyFont="1" applyBorder="1">
      <alignment vertical="center"/>
    </xf>
    <xf numFmtId="0" fontId="16" fillId="0" borderId="28" xfId="0" applyFont="1" applyBorder="1">
      <alignment vertical="center"/>
    </xf>
    <xf numFmtId="0" fontId="8" fillId="0" borderId="0" xfId="0" quotePrefix="1" applyFont="1" applyAlignment="1">
      <alignment horizontal="center" vertical="center"/>
    </xf>
    <xf numFmtId="2" fontId="0" fillId="0" borderId="0" xfId="0" applyNumberFormat="1">
      <alignment vertical="center"/>
    </xf>
    <xf numFmtId="0" fontId="8" fillId="2" borderId="11" xfId="0" applyFont="1" applyFill="1" applyBorder="1" applyAlignment="1" applyProtection="1">
      <alignment horizontal="center"/>
      <protection hidden="1"/>
    </xf>
    <xf numFmtId="0" fontId="14" fillId="0" borderId="17" xfId="0" applyFont="1" applyBorder="1" applyAlignment="1"/>
    <xf numFmtId="41" fontId="0" fillId="0" borderId="17" xfId="0" applyNumberFormat="1" applyBorder="1" applyAlignment="1"/>
    <xf numFmtId="168" fontId="0" fillId="0" borderId="17" xfId="0" applyNumberFormat="1" applyBorder="1" applyAlignment="1"/>
    <xf numFmtId="43" fontId="0" fillId="0" borderId="17" xfId="0" applyNumberFormat="1" applyBorder="1" applyAlignment="1"/>
    <xf numFmtId="0" fontId="6" fillId="3" borderId="17" xfId="0" applyFont="1" applyFill="1" applyBorder="1" applyAlignment="1"/>
    <xf numFmtId="41" fontId="6" fillId="3" borderId="17" xfId="0" applyNumberFormat="1" applyFont="1" applyFill="1" applyBorder="1" applyAlignment="1"/>
    <xf numFmtId="41" fontId="6" fillId="3" borderId="17" xfId="3" applyFont="1" applyFill="1" applyBorder="1"/>
    <xf numFmtId="9" fontId="0" fillId="0" borderId="0" xfId="0" applyNumberFormat="1">
      <alignment vertical="center"/>
    </xf>
    <xf numFmtId="0" fontId="8" fillId="2" borderId="3" xfId="0" applyFont="1" applyFill="1" applyBorder="1" applyAlignment="1">
      <alignment horizontal="center" vertical="center"/>
    </xf>
    <xf numFmtId="0" fontId="0" fillId="2" borderId="0" xfId="0" applyFill="1" applyAlignment="1">
      <alignment horizontal="center" vertical="center"/>
    </xf>
    <xf numFmtId="0" fontId="0" fillId="2" borderId="0" xfId="0" applyFill="1">
      <alignment vertical="center"/>
    </xf>
    <xf numFmtId="0" fontId="0" fillId="0" borderId="29" xfId="0" applyBorder="1" applyAlignment="1" applyProtection="1">
      <protection hidden="1"/>
    </xf>
    <xf numFmtId="0" fontId="0" fillId="0" borderId="11" xfId="0" applyBorder="1" applyAlignment="1" applyProtection="1">
      <protection hidden="1"/>
    </xf>
    <xf numFmtId="0" fontId="0" fillId="0" borderId="27" xfId="0" applyBorder="1" applyAlignment="1" applyProtection="1">
      <protection hidden="1"/>
    </xf>
    <xf numFmtId="0" fontId="18" fillId="0" borderId="16" xfId="0" applyFont="1" applyBorder="1" applyAlignment="1" applyProtection="1">
      <alignment horizontal="center"/>
      <protection hidden="1"/>
    </xf>
    <xf numFmtId="0" fontId="18" fillId="0" borderId="0" xfId="0" applyFont="1" applyAlignment="1" applyProtection="1">
      <protection hidden="1"/>
    </xf>
    <xf numFmtId="0" fontId="0" fillId="0" borderId="0" xfId="0" applyAlignment="1" applyProtection="1">
      <protection hidden="1"/>
    </xf>
    <xf numFmtId="0" fontId="0" fillId="0" borderId="28" xfId="0" applyBorder="1" applyAlignment="1" applyProtection="1">
      <protection hidden="1"/>
    </xf>
    <xf numFmtId="0" fontId="0" fillId="0" borderId="16" xfId="0" applyBorder="1" applyAlignment="1" applyProtection="1">
      <protection hidden="1"/>
    </xf>
    <xf numFmtId="0" fontId="11" fillId="0" borderId="29" xfId="0" applyFont="1" applyBorder="1" applyAlignment="1" applyProtection="1">
      <alignment horizontal="center" vertical="top"/>
      <protection hidden="1"/>
    </xf>
    <xf numFmtId="0" fontId="0" fillId="0" borderId="31" xfId="0" applyBorder="1" applyAlignment="1" applyProtection="1">
      <protection hidden="1"/>
    </xf>
    <xf numFmtId="0" fontId="12" fillId="0" borderId="16" xfId="0" applyFont="1" applyBorder="1" applyAlignment="1" applyProtection="1">
      <alignment horizontal="justify" vertical="top"/>
      <protection hidden="1"/>
    </xf>
    <xf numFmtId="0" fontId="12" fillId="0" borderId="31" xfId="0" applyFont="1" applyBorder="1" applyAlignment="1" applyProtection="1">
      <alignment horizontal="justify" vertical="top"/>
      <protection hidden="1"/>
    </xf>
    <xf numFmtId="0" fontId="0" fillId="0" borderId="5" xfId="0" applyBorder="1" applyAlignment="1" applyProtection="1">
      <protection hidden="1"/>
    </xf>
    <xf numFmtId="0" fontId="0" fillId="0" borderId="30" xfId="0" applyBorder="1" applyAlignment="1" applyProtection="1">
      <protection hidden="1"/>
    </xf>
    <xf numFmtId="0" fontId="9" fillId="0" borderId="5" xfId="0" applyFont="1" applyBorder="1" applyAlignment="1" applyProtection="1">
      <protection locked="0"/>
    </xf>
    <xf numFmtId="0" fontId="9" fillId="0" borderId="30" xfId="0" applyFont="1" applyBorder="1" applyAlignment="1" applyProtection="1">
      <protection locked="0"/>
    </xf>
    <xf numFmtId="0" fontId="12" fillId="8" borderId="16" xfId="0" applyFont="1" applyFill="1" applyBorder="1" applyAlignment="1" applyProtection="1">
      <alignment horizontal="justify" vertical="top"/>
      <protection locked="0"/>
    </xf>
    <xf numFmtId="0" fontId="12" fillId="8" borderId="0" xfId="0" applyFont="1" applyFill="1" applyAlignment="1" applyProtection="1">
      <alignment horizontal="center" vertical="top"/>
      <protection locked="0"/>
    </xf>
    <xf numFmtId="0" fontId="12" fillId="8" borderId="31" xfId="0" applyFont="1" applyFill="1" applyBorder="1" applyAlignment="1" applyProtection="1">
      <alignment horizontal="justify" vertical="top"/>
      <protection locked="0"/>
    </xf>
    <xf numFmtId="0" fontId="12" fillId="8" borderId="5" xfId="0" applyFont="1" applyFill="1" applyBorder="1" applyAlignment="1" applyProtection="1">
      <alignment horizontal="center" vertical="top"/>
      <protection locked="0"/>
    </xf>
    <xf numFmtId="0" fontId="0" fillId="0" borderId="0" xfId="0" applyAlignment="1" applyProtection="1">
      <alignment vertical="top"/>
      <protection hidden="1"/>
    </xf>
    <xf numFmtId="0" fontId="9" fillId="0" borderId="0" xfId="0" applyFont="1" applyAlignment="1" applyProtection="1">
      <alignment horizontal="justify" vertical="top"/>
      <protection locked="0"/>
    </xf>
    <xf numFmtId="0" fontId="9" fillId="0" borderId="0" xfId="0" applyFont="1" applyAlignment="1" applyProtection="1">
      <alignment horizontal="center" vertical="top"/>
      <protection locked="0"/>
    </xf>
    <xf numFmtId="0" fontId="9" fillId="8" borderId="0" xfId="0" applyFont="1" applyFill="1" applyAlignment="1" applyProtection="1">
      <alignment horizontal="justify" vertical="top"/>
      <protection locked="0"/>
    </xf>
    <xf numFmtId="0" fontId="9" fillId="8" borderId="0" xfId="0" applyFont="1" applyFill="1" applyAlignment="1" applyProtection="1">
      <alignment horizontal="center" vertical="top"/>
      <protection locked="0"/>
    </xf>
    <xf numFmtId="0" fontId="9" fillId="8" borderId="5" xfId="0" applyFont="1" applyFill="1" applyBorder="1" applyAlignment="1" applyProtection="1">
      <alignment horizontal="justify" vertical="top"/>
      <protection locked="0"/>
    </xf>
    <xf numFmtId="0" fontId="9" fillId="8" borderId="5" xfId="0" applyFont="1" applyFill="1" applyBorder="1" applyAlignment="1" applyProtection="1">
      <alignment horizontal="center" vertical="top"/>
      <protection locked="0"/>
    </xf>
    <xf numFmtId="0" fontId="0" fillId="0" borderId="0" xfId="0" applyAlignment="1" applyProtection="1">
      <alignment horizontal="justify" vertical="center"/>
      <protection hidden="1"/>
    </xf>
    <xf numFmtId="0" fontId="9" fillId="0" borderId="0" xfId="0" applyFont="1" applyAlignment="1" applyProtection="1">
      <alignment horizontal="justify" vertical="center"/>
      <protection locked="0"/>
    </xf>
    <xf numFmtId="0" fontId="12" fillId="8" borderId="16" xfId="4" applyFont="1" applyFill="1" applyBorder="1" applyAlignment="1" applyProtection="1">
      <alignment horizontal="justify" vertical="top"/>
      <protection locked="0"/>
    </xf>
    <xf numFmtId="0" fontId="12" fillId="8" borderId="0" xfId="4" applyFont="1" applyFill="1" applyAlignment="1" applyProtection="1">
      <alignment horizontal="center" vertical="top"/>
      <protection locked="0"/>
    </xf>
    <xf numFmtId="0" fontId="12" fillId="8" borderId="31" xfId="4" applyFont="1" applyFill="1" applyBorder="1" applyAlignment="1" applyProtection="1">
      <alignment horizontal="justify" vertical="top"/>
      <protection locked="0"/>
    </xf>
    <xf numFmtId="0" fontId="12" fillId="8" borderId="5" xfId="4" applyFont="1" applyFill="1" applyBorder="1" applyAlignment="1" applyProtection="1">
      <alignment horizontal="center" vertical="top"/>
      <protection locked="0"/>
    </xf>
    <xf numFmtId="0" fontId="12" fillId="8" borderId="5" xfId="4" applyFont="1" applyFill="1" applyBorder="1" applyAlignment="1" applyProtection="1">
      <alignment horizontal="justify" vertical="top"/>
      <protection locked="0"/>
    </xf>
    <xf numFmtId="0" fontId="0" fillId="0" borderId="0" xfId="0" applyAlignment="1" applyProtection="1">
      <alignment horizontal="justify" vertical="top"/>
      <protection hidden="1"/>
    </xf>
    <xf numFmtId="0" fontId="12" fillId="0" borderId="0" xfId="4" applyFont="1" applyAlignment="1" applyProtection="1">
      <alignment horizontal="justify" vertical="top"/>
      <protection locked="0"/>
    </xf>
    <xf numFmtId="0" fontId="12" fillId="0" borderId="0" xfId="4" applyFont="1" applyAlignment="1" applyProtection="1">
      <alignment horizontal="center" vertical="top"/>
      <protection locked="0"/>
    </xf>
    <xf numFmtId="0" fontId="0" fillId="8" borderId="0" xfId="0" applyFill="1" applyAlignment="1" applyProtection="1">
      <protection hidden="1"/>
    </xf>
    <xf numFmtId="169" fontId="0" fillId="0" borderId="0" xfId="2" applyNumberFormat="1" applyFont="1" applyAlignment="1">
      <alignment vertical="center"/>
    </xf>
    <xf numFmtId="0" fontId="0" fillId="2" borderId="3" xfId="0" applyFill="1" applyBorder="1">
      <alignment vertical="center"/>
    </xf>
    <xf numFmtId="0" fontId="0" fillId="2" borderId="4" xfId="0" applyFill="1" applyBorder="1">
      <alignment vertical="center"/>
    </xf>
    <xf numFmtId="0" fontId="16" fillId="2" borderId="3" xfId="0" applyFont="1" applyFill="1" applyBorder="1" applyAlignment="1">
      <alignment horizontal="center" vertical="center"/>
    </xf>
    <xf numFmtId="0" fontId="16" fillId="2" borderId="0" xfId="0" applyFont="1" applyFill="1">
      <alignment vertical="center"/>
    </xf>
    <xf numFmtId="0" fontId="0" fillId="2" borderId="3" xfId="0" applyFill="1" applyBorder="1" applyAlignment="1">
      <alignment horizontal="center" vertical="center"/>
    </xf>
    <xf numFmtId="0" fontId="0" fillId="2" borderId="18" xfId="0" applyFill="1" applyBorder="1">
      <alignment vertical="center"/>
    </xf>
    <xf numFmtId="0" fontId="0" fillId="2" borderId="20" xfId="0" applyFill="1" applyBorder="1">
      <alignment vertical="center"/>
    </xf>
    <xf numFmtId="0" fontId="0" fillId="2" borderId="16" xfId="0" applyFill="1" applyBorder="1" applyAlignment="1" applyProtection="1">
      <protection hidden="1"/>
    </xf>
    <xf numFmtId="0" fontId="0" fillId="2" borderId="28" xfId="0" applyFill="1" applyBorder="1" applyAlignment="1" applyProtection="1">
      <protection hidden="1"/>
    </xf>
    <xf numFmtId="0" fontId="0" fillId="2" borderId="31" xfId="0" applyFill="1" applyBorder="1" applyAlignment="1" applyProtection="1">
      <protection hidden="1"/>
    </xf>
    <xf numFmtId="0" fontId="0" fillId="2" borderId="5" xfId="0" applyFill="1" applyBorder="1" applyAlignment="1" applyProtection="1">
      <protection hidden="1"/>
    </xf>
    <xf numFmtId="0" fontId="0" fillId="2" borderId="30" xfId="0" applyFill="1" applyBorder="1" applyAlignment="1" applyProtection="1">
      <protection hidden="1"/>
    </xf>
    <xf numFmtId="0" fontId="0" fillId="2" borderId="29" xfId="0" applyFill="1" applyBorder="1" applyAlignment="1" applyProtection="1">
      <protection hidden="1"/>
    </xf>
    <xf numFmtId="0" fontId="0" fillId="2" borderId="27" xfId="0" applyFill="1" applyBorder="1" applyAlignment="1" applyProtection="1">
      <protection hidden="1"/>
    </xf>
    <xf numFmtId="0" fontId="18" fillId="2" borderId="0" xfId="0" applyFont="1" applyFill="1" applyAlignment="1" applyProtection="1">
      <protection hidden="1"/>
    </xf>
    <xf numFmtId="0" fontId="16" fillId="2" borderId="0" xfId="0" applyFont="1" applyFill="1" applyAlignment="1">
      <alignment horizontal="center" vertical="center"/>
    </xf>
    <xf numFmtId="0" fontId="16" fillId="2" borderId="4" xfId="0" applyFont="1" applyFill="1" applyBorder="1">
      <alignment vertical="center"/>
    </xf>
    <xf numFmtId="0" fontId="8" fillId="2" borderId="4" xfId="0" applyFont="1" applyFill="1" applyBorder="1">
      <alignment vertical="center"/>
    </xf>
    <xf numFmtId="37" fontId="10" fillId="2" borderId="0" xfId="0" applyNumberFormat="1" applyFont="1" applyFill="1" applyProtection="1">
      <alignment vertical="center"/>
      <protection locked="0"/>
    </xf>
    <xf numFmtId="0" fontId="0" fillId="2" borderId="11" xfId="0" applyFill="1" applyBorder="1" applyAlignment="1" applyProtection="1">
      <protection hidden="1"/>
    </xf>
    <xf numFmtId="0" fontId="18" fillId="2" borderId="4" xfId="0" applyFont="1" applyFill="1" applyBorder="1" applyAlignment="1" applyProtection="1">
      <protection hidden="1"/>
    </xf>
    <xf numFmtId="0" fontId="0" fillId="2" borderId="4" xfId="0" applyFill="1" applyBorder="1" applyAlignment="1" applyProtection="1">
      <protection hidden="1"/>
    </xf>
    <xf numFmtId="0" fontId="0" fillId="2" borderId="19" xfId="0" applyFill="1" applyBorder="1">
      <alignment vertical="center"/>
    </xf>
    <xf numFmtId="0" fontId="0" fillId="2" borderId="0" xfId="0" applyFill="1" applyProtection="1">
      <alignment vertical="center"/>
      <protection locked="0"/>
    </xf>
    <xf numFmtId="0" fontId="0" fillId="0" borderId="0" xfId="0" applyProtection="1">
      <alignment vertical="center"/>
      <protection locked="0"/>
    </xf>
    <xf numFmtId="0" fontId="0" fillId="2" borderId="11" xfId="0" applyFill="1" applyBorder="1" applyProtection="1">
      <alignment vertical="center"/>
      <protection locked="0"/>
    </xf>
    <xf numFmtId="0" fontId="16" fillId="15" borderId="4" xfId="0" applyFont="1" applyFill="1" applyBorder="1">
      <alignment vertical="center"/>
    </xf>
    <xf numFmtId="0" fontId="16" fillId="15" borderId="3" xfId="0" quotePrefix="1" applyFont="1" applyFill="1" applyBorder="1" applyAlignment="1">
      <alignment horizontal="center" vertical="center"/>
    </xf>
    <xf numFmtId="0" fontId="0" fillId="0" borderId="0" xfId="0" quotePrefix="1" applyAlignment="1"/>
    <xf numFmtId="0" fontId="16" fillId="2" borderId="3" xfId="0" quotePrefix="1" applyFont="1" applyFill="1" applyBorder="1" applyAlignment="1">
      <alignment horizontal="center" vertical="center"/>
    </xf>
    <xf numFmtId="0" fontId="8" fillId="2" borderId="0" xfId="0" applyFont="1" applyFill="1" applyProtection="1">
      <alignment vertical="center"/>
      <protection locked="0"/>
    </xf>
    <xf numFmtId="0" fontId="40" fillId="2" borderId="0" xfId="0" applyFont="1" applyFill="1" applyAlignment="1" applyProtection="1">
      <alignment horizontal="left"/>
      <protection locked="0"/>
    </xf>
    <xf numFmtId="0" fontId="38" fillId="2" borderId="0" xfId="0" applyFont="1" applyFill="1" applyProtection="1">
      <alignment vertical="center"/>
      <protection locked="0"/>
    </xf>
    <xf numFmtId="4" fontId="56" fillId="0" borderId="0" xfId="0" applyNumberFormat="1" applyFont="1" applyAlignment="1"/>
    <xf numFmtId="3" fontId="56" fillId="0" borderId="0" xfId="0" applyNumberFormat="1" applyFont="1" applyAlignment="1"/>
    <xf numFmtId="0" fontId="57" fillId="0" borderId="0" xfId="0" applyFont="1">
      <alignment vertical="center"/>
    </xf>
    <xf numFmtId="3" fontId="58" fillId="0" borderId="0" xfId="0" applyNumberFormat="1" applyFont="1" applyAlignment="1"/>
    <xf numFmtId="4" fontId="58" fillId="0" borderId="0" xfId="0" applyNumberFormat="1" applyFont="1" applyAlignment="1">
      <alignment horizontal="center"/>
    </xf>
    <xf numFmtId="1" fontId="59" fillId="0" borderId="0" xfId="0" applyNumberFormat="1" applyFont="1" applyAlignment="1">
      <alignment horizontal="center"/>
    </xf>
    <xf numFmtId="3" fontId="58" fillId="0" borderId="0" xfId="0" applyNumberFormat="1" applyFont="1" applyAlignment="1">
      <alignment horizontal="center"/>
    </xf>
    <xf numFmtId="4" fontId="58" fillId="0" borderId="0" xfId="0" applyNumberFormat="1" applyFont="1" applyAlignment="1"/>
    <xf numFmtId="3" fontId="58" fillId="0" borderId="67" xfId="0" applyNumberFormat="1" applyFont="1" applyBorder="1" applyAlignment="1">
      <alignment horizontal="center"/>
    </xf>
    <xf numFmtId="171" fontId="58" fillId="0" borderId="65" xfId="17" applyNumberFormat="1" applyFont="1" applyBorder="1" applyAlignment="1">
      <alignment horizontal="center"/>
    </xf>
    <xf numFmtId="3" fontId="58" fillId="0" borderId="34" xfId="18" applyNumberFormat="1" applyFont="1" applyBorder="1" applyAlignment="1">
      <alignment horizontal="center"/>
    </xf>
    <xf numFmtId="3" fontId="58" fillId="0" borderId="34" xfId="0" applyNumberFormat="1" applyFont="1" applyBorder="1" applyAlignment="1">
      <alignment horizontal="center" vertical="center"/>
    </xf>
    <xf numFmtId="3" fontId="56" fillId="0" borderId="39" xfId="0" applyNumberFormat="1" applyFont="1" applyBorder="1" applyAlignment="1">
      <alignment horizontal="center"/>
    </xf>
    <xf numFmtId="3" fontId="56" fillId="2" borderId="0" xfId="17" applyNumberFormat="1" applyFont="1" applyFill="1" applyBorder="1"/>
    <xf numFmtId="3" fontId="42" fillId="0" borderId="0" xfId="0" applyNumberFormat="1" applyFont="1" applyAlignment="1"/>
    <xf numFmtId="3" fontId="56" fillId="2" borderId="0" xfId="17" applyNumberFormat="1" applyFont="1" applyFill="1" applyBorder="1" applyAlignment="1">
      <alignment horizontal="right"/>
    </xf>
    <xf numFmtId="3" fontId="61" fillId="0" borderId="0" xfId="0" applyNumberFormat="1" applyFont="1" applyAlignment="1"/>
    <xf numFmtId="4" fontId="56" fillId="2" borderId="0" xfId="0" applyNumberFormat="1" applyFont="1" applyFill="1" applyAlignment="1"/>
    <xf numFmtId="3" fontId="56" fillId="0" borderId="0" xfId="0" applyNumberFormat="1" applyFont="1" applyAlignment="1">
      <alignment horizontal="center"/>
    </xf>
    <xf numFmtId="171" fontId="56" fillId="0" borderId="0" xfId="0" applyNumberFormat="1" applyFont="1" applyAlignment="1"/>
    <xf numFmtId="3" fontId="56" fillId="0" borderId="0" xfId="0" applyNumberFormat="1" applyFont="1" applyAlignment="1">
      <alignment horizontal="right"/>
    </xf>
    <xf numFmtId="4" fontId="56" fillId="0" borderId="17" xfId="0" applyNumberFormat="1" applyFont="1" applyBorder="1" applyAlignment="1"/>
    <xf numFmtId="4" fontId="58" fillId="0" borderId="17" xfId="0" applyNumberFormat="1" applyFont="1" applyBorder="1" applyAlignment="1"/>
    <xf numFmtId="3" fontId="58" fillId="19" borderId="55" xfId="0" applyNumberFormat="1" applyFont="1" applyFill="1" applyBorder="1" applyAlignment="1">
      <alignment horizontal="center"/>
    </xf>
    <xf numFmtId="0" fontId="58" fillId="19" borderId="66" xfId="0" applyFont="1" applyFill="1" applyBorder="1" applyAlignment="1"/>
    <xf numFmtId="3" fontId="58" fillId="19" borderId="67" xfId="0" applyNumberFormat="1" applyFont="1" applyFill="1" applyBorder="1" applyAlignment="1">
      <alignment horizontal="center"/>
    </xf>
    <xf numFmtId="0" fontId="58" fillId="19" borderId="28" xfId="0" applyFont="1" applyFill="1" applyBorder="1" applyAlignment="1">
      <alignment horizontal="center"/>
    </xf>
    <xf numFmtId="3" fontId="56" fillId="17" borderId="39" xfId="0" applyNumberFormat="1" applyFont="1" applyFill="1" applyBorder="1" applyAlignment="1">
      <alignment horizontal="center"/>
    </xf>
    <xf numFmtId="3" fontId="56" fillId="17" borderId="64" xfId="0" applyNumberFormat="1" applyFont="1" applyFill="1" applyBorder="1" applyAlignment="1">
      <alignment horizontal="center"/>
    </xf>
    <xf numFmtId="177" fontId="60" fillId="2" borderId="17" xfId="0" applyNumberFormat="1" applyFont="1" applyFill="1" applyBorder="1" applyAlignment="1">
      <alignment horizontal="center"/>
    </xf>
    <xf numFmtId="0" fontId="0" fillId="2" borderId="0" xfId="0" applyFill="1" applyAlignment="1" applyProtection="1">
      <alignment horizontal="center" vertical="center"/>
      <protection locked="0"/>
    </xf>
    <xf numFmtId="0" fontId="0" fillId="2" borderId="4" xfId="0" applyFill="1" applyBorder="1" applyProtection="1">
      <alignment vertical="center"/>
      <protection locked="0"/>
    </xf>
    <xf numFmtId="0" fontId="0" fillId="2" borderId="3" xfId="0" applyFill="1" applyBorder="1" applyAlignment="1" applyProtection="1">
      <alignment horizontal="center" vertical="center"/>
      <protection locked="0"/>
    </xf>
    <xf numFmtId="0" fontId="0" fillId="2" borderId="0" xfId="0" applyFill="1" applyAlignment="1" applyProtection="1">
      <protection locked="0"/>
    </xf>
    <xf numFmtId="0" fontId="8" fillId="2" borderId="0" xfId="0" applyFont="1" applyFill="1" applyAlignment="1" applyProtection="1">
      <protection locked="0"/>
    </xf>
    <xf numFmtId="0" fontId="23" fillId="2" borderId="0" xfId="0" applyFont="1" applyFill="1" applyProtection="1">
      <alignment vertical="center"/>
      <protection locked="0"/>
    </xf>
    <xf numFmtId="0" fontId="0" fillId="2" borderId="16" xfId="0" applyFill="1" applyBorder="1" applyProtection="1">
      <alignment vertical="center"/>
      <protection locked="0"/>
    </xf>
    <xf numFmtId="0" fontId="0" fillId="2" borderId="24" xfId="0" applyFill="1" applyBorder="1" applyProtection="1">
      <alignment vertical="center"/>
      <protection locked="0"/>
    </xf>
    <xf numFmtId="0" fontId="0" fillId="2" borderId="25" xfId="0" applyFill="1" applyBorder="1" applyProtection="1">
      <alignment vertical="center"/>
      <protection locked="0"/>
    </xf>
    <xf numFmtId="0" fontId="0" fillId="2" borderId="44" xfId="0" applyFill="1" applyBorder="1" applyProtection="1">
      <alignment vertical="center"/>
      <protection locked="0"/>
    </xf>
    <xf numFmtId="0" fontId="0" fillId="2" borderId="25" xfId="0" applyFill="1" applyBorder="1" applyAlignment="1" applyProtection="1">
      <alignment horizontal="center" vertical="center"/>
      <protection locked="0"/>
    </xf>
    <xf numFmtId="0" fontId="0" fillId="2" borderId="26" xfId="0" applyFill="1" applyBorder="1" applyProtection="1">
      <alignment vertical="center"/>
      <protection locked="0"/>
    </xf>
    <xf numFmtId="0" fontId="0" fillId="2" borderId="33" xfId="0" applyFill="1" applyBorder="1" applyProtection="1">
      <alignment vertical="center"/>
      <protection locked="0"/>
    </xf>
    <xf numFmtId="0" fontId="0" fillId="2" borderId="3" xfId="0" applyFill="1" applyBorder="1" applyProtection="1">
      <alignment vertical="center"/>
      <protection locked="0"/>
    </xf>
    <xf numFmtId="0" fontId="0" fillId="2" borderId="31" xfId="0" applyFill="1" applyBorder="1" applyProtection="1">
      <alignment vertical="center"/>
      <protection locked="0"/>
    </xf>
    <xf numFmtId="0" fontId="0" fillId="2" borderId="5" xfId="0" applyFill="1" applyBorder="1" applyProtection="1">
      <alignment vertical="center"/>
      <protection locked="0"/>
    </xf>
    <xf numFmtId="0" fontId="0" fillId="2" borderId="6" xfId="0" applyFill="1" applyBorder="1" applyProtection="1">
      <alignment vertical="center"/>
      <protection locked="0"/>
    </xf>
    <xf numFmtId="0" fontId="0" fillId="2" borderId="29" xfId="0" applyFill="1" applyBorder="1" applyProtection="1">
      <alignment vertical="center"/>
      <protection locked="0"/>
    </xf>
    <xf numFmtId="0" fontId="0" fillId="2" borderId="12" xfId="0" applyFill="1" applyBorder="1" applyProtection="1">
      <alignment vertical="center"/>
      <protection locked="0"/>
    </xf>
    <xf numFmtId="0" fontId="0" fillId="2" borderId="42" xfId="0" applyFill="1" applyBorder="1" applyProtection="1">
      <alignment vertical="center"/>
      <protection locked="0"/>
    </xf>
    <xf numFmtId="0" fontId="0" fillId="2" borderId="18" xfId="0" applyFill="1" applyBorder="1" applyProtection="1">
      <alignment vertical="center"/>
      <protection locked="0"/>
    </xf>
    <xf numFmtId="0" fontId="0" fillId="2" borderId="20" xfId="0" applyFill="1" applyBorder="1" applyProtection="1">
      <alignment vertical="center"/>
      <protection locked="0"/>
    </xf>
    <xf numFmtId="0" fontId="0" fillId="2" borderId="19" xfId="0" applyFill="1" applyBorder="1" applyAlignment="1" applyProtection="1">
      <alignment horizontal="center" vertical="center"/>
      <protection locked="0"/>
    </xf>
    <xf numFmtId="0" fontId="0" fillId="0" borderId="0" xfId="0" applyAlignment="1" applyProtection="1">
      <alignment horizontal="center" vertical="center"/>
      <protection locked="0"/>
    </xf>
    <xf numFmtId="43" fontId="0" fillId="0" borderId="0" xfId="0" applyNumberFormat="1" applyProtection="1">
      <alignment vertical="center"/>
      <protection locked="0"/>
    </xf>
    <xf numFmtId="164" fontId="21" fillId="2" borderId="0" xfId="0" applyNumberFormat="1" applyFont="1" applyFill="1" applyAlignment="1" applyProtection="1">
      <alignment horizontal="left" vertical="center"/>
      <protection hidden="1"/>
    </xf>
    <xf numFmtId="164" fontId="21" fillId="2" borderId="0" xfId="0" applyNumberFormat="1" applyFont="1" applyFill="1" applyAlignment="1" applyProtection="1">
      <alignment horizontal="center" vertical="center"/>
      <protection hidden="1"/>
    </xf>
    <xf numFmtId="0" fontId="0" fillId="2" borderId="0" xfId="0" applyFill="1" applyProtection="1">
      <alignment vertical="center"/>
      <protection hidden="1"/>
    </xf>
    <xf numFmtId="41" fontId="8" fillId="2" borderId="0" xfId="3" applyFont="1" applyFill="1" applyBorder="1" applyAlignment="1" applyProtection="1">
      <alignment horizontal="center" vertical="center" wrapText="1"/>
      <protection hidden="1"/>
    </xf>
    <xf numFmtId="0" fontId="8" fillId="2" borderId="0" xfId="0" applyFont="1" applyFill="1" applyProtection="1">
      <alignment vertical="center"/>
      <protection hidden="1"/>
    </xf>
    <xf numFmtId="41" fontId="0" fillId="2" borderId="0" xfId="3" applyFont="1" applyFill="1" applyBorder="1" applyAlignment="1" applyProtection="1">
      <alignment horizontal="center" vertical="center"/>
      <protection hidden="1"/>
    </xf>
    <xf numFmtId="0" fontId="40" fillId="2" borderId="0" xfId="0" applyFont="1" applyFill="1" applyAlignment="1" applyProtection="1">
      <alignment horizontal="left" vertical="top"/>
      <protection locked="0"/>
    </xf>
    <xf numFmtId="0" fontId="38" fillId="2" borderId="0" xfId="0" applyFont="1" applyFill="1" applyAlignment="1" applyProtection="1">
      <alignment horizontal="left" vertical="top"/>
      <protection locked="0"/>
    </xf>
    <xf numFmtId="0" fontId="38" fillId="2" borderId="0" xfId="0" applyFont="1" applyFill="1" applyAlignment="1" applyProtection="1">
      <alignment horizontal="left" vertical="center"/>
      <protection locked="0"/>
    </xf>
    <xf numFmtId="0" fontId="18" fillId="2" borderId="0" xfId="0" applyFont="1" applyFill="1" applyAlignment="1" applyProtection="1">
      <alignment horizontal="left"/>
      <protection locked="0"/>
    </xf>
    <xf numFmtId="0" fontId="0" fillId="0" borderId="0" xfId="0" applyAlignment="1" applyProtection="1">
      <alignment horizontal="left" vertical="center"/>
      <protection locked="0"/>
    </xf>
    <xf numFmtId="0" fontId="0" fillId="2" borderId="4" xfId="0" applyFill="1" applyBorder="1" applyProtection="1">
      <alignment vertical="center"/>
      <protection hidden="1"/>
    </xf>
    <xf numFmtId="41" fontId="42" fillId="3" borderId="8" xfId="0" applyNumberFormat="1" applyFont="1" applyFill="1" applyBorder="1" applyProtection="1">
      <alignment vertical="center"/>
      <protection hidden="1"/>
    </xf>
    <xf numFmtId="0" fontId="42" fillId="3" borderId="8" xfId="0" applyFont="1" applyFill="1" applyBorder="1" applyProtection="1">
      <alignment vertical="center"/>
      <protection hidden="1"/>
    </xf>
    <xf numFmtId="0" fontId="42" fillId="3" borderId="8" xfId="0" applyFont="1" applyFill="1" applyBorder="1" applyAlignment="1" applyProtection="1">
      <alignment horizontal="left" vertical="center"/>
      <protection hidden="1"/>
    </xf>
    <xf numFmtId="0" fontId="42" fillId="3" borderId="15" xfId="0" applyFont="1" applyFill="1" applyBorder="1" applyProtection="1">
      <alignment vertical="center"/>
      <protection hidden="1"/>
    </xf>
    <xf numFmtId="43" fontId="42" fillId="3" borderId="8" xfId="0" applyNumberFormat="1" applyFont="1" applyFill="1" applyBorder="1" applyProtection="1">
      <alignment vertical="center"/>
      <protection hidden="1"/>
    </xf>
    <xf numFmtId="0" fontId="8" fillId="0" borderId="0" xfId="0" applyFont="1" applyProtection="1">
      <alignment vertical="center"/>
      <protection locked="0"/>
    </xf>
    <xf numFmtId="0" fontId="0" fillId="0" borderId="0" xfId="0" applyAlignment="1" applyProtection="1">
      <alignment horizontal="left" vertical="top" wrapText="1"/>
      <protection hidden="1"/>
    </xf>
    <xf numFmtId="10" fontId="20" fillId="0" borderId="0" xfId="2" applyNumberFormat="1" applyFont="1" applyAlignment="1" applyProtection="1">
      <alignment horizontal="center" vertical="top" wrapText="1"/>
      <protection hidden="1"/>
    </xf>
    <xf numFmtId="0" fontId="0" fillId="0" borderId="33" xfId="0" applyBorder="1" applyAlignment="1" applyProtection="1">
      <alignment horizontal="left" vertical="top" wrapText="1"/>
      <protection hidden="1"/>
    </xf>
    <xf numFmtId="0" fontId="0" fillId="3" borderId="33" xfId="0" applyFill="1" applyBorder="1" applyAlignment="1" applyProtection="1">
      <alignment horizontal="left" vertical="top" wrapText="1"/>
      <protection hidden="1"/>
    </xf>
    <xf numFmtId="10" fontId="20" fillId="0" borderId="33" xfId="2" applyNumberFormat="1" applyFont="1" applyBorder="1" applyAlignment="1" applyProtection="1">
      <alignment horizontal="center" vertical="top" wrapText="1"/>
      <protection hidden="1"/>
    </xf>
    <xf numFmtId="0" fontId="8" fillId="0" borderId="33" xfId="0" applyFont="1" applyBorder="1" applyAlignment="1" applyProtection="1">
      <alignment horizontal="left" vertical="top" wrapText="1"/>
      <protection hidden="1"/>
    </xf>
    <xf numFmtId="0" fontId="8" fillId="0" borderId="32" xfId="0" applyFont="1" applyBorder="1" applyAlignment="1" applyProtection="1">
      <alignment vertical="top" wrapText="1"/>
      <protection hidden="1"/>
    </xf>
    <xf numFmtId="0" fontId="0" fillId="0" borderId="32" xfId="0" applyBorder="1" applyAlignment="1" applyProtection="1">
      <alignment vertical="top" wrapText="1"/>
      <protection hidden="1"/>
    </xf>
    <xf numFmtId="0" fontId="0" fillId="9" borderId="33" xfId="0" applyFill="1" applyBorder="1" applyAlignment="1" applyProtection="1">
      <alignment horizontal="left" vertical="top" wrapText="1"/>
      <protection hidden="1"/>
    </xf>
    <xf numFmtId="0" fontId="0" fillId="14" borderId="33" xfId="0" applyFill="1" applyBorder="1" applyAlignment="1" applyProtection="1">
      <alignment horizontal="left" vertical="top" wrapText="1"/>
      <protection hidden="1"/>
    </xf>
    <xf numFmtId="0" fontId="0" fillId="0" borderId="17" xfId="0" applyBorder="1" applyAlignment="1" applyProtection="1">
      <alignment horizontal="left" vertical="top" wrapText="1"/>
      <protection hidden="1"/>
    </xf>
    <xf numFmtId="10" fontId="20" fillId="0" borderId="0" xfId="2" applyNumberFormat="1" applyFont="1" applyAlignment="1" applyProtection="1">
      <alignment horizontal="left" vertical="top" wrapText="1"/>
      <protection hidden="1"/>
    </xf>
    <xf numFmtId="0" fontId="63" fillId="2" borderId="0" xfId="0" applyFont="1" applyFill="1" applyAlignment="1" applyProtection="1">
      <alignment horizontal="center" vertical="center"/>
      <protection locked="0"/>
    </xf>
    <xf numFmtId="0" fontId="5" fillId="2" borderId="0" xfId="0" applyFont="1" applyFill="1" applyProtection="1">
      <alignment vertical="center"/>
      <protection locked="0"/>
    </xf>
    <xf numFmtId="0" fontId="23" fillId="2" borderId="2" xfId="0" applyFont="1" applyFill="1" applyBorder="1" applyAlignment="1" applyProtection="1">
      <alignment horizontal="center" vertical="center"/>
      <protection locked="0"/>
    </xf>
    <xf numFmtId="0" fontId="23" fillId="2" borderId="8" xfId="0" applyFont="1" applyFill="1" applyBorder="1" applyAlignment="1" applyProtection="1">
      <alignment horizontal="center" vertical="center"/>
      <protection locked="0"/>
    </xf>
    <xf numFmtId="0" fontId="8" fillId="2" borderId="8" xfId="0" applyFont="1" applyFill="1" applyBorder="1" applyAlignment="1" applyProtection="1">
      <alignment horizontal="center"/>
      <protection locked="0"/>
    </xf>
    <xf numFmtId="3" fontId="56" fillId="3" borderId="17" xfId="17" applyNumberFormat="1" applyFont="1" applyFill="1" applyBorder="1"/>
    <xf numFmtId="3" fontId="56" fillId="3" borderId="17" xfId="17" applyNumberFormat="1" applyFont="1" applyFill="1" applyBorder="1" applyAlignment="1">
      <alignment horizontal="right"/>
    </xf>
    <xf numFmtId="3" fontId="56" fillId="3" borderId="36" xfId="17" applyNumberFormat="1" applyFont="1" applyFill="1" applyBorder="1" applyAlignment="1">
      <alignment horizontal="right"/>
    </xf>
    <xf numFmtId="3" fontId="58" fillId="3" borderId="17" xfId="17" applyNumberFormat="1" applyFont="1" applyFill="1" applyBorder="1"/>
    <xf numFmtId="177" fontId="60" fillId="3" borderId="17" xfId="0" applyNumberFormat="1" applyFont="1" applyFill="1" applyBorder="1" applyAlignment="1">
      <alignment horizontal="center"/>
    </xf>
    <xf numFmtId="0" fontId="65" fillId="3" borderId="0" xfId="0" applyFont="1" applyFill="1" applyAlignment="1" applyProtection="1">
      <alignment horizontal="left" vertical="top" wrapText="1"/>
      <protection hidden="1"/>
    </xf>
    <xf numFmtId="10" fontId="65" fillId="3" borderId="33" xfId="2" applyNumberFormat="1" applyFont="1" applyFill="1" applyBorder="1" applyAlignment="1" applyProtection="1">
      <alignment horizontal="center" vertical="top" wrapText="1"/>
      <protection hidden="1"/>
    </xf>
    <xf numFmtId="0" fontId="27" fillId="2" borderId="0" xfId="5" applyFont="1" applyFill="1" applyProtection="1">
      <protection hidden="1"/>
    </xf>
    <xf numFmtId="0" fontId="27" fillId="5" borderId="0" xfId="5" applyFont="1" applyFill="1" applyProtection="1">
      <protection hidden="1"/>
    </xf>
    <xf numFmtId="170" fontId="26" fillId="0" borderId="16" xfId="5" applyNumberFormat="1" applyFont="1" applyBorder="1" applyAlignment="1" applyProtection="1">
      <alignment vertical="center" wrapText="1"/>
      <protection hidden="1"/>
    </xf>
    <xf numFmtId="170" fontId="26" fillId="0" borderId="0" xfId="5" applyNumberFormat="1" applyFont="1" applyAlignment="1" applyProtection="1">
      <alignment vertical="center" wrapText="1"/>
      <protection hidden="1"/>
    </xf>
    <xf numFmtId="170" fontId="26" fillId="0" borderId="28" xfId="5" applyNumberFormat="1" applyFont="1" applyBorder="1" applyAlignment="1" applyProtection="1">
      <alignment vertical="center" wrapText="1"/>
      <protection hidden="1"/>
    </xf>
    <xf numFmtId="170" fontId="26" fillId="0" borderId="42" xfId="5" applyNumberFormat="1" applyFont="1" applyBorder="1" applyAlignment="1" applyProtection="1">
      <alignment vertical="center" wrapText="1"/>
      <protection hidden="1"/>
    </xf>
    <xf numFmtId="170" fontId="26" fillId="0" borderId="18" xfId="5" applyNumberFormat="1" applyFont="1" applyBorder="1" applyAlignment="1" applyProtection="1">
      <alignment vertical="center" wrapText="1"/>
      <protection hidden="1"/>
    </xf>
    <xf numFmtId="170" fontId="26" fillId="0" borderId="41" xfId="5" applyNumberFormat="1" applyFont="1" applyBorder="1" applyAlignment="1" applyProtection="1">
      <alignment vertical="center" wrapText="1"/>
      <protection hidden="1"/>
    </xf>
    <xf numFmtId="2" fontId="28" fillId="2" borderId="22" xfId="5" applyNumberFormat="1" applyFont="1" applyFill="1" applyBorder="1" applyProtection="1">
      <protection hidden="1"/>
    </xf>
    <xf numFmtId="0" fontId="28" fillId="2" borderId="22" xfId="5" applyFont="1" applyFill="1" applyBorder="1" applyProtection="1">
      <protection hidden="1"/>
    </xf>
    <xf numFmtId="0" fontId="29" fillId="2" borderId="22" xfId="5" applyFont="1" applyFill="1" applyBorder="1" applyProtection="1">
      <protection hidden="1"/>
    </xf>
    <xf numFmtId="0" fontId="29" fillId="2" borderId="22" xfId="5" applyFont="1" applyFill="1" applyBorder="1" applyAlignment="1" applyProtection="1">
      <alignment horizontal="center"/>
      <protection hidden="1"/>
    </xf>
    <xf numFmtId="9" fontId="29" fillId="2" borderId="22" xfId="5" applyNumberFormat="1" applyFont="1" applyFill="1" applyBorder="1" applyProtection="1">
      <protection hidden="1"/>
    </xf>
    <xf numFmtId="0" fontId="14" fillId="0" borderId="45" xfId="5" applyBorder="1" applyAlignment="1" applyProtection="1">
      <alignment horizontal="center" vertical="center" wrapText="1"/>
      <protection hidden="1"/>
    </xf>
    <xf numFmtId="0" fontId="14" fillId="0" borderId="22" xfId="5" applyBorder="1" applyAlignment="1" applyProtection="1">
      <alignment horizontal="center" vertical="center" wrapText="1"/>
      <protection hidden="1"/>
    </xf>
    <xf numFmtId="4" fontId="6" fillId="0" borderId="46" xfId="5" applyNumberFormat="1" applyFont="1" applyBorder="1" applyAlignment="1" applyProtection="1">
      <alignment horizontal="center" vertical="center" wrapText="1"/>
      <protection hidden="1"/>
    </xf>
    <xf numFmtId="0" fontId="29" fillId="2" borderId="0" xfId="5" applyFont="1" applyFill="1" applyProtection="1">
      <protection hidden="1"/>
    </xf>
    <xf numFmtId="0" fontId="29" fillId="5" borderId="0" xfId="5" applyFont="1" applyFill="1" applyProtection="1">
      <protection hidden="1"/>
    </xf>
    <xf numFmtId="0" fontId="30" fillId="2" borderId="0" xfId="5" applyFont="1" applyFill="1" applyAlignment="1" applyProtection="1">
      <alignment horizontal="center"/>
      <protection hidden="1"/>
    </xf>
    <xf numFmtId="0" fontId="30" fillId="2" borderId="0" xfId="5" applyFont="1" applyFill="1" applyAlignment="1" applyProtection="1">
      <alignment horizontal="left"/>
      <protection hidden="1"/>
    </xf>
    <xf numFmtId="0" fontId="27" fillId="2" borderId="0" xfId="5" applyFont="1" applyFill="1" applyAlignment="1" applyProtection="1">
      <alignment horizontal="center"/>
      <protection hidden="1"/>
    </xf>
    <xf numFmtId="9" fontId="27" fillId="2" borderId="0" xfId="5" applyNumberFormat="1" applyFont="1" applyFill="1" applyProtection="1">
      <protection hidden="1"/>
    </xf>
    <xf numFmtId="0" fontId="14" fillId="0" borderId="16" xfId="5" applyBorder="1" applyAlignment="1" applyProtection="1">
      <alignment horizontal="center" vertical="center" wrapText="1"/>
      <protection hidden="1"/>
    </xf>
    <xf numFmtId="0" fontId="14" fillId="0" borderId="0" xfId="5" applyAlignment="1" applyProtection="1">
      <alignment horizontal="center" vertical="center" wrapText="1"/>
      <protection hidden="1"/>
    </xf>
    <xf numFmtId="4" fontId="26" fillId="0" borderId="28" xfId="5" applyNumberFormat="1" applyFont="1" applyBorder="1" applyAlignment="1" applyProtection="1">
      <alignment horizontal="center" vertical="center" wrapText="1"/>
      <protection hidden="1"/>
    </xf>
    <xf numFmtId="9" fontId="27" fillId="2" borderId="0" xfId="6" applyFont="1" applyFill="1" applyBorder="1" applyAlignment="1" applyProtection="1">
      <protection hidden="1"/>
    </xf>
    <xf numFmtId="0" fontId="32" fillId="2" borderId="0" xfId="5" applyFont="1" applyFill="1" applyProtection="1">
      <protection hidden="1"/>
    </xf>
    <xf numFmtId="0" fontId="27" fillId="2" borderId="16" xfId="5" applyFont="1" applyFill="1" applyBorder="1" applyAlignment="1" applyProtection="1">
      <alignment horizontal="center"/>
      <protection hidden="1"/>
    </xf>
    <xf numFmtId="4" fontId="27" fillId="2" borderId="28" xfId="5" applyNumberFormat="1" applyFont="1" applyFill="1" applyBorder="1" applyProtection="1">
      <protection hidden="1"/>
    </xf>
    <xf numFmtId="4" fontId="27" fillId="2" borderId="0" xfId="5" applyNumberFormat="1" applyFont="1" applyFill="1" applyProtection="1">
      <protection hidden="1"/>
    </xf>
    <xf numFmtId="1" fontId="27" fillId="2" borderId="0" xfId="5" applyNumberFormat="1" applyFont="1" applyFill="1" applyProtection="1">
      <protection hidden="1"/>
    </xf>
    <xf numFmtId="0" fontId="30" fillId="2" borderId="0" xfId="5" applyFont="1" applyFill="1" applyProtection="1">
      <protection hidden="1"/>
    </xf>
    <xf numFmtId="2" fontId="27" fillId="5" borderId="0" xfId="5" applyNumberFormat="1" applyFont="1" applyFill="1" applyProtection="1">
      <protection hidden="1"/>
    </xf>
    <xf numFmtId="0" fontId="27" fillId="11" borderId="16" xfId="5" applyFont="1" applyFill="1" applyBorder="1" applyAlignment="1" applyProtection="1">
      <alignment horizontal="center"/>
      <protection hidden="1"/>
    </xf>
    <xf numFmtId="9" fontId="27" fillId="11" borderId="0" xfId="5" applyNumberFormat="1" applyFont="1" applyFill="1" applyProtection="1">
      <protection hidden="1"/>
    </xf>
    <xf numFmtId="4" fontId="27" fillId="11" borderId="28" xfId="5" applyNumberFormat="1" applyFont="1" applyFill="1" applyBorder="1" applyProtection="1">
      <protection hidden="1"/>
    </xf>
    <xf numFmtId="0" fontId="27" fillId="2" borderId="18" xfId="5" applyFont="1" applyFill="1" applyBorder="1" applyProtection="1">
      <protection hidden="1"/>
    </xf>
    <xf numFmtId="0" fontId="27" fillId="2" borderId="18" xfId="5" applyFont="1" applyFill="1" applyBorder="1" applyAlignment="1" applyProtection="1">
      <alignment horizontal="center"/>
      <protection hidden="1"/>
    </xf>
    <xf numFmtId="0" fontId="27" fillId="2" borderId="42" xfId="5" applyFont="1" applyFill="1" applyBorder="1" applyAlignment="1" applyProtection="1">
      <alignment horizontal="center"/>
      <protection hidden="1"/>
    </xf>
    <xf numFmtId="9" fontId="27" fillId="2" borderId="18" xfId="5" applyNumberFormat="1" applyFont="1" applyFill="1" applyBorder="1" applyProtection="1">
      <protection hidden="1"/>
    </xf>
    <xf numFmtId="4" fontId="27" fillId="2" borderId="41" xfId="5" applyNumberFormat="1" applyFont="1" applyFill="1" applyBorder="1" applyProtection="1">
      <protection hidden="1"/>
    </xf>
    <xf numFmtId="9" fontId="27" fillId="2" borderId="0" xfId="6" applyFont="1" applyFill="1" applyBorder="1" applyAlignment="1" applyProtection="1">
      <alignment horizontal="center"/>
      <protection hidden="1"/>
    </xf>
    <xf numFmtId="0" fontId="27" fillId="10" borderId="16" xfId="5" applyFont="1" applyFill="1" applyBorder="1" applyAlignment="1" applyProtection="1">
      <alignment horizontal="center"/>
      <protection hidden="1"/>
    </xf>
    <xf numFmtId="9" fontId="27" fillId="10" borderId="0" xfId="5" applyNumberFormat="1" applyFont="1" applyFill="1" applyProtection="1">
      <protection hidden="1"/>
    </xf>
    <xf numFmtId="4" fontId="27" fillId="10" borderId="28" xfId="5" applyNumberFormat="1" applyFont="1" applyFill="1" applyBorder="1" applyProtection="1">
      <protection hidden="1"/>
    </xf>
    <xf numFmtId="9" fontId="27" fillId="2" borderId="0" xfId="5" applyNumberFormat="1" applyFont="1" applyFill="1" applyAlignment="1" applyProtection="1">
      <alignment horizontal="center"/>
      <protection hidden="1"/>
    </xf>
    <xf numFmtId="0" fontId="27" fillId="2" borderId="0" xfId="5" quotePrefix="1" applyFont="1" applyFill="1" applyProtection="1">
      <protection hidden="1"/>
    </xf>
    <xf numFmtId="9" fontId="27" fillId="2" borderId="0" xfId="5" applyNumberFormat="1" applyFont="1" applyFill="1" applyAlignment="1" applyProtection="1">
      <alignment horizontal="right"/>
      <protection hidden="1"/>
    </xf>
    <xf numFmtId="0" fontId="27" fillId="0" borderId="0" xfId="5" quotePrefix="1" applyFont="1" applyProtection="1">
      <protection hidden="1"/>
    </xf>
    <xf numFmtId="0" fontId="27" fillId="13" borderId="16" xfId="5" applyFont="1" applyFill="1" applyBorder="1" applyAlignment="1" applyProtection="1">
      <alignment horizontal="center"/>
      <protection hidden="1"/>
    </xf>
    <xf numFmtId="4" fontId="64" fillId="2" borderId="0" xfId="5" applyNumberFormat="1" applyFont="1" applyFill="1" applyProtection="1">
      <protection hidden="1"/>
    </xf>
    <xf numFmtId="169" fontId="30" fillId="2" borderId="0" xfId="5" applyNumberFormat="1" applyFont="1" applyFill="1" applyAlignment="1" applyProtection="1">
      <alignment horizontal="center"/>
      <protection hidden="1"/>
    </xf>
    <xf numFmtId="4" fontId="33" fillId="2" borderId="28" xfId="5" applyNumberFormat="1" applyFont="1" applyFill="1" applyBorder="1" applyProtection="1">
      <protection hidden="1"/>
    </xf>
    <xf numFmtId="0" fontId="30" fillId="2" borderId="0" xfId="5" quotePrefix="1" applyFont="1" applyFill="1" applyAlignment="1" applyProtection="1">
      <alignment horizontal="left"/>
      <protection hidden="1"/>
    </xf>
    <xf numFmtId="0" fontId="27" fillId="2" borderId="0" xfId="5" applyFont="1" applyFill="1" applyAlignment="1" applyProtection="1">
      <alignment horizontal="center" vertical="top"/>
      <protection hidden="1"/>
    </xf>
    <xf numFmtId="0" fontId="27" fillId="2" borderId="0" xfId="5" applyFont="1" applyFill="1" applyAlignment="1" applyProtection="1">
      <alignment vertical="top"/>
      <protection hidden="1"/>
    </xf>
    <xf numFmtId="0" fontId="27" fillId="2" borderId="16" xfId="5" applyFont="1" applyFill="1" applyBorder="1" applyAlignment="1" applyProtection="1">
      <alignment horizontal="center" vertical="top"/>
      <protection hidden="1"/>
    </xf>
    <xf numFmtId="9" fontId="27" fillId="2" borderId="0" xfId="5" applyNumberFormat="1" applyFont="1" applyFill="1" applyAlignment="1" applyProtection="1">
      <alignment vertical="top"/>
      <protection hidden="1"/>
    </xf>
    <xf numFmtId="4" fontId="27" fillId="2" borderId="28" xfId="5" applyNumberFormat="1" applyFont="1" applyFill="1" applyBorder="1" applyAlignment="1" applyProtection="1">
      <alignment vertical="top"/>
      <protection hidden="1"/>
    </xf>
    <xf numFmtId="0" fontId="30" fillId="2" borderId="18" xfId="5" quotePrefix="1" applyFont="1" applyFill="1" applyBorder="1" applyAlignment="1" applyProtection="1">
      <alignment horizontal="left"/>
      <protection hidden="1"/>
    </xf>
    <xf numFmtId="9" fontId="27" fillId="2" borderId="0" xfId="6" applyFont="1" applyFill="1" applyBorder="1" applyAlignment="1" applyProtection="1">
      <alignment horizontal="right"/>
      <protection hidden="1"/>
    </xf>
    <xf numFmtId="9" fontId="27" fillId="13" borderId="0" xfId="5" applyNumberFormat="1" applyFont="1" applyFill="1" applyProtection="1">
      <protection hidden="1"/>
    </xf>
    <xf numFmtId="4" fontId="27" fillId="13" borderId="28" xfId="5" applyNumberFormat="1" applyFont="1" applyFill="1" applyBorder="1" applyProtection="1">
      <protection hidden="1"/>
    </xf>
    <xf numFmtId="9" fontId="30" fillId="2" borderId="0" xfId="5" applyNumberFormat="1" applyFont="1" applyFill="1" applyAlignment="1" applyProtection="1">
      <alignment horizontal="center"/>
      <protection hidden="1"/>
    </xf>
    <xf numFmtId="0" fontId="30" fillId="0" borderId="0" xfId="5" applyFont="1" applyProtection="1">
      <protection hidden="1"/>
    </xf>
    <xf numFmtId="0" fontId="27" fillId="0" borderId="0" xfId="5" applyFont="1" applyProtection="1">
      <protection hidden="1"/>
    </xf>
    <xf numFmtId="0" fontId="27" fillId="0" borderId="0" xfId="5" applyFont="1" applyAlignment="1" applyProtection="1">
      <alignment horizontal="center"/>
      <protection hidden="1"/>
    </xf>
    <xf numFmtId="0" fontId="30" fillId="2" borderId="18" xfId="5" applyFont="1" applyFill="1" applyBorder="1" applyAlignment="1" applyProtection="1">
      <alignment horizontal="center"/>
      <protection hidden="1"/>
    </xf>
    <xf numFmtId="181" fontId="27" fillId="2" borderId="0" xfId="5" applyNumberFormat="1" applyFont="1" applyFill="1" applyProtection="1">
      <protection hidden="1"/>
    </xf>
    <xf numFmtId="0" fontId="48" fillId="2" borderId="0" xfId="0" applyFont="1" applyFill="1" applyProtection="1">
      <alignment vertical="center"/>
      <protection hidden="1"/>
    </xf>
    <xf numFmtId="0" fontId="0" fillId="0" borderId="0" xfId="0" applyProtection="1">
      <alignment vertical="center"/>
      <protection hidden="1"/>
    </xf>
    <xf numFmtId="4" fontId="27" fillId="5" borderId="0" xfId="5" applyNumberFormat="1" applyFont="1" applyFill="1" applyProtection="1">
      <protection hidden="1"/>
    </xf>
    <xf numFmtId="0" fontId="27" fillId="2" borderId="0" xfId="5" applyFont="1" applyFill="1" applyAlignment="1" applyProtection="1">
      <alignment horizontal="left"/>
      <protection hidden="1"/>
    </xf>
    <xf numFmtId="49" fontId="27" fillId="2" borderId="0" xfId="5" applyNumberFormat="1" applyFont="1" applyFill="1" applyAlignment="1" applyProtection="1">
      <alignment horizontal="left"/>
      <protection hidden="1"/>
    </xf>
    <xf numFmtId="1" fontId="27" fillId="2" borderId="16" xfId="5" applyNumberFormat="1" applyFont="1" applyFill="1" applyBorder="1" applyAlignment="1" applyProtection="1">
      <alignment horizontal="center"/>
      <protection hidden="1"/>
    </xf>
    <xf numFmtId="0" fontId="30" fillId="2" borderId="18" xfId="5" applyFont="1" applyFill="1" applyBorder="1" applyProtection="1">
      <protection hidden="1"/>
    </xf>
    <xf numFmtId="2" fontId="28" fillId="3" borderId="0" xfId="5" applyNumberFormat="1" applyFont="1" applyFill="1" applyProtection="1">
      <protection hidden="1"/>
    </xf>
    <xf numFmtId="2" fontId="29" fillId="2" borderId="0" xfId="5" applyNumberFormat="1" applyFont="1" applyFill="1" applyProtection="1">
      <protection hidden="1"/>
    </xf>
    <xf numFmtId="0" fontId="27" fillId="3" borderId="0" xfId="5" applyFont="1" applyFill="1" applyProtection="1">
      <protection hidden="1"/>
    </xf>
    <xf numFmtId="0" fontId="27" fillId="2" borderId="31" xfId="5" applyFont="1" applyFill="1" applyBorder="1" applyAlignment="1" applyProtection="1">
      <alignment horizontal="center" vertical="top"/>
      <protection hidden="1"/>
    </xf>
    <xf numFmtId="9" fontId="27" fillId="2" borderId="5" xfId="5" applyNumberFormat="1" applyFont="1" applyFill="1" applyBorder="1" applyAlignment="1" applyProtection="1">
      <alignment vertical="top"/>
      <protection hidden="1"/>
    </xf>
    <xf numFmtId="4" fontId="27" fillId="2" borderId="30" xfId="5" applyNumberFormat="1" applyFont="1" applyFill="1" applyBorder="1" applyAlignment="1" applyProtection="1">
      <alignment vertical="top"/>
      <protection hidden="1"/>
    </xf>
    <xf numFmtId="0" fontId="27" fillId="2" borderId="0" xfId="7" applyFont="1" applyFill="1" applyProtection="1">
      <protection hidden="1"/>
    </xf>
    <xf numFmtId="1" fontId="51" fillId="18" borderId="14" xfId="0" applyNumberFormat="1" applyFont="1" applyFill="1" applyBorder="1" applyAlignment="1" applyProtection="1">
      <alignment horizontal="right" vertical="center"/>
      <protection hidden="1"/>
    </xf>
    <xf numFmtId="1" fontId="51" fillId="13" borderId="17" xfId="0" applyNumberFormat="1" applyFont="1" applyFill="1" applyBorder="1" applyAlignment="1" applyProtection="1">
      <alignment horizontal="right" vertical="center"/>
      <protection hidden="1"/>
    </xf>
    <xf numFmtId="0" fontId="52" fillId="13" borderId="17" xfId="5" applyFont="1" applyFill="1" applyBorder="1" applyProtection="1">
      <protection hidden="1"/>
    </xf>
    <xf numFmtId="1" fontId="51" fillId="13" borderId="17" xfId="5" applyNumberFormat="1" applyFont="1" applyFill="1" applyBorder="1" applyProtection="1">
      <protection hidden="1"/>
    </xf>
    <xf numFmtId="0" fontId="51" fillId="13" borderId="17" xfId="5" applyFont="1" applyFill="1" applyBorder="1" applyProtection="1">
      <protection hidden="1"/>
    </xf>
    <xf numFmtId="41" fontId="51" fillId="13" borderId="17" xfId="5" applyNumberFormat="1" applyFont="1" applyFill="1" applyBorder="1" applyProtection="1">
      <protection hidden="1"/>
    </xf>
    <xf numFmtId="177" fontId="53" fillId="13" borderId="17" xfId="5" applyNumberFormat="1" applyFont="1" applyFill="1" applyBorder="1" applyProtection="1">
      <protection hidden="1"/>
    </xf>
    <xf numFmtId="177" fontId="54" fillId="13" borderId="17" xfId="0" applyNumberFormat="1" applyFont="1" applyFill="1" applyBorder="1" applyAlignment="1" applyProtection="1">
      <alignment horizontal="right"/>
      <protection hidden="1"/>
    </xf>
    <xf numFmtId="165" fontId="27" fillId="13" borderId="17" xfId="5" applyNumberFormat="1" applyFont="1" applyFill="1" applyBorder="1" applyAlignment="1" applyProtection="1">
      <alignment horizontal="right"/>
      <protection hidden="1"/>
    </xf>
    <xf numFmtId="0" fontId="0" fillId="2" borderId="0" xfId="0" applyFill="1" applyAlignment="1">
      <alignment horizontal="right" vertical="center"/>
    </xf>
    <xf numFmtId="3" fontId="58" fillId="17" borderId="15" xfId="0" applyNumberFormat="1" applyFont="1" applyFill="1" applyBorder="1" applyAlignment="1">
      <alignment horizontal="center"/>
    </xf>
    <xf numFmtId="4" fontId="55" fillId="0" borderId="0" xfId="0" applyNumberFormat="1" applyFont="1" applyAlignment="1">
      <alignment horizontal="center" vertical="center"/>
    </xf>
    <xf numFmtId="9" fontId="31" fillId="0" borderId="17" xfId="0" applyNumberFormat="1" applyFont="1" applyBorder="1" applyAlignment="1" applyProtection="1">
      <protection locked="0"/>
    </xf>
    <xf numFmtId="43" fontId="31" fillId="0" borderId="17" xfId="1" applyFont="1" applyBorder="1" applyAlignment="1">
      <protection locked="0"/>
    </xf>
    <xf numFmtId="0" fontId="31" fillId="0" borderId="17" xfId="0" applyFont="1" applyBorder="1" applyAlignment="1" applyProtection="1">
      <protection locked="0"/>
    </xf>
    <xf numFmtId="10" fontId="31" fillId="0" borderId="17" xfId="0" applyNumberFormat="1" applyFont="1" applyBorder="1" applyAlignment="1" applyProtection="1">
      <protection locked="0"/>
    </xf>
    <xf numFmtId="43" fontId="31" fillId="0" borderId="17" xfId="1" applyFont="1" applyBorder="1" applyAlignment="1" applyProtection="1"/>
    <xf numFmtId="0" fontId="31" fillId="0" borderId="0" xfId="0" applyFont="1" applyAlignment="1" applyProtection="1">
      <protection locked="0"/>
    </xf>
    <xf numFmtId="0" fontId="31" fillId="0" borderId="17" xfId="0" applyFont="1" applyBorder="1" applyAlignment="1"/>
    <xf numFmtId="10" fontId="31" fillId="0" borderId="17" xfId="2" applyNumberFormat="1" applyFont="1" applyBorder="1" applyProtection="1"/>
    <xf numFmtId="0" fontId="69" fillId="0" borderId="17" xfId="0" applyFont="1" applyBorder="1" applyAlignment="1" applyProtection="1">
      <alignment horizontal="center"/>
      <protection locked="0"/>
    </xf>
    <xf numFmtId="3" fontId="58" fillId="19" borderId="54" xfId="0" applyNumberFormat="1" applyFont="1" applyFill="1" applyBorder="1" applyAlignment="1">
      <alignment horizontal="center" vertical="center"/>
    </xf>
    <xf numFmtId="3" fontId="58" fillId="19" borderId="65" xfId="0" applyNumberFormat="1" applyFont="1" applyFill="1" applyBorder="1" applyAlignment="1">
      <alignment horizontal="center" vertical="center"/>
    </xf>
    <xf numFmtId="3" fontId="58" fillId="19" borderId="69" xfId="0" applyNumberFormat="1" applyFont="1" applyFill="1" applyBorder="1" applyAlignment="1">
      <alignment horizontal="center"/>
    </xf>
    <xf numFmtId="0" fontId="58" fillId="19" borderId="41" xfId="0" applyFont="1" applyFill="1" applyBorder="1" applyAlignment="1"/>
    <xf numFmtId="3" fontId="58" fillId="19" borderId="70" xfId="0" applyNumberFormat="1" applyFont="1" applyFill="1" applyBorder="1" applyAlignment="1">
      <alignment horizontal="center" vertical="center"/>
    </xf>
    <xf numFmtId="171" fontId="58" fillId="0" borderId="16" xfId="17" applyNumberFormat="1" applyFont="1" applyBorder="1" applyAlignment="1">
      <alignment horizontal="center"/>
    </xf>
    <xf numFmtId="3" fontId="58" fillId="0" borderId="16" xfId="0" applyNumberFormat="1" applyFont="1" applyBorder="1" applyAlignment="1">
      <alignment horizontal="center" vertical="center"/>
    </xf>
    <xf numFmtId="177" fontId="60" fillId="3" borderId="17" xfId="17" applyNumberFormat="1" applyFont="1" applyFill="1" applyBorder="1" applyAlignment="1">
      <alignment horizontal="center"/>
    </xf>
    <xf numFmtId="3" fontId="58" fillId="0" borderId="0" xfId="0" applyNumberFormat="1" applyFont="1" applyAlignment="1">
      <alignment horizontal="center" vertical="center"/>
    </xf>
    <xf numFmtId="3" fontId="56" fillId="0" borderId="0" xfId="17" applyNumberFormat="1" applyFont="1" applyFill="1" applyBorder="1" applyAlignment="1">
      <alignment horizontal="right"/>
    </xf>
    <xf numFmtId="3" fontId="58" fillId="0" borderId="0" xfId="17" applyNumberFormat="1" applyFont="1" applyFill="1" applyBorder="1"/>
    <xf numFmtId="40" fontId="42" fillId="2" borderId="15" xfId="17" applyNumberFormat="1" applyFont="1" applyFill="1" applyBorder="1"/>
    <xf numFmtId="0" fontId="69" fillId="0" borderId="17" xfId="0" applyFont="1" applyBorder="1" applyAlignment="1" applyProtection="1">
      <protection locked="0"/>
    </xf>
    <xf numFmtId="10" fontId="56" fillId="0" borderId="0" xfId="0" applyNumberFormat="1" applyFont="1" applyAlignment="1"/>
    <xf numFmtId="10" fontId="58" fillId="0" borderId="0" xfId="0" applyNumberFormat="1" applyFont="1" applyAlignment="1"/>
    <xf numFmtId="4" fontId="56" fillId="3" borderId="0" xfId="0" applyNumberFormat="1" applyFont="1" applyFill="1" applyAlignment="1">
      <alignment horizontal="center"/>
    </xf>
    <xf numFmtId="0" fontId="65" fillId="3" borderId="33" xfId="0" applyFont="1" applyFill="1" applyBorder="1" applyAlignment="1" applyProtection="1">
      <alignment horizontal="center" vertical="top" wrapText="1"/>
      <protection hidden="1"/>
    </xf>
    <xf numFmtId="0" fontId="71" fillId="0" borderId="0" xfId="0" applyFont="1" applyAlignment="1"/>
    <xf numFmtId="0" fontId="6" fillId="0" borderId="0" xfId="0" quotePrefix="1" applyFont="1" applyAlignment="1">
      <alignment horizontal="center"/>
    </xf>
    <xf numFmtId="17" fontId="6" fillId="0" borderId="0" xfId="0" quotePrefix="1" applyNumberFormat="1" applyFont="1" applyAlignment="1">
      <alignment horizontal="center"/>
    </xf>
    <xf numFmtId="0" fontId="6" fillId="0" borderId="0" xfId="0" applyFont="1" applyAlignment="1">
      <alignment horizontal="center"/>
    </xf>
    <xf numFmtId="182" fontId="72" fillId="0" borderId="0" xfId="0" applyNumberFormat="1" applyFont="1" applyAlignment="1"/>
    <xf numFmtId="39" fontId="73" fillId="0" borderId="0" xfId="3" applyNumberFormat="1" applyFont="1"/>
    <xf numFmtId="183" fontId="73" fillId="0" borderId="0" xfId="0" applyNumberFormat="1" applyFont="1" applyAlignment="1"/>
    <xf numFmtId="43" fontId="73" fillId="0" borderId="0" xfId="1" applyFont="1" applyAlignment="1" applyProtection="1"/>
    <xf numFmtId="4" fontId="73" fillId="0" borderId="0" xfId="0" applyNumberFormat="1" applyFont="1" applyAlignment="1"/>
    <xf numFmtId="182" fontId="6" fillId="0" borderId="21" xfId="0" applyNumberFormat="1" applyFont="1" applyBorder="1" applyAlignment="1">
      <alignment horizontal="center"/>
    </xf>
    <xf numFmtId="182" fontId="6" fillId="0" borderId="33" xfId="0" applyNumberFormat="1" applyFont="1" applyBorder="1" applyAlignment="1">
      <alignment horizontal="center"/>
    </xf>
    <xf numFmtId="182" fontId="6" fillId="0" borderId="22" xfId="0" applyNumberFormat="1" applyFont="1" applyBorder="1" applyAlignment="1">
      <alignment horizontal="center"/>
    </xf>
    <xf numFmtId="39" fontId="6" fillId="0" borderId="21" xfId="3" applyNumberFormat="1" applyFont="1" applyBorder="1" applyAlignment="1">
      <alignment horizontal="center"/>
    </xf>
    <xf numFmtId="39" fontId="6" fillId="0" borderId="33" xfId="3" applyNumberFormat="1" applyFont="1" applyBorder="1" applyAlignment="1">
      <alignment horizontal="center"/>
    </xf>
    <xf numFmtId="182" fontId="6" fillId="0" borderId="23" xfId="0" applyNumberFormat="1" applyFont="1" applyBorder="1" applyAlignment="1">
      <alignment horizontal="center"/>
    </xf>
    <xf numFmtId="39" fontId="6" fillId="0" borderId="23" xfId="3" applyNumberFormat="1" applyFont="1" applyBorder="1" applyAlignment="1">
      <alignment horizontal="center"/>
    </xf>
    <xf numFmtId="39" fontId="6" fillId="0" borderId="0" xfId="3" applyNumberFormat="1" applyFont="1" applyBorder="1" applyAlignment="1">
      <alignment horizontal="center"/>
    </xf>
    <xf numFmtId="40" fontId="6" fillId="3" borderId="58" xfId="3" applyNumberFormat="1" applyFont="1" applyFill="1" applyBorder="1"/>
    <xf numFmtId="1" fontId="15" fillId="27" borderId="17" xfId="9" applyNumberFormat="1" applyFont="1" applyFill="1" applyBorder="1" applyAlignment="1">
      <alignment horizontal="center"/>
    </xf>
    <xf numFmtId="49" fontId="15" fillId="27" borderId="17" xfId="9" applyNumberFormat="1" applyFont="1" applyFill="1" applyBorder="1" applyAlignment="1">
      <alignment horizontal="center"/>
    </xf>
    <xf numFmtId="40" fontId="14" fillId="2" borderId="36" xfId="0" applyNumberFormat="1" applyFont="1" applyFill="1" applyBorder="1" applyAlignment="1"/>
    <xf numFmtId="40" fontId="14" fillId="3" borderId="31" xfId="3" applyNumberFormat="1" applyFont="1" applyFill="1" applyBorder="1"/>
    <xf numFmtId="40" fontId="14" fillId="3" borderId="43" xfId="3" applyNumberFormat="1" applyFont="1" applyFill="1" applyBorder="1"/>
    <xf numFmtId="17" fontId="14" fillId="3" borderId="17" xfId="8" applyNumberFormat="1" applyFill="1" applyBorder="1" applyAlignment="1">
      <alignment horizontal="center"/>
    </xf>
    <xf numFmtId="184" fontId="15" fillId="3" borderId="17" xfId="9" applyNumberFormat="1" applyFont="1" applyFill="1" applyBorder="1"/>
    <xf numFmtId="0" fontId="15" fillId="3" borderId="17" xfId="9" applyNumberFormat="1" applyFont="1" applyFill="1" applyBorder="1" applyAlignment="1">
      <alignment horizontal="center"/>
    </xf>
    <xf numFmtId="171" fontId="74" fillId="3" borderId="71" xfId="0" applyNumberFormat="1" applyFont="1" applyFill="1" applyBorder="1" applyAlignment="1"/>
    <xf numFmtId="40" fontId="14" fillId="2" borderId="17" xfId="0" applyNumberFormat="1" applyFont="1" applyFill="1" applyBorder="1" applyAlignment="1"/>
    <xf numFmtId="40" fontId="14" fillId="3" borderId="14" xfId="3" applyNumberFormat="1" applyFont="1" applyFill="1" applyBorder="1"/>
    <xf numFmtId="40" fontId="14" fillId="3" borderId="40" xfId="3" applyNumberFormat="1" applyFont="1" applyFill="1" applyBorder="1"/>
    <xf numFmtId="171" fontId="74" fillId="3" borderId="39" xfId="0" applyNumberFormat="1" applyFont="1" applyFill="1" applyBorder="1" applyAlignment="1"/>
    <xf numFmtId="49" fontId="15" fillId="3" borderId="17" xfId="9" applyNumberFormat="1" applyFont="1" applyFill="1" applyBorder="1" applyAlignment="1">
      <alignment horizontal="center"/>
    </xf>
    <xf numFmtId="1" fontId="15" fillId="3" borderId="17" xfId="9" applyNumberFormat="1" applyFont="1" applyFill="1" applyBorder="1" applyAlignment="1">
      <alignment horizontal="center"/>
    </xf>
    <xf numFmtId="40" fontId="14" fillId="2" borderId="34" xfId="0" applyNumberFormat="1" applyFont="1" applyFill="1" applyBorder="1" applyAlignment="1"/>
    <xf numFmtId="40" fontId="14" fillId="0" borderId="11" xfId="3" applyNumberFormat="1" applyFont="1" applyBorder="1"/>
    <xf numFmtId="40" fontId="14" fillId="0" borderId="0" xfId="3" applyNumberFormat="1" applyFont="1" applyBorder="1"/>
    <xf numFmtId="40" fontId="75" fillId="2" borderId="17" xfId="0" applyNumberFormat="1" applyFont="1" applyFill="1" applyBorder="1" applyAlignment="1"/>
    <xf numFmtId="40" fontId="14" fillId="3" borderId="17" xfId="3" applyNumberFormat="1" applyFont="1" applyFill="1" applyBorder="1"/>
    <xf numFmtId="40" fontId="14" fillId="2" borderId="35" xfId="0" applyNumberFormat="1" applyFont="1" applyFill="1" applyBorder="1" applyAlignment="1"/>
    <xf numFmtId="40" fontId="14" fillId="3" borderId="29" xfId="3" applyNumberFormat="1" applyFont="1" applyFill="1" applyBorder="1"/>
    <xf numFmtId="171" fontId="14" fillId="0" borderId="3" xfId="0" applyNumberFormat="1" applyFont="1" applyBorder="1" applyAlignment="1"/>
    <xf numFmtId="40" fontId="14" fillId="0" borderId="0" xfId="0" applyNumberFormat="1" applyFont="1" applyAlignment="1"/>
    <xf numFmtId="182" fontId="73" fillId="0" borderId="0" xfId="0" applyNumberFormat="1" applyFont="1" applyAlignment="1"/>
    <xf numFmtId="183" fontId="72" fillId="0" borderId="0" xfId="0" applyNumberFormat="1" applyFont="1" applyAlignment="1"/>
    <xf numFmtId="185" fontId="72" fillId="0" borderId="0" xfId="0" applyNumberFormat="1" applyFont="1" applyAlignment="1"/>
    <xf numFmtId="43" fontId="72" fillId="0" borderId="0" xfId="1" applyFont="1" applyAlignment="1" applyProtection="1"/>
    <xf numFmtId="4" fontId="72" fillId="0" borderId="0" xfId="0" applyNumberFormat="1" applyFont="1" applyAlignment="1"/>
    <xf numFmtId="40" fontId="14" fillId="2" borderId="27" xfId="0" applyNumberFormat="1" applyFont="1" applyFill="1" applyBorder="1" applyAlignment="1"/>
    <xf numFmtId="40" fontId="14" fillId="0" borderId="35" xfId="3" applyNumberFormat="1" applyFont="1" applyBorder="1"/>
    <xf numFmtId="40" fontId="6" fillId="3" borderId="17" xfId="3" applyNumberFormat="1" applyFont="1" applyFill="1" applyBorder="1"/>
    <xf numFmtId="182" fontId="6" fillId="3" borderId="37" xfId="0" applyNumberFormat="1" applyFont="1" applyFill="1" applyBorder="1" applyAlignment="1">
      <alignment horizontal="center"/>
    </xf>
    <xf numFmtId="40" fontId="6" fillId="3" borderId="38" xfId="0" applyNumberFormat="1" applyFont="1" applyFill="1" applyBorder="1" applyAlignment="1"/>
    <xf numFmtId="182" fontId="6" fillId="3" borderId="39" xfId="0" applyNumberFormat="1" applyFont="1" applyFill="1" applyBorder="1" applyAlignment="1">
      <alignment horizontal="center"/>
    </xf>
    <xf numFmtId="40" fontId="6" fillId="3" borderId="40" xfId="0" applyNumberFormat="1" applyFont="1" applyFill="1" applyBorder="1" applyAlignment="1"/>
    <xf numFmtId="0" fontId="6" fillId="3" borderId="60" xfId="0" applyFont="1" applyFill="1" applyBorder="1" applyAlignment="1">
      <alignment horizontal="center"/>
    </xf>
    <xf numFmtId="0" fontId="6" fillId="3" borderId="56" xfId="0" applyFont="1" applyFill="1" applyBorder="1" applyAlignment="1"/>
    <xf numFmtId="0" fontId="6" fillId="3" borderId="57" xfId="0" applyFont="1" applyFill="1" applyBorder="1" applyAlignment="1"/>
    <xf numFmtId="1" fontId="14" fillId="3" borderId="17" xfId="9" applyNumberFormat="1" applyFont="1" applyFill="1" applyBorder="1" applyAlignment="1">
      <alignment horizontal="center"/>
    </xf>
    <xf numFmtId="0" fontId="77" fillId="0" borderId="11" xfId="0" applyFont="1" applyBorder="1" applyAlignment="1"/>
    <xf numFmtId="0" fontId="77" fillId="0" borderId="17" xfId="0" applyFont="1" applyBorder="1" applyAlignment="1">
      <alignment horizontal="center"/>
    </xf>
    <xf numFmtId="171" fontId="74" fillId="3" borderId="67" xfId="0" applyNumberFormat="1" applyFont="1" applyFill="1" applyBorder="1" applyAlignment="1"/>
    <xf numFmtId="40" fontId="14" fillId="3" borderId="36" xfId="0" applyNumberFormat="1" applyFont="1" applyFill="1" applyBorder="1" applyAlignment="1"/>
    <xf numFmtId="40" fontId="6" fillId="3" borderId="31" xfId="3" applyNumberFormat="1" applyFont="1" applyFill="1" applyBorder="1"/>
    <xf numFmtId="40" fontId="14" fillId="3" borderId="30" xfId="0" applyNumberFormat="1" applyFont="1" applyFill="1" applyBorder="1" applyAlignment="1"/>
    <xf numFmtId="40" fontId="6" fillId="3" borderId="43" xfId="3" applyNumberFormat="1" applyFont="1" applyFill="1" applyBorder="1"/>
    <xf numFmtId="40" fontId="14" fillId="0" borderId="29" xfId="3" applyNumberFormat="1" applyFont="1" applyBorder="1"/>
    <xf numFmtId="40" fontId="6" fillId="3" borderId="47" xfId="0" applyNumberFormat="1" applyFont="1" applyFill="1" applyBorder="1" applyAlignment="1"/>
    <xf numFmtId="40" fontId="6" fillId="3" borderId="14" xfId="3" applyNumberFormat="1" applyFont="1" applyFill="1" applyBorder="1"/>
    <xf numFmtId="0" fontId="6" fillId="3" borderId="63" xfId="0" applyFont="1" applyFill="1" applyBorder="1" applyAlignment="1"/>
    <xf numFmtId="0" fontId="6" fillId="3" borderId="62" xfId="0" applyFont="1" applyFill="1" applyBorder="1" applyAlignment="1"/>
    <xf numFmtId="171" fontId="42" fillId="3" borderId="64" xfId="0" applyNumberFormat="1" applyFont="1" applyFill="1" applyBorder="1" applyAlignment="1">
      <alignment horizontal="right"/>
    </xf>
    <xf numFmtId="171" fontId="74" fillId="3" borderId="64" xfId="0" applyNumberFormat="1" applyFont="1" applyFill="1" applyBorder="1" applyAlignment="1"/>
    <xf numFmtId="171" fontId="14" fillId="0" borderId="67" xfId="0" applyNumberFormat="1" applyFont="1" applyBorder="1" applyAlignment="1"/>
    <xf numFmtId="182" fontId="6" fillId="3" borderId="37" xfId="0" applyNumberFormat="1" applyFont="1" applyFill="1" applyBorder="1" applyAlignment="1"/>
    <xf numFmtId="182" fontId="6" fillId="3" borderId="39" xfId="0" applyNumberFormat="1" applyFont="1" applyFill="1" applyBorder="1" applyAlignment="1"/>
    <xf numFmtId="40" fontId="6" fillId="3" borderId="40" xfId="3" applyNumberFormat="1" applyFont="1" applyFill="1" applyBorder="1"/>
    <xf numFmtId="0" fontId="6" fillId="3" borderId="60" xfId="0" applyFont="1" applyFill="1" applyBorder="1" applyAlignment="1"/>
    <xf numFmtId="171" fontId="42" fillId="3" borderId="30" xfId="0" applyNumberFormat="1" applyFont="1" applyFill="1" applyBorder="1" applyAlignment="1">
      <alignment horizontal="right"/>
    </xf>
    <xf numFmtId="171" fontId="74" fillId="3" borderId="15" xfId="0" applyNumberFormat="1" applyFont="1" applyFill="1" applyBorder="1" applyAlignment="1"/>
    <xf numFmtId="171" fontId="14" fillId="0" borderId="27" xfId="0" applyNumberFormat="1" applyFont="1" applyBorder="1" applyAlignment="1"/>
    <xf numFmtId="182" fontId="6" fillId="3" borderId="49" xfId="0" applyNumberFormat="1" applyFont="1" applyFill="1" applyBorder="1" applyAlignment="1"/>
    <xf numFmtId="182" fontId="6" fillId="3" borderId="15" xfId="0" applyNumberFormat="1" applyFont="1" applyFill="1" applyBorder="1" applyAlignment="1"/>
    <xf numFmtId="40" fontId="14" fillId="0" borderId="72" xfId="3" applyNumberFormat="1" applyFont="1" applyBorder="1"/>
    <xf numFmtId="43" fontId="71" fillId="0" borderId="0" xfId="0" applyNumberFormat="1" applyFont="1" applyAlignment="1"/>
    <xf numFmtId="43" fontId="27" fillId="2" borderId="0" xfId="5" applyNumberFormat="1" applyFont="1" applyFill="1" applyProtection="1">
      <protection hidden="1"/>
    </xf>
    <xf numFmtId="43" fontId="27" fillId="2" borderId="0" xfId="5" applyNumberFormat="1" applyFont="1" applyFill="1" applyAlignment="1" applyProtection="1">
      <alignment horizontal="left"/>
      <protection hidden="1"/>
    </xf>
    <xf numFmtId="2" fontId="27" fillId="18" borderId="0" xfId="5" applyNumberFormat="1" applyFont="1" applyFill="1" applyProtection="1">
      <protection hidden="1"/>
    </xf>
    <xf numFmtId="1" fontId="33" fillId="2" borderId="0" xfId="5" applyNumberFormat="1" applyFont="1" applyFill="1" applyProtection="1">
      <protection hidden="1"/>
    </xf>
    <xf numFmtId="9" fontId="33" fillId="2" borderId="0" xfId="5" applyNumberFormat="1" applyFont="1" applyFill="1" applyProtection="1">
      <protection hidden="1"/>
    </xf>
    <xf numFmtId="181" fontId="16" fillId="2" borderId="0" xfId="0" applyNumberFormat="1" applyFont="1" applyFill="1" applyProtection="1">
      <alignment vertical="center"/>
      <protection locked="0"/>
    </xf>
    <xf numFmtId="0" fontId="8" fillId="2" borderId="3" xfId="0" applyFont="1" applyFill="1" applyBorder="1" applyAlignment="1" applyProtection="1">
      <alignment horizontal="center" vertical="center"/>
      <protection hidden="1"/>
    </xf>
    <xf numFmtId="0" fontId="21" fillId="25" borderId="14" xfId="0" applyFont="1" applyFill="1" applyBorder="1" applyAlignment="1" applyProtection="1">
      <alignment horizontal="left" vertical="center"/>
      <protection hidden="1"/>
    </xf>
    <xf numFmtId="0" fontId="21" fillId="25" borderId="8" xfId="0" applyFont="1" applyFill="1" applyBorder="1" applyAlignment="1" applyProtection="1">
      <alignment horizontal="center" vertical="center"/>
      <protection hidden="1"/>
    </xf>
    <xf numFmtId="0" fontId="0" fillId="2" borderId="4" xfId="0" applyFill="1" applyBorder="1" applyAlignment="1" applyProtection="1">
      <alignment horizontal="center" vertical="center"/>
      <protection hidden="1"/>
    </xf>
    <xf numFmtId="0" fontId="12" fillId="2" borderId="11" xfId="0" applyFont="1" applyFill="1" applyBorder="1" applyAlignment="1" applyProtection="1">
      <alignment horizontal="center" vertical="center"/>
      <protection hidden="1"/>
    </xf>
    <xf numFmtId="0" fontId="0" fillId="2" borderId="0" xfId="0" applyFill="1" applyAlignment="1" applyProtection="1">
      <alignment horizontal="center" vertical="center"/>
      <protection hidden="1"/>
    </xf>
    <xf numFmtId="0" fontId="41" fillId="2" borderId="0" xfId="0" applyFont="1" applyFill="1" applyProtection="1">
      <alignment vertical="center"/>
      <protection hidden="1"/>
    </xf>
    <xf numFmtId="0" fontId="21" fillId="2" borderId="0" xfId="0" applyFont="1" applyFill="1" applyProtection="1">
      <alignment vertical="center"/>
      <protection hidden="1"/>
    </xf>
    <xf numFmtId="0" fontId="12" fillId="2" borderId="0" xfId="0" applyFont="1" applyFill="1" applyAlignment="1" applyProtection="1">
      <alignment horizontal="center" vertical="center"/>
      <protection hidden="1"/>
    </xf>
    <xf numFmtId="0" fontId="8" fillId="2" borderId="13" xfId="0" applyFont="1" applyFill="1" applyBorder="1" applyAlignment="1" applyProtection="1">
      <alignment horizontal="center" vertical="center"/>
      <protection hidden="1"/>
    </xf>
    <xf numFmtId="0" fontId="12" fillId="2" borderId="5" xfId="0" applyFont="1" applyFill="1" applyBorder="1" applyAlignment="1" applyProtection="1">
      <alignment horizontal="center" vertical="center"/>
      <protection hidden="1"/>
    </xf>
    <xf numFmtId="0" fontId="0" fillId="2" borderId="5" xfId="0" applyFill="1" applyBorder="1" applyAlignment="1" applyProtection="1">
      <alignment horizontal="center" vertical="center"/>
      <protection hidden="1"/>
    </xf>
    <xf numFmtId="0" fontId="0" fillId="2" borderId="6" xfId="0" applyFill="1" applyBorder="1" applyAlignment="1" applyProtection="1">
      <alignment horizontal="center" vertical="center"/>
      <protection hidden="1"/>
    </xf>
    <xf numFmtId="0" fontId="0" fillId="25" borderId="29" xfId="0" applyFill="1" applyBorder="1" applyAlignment="1" applyProtection="1">
      <alignment horizontal="center" vertical="center"/>
      <protection hidden="1"/>
    </xf>
    <xf numFmtId="43" fontId="21" fillId="25" borderId="11" xfId="1" applyFont="1" applyFill="1" applyBorder="1" applyAlignment="1" applyProtection="1">
      <alignment vertical="center"/>
      <protection hidden="1"/>
    </xf>
    <xf numFmtId="0" fontId="0" fillId="25" borderId="11" xfId="0" applyFill="1" applyBorder="1" applyProtection="1">
      <alignment vertical="center"/>
      <protection hidden="1"/>
    </xf>
    <xf numFmtId="0" fontId="0" fillId="25" borderId="27" xfId="0" applyFill="1" applyBorder="1" applyProtection="1">
      <alignment vertical="center"/>
      <protection hidden="1"/>
    </xf>
    <xf numFmtId="0" fontId="8" fillId="2" borderId="0" xfId="0" applyFont="1" applyFill="1" applyAlignment="1" applyProtection="1">
      <alignment horizontal="right" vertical="center"/>
      <protection hidden="1"/>
    </xf>
    <xf numFmtId="0" fontId="0" fillId="25" borderId="16" xfId="0" applyFill="1" applyBorder="1" applyAlignment="1" applyProtection="1">
      <alignment horizontal="center" vertical="center"/>
      <protection hidden="1"/>
    </xf>
    <xf numFmtId="43" fontId="21" fillId="25" borderId="0" xfId="1" applyFont="1" applyFill="1" applyAlignment="1" applyProtection="1">
      <alignment vertical="center"/>
      <protection hidden="1"/>
    </xf>
    <xf numFmtId="0" fontId="0" fillId="25" borderId="0" xfId="0" applyFill="1" applyProtection="1">
      <alignment vertical="center"/>
      <protection hidden="1"/>
    </xf>
    <xf numFmtId="0" fontId="0" fillId="25" borderId="28" xfId="0" applyFill="1" applyBorder="1" applyProtection="1">
      <alignment vertical="center"/>
      <protection hidden="1"/>
    </xf>
    <xf numFmtId="9" fontId="37" fillId="2" borderId="0" xfId="0" applyNumberFormat="1" applyFont="1" applyFill="1" applyProtection="1">
      <alignment vertical="center"/>
      <protection hidden="1"/>
    </xf>
    <xf numFmtId="0" fontId="0" fillId="25" borderId="31" xfId="0" applyFill="1" applyBorder="1" applyAlignment="1" applyProtection="1">
      <alignment horizontal="center" vertical="center"/>
      <protection hidden="1"/>
    </xf>
    <xf numFmtId="43" fontId="21" fillId="25" borderId="5" xfId="1" applyFont="1" applyFill="1" applyBorder="1" applyAlignment="1" applyProtection="1">
      <alignment vertical="center"/>
      <protection hidden="1"/>
    </xf>
    <xf numFmtId="0" fontId="0" fillId="25" borderId="5" xfId="0" applyFill="1" applyBorder="1" applyProtection="1">
      <alignment vertical="center"/>
      <protection hidden="1"/>
    </xf>
    <xf numFmtId="0" fontId="0" fillId="25" borderId="30" xfId="0" applyFill="1" applyBorder="1" applyProtection="1">
      <alignment vertical="center"/>
      <protection hidden="1"/>
    </xf>
    <xf numFmtId="0" fontId="0" fillId="2" borderId="3" xfId="0" applyFill="1" applyBorder="1" applyAlignment="1" applyProtection="1">
      <alignment horizontal="center" vertical="center"/>
      <protection hidden="1"/>
    </xf>
    <xf numFmtId="43" fontId="21" fillId="2" borderId="0" xfId="1" applyFont="1" applyFill="1" applyAlignment="1" applyProtection="1">
      <alignment vertical="center"/>
      <protection hidden="1"/>
    </xf>
    <xf numFmtId="165" fontId="0" fillId="0" borderId="11" xfId="3" applyNumberFormat="1" applyFont="1" applyFill="1" applyBorder="1" applyAlignment="1" applyProtection="1">
      <alignment horizontal="center" vertical="center"/>
      <protection hidden="1"/>
    </xf>
    <xf numFmtId="165" fontId="21" fillId="2" borderId="10" xfId="17" applyNumberFormat="1" applyFont="1" applyFill="1" applyBorder="1" applyAlignment="1" applyProtection="1">
      <alignment vertical="center"/>
      <protection hidden="1"/>
    </xf>
    <xf numFmtId="165" fontId="21" fillId="2" borderId="11" xfId="17" applyNumberFormat="1" applyFont="1" applyFill="1" applyBorder="1" applyAlignment="1" applyProtection="1">
      <alignment vertical="center"/>
      <protection hidden="1"/>
    </xf>
    <xf numFmtId="0" fontId="0" fillId="2" borderId="11" xfId="0" applyFill="1" applyBorder="1" applyProtection="1">
      <alignment vertical="center"/>
      <protection hidden="1"/>
    </xf>
    <xf numFmtId="43" fontId="21" fillId="2" borderId="11" xfId="17" applyFont="1" applyFill="1" applyBorder="1" applyAlignment="1" applyProtection="1">
      <alignment horizontal="center" vertical="center"/>
      <protection hidden="1"/>
    </xf>
    <xf numFmtId="165" fontId="21" fillId="2" borderId="11" xfId="17" applyNumberFormat="1" applyFont="1" applyFill="1" applyBorder="1" applyAlignment="1" applyProtection="1">
      <alignment horizontal="center" vertical="center"/>
      <protection hidden="1"/>
    </xf>
    <xf numFmtId="0" fontId="21" fillId="2" borderId="11" xfId="16" applyFont="1" applyFill="1" applyBorder="1" applyAlignment="1" applyProtection="1">
      <alignment horizontal="center" vertical="center"/>
      <protection hidden="1"/>
    </xf>
    <xf numFmtId="9" fontId="21" fillId="2" borderId="11" xfId="16" applyNumberFormat="1" applyFont="1" applyFill="1" applyBorder="1" applyAlignment="1" applyProtection="1">
      <alignment horizontal="center" vertical="center"/>
      <protection hidden="1"/>
    </xf>
    <xf numFmtId="0" fontId="0" fillId="2" borderId="11" xfId="0" applyFill="1" applyBorder="1" applyAlignment="1" applyProtection="1">
      <alignment horizontal="center" vertical="center" wrapText="1"/>
      <protection hidden="1"/>
    </xf>
    <xf numFmtId="0" fontId="0" fillId="2" borderId="0" xfId="0" applyFill="1" applyAlignment="1" applyProtection="1">
      <alignment horizontal="center" vertical="center" wrapText="1"/>
      <protection hidden="1"/>
    </xf>
    <xf numFmtId="0" fontId="0" fillId="2" borderId="4" xfId="0" applyFill="1" applyBorder="1" applyAlignment="1" applyProtection="1">
      <alignment horizontal="center" vertical="center" wrapText="1"/>
      <protection hidden="1"/>
    </xf>
    <xf numFmtId="165" fontId="42" fillId="2" borderId="3" xfId="17" applyNumberFormat="1" applyFont="1" applyFill="1" applyBorder="1" applyAlignment="1" applyProtection="1">
      <alignment vertical="center"/>
      <protection hidden="1"/>
    </xf>
    <xf numFmtId="0" fontId="21" fillId="2" borderId="0" xfId="0" applyFont="1" applyFill="1" applyAlignment="1" applyProtection="1">
      <alignment vertical="top" wrapText="1"/>
      <protection hidden="1"/>
    </xf>
    <xf numFmtId="165" fontId="21" fillId="2" borderId="3" xfId="17" applyNumberFormat="1" applyFont="1" applyFill="1" applyBorder="1" applyAlignment="1" applyProtection="1">
      <alignment vertical="center"/>
      <protection hidden="1"/>
    </xf>
    <xf numFmtId="0" fontId="42" fillId="2" borderId="0" xfId="0" applyFont="1" applyFill="1" applyAlignment="1" applyProtection="1">
      <alignment horizontal="center" vertical="center"/>
      <protection hidden="1"/>
    </xf>
    <xf numFmtId="0" fontId="21" fillId="2" borderId="0" xfId="0" applyFont="1" applyFill="1" applyAlignment="1" applyProtection="1">
      <alignment vertical="center" wrapText="1"/>
      <protection hidden="1"/>
    </xf>
    <xf numFmtId="0" fontId="21" fillId="2" borderId="0" xfId="0" applyFont="1" applyFill="1" applyAlignment="1" applyProtection="1">
      <alignment horizontal="left" vertical="center"/>
      <protection hidden="1"/>
    </xf>
    <xf numFmtId="0" fontId="21" fillId="0" borderId="0" xfId="0" applyFont="1" applyAlignment="1" applyProtection="1">
      <alignment horizontal="left" vertical="center"/>
      <protection hidden="1"/>
    </xf>
    <xf numFmtId="41" fontId="21" fillId="2" borderId="0" xfId="9" applyFont="1" applyFill="1" applyBorder="1" applyAlignment="1" applyProtection="1">
      <alignment horizontal="center" vertical="center"/>
      <protection hidden="1"/>
    </xf>
    <xf numFmtId="165" fontId="21" fillId="2" borderId="0" xfId="17" applyNumberFormat="1" applyFont="1" applyFill="1" applyBorder="1" applyAlignment="1" applyProtection="1">
      <alignment vertical="center"/>
      <protection hidden="1"/>
    </xf>
    <xf numFmtId="0" fontId="8" fillId="2" borderId="0" xfId="0" applyFont="1" applyFill="1" applyAlignment="1" applyProtection="1">
      <alignment horizontal="left" vertical="center" wrapText="1"/>
      <protection hidden="1"/>
    </xf>
    <xf numFmtId="0" fontId="8" fillId="2" borderId="0" xfId="0" applyFont="1" applyFill="1" applyAlignment="1" applyProtection="1">
      <alignment horizontal="center" vertical="center" wrapText="1"/>
      <protection hidden="1"/>
    </xf>
    <xf numFmtId="0" fontId="16" fillId="2" borderId="3" xfId="0" applyFont="1" applyFill="1" applyBorder="1" applyAlignment="1" applyProtection="1">
      <alignment horizontal="left" vertical="center"/>
      <protection hidden="1"/>
    </xf>
    <xf numFmtId="0" fontId="16" fillId="2" borderId="0" xfId="0" applyFont="1" applyFill="1" applyAlignment="1" applyProtection="1">
      <alignment horizontal="left" vertical="center"/>
      <protection hidden="1"/>
    </xf>
    <xf numFmtId="41" fontId="0" fillId="2" borderId="0" xfId="0" applyNumberFormat="1" applyFill="1" applyAlignment="1" applyProtection="1">
      <alignment horizontal="center" vertical="center"/>
      <protection hidden="1"/>
    </xf>
    <xf numFmtId="37" fontId="10" fillId="2" borderId="0" xfId="0" applyNumberFormat="1" applyFont="1" applyFill="1" applyAlignment="1" applyProtection="1">
      <alignment horizontal="center" vertical="center"/>
      <protection hidden="1"/>
    </xf>
    <xf numFmtId="0" fontId="18" fillId="2" borderId="0" xfId="0" applyFont="1" applyFill="1" applyProtection="1">
      <alignment vertical="center"/>
      <protection hidden="1"/>
    </xf>
    <xf numFmtId="0" fontId="67" fillId="0" borderId="0" xfId="0" applyFont="1" applyAlignment="1" applyProtection="1">
      <alignment horizontal="center"/>
      <protection hidden="1"/>
    </xf>
    <xf numFmtId="0" fontId="67" fillId="0" borderId="68" xfId="0" applyFont="1" applyBorder="1" applyAlignment="1" applyProtection="1">
      <alignment horizontal="center"/>
      <protection hidden="1"/>
    </xf>
    <xf numFmtId="0" fontId="68" fillId="26" borderId="0" xfId="0" applyFont="1" applyFill="1" applyAlignment="1" applyProtection="1">
      <alignment horizontal="center"/>
      <protection hidden="1"/>
    </xf>
    <xf numFmtId="1" fontId="27" fillId="3" borderId="0" xfId="5" applyNumberFormat="1" applyFont="1" applyFill="1" applyAlignment="1" applyProtection="1">
      <alignment horizontal="center"/>
      <protection hidden="1"/>
    </xf>
    <xf numFmtId="0" fontId="49" fillId="2" borderId="0" xfId="0" applyFont="1" applyFill="1" applyAlignment="1">
      <alignment horizontal="center" vertical="center"/>
    </xf>
    <xf numFmtId="0" fontId="49" fillId="2" borderId="25" xfId="0" applyFont="1" applyFill="1" applyBorder="1" applyAlignment="1">
      <alignment horizontal="center" vertical="center"/>
    </xf>
    <xf numFmtId="0" fontId="8" fillId="2" borderId="0" xfId="0" applyFont="1" applyFill="1" applyAlignment="1">
      <alignment horizontal="center" vertical="center"/>
    </xf>
    <xf numFmtId="179" fontId="8" fillId="2" borderId="0" xfId="0" applyNumberFormat="1" applyFont="1" applyFill="1" applyAlignment="1">
      <alignment horizontal="left" vertical="center"/>
    </xf>
    <xf numFmtId="0" fontId="8" fillId="2" borderId="0" xfId="0" quotePrefix="1" applyFont="1" applyFill="1">
      <alignment vertical="center"/>
    </xf>
    <xf numFmtId="0" fontId="8" fillId="2" borderId="0" xfId="0" applyFont="1" applyFill="1">
      <alignment vertical="center"/>
    </xf>
    <xf numFmtId="0" fontId="0" fillId="2" borderId="14" xfId="0" applyFill="1" applyBorder="1" applyAlignment="1" applyProtection="1">
      <alignment horizontal="center" vertical="center"/>
      <protection locked="0"/>
    </xf>
    <xf numFmtId="0" fontId="0" fillId="0" borderId="17" xfId="0" applyBorder="1" applyProtection="1">
      <alignment vertical="center"/>
      <protection locked="0"/>
    </xf>
    <xf numFmtId="0" fontId="70" fillId="2" borderId="14" xfId="0" applyFont="1" applyFill="1" applyBorder="1" applyAlignment="1" applyProtection="1">
      <alignment horizontal="right" vertical="center"/>
      <protection locked="0"/>
    </xf>
    <xf numFmtId="0" fontId="16" fillId="2" borderId="4" xfId="0" applyFont="1" applyFill="1" applyBorder="1" applyAlignment="1" applyProtection="1">
      <alignment horizontal="left" vertical="top" wrapText="1"/>
      <protection locked="0"/>
    </xf>
    <xf numFmtId="0" fontId="0" fillId="0" borderId="3" xfId="0" applyBorder="1" applyProtection="1">
      <alignment vertical="center"/>
      <protection locked="0"/>
    </xf>
    <xf numFmtId="0" fontId="8" fillId="2" borderId="0" xfId="0" applyFont="1" applyFill="1" applyAlignment="1" applyProtection="1">
      <alignment vertical="top" wrapText="1"/>
      <protection locked="0"/>
    </xf>
    <xf numFmtId="0" fontId="0" fillId="2" borderId="0" xfId="0" applyFill="1" applyAlignment="1" applyProtection="1">
      <alignment vertical="top" wrapText="1"/>
      <protection locked="0"/>
    </xf>
    <xf numFmtId="0" fontId="0" fillId="0" borderId="0" xfId="0" quotePrefix="1" applyAlignment="1" applyProtection="1">
      <protection hidden="1"/>
    </xf>
    <xf numFmtId="41" fontId="0" fillId="0" borderId="0" xfId="0" applyNumberFormat="1" applyProtection="1">
      <alignment vertical="center"/>
      <protection hidden="1"/>
    </xf>
    <xf numFmtId="9" fontId="19" fillId="0" borderId="0" xfId="0" applyNumberFormat="1" applyFont="1" applyProtection="1">
      <alignment vertical="center"/>
      <protection hidden="1"/>
    </xf>
    <xf numFmtId="2" fontId="19" fillId="0" borderId="0" xfId="0" applyNumberFormat="1" applyFont="1" applyAlignment="1" applyProtection="1">
      <alignment horizontal="center" vertical="center"/>
      <protection hidden="1"/>
    </xf>
    <xf numFmtId="0" fontId="19" fillId="0" borderId="0" xfId="0" applyFont="1" applyProtection="1">
      <alignment vertical="center"/>
      <protection hidden="1"/>
    </xf>
    <xf numFmtId="41" fontId="21" fillId="0" borderId="5" xfId="9" applyFont="1" applyFill="1" applyBorder="1" applyAlignment="1" applyProtection="1">
      <alignment horizontal="center" vertical="center"/>
      <protection hidden="1"/>
    </xf>
    <xf numFmtId="2" fontId="19" fillId="0" borderId="0" xfId="0" applyNumberFormat="1" applyFont="1" applyProtection="1">
      <alignment vertical="center"/>
      <protection hidden="1"/>
    </xf>
    <xf numFmtId="41" fontId="21" fillId="0" borderId="8" xfId="9" applyFont="1" applyFill="1" applyBorder="1" applyAlignment="1" applyProtection="1">
      <alignment horizontal="center" vertical="center"/>
      <protection hidden="1"/>
    </xf>
    <xf numFmtId="41" fontId="21" fillId="0" borderId="11" xfId="9" applyFont="1" applyFill="1" applyBorder="1" applyAlignment="1" applyProtection="1">
      <alignment horizontal="center" vertical="center"/>
      <protection hidden="1"/>
    </xf>
    <xf numFmtId="9" fontId="19" fillId="3" borderId="0" xfId="0" applyNumberFormat="1" applyFont="1" applyFill="1" applyProtection="1">
      <alignment vertical="center"/>
      <protection hidden="1"/>
    </xf>
    <xf numFmtId="2" fontId="19" fillId="3" borderId="0" xfId="0" applyNumberFormat="1" applyFont="1" applyFill="1" applyProtection="1">
      <alignment vertical="center"/>
      <protection hidden="1"/>
    </xf>
    <xf numFmtId="4" fontId="0" fillId="3" borderId="0" xfId="0" applyNumberFormat="1" applyFill="1" applyProtection="1">
      <alignment vertical="center"/>
      <protection hidden="1"/>
    </xf>
    <xf numFmtId="9" fontId="0" fillId="0" borderId="0" xfId="0" applyNumberFormat="1" applyProtection="1">
      <alignment vertical="center"/>
      <protection hidden="1"/>
    </xf>
    <xf numFmtId="9" fontId="16" fillId="20" borderId="11" xfId="2" applyFont="1" applyFill="1" applyBorder="1" applyAlignment="1" applyProtection="1">
      <alignment vertical="top" wrapText="1"/>
      <protection hidden="1"/>
    </xf>
    <xf numFmtId="43" fontId="8" fillId="2" borderId="0" xfId="0" applyNumberFormat="1" applyFont="1" applyFill="1" applyAlignment="1" applyProtection="1">
      <alignment horizontal="left" vertical="center"/>
      <protection hidden="1"/>
    </xf>
    <xf numFmtId="0" fontId="16" fillId="2" borderId="3" xfId="0" applyFont="1" applyFill="1" applyBorder="1" applyProtection="1">
      <alignment vertical="center"/>
      <protection hidden="1"/>
    </xf>
    <xf numFmtId="1" fontId="8" fillId="0" borderId="0" xfId="0" quotePrefix="1" applyNumberFormat="1" applyFont="1" applyProtection="1">
      <alignment vertical="center"/>
      <protection hidden="1"/>
    </xf>
    <xf numFmtId="0" fontId="16" fillId="2" borderId="0" xfId="0" applyFont="1" applyFill="1" applyProtection="1">
      <alignment vertical="center"/>
      <protection hidden="1"/>
    </xf>
    <xf numFmtId="0" fontId="0" fillId="2" borderId="0" xfId="0" applyFill="1" applyAlignment="1" applyProtection="1">
      <alignment horizontal="center"/>
      <protection hidden="1"/>
    </xf>
    <xf numFmtId="0" fontId="18" fillId="2" borderId="0" xfId="0" applyFont="1" applyFill="1" applyAlignment="1" applyProtection="1">
      <alignment horizontal="center"/>
      <protection hidden="1"/>
    </xf>
    <xf numFmtId="0" fontId="46" fillId="2" borderId="0" xfId="0" applyFont="1" applyFill="1" applyAlignment="1">
      <alignment horizontal="center" vertical="center"/>
    </xf>
    <xf numFmtId="0" fontId="49" fillId="0" borderId="0" xfId="0" applyFont="1">
      <alignment vertical="center"/>
    </xf>
    <xf numFmtId="0" fontId="8" fillId="2" borderId="59" xfId="0" applyFont="1" applyFill="1" applyBorder="1">
      <alignment vertical="center"/>
    </xf>
    <xf numFmtId="179" fontId="8" fillId="0" borderId="0" xfId="0" applyNumberFormat="1" applyFont="1">
      <alignment vertical="center"/>
    </xf>
    <xf numFmtId="0" fontId="8" fillId="2" borderId="9" xfId="0" applyFont="1" applyFill="1" applyBorder="1" applyAlignment="1">
      <alignment horizontal="left" vertical="center"/>
    </xf>
    <xf numFmtId="179" fontId="8" fillId="2" borderId="0" xfId="0" applyNumberFormat="1" applyFont="1" applyFill="1">
      <alignment vertical="center"/>
    </xf>
    <xf numFmtId="179" fontId="8" fillId="0" borderId="20" xfId="0" applyNumberFormat="1" applyFont="1" applyBorder="1" applyAlignment="1">
      <alignment horizontal="left" vertical="center"/>
    </xf>
    <xf numFmtId="0" fontId="49" fillId="0" borderId="0" xfId="0" applyFont="1" applyAlignment="1">
      <alignment horizontal="center" vertical="center"/>
    </xf>
    <xf numFmtId="179" fontId="8" fillId="3" borderId="22" xfId="0" quotePrefix="1" applyNumberFormat="1" applyFont="1" applyFill="1" applyBorder="1" applyAlignment="1">
      <alignment horizontal="center" vertical="center"/>
    </xf>
    <xf numFmtId="179" fontId="16" fillId="3" borderId="23" xfId="0" applyNumberFormat="1" applyFont="1" applyFill="1" applyBorder="1" applyAlignment="1">
      <alignment horizontal="left" vertical="center"/>
    </xf>
    <xf numFmtId="179" fontId="16" fillId="2" borderId="0" xfId="0" applyNumberFormat="1" applyFont="1" applyFill="1" applyAlignment="1">
      <alignment horizontal="left" vertical="center"/>
    </xf>
    <xf numFmtId="179" fontId="16" fillId="2" borderId="0" xfId="0" quotePrefix="1" applyNumberFormat="1" applyFont="1" applyFill="1" applyAlignment="1">
      <alignment horizontal="left" vertical="center"/>
    </xf>
    <xf numFmtId="179" fontId="16" fillId="2" borderId="0" xfId="0" quotePrefix="1" applyNumberFormat="1" applyFont="1" applyFill="1" applyAlignment="1">
      <alignment horizontal="center" vertical="center"/>
    </xf>
    <xf numFmtId="49" fontId="0" fillId="2" borderId="0" xfId="0" applyNumberFormat="1" applyFill="1" applyAlignment="1" applyProtection="1">
      <alignment horizontal="left"/>
      <protection locked="0"/>
    </xf>
    <xf numFmtId="0" fontId="0" fillId="2" borderId="11" xfId="0" applyFill="1" applyBorder="1" applyAlignment="1" applyProtection="1">
      <alignment horizontal="left"/>
      <protection locked="0"/>
    </xf>
    <xf numFmtId="0" fontId="0" fillId="2" borderId="0" xfId="0" applyFill="1" applyAlignment="1" applyProtection="1">
      <alignment horizontal="left"/>
      <protection locked="0"/>
    </xf>
    <xf numFmtId="0" fontId="0" fillId="2" borderId="27" xfId="0" applyFill="1" applyBorder="1" applyAlignment="1" applyProtection="1">
      <alignment horizontal="left"/>
      <protection locked="0"/>
    </xf>
    <xf numFmtId="0" fontId="0" fillId="2" borderId="28" xfId="0" applyFill="1" applyBorder="1" applyAlignment="1" applyProtection="1">
      <alignment horizontal="left"/>
      <protection locked="0"/>
    </xf>
    <xf numFmtId="49" fontId="0" fillId="2" borderId="28" xfId="0" applyNumberFormat="1" applyFill="1" applyBorder="1" applyAlignment="1" applyProtection="1">
      <alignment horizontal="left"/>
      <protection locked="0"/>
    </xf>
    <xf numFmtId="0" fontId="46" fillId="0" borderId="0" xfId="0" applyFont="1">
      <alignment vertical="center"/>
    </xf>
    <xf numFmtId="49" fontId="79" fillId="2" borderId="0" xfId="0" applyNumberFormat="1" applyFont="1" applyFill="1">
      <alignment vertical="center"/>
    </xf>
    <xf numFmtId="43" fontId="8" fillId="2" borderId="0" xfId="0" applyNumberFormat="1" applyFont="1" applyFill="1" applyProtection="1">
      <alignment vertical="center"/>
      <protection locked="0"/>
    </xf>
    <xf numFmtId="0" fontId="0" fillId="2" borderId="0" xfId="0" applyFill="1" applyAlignment="1" applyProtection="1">
      <alignment horizontal="right"/>
      <protection hidden="1"/>
    </xf>
    <xf numFmtId="0" fontId="0" fillId="2" borderId="29" xfId="0" applyFill="1" applyBorder="1" applyAlignment="1" applyProtection="1">
      <protection locked="0"/>
    </xf>
    <xf numFmtId="0" fontId="0" fillId="2" borderId="11" xfId="0" applyFill="1" applyBorder="1" applyAlignment="1" applyProtection="1">
      <protection locked="0"/>
    </xf>
    <xf numFmtId="0" fontId="0" fillId="2" borderId="27" xfId="0" applyFill="1" applyBorder="1" applyAlignment="1" applyProtection="1">
      <protection locked="0"/>
    </xf>
    <xf numFmtId="0" fontId="0" fillId="0" borderId="0" xfId="0" applyAlignment="1" applyProtection="1">
      <protection locked="0"/>
    </xf>
    <xf numFmtId="0" fontId="8" fillId="2" borderId="16" xfId="0" applyFont="1" applyFill="1" applyBorder="1" applyAlignment="1" applyProtection="1">
      <protection locked="0"/>
    </xf>
    <xf numFmtId="0" fontId="0" fillId="2" borderId="28" xfId="0" applyFill="1" applyBorder="1" applyAlignment="1" applyProtection="1">
      <protection locked="0"/>
    </xf>
    <xf numFmtId="49" fontId="0" fillId="2" borderId="16" xfId="0" applyNumberFormat="1" applyFill="1" applyBorder="1" applyAlignment="1" applyProtection="1">
      <alignment horizontal="left"/>
      <protection locked="0"/>
    </xf>
    <xf numFmtId="49" fontId="0" fillId="0" borderId="0" xfId="0" applyNumberFormat="1" applyAlignment="1" applyProtection="1">
      <alignment horizontal="left"/>
      <protection locked="0"/>
    </xf>
    <xf numFmtId="0" fontId="0" fillId="2" borderId="11" xfId="0" applyFill="1" applyBorder="1" applyAlignment="1" applyProtection="1">
      <alignment horizontal="right"/>
      <protection hidden="1"/>
    </xf>
    <xf numFmtId="0" fontId="0" fillId="2" borderId="29" xfId="0" applyFill="1" applyBorder="1" applyAlignment="1" applyProtection="1">
      <alignment horizontal="left"/>
      <protection locked="0"/>
    </xf>
    <xf numFmtId="0" fontId="0" fillId="0" borderId="0" xfId="0" applyAlignment="1" applyProtection="1">
      <alignment horizontal="left"/>
      <protection locked="0"/>
    </xf>
    <xf numFmtId="0" fontId="8" fillId="2" borderId="0" xfId="0" applyFont="1" applyFill="1" applyAlignment="1" applyProtection="1">
      <protection hidden="1"/>
    </xf>
    <xf numFmtId="0" fontId="8" fillId="2" borderId="16" xfId="0" applyFont="1" applyFill="1" applyBorder="1" applyAlignment="1" applyProtection="1">
      <alignment horizontal="left"/>
      <protection locked="0"/>
    </xf>
    <xf numFmtId="171" fontId="42" fillId="2" borderId="36" xfId="0" applyNumberFormat="1" applyFont="1" applyFill="1" applyBorder="1" applyAlignment="1">
      <alignment horizontal="right"/>
    </xf>
    <xf numFmtId="0" fontId="30" fillId="3" borderId="0" xfId="5" applyFont="1" applyFill="1" applyProtection="1">
      <protection hidden="1"/>
    </xf>
    <xf numFmtId="0" fontId="0" fillId="2" borderId="17" xfId="0" applyFill="1" applyBorder="1" applyAlignment="1" applyProtection="1">
      <alignment horizontal="center" vertical="center"/>
      <protection locked="0"/>
    </xf>
    <xf numFmtId="0" fontId="21" fillId="3" borderId="8" xfId="0" applyFont="1" applyFill="1" applyBorder="1" applyAlignment="1" applyProtection="1">
      <alignment horizontal="left" vertical="center"/>
      <protection hidden="1"/>
    </xf>
    <xf numFmtId="0" fontId="0" fillId="2" borderId="0" xfId="0" applyFill="1" applyAlignment="1" applyProtection="1">
      <alignment horizontal="left" vertical="center"/>
      <protection locked="0"/>
    </xf>
    <xf numFmtId="0" fontId="38" fillId="2" borderId="0" xfId="0" applyFont="1" applyFill="1" applyAlignment="1" applyProtection="1">
      <alignment horizontal="left" vertical="top" wrapText="1"/>
      <protection locked="0"/>
    </xf>
    <xf numFmtId="0" fontId="27" fillId="29" borderId="0" xfId="5" applyFont="1" applyFill="1" applyAlignment="1" applyProtection="1">
      <alignment horizontal="right"/>
      <protection hidden="1"/>
    </xf>
    <xf numFmtId="0" fontId="16" fillId="2" borderId="4" xfId="0" applyFont="1" applyFill="1" applyBorder="1" applyAlignment="1" applyProtection="1">
      <alignment vertical="top"/>
      <protection hidden="1"/>
    </xf>
    <xf numFmtId="0" fontId="16" fillId="2" borderId="0" xfId="0" applyFont="1" applyFill="1" applyAlignment="1" applyProtection="1">
      <alignment vertical="top" wrapText="1"/>
      <protection locked="0"/>
    </xf>
    <xf numFmtId="0" fontId="0" fillId="17" borderId="0" xfId="0" applyFill="1" applyProtection="1">
      <alignment vertical="center"/>
      <protection locked="0"/>
    </xf>
    <xf numFmtId="0" fontId="83" fillId="2" borderId="5" xfId="0" applyFont="1" applyFill="1" applyBorder="1" applyProtection="1">
      <alignment vertical="center"/>
      <protection locked="0"/>
    </xf>
    <xf numFmtId="0" fontId="8" fillId="17" borderId="0" xfId="0" applyFont="1" applyFill="1" applyProtection="1">
      <alignment vertical="center"/>
      <protection locked="0"/>
    </xf>
    <xf numFmtId="0" fontId="8" fillId="17" borderId="3" xfId="0" applyFont="1" applyFill="1" applyBorder="1" applyProtection="1">
      <alignment vertical="center"/>
      <protection locked="0"/>
    </xf>
    <xf numFmtId="0" fontId="83" fillId="2" borderId="13" xfId="0" applyFont="1" applyFill="1" applyBorder="1" applyProtection="1">
      <alignment vertical="center"/>
      <protection locked="0"/>
    </xf>
    <xf numFmtId="179" fontId="8" fillId="2" borderId="4" xfId="0" applyNumberFormat="1" applyFont="1" applyFill="1" applyBorder="1" applyAlignment="1">
      <alignment horizontal="left" vertical="center"/>
    </xf>
    <xf numFmtId="0" fontId="0" fillId="2" borderId="4" xfId="0" applyFill="1" applyBorder="1" applyAlignment="1">
      <alignment horizontal="center" vertical="center"/>
    </xf>
    <xf numFmtId="0" fontId="16" fillId="15" borderId="0" xfId="0" applyFont="1" applyFill="1" applyAlignment="1">
      <alignment horizontal="center" vertical="center"/>
    </xf>
    <xf numFmtId="41" fontId="16" fillId="15" borderId="0" xfId="0" applyNumberFormat="1" applyFont="1" applyFill="1" applyAlignment="1">
      <alignment horizontal="center" vertical="center"/>
    </xf>
    <xf numFmtId="0" fontId="16" fillId="15" borderId="0" xfId="0" applyFont="1" applyFill="1">
      <alignment vertical="center"/>
    </xf>
    <xf numFmtId="0" fontId="16" fillId="2" borderId="0" xfId="0" applyFont="1" applyFill="1" applyAlignment="1">
      <alignment horizontal="left" vertical="center"/>
    </xf>
    <xf numFmtId="41" fontId="16" fillId="2" borderId="0" xfId="0" applyNumberFormat="1" applyFont="1" applyFill="1" applyAlignment="1">
      <alignment horizontal="center" vertical="center"/>
    </xf>
    <xf numFmtId="0" fontId="8" fillId="2" borderId="0" xfId="0" applyFont="1" applyFill="1" applyAlignment="1" applyProtection="1">
      <alignment horizontal="left" vertical="center"/>
      <protection locked="0"/>
    </xf>
    <xf numFmtId="0" fontId="8" fillId="2" borderId="0" xfId="0" quotePrefix="1" applyFont="1" applyFill="1" applyAlignment="1">
      <alignment horizontal="left" vertical="center"/>
    </xf>
    <xf numFmtId="0" fontId="16" fillId="2" borderId="4" xfId="0" applyFont="1" applyFill="1" applyBorder="1" applyAlignment="1" applyProtection="1">
      <alignment vertical="top"/>
      <protection locked="0"/>
    </xf>
    <xf numFmtId="2" fontId="8" fillId="2" borderId="0" xfId="0" applyNumberFormat="1" applyFont="1" applyFill="1" applyAlignment="1" applyProtection="1">
      <alignment horizontal="center" vertical="center" wrapText="1"/>
      <protection locked="0"/>
    </xf>
    <xf numFmtId="2" fontId="0" fillId="2" borderId="0" xfId="0" applyNumberFormat="1" applyFill="1" applyAlignment="1" applyProtection="1">
      <alignment horizontal="center" vertical="center"/>
      <protection locked="0"/>
    </xf>
    <xf numFmtId="0" fontId="16" fillId="2" borderId="25" xfId="0" applyFont="1" applyFill="1" applyBorder="1" applyAlignment="1" applyProtection="1">
      <alignment horizontal="justify" vertical="top" wrapText="1"/>
      <protection locked="0"/>
    </xf>
    <xf numFmtId="0" fontId="37" fillId="2" borderId="3" xfId="0" quotePrefix="1" applyFont="1" applyFill="1" applyBorder="1" applyAlignment="1" applyProtection="1">
      <alignment horizontal="left" vertical="center"/>
      <protection locked="0"/>
    </xf>
    <xf numFmtId="2" fontId="8" fillId="2" borderId="0" xfId="0" applyNumberFormat="1" applyFont="1" applyFill="1" applyAlignment="1" applyProtection="1">
      <protection locked="0"/>
    </xf>
    <xf numFmtId="0" fontId="16" fillId="2" borderId="0" xfId="0" applyFont="1" applyFill="1" applyAlignment="1" applyProtection="1">
      <alignment vertical="top"/>
      <protection locked="0"/>
    </xf>
    <xf numFmtId="0" fontId="8" fillId="0" borderId="13" xfId="0" applyFont="1" applyBorder="1" applyAlignment="1" applyProtection="1">
      <alignment horizontal="center" vertical="center"/>
      <protection hidden="1"/>
    </xf>
    <xf numFmtId="0" fontId="0" fillId="0" borderId="5" xfId="0"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0" fillId="23" borderId="13" xfId="0" applyFill="1" applyBorder="1" applyAlignment="1" applyProtection="1">
      <alignment horizontal="right" vertical="center"/>
      <protection hidden="1"/>
    </xf>
    <xf numFmtId="0" fontId="44" fillId="25" borderId="5" xfId="0" quotePrefix="1" applyFont="1" applyFill="1" applyBorder="1" applyAlignment="1" applyProtection="1">
      <alignment horizontal="left" vertical="center"/>
      <protection hidden="1"/>
    </xf>
    <xf numFmtId="0" fontId="0" fillId="25" borderId="5" xfId="0" applyFill="1" applyBorder="1" applyAlignment="1" applyProtection="1">
      <alignment horizontal="center" vertical="center"/>
      <protection hidden="1"/>
    </xf>
    <xf numFmtId="0" fontId="8" fillId="2" borderId="5" xfId="0" applyFont="1" applyFill="1" applyBorder="1" applyAlignment="1" applyProtection="1">
      <alignment horizontal="right" vertical="center"/>
      <protection hidden="1"/>
    </xf>
    <xf numFmtId="0" fontId="0" fillId="23" borderId="7" xfId="0" applyFill="1" applyBorder="1" applyAlignment="1" applyProtection="1">
      <alignment horizontal="right" vertical="center"/>
      <protection hidden="1"/>
    </xf>
    <xf numFmtId="0" fontId="44" fillId="25" borderId="8" xfId="0" quotePrefix="1" applyFont="1" applyFill="1" applyBorder="1" applyAlignment="1" applyProtection="1">
      <alignment horizontal="left" vertical="center"/>
      <protection hidden="1"/>
    </xf>
    <xf numFmtId="0" fontId="0" fillId="25" borderId="8" xfId="0" applyFill="1" applyBorder="1" applyAlignment="1" applyProtection="1">
      <alignment horizontal="center" vertical="center"/>
      <protection hidden="1"/>
    </xf>
    <xf numFmtId="0" fontId="8" fillId="2" borderId="8" xfId="0" applyFont="1" applyFill="1" applyBorder="1" applyAlignment="1" applyProtection="1">
      <alignment horizontal="right" vertical="center"/>
      <protection hidden="1"/>
    </xf>
    <xf numFmtId="0" fontId="0" fillId="2" borderId="8" xfId="0" applyFill="1" applyBorder="1" applyAlignment="1" applyProtection="1">
      <alignment horizontal="center" vertical="center"/>
      <protection hidden="1"/>
    </xf>
    <xf numFmtId="43" fontId="21" fillId="25" borderId="8" xfId="1" applyFont="1" applyFill="1" applyBorder="1" applyAlignment="1" applyProtection="1">
      <alignment horizontal="left" vertical="center"/>
      <protection hidden="1"/>
    </xf>
    <xf numFmtId="0" fontId="0" fillId="25" borderId="8" xfId="0" applyFill="1" applyBorder="1" applyProtection="1">
      <alignment vertical="center"/>
      <protection hidden="1"/>
    </xf>
    <xf numFmtId="0" fontId="8" fillId="2" borderId="8" xfId="0" applyFont="1" applyFill="1" applyBorder="1" applyAlignment="1" applyProtection="1">
      <alignment horizontal="center" vertical="center"/>
      <protection hidden="1"/>
    </xf>
    <xf numFmtId="0" fontId="0" fillId="2" borderId="8" xfId="0" applyFill="1" applyBorder="1" applyProtection="1">
      <alignment vertical="center"/>
      <protection hidden="1"/>
    </xf>
    <xf numFmtId="0" fontId="0" fillId="15" borderId="0" xfId="0" applyFill="1" applyProtection="1">
      <alignment vertical="center"/>
      <protection hidden="1"/>
    </xf>
    <xf numFmtId="0" fontId="8" fillId="0" borderId="0" xfId="0" applyFont="1" applyProtection="1">
      <alignment vertical="center"/>
      <protection hidden="1"/>
    </xf>
    <xf numFmtId="0" fontId="18" fillId="2" borderId="0" xfId="0" applyFont="1" applyFill="1" applyAlignment="1" applyProtection="1">
      <alignment horizontal="left" vertical="center"/>
      <protection hidden="1"/>
    </xf>
    <xf numFmtId="0" fontId="0" fillId="2" borderId="3" xfId="0" applyFill="1" applyBorder="1" applyProtection="1">
      <alignment vertical="center"/>
      <protection hidden="1"/>
    </xf>
    <xf numFmtId="43" fontId="12" fillId="0" borderId="0" xfId="1" applyFont="1" applyAlignment="1" applyProtection="1">
      <alignment vertical="center"/>
      <protection hidden="1"/>
    </xf>
    <xf numFmtId="0" fontId="0" fillId="2" borderId="3" xfId="0" applyFill="1" applyBorder="1" applyAlignment="1" applyProtection="1">
      <alignment horizontal="left" vertical="center"/>
      <protection hidden="1"/>
    </xf>
    <xf numFmtId="0" fontId="43" fillId="2" borderId="3" xfId="0" applyFont="1" applyFill="1" applyBorder="1" applyProtection="1">
      <alignment vertical="center"/>
      <protection hidden="1"/>
    </xf>
    <xf numFmtId="0" fontId="39" fillId="2" borderId="0" xfId="0" applyFont="1" applyFill="1" applyAlignment="1" applyProtection="1">
      <alignment horizontal="left" vertical="center"/>
      <protection hidden="1"/>
    </xf>
    <xf numFmtId="0" fontId="38" fillId="2" borderId="0" xfId="0" applyFont="1" applyFill="1" applyProtection="1">
      <alignment vertical="center"/>
      <protection hidden="1"/>
    </xf>
    <xf numFmtId="0" fontId="38" fillId="2" borderId="4" xfId="0" applyFont="1" applyFill="1" applyBorder="1" applyProtection="1">
      <alignment vertical="center"/>
      <protection hidden="1"/>
    </xf>
    <xf numFmtId="0" fontId="21" fillId="2" borderId="3" xfId="0" applyFont="1" applyFill="1" applyBorder="1" applyProtection="1">
      <alignment vertical="center"/>
      <protection hidden="1"/>
    </xf>
    <xf numFmtId="0" fontId="21" fillId="25" borderId="14" xfId="0" quotePrefix="1" applyFont="1" applyFill="1" applyBorder="1" applyAlignment="1" applyProtection="1">
      <alignment horizontal="right" vertical="center"/>
      <protection hidden="1"/>
    </xf>
    <xf numFmtId="0" fontId="21" fillId="2" borderId="8" xfId="0" applyFont="1" applyFill="1" applyBorder="1" applyAlignment="1" applyProtection="1">
      <alignment horizontal="center" vertical="center"/>
      <protection hidden="1"/>
    </xf>
    <xf numFmtId="0" fontId="21" fillId="2" borderId="4" xfId="0" applyFont="1" applyFill="1" applyBorder="1" applyProtection="1">
      <alignment vertical="center"/>
      <protection hidden="1"/>
    </xf>
    <xf numFmtId="9" fontId="41" fillId="2" borderId="0" xfId="0" applyNumberFormat="1" applyFont="1" applyFill="1" applyProtection="1">
      <alignment vertical="center"/>
      <protection hidden="1"/>
    </xf>
    <xf numFmtId="0" fontId="21" fillId="25" borderId="8" xfId="0" applyFont="1" applyFill="1" applyBorder="1" applyAlignment="1" applyProtection="1">
      <alignment horizontal="left"/>
      <protection hidden="1"/>
    </xf>
    <xf numFmtId="0" fontId="21" fillId="25" borderId="8" xfId="0" applyFont="1" applyFill="1" applyBorder="1" applyAlignment="1" applyProtection="1">
      <alignment horizontal="left" vertical="center"/>
      <protection hidden="1"/>
    </xf>
    <xf numFmtId="0" fontId="8" fillId="2" borderId="3" xfId="0" quotePrefix="1" applyFont="1" applyFill="1" applyBorder="1" applyAlignment="1" applyProtection="1">
      <alignment wrapText="1"/>
      <protection hidden="1"/>
    </xf>
    <xf numFmtId="0" fontId="8" fillId="2" borderId="0" xfId="0" quotePrefix="1" applyFont="1" applyFill="1" applyAlignment="1" applyProtection="1">
      <alignment wrapText="1"/>
      <protection hidden="1"/>
    </xf>
    <xf numFmtId="0" fontId="21" fillId="2" borderId="4" xfId="0" applyFont="1" applyFill="1" applyBorder="1" applyAlignment="1" applyProtection="1">
      <alignment horizontal="left" vertical="center"/>
      <protection hidden="1"/>
    </xf>
    <xf numFmtId="0" fontId="21" fillId="25" borderId="8" xfId="0" applyFont="1" applyFill="1" applyBorder="1" applyAlignment="1" applyProtection="1">
      <alignment vertical="top"/>
      <protection hidden="1"/>
    </xf>
    <xf numFmtId="0" fontId="21" fillId="25" borderId="8" xfId="0" applyFont="1" applyFill="1" applyBorder="1" applyAlignment="1" applyProtection="1">
      <alignment vertical="center" wrapText="1"/>
      <protection hidden="1"/>
    </xf>
    <xf numFmtId="9" fontId="21" fillId="2" borderId="0" xfId="0" applyNumberFormat="1" applyFont="1" applyFill="1" applyAlignment="1" applyProtection="1">
      <alignment horizontal="center" vertical="center"/>
      <protection hidden="1"/>
    </xf>
    <xf numFmtId="0" fontId="0" fillId="2" borderId="5" xfId="0" applyFill="1" applyBorder="1" applyAlignment="1" applyProtection="1">
      <alignment horizontal="center" vertical="center"/>
      <protection locked="0"/>
    </xf>
    <xf numFmtId="0" fontId="16" fillId="2" borderId="0" xfId="0" applyFont="1" applyFill="1" applyAlignment="1" applyProtection="1">
      <alignment horizontal="center" vertical="center"/>
      <protection hidden="1"/>
    </xf>
    <xf numFmtId="0" fontId="8" fillId="20" borderId="11" xfId="0" applyFont="1" applyFill="1" applyBorder="1" applyAlignment="1" applyProtection="1">
      <alignment horizontal="left" vertical="top" wrapText="1"/>
      <protection hidden="1"/>
    </xf>
    <xf numFmtId="0" fontId="0" fillId="2" borderId="18" xfId="0" applyFill="1" applyBorder="1" applyAlignment="1" applyProtection="1">
      <alignment horizontal="center" vertical="center"/>
      <protection locked="0"/>
    </xf>
    <xf numFmtId="0" fontId="8" fillId="2" borderId="3" xfId="0" applyFont="1"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0" fillId="2" borderId="4" xfId="0" applyFill="1" applyBorder="1" applyAlignment="1" applyProtection="1">
      <alignment horizontal="center" vertical="center"/>
      <protection locked="0"/>
    </xf>
    <xf numFmtId="0" fontId="8" fillId="2" borderId="0" xfId="0" applyFont="1" applyFill="1" applyAlignment="1" applyProtection="1">
      <alignment horizontal="left" vertical="top" wrapText="1"/>
      <protection hidden="1"/>
    </xf>
    <xf numFmtId="9" fontId="16" fillId="2" borderId="0" xfId="2" applyFont="1" applyFill="1" applyBorder="1" applyAlignment="1" applyProtection="1">
      <alignment horizontal="center" vertical="top" wrapText="1"/>
      <protection hidden="1"/>
    </xf>
    <xf numFmtId="9" fontId="42" fillId="2" borderId="0" xfId="2" applyFont="1" applyFill="1" applyBorder="1" applyAlignment="1" applyProtection="1">
      <alignment horizontal="center" vertical="center"/>
      <protection hidden="1"/>
    </xf>
    <xf numFmtId="9" fontId="21" fillId="2" borderId="0" xfId="18" applyFont="1" applyFill="1" applyBorder="1" applyAlignment="1" applyProtection="1">
      <alignment horizontal="center" vertical="center"/>
      <protection hidden="1"/>
    </xf>
    <xf numFmtId="0" fontId="8" fillId="2" borderId="0" xfId="0" applyFont="1" applyFill="1" applyAlignment="1" applyProtection="1">
      <alignment horizontal="center" vertical="center"/>
      <protection hidden="1"/>
    </xf>
    <xf numFmtId="41" fontId="8" fillId="2" borderId="0" xfId="0" applyNumberFormat="1" applyFont="1" applyFill="1" applyAlignment="1">
      <alignment horizontal="center" vertical="center"/>
    </xf>
    <xf numFmtId="165" fontId="45" fillId="2" borderId="0" xfId="17" applyNumberFormat="1" applyFont="1" applyFill="1" applyAlignment="1" applyProtection="1">
      <alignment vertical="top"/>
      <protection hidden="1"/>
    </xf>
    <xf numFmtId="0" fontId="12" fillId="2" borderId="0" xfId="0" applyFont="1" applyFill="1" applyProtection="1">
      <alignment vertical="center"/>
      <protection hidden="1"/>
    </xf>
    <xf numFmtId="0" fontId="21" fillId="2" borderId="3" xfId="0" applyFont="1" applyFill="1" applyBorder="1" applyProtection="1">
      <alignment vertical="center"/>
      <protection locked="0"/>
    </xf>
    <xf numFmtId="0" fontId="21" fillId="2" borderId="0" xfId="0" applyFont="1" applyFill="1" applyAlignment="1" applyProtection="1">
      <alignment horizontal="left" vertical="top"/>
      <protection locked="0"/>
    </xf>
    <xf numFmtId="0" fontId="8" fillId="0" borderId="0" xfId="0" applyFont="1" applyAlignment="1" applyProtection="1">
      <protection hidden="1"/>
    </xf>
    <xf numFmtId="0" fontId="8" fillId="0" borderId="0" xfId="0" quotePrefix="1" applyFont="1" applyAlignment="1" applyProtection="1">
      <protection hidden="1"/>
    </xf>
    <xf numFmtId="179" fontId="0" fillId="3" borderId="0" xfId="0" applyNumberFormat="1" applyFill="1" applyProtection="1">
      <alignment vertical="center"/>
      <protection hidden="1"/>
    </xf>
    <xf numFmtId="0" fontId="0" fillId="0" borderId="0" xfId="0" applyAlignment="1" applyProtection="1">
      <alignment horizontal="right"/>
      <protection hidden="1"/>
    </xf>
    <xf numFmtId="179" fontId="8" fillId="3" borderId="9" xfId="0" applyNumberFormat="1" applyFont="1" applyFill="1" applyBorder="1">
      <alignment vertical="center"/>
    </xf>
    <xf numFmtId="178" fontId="8" fillId="3" borderId="53" xfId="0" applyNumberFormat="1" applyFont="1" applyFill="1" applyBorder="1">
      <alignment vertical="center"/>
    </xf>
    <xf numFmtId="0" fontId="0" fillId="2" borderId="0" xfId="0" applyFill="1" applyAlignment="1" applyProtection="1">
      <alignment horizontal="right" vertical="center"/>
      <protection locked="0"/>
    </xf>
    <xf numFmtId="0" fontId="16" fillId="2" borderId="0" xfId="0" applyFont="1" applyFill="1" applyAlignment="1" applyProtection="1">
      <alignment horizontal="center" vertical="center"/>
      <protection locked="0"/>
    </xf>
    <xf numFmtId="0" fontId="16" fillId="2" borderId="0" xfId="0" applyFont="1" applyFill="1" applyProtection="1">
      <alignment vertical="center"/>
      <protection locked="0"/>
    </xf>
    <xf numFmtId="0" fontId="16" fillId="2" borderId="0" xfId="0" applyFont="1" applyFill="1" applyAlignment="1" applyProtection="1">
      <alignment horizontal="left" vertical="center"/>
      <protection locked="0"/>
    </xf>
    <xf numFmtId="3" fontId="0" fillId="0" borderId="0" xfId="0" applyNumberFormat="1" applyAlignment="1" applyProtection="1">
      <protection hidden="1"/>
    </xf>
    <xf numFmtId="0" fontId="16" fillId="2" borderId="3" xfId="0" applyFont="1" applyFill="1" applyBorder="1" applyProtection="1">
      <alignment vertical="center"/>
      <protection locked="0"/>
    </xf>
    <xf numFmtId="0" fontId="85" fillId="2" borderId="17" xfId="0" applyFont="1" applyFill="1" applyBorder="1" applyProtection="1">
      <alignment vertical="center"/>
      <protection locked="0"/>
    </xf>
    <xf numFmtId="0" fontId="85" fillId="2" borderId="17" xfId="0" applyFont="1" applyFill="1" applyBorder="1" applyAlignment="1" applyProtection="1">
      <alignment horizontal="center" vertical="center"/>
      <protection locked="0"/>
    </xf>
    <xf numFmtId="9" fontId="85" fillId="2" borderId="17" xfId="0" applyNumberFormat="1" applyFont="1" applyFill="1" applyBorder="1" applyAlignment="1" applyProtection="1">
      <alignment horizontal="center" vertical="center"/>
      <protection locked="0"/>
    </xf>
    <xf numFmtId="3" fontId="85" fillId="2" borderId="15" xfId="0" applyNumberFormat="1" applyFont="1" applyFill="1" applyBorder="1" applyProtection="1">
      <alignment vertical="center"/>
      <protection locked="0"/>
    </xf>
    <xf numFmtId="0" fontId="85" fillId="2" borderId="3" xfId="0" applyFont="1" applyFill="1" applyBorder="1" applyProtection="1">
      <alignment vertical="center"/>
      <protection locked="0"/>
    </xf>
    <xf numFmtId="9" fontId="85" fillId="2" borderId="15" xfId="0" applyNumberFormat="1" applyFont="1" applyFill="1" applyBorder="1" applyProtection="1">
      <alignment vertical="center"/>
      <protection locked="0"/>
    </xf>
    <xf numFmtId="3" fontId="87" fillId="2" borderId="17" xfId="0" applyNumberFormat="1" applyFont="1" applyFill="1" applyBorder="1" applyProtection="1">
      <alignment vertical="center"/>
      <protection locked="0"/>
    </xf>
    <xf numFmtId="0" fontId="85" fillId="2" borderId="17" xfId="0" applyFont="1" applyFill="1" applyBorder="1" applyAlignment="1">
      <alignment horizontal="center" vertical="center"/>
    </xf>
    <xf numFmtId="0" fontId="8" fillId="2" borderId="0" xfId="0" quotePrefix="1" applyFont="1" applyFill="1" applyProtection="1">
      <alignment vertical="center"/>
      <protection locked="0"/>
    </xf>
    <xf numFmtId="0" fontId="8" fillId="2" borderId="0" xfId="0" quotePrefix="1" applyFont="1" applyFill="1" applyAlignment="1">
      <alignment horizontal="center" vertical="center"/>
    </xf>
    <xf numFmtId="14" fontId="8" fillId="2" borderId="0" xfId="0" quotePrefix="1" applyNumberFormat="1" applyFont="1" applyFill="1" applyProtection="1">
      <alignment vertical="center"/>
      <protection locked="0"/>
    </xf>
    <xf numFmtId="0" fontId="46" fillId="2" borderId="0" xfId="0" applyFont="1" applyFill="1">
      <alignment vertical="center"/>
    </xf>
    <xf numFmtId="0" fontId="8" fillId="2" borderId="8" xfId="0" quotePrefix="1" applyFont="1" applyFill="1" applyBorder="1" applyAlignment="1" applyProtection="1">
      <alignment horizontal="center" vertical="center"/>
      <protection locked="0"/>
    </xf>
    <xf numFmtId="0" fontId="0" fillId="0" borderId="3" xfId="0" applyBorder="1">
      <alignment vertical="center"/>
    </xf>
    <xf numFmtId="0" fontId="86" fillId="3" borderId="14" xfId="0" applyFont="1" applyFill="1" applyBorder="1" applyAlignment="1" applyProtection="1">
      <alignment horizontal="center" vertical="center" wrapText="1"/>
      <protection locked="0"/>
    </xf>
    <xf numFmtId="0" fontId="85" fillId="3" borderId="14" xfId="0" applyFont="1" applyFill="1" applyBorder="1" applyProtection="1">
      <alignment vertical="center"/>
      <protection locked="0"/>
    </xf>
    <xf numFmtId="43" fontId="21" fillId="0" borderId="0" xfId="1" applyFont="1" applyAlignment="1" applyProtection="1">
      <alignment vertical="center"/>
    </xf>
    <xf numFmtId="165" fontId="21" fillId="25" borderId="17" xfId="1" applyNumberFormat="1" applyFont="1" applyFill="1" applyBorder="1" applyAlignment="1" applyProtection="1">
      <alignment horizontal="left" vertical="center"/>
    </xf>
    <xf numFmtId="43" fontId="21" fillId="25" borderId="17" xfId="1" applyFont="1" applyFill="1" applyBorder="1" applyAlignment="1" applyProtection="1">
      <alignment vertical="center"/>
    </xf>
    <xf numFmtId="43" fontId="21" fillId="2" borderId="0" xfId="1" applyFont="1" applyFill="1" applyAlignment="1" applyProtection="1">
      <alignment horizontal="center" vertical="center"/>
    </xf>
    <xf numFmtId="43" fontId="21" fillId="2" borderId="0" xfId="1" applyFont="1" applyFill="1" applyAlignment="1" applyProtection="1">
      <alignment vertical="center"/>
    </xf>
    <xf numFmtId="43" fontId="21" fillId="2" borderId="4" xfId="1" applyFont="1" applyFill="1" applyBorder="1" applyAlignment="1" applyProtection="1">
      <alignment vertical="center"/>
    </xf>
    <xf numFmtId="43" fontId="21" fillId="2" borderId="0" xfId="1" applyFont="1" applyFill="1" applyAlignment="1">
      <alignment vertical="center"/>
      <protection locked="0"/>
    </xf>
    <xf numFmtId="43" fontId="21" fillId="0" borderId="0" xfId="1" applyFont="1" applyAlignment="1">
      <alignment vertical="center"/>
      <protection locked="0"/>
    </xf>
    <xf numFmtId="49" fontId="21" fillId="3" borderId="0" xfId="1" applyNumberFormat="1" applyFont="1" applyFill="1" applyAlignment="1" applyProtection="1">
      <alignment horizontal="right" vertical="center"/>
    </xf>
    <xf numFmtId="43" fontId="21" fillId="3" borderId="0" xfId="1" applyFont="1" applyFill="1" applyAlignment="1" applyProtection="1">
      <alignment vertical="center"/>
    </xf>
    <xf numFmtId="165" fontId="21" fillId="2" borderId="3" xfId="1" applyNumberFormat="1" applyFont="1" applyFill="1" applyBorder="1" applyAlignment="1" applyProtection="1">
      <alignment horizontal="center" vertical="center"/>
    </xf>
    <xf numFmtId="165" fontId="21" fillId="3" borderId="0" xfId="1" applyNumberFormat="1" applyFont="1" applyFill="1" applyAlignment="1" applyProtection="1">
      <alignment vertical="center"/>
    </xf>
    <xf numFmtId="165" fontId="42" fillId="2" borderId="3" xfId="1" applyNumberFormat="1" applyFont="1" applyFill="1" applyBorder="1" applyAlignment="1" applyProtection="1">
      <alignment horizontal="center" vertical="center"/>
    </xf>
    <xf numFmtId="43" fontId="42" fillId="2" borderId="0" xfId="1" applyFont="1" applyFill="1" applyAlignment="1" applyProtection="1">
      <alignment horizontal="center" vertical="center"/>
    </xf>
    <xf numFmtId="43" fontId="21" fillId="2" borderId="11" xfId="1" applyFont="1" applyFill="1" applyBorder="1" applyAlignment="1">
      <alignment vertical="center"/>
      <protection locked="0"/>
    </xf>
    <xf numFmtId="43" fontId="21" fillId="2" borderId="12" xfId="1" applyFont="1" applyFill="1" applyBorder="1" applyAlignment="1">
      <alignment vertical="center"/>
      <protection locked="0"/>
    </xf>
    <xf numFmtId="165" fontId="21" fillId="17" borderId="3" xfId="1" applyNumberFormat="1" applyFont="1" applyFill="1" applyBorder="1" applyAlignment="1" applyProtection="1">
      <alignment horizontal="center" vertical="center"/>
    </xf>
    <xf numFmtId="43" fontId="21" fillId="17" borderId="0" xfId="1" applyFont="1" applyFill="1" applyAlignment="1" applyProtection="1">
      <alignment vertical="center"/>
    </xf>
    <xf numFmtId="41" fontId="21" fillId="0" borderId="0" xfId="1" applyNumberFormat="1" applyFont="1" applyAlignment="1" applyProtection="1">
      <alignment vertical="center"/>
    </xf>
    <xf numFmtId="0" fontId="90" fillId="2" borderId="0" xfId="5" applyFont="1" applyFill="1" applyProtection="1">
      <protection hidden="1"/>
    </xf>
    <xf numFmtId="43" fontId="21" fillId="17" borderId="14" xfId="1" applyFont="1" applyFill="1" applyBorder="1" applyAlignment="1" applyProtection="1">
      <alignment vertical="center"/>
    </xf>
    <xf numFmtId="43" fontId="21" fillId="17" borderId="8" xfId="1" applyFont="1" applyFill="1" applyBorder="1" applyAlignment="1" applyProtection="1">
      <alignment vertical="center"/>
    </xf>
    <xf numFmtId="43" fontId="21" fillId="2" borderId="4" xfId="1" applyFont="1" applyFill="1" applyBorder="1" applyAlignment="1">
      <alignment vertical="center"/>
      <protection locked="0"/>
    </xf>
    <xf numFmtId="43" fontId="21" fillId="2" borderId="0" xfId="1" applyFont="1" applyFill="1" applyAlignment="1">
      <alignment horizontal="center" vertical="center"/>
      <protection locked="0"/>
    </xf>
    <xf numFmtId="3" fontId="21" fillId="3" borderId="14" xfId="1" applyNumberFormat="1" applyFont="1" applyFill="1" applyBorder="1" applyAlignment="1">
      <alignment horizontal="center" vertical="center"/>
      <protection locked="0"/>
    </xf>
    <xf numFmtId="43" fontId="21" fillId="3" borderId="8" xfId="1" quotePrefix="1" applyFont="1" applyFill="1" applyBorder="1" applyAlignment="1">
      <alignment vertical="center"/>
      <protection locked="0"/>
    </xf>
    <xf numFmtId="43" fontId="21" fillId="3" borderId="15" xfId="1" quotePrefix="1" applyFont="1" applyFill="1" applyBorder="1" applyAlignment="1">
      <alignment vertical="center"/>
      <protection locked="0"/>
    </xf>
    <xf numFmtId="43" fontId="21" fillId="17" borderId="0" xfId="1" applyFont="1" applyFill="1" applyAlignment="1" applyProtection="1">
      <alignment vertical="center" wrapText="1"/>
    </xf>
    <xf numFmtId="49" fontId="21" fillId="3" borderId="0" xfId="1" applyNumberFormat="1" applyFont="1" applyFill="1" applyAlignment="1" applyProtection="1">
      <alignment vertical="center"/>
    </xf>
    <xf numFmtId="49" fontId="21" fillId="0" borderId="0" xfId="1" applyNumberFormat="1" applyFont="1" applyAlignment="1" applyProtection="1">
      <alignment vertical="center"/>
    </xf>
    <xf numFmtId="165" fontId="21" fillId="2" borderId="10" xfId="1" applyNumberFormat="1" applyFont="1" applyFill="1" applyBorder="1" applyAlignment="1" applyProtection="1">
      <alignment horizontal="center" vertical="center"/>
    </xf>
    <xf numFmtId="43" fontId="21" fillId="2" borderId="11" xfId="1" applyFont="1" applyFill="1" applyBorder="1" applyAlignment="1" applyProtection="1">
      <alignment vertical="center"/>
    </xf>
    <xf numFmtId="165" fontId="21" fillId="25" borderId="17" xfId="1" applyNumberFormat="1" applyFont="1" applyFill="1" applyBorder="1" applyAlignment="1" applyProtection="1">
      <alignment horizontal="center" vertical="center"/>
    </xf>
    <xf numFmtId="37" fontId="21" fillId="2" borderId="17" xfId="1" applyNumberFormat="1" applyFont="1" applyFill="1" applyBorder="1" applyAlignment="1" applyProtection="1">
      <alignment horizontal="center" vertical="center"/>
    </xf>
    <xf numFmtId="43" fontId="21" fillId="25" borderId="17" xfId="1" applyFont="1" applyFill="1" applyBorder="1" applyAlignment="1" applyProtection="1">
      <alignment vertical="center" wrapText="1"/>
    </xf>
    <xf numFmtId="165" fontId="42" fillId="2" borderId="0" xfId="1" quotePrefix="1" applyNumberFormat="1" applyFont="1" applyFill="1" applyAlignment="1" applyProtection="1">
      <alignment horizontal="left" vertical="center"/>
    </xf>
    <xf numFmtId="43" fontId="21" fillId="2" borderId="0" xfId="1" applyFont="1" applyFill="1" applyAlignment="1" applyProtection="1">
      <alignment horizontal="left" vertical="center"/>
    </xf>
    <xf numFmtId="37" fontId="21" fillId="2" borderId="14" xfId="1" applyNumberFormat="1" applyFont="1" applyFill="1" applyBorder="1" applyAlignment="1" applyProtection="1">
      <alignment horizontal="center" vertical="center"/>
    </xf>
    <xf numFmtId="165" fontId="21" fillId="3" borderId="15" xfId="1" applyNumberFormat="1" applyFont="1" applyFill="1" applyBorder="1" applyAlignment="1">
      <alignment vertical="center"/>
      <protection locked="0"/>
    </xf>
    <xf numFmtId="165" fontId="21" fillId="2" borderId="0" xfId="1" applyNumberFormat="1" applyFont="1" applyFill="1" applyAlignment="1">
      <alignment horizontal="left" vertical="center"/>
      <protection locked="0"/>
    </xf>
    <xf numFmtId="177" fontId="21" fillId="2" borderId="0" xfId="1" applyNumberFormat="1" applyFont="1" applyFill="1" applyAlignment="1">
      <alignment horizontal="center" vertical="center"/>
      <protection locked="0"/>
    </xf>
    <xf numFmtId="165" fontId="21" fillId="2" borderId="0" xfId="1" applyNumberFormat="1" applyFont="1" applyFill="1" applyAlignment="1">
      <alignment horizontal="center" vertical="center"/>
      <protection locked="0"/>
    </xf>
    <xf numFmtId="165" fontId="21" fillId="2" borderId="19" xfId="1" applyNumberFormat="1" applyFont="1" applyFill="1" applyBorder="1" applyAlignment="1" applyProtection="1">
      <alignment horizontal="center" vertical="center"/>
    </xf>
    <xf numFmtId="43" fontId="21" fillId="2" borderId="18" xfId="1" applyFont="1" applyFill="1" applyBorder="1" applyAlignment="1" applyProtection="1">
      <alignment vertical="center"/>
    </xf>
    <xf numFmtId="165" fontId="21" fillId="0" borderId="0" xfId="1" applyNumberFormat="1" applyFont="1" applyAlignment="1" applyProtection="1">
      <alignment horizontal="center" vertical="center"/>
    </xf>
    <xf numFmtId="43" fontId="93" fillId="0" borderId="0" xfId="1" applyFont="1" applyAlignment="1" applyProtection="1">
      <alignment vertical="center"/>
    </xf>
    <xf numFmtId="43" fontId="94" fillId="0" borderId="0" xfId="1" applyFont="1" applyAlignment="1" applyProtection="1">
      <alignment vertical="center"/>
    </xf>
    <xf numFmtId="0" fontId="44" fillId="0" borderId="0" xfId="0" applyFont="1" applyAlignment="1"/>
    <xf numFmtId="0" fontId="44" fillId="0" borderId="0" xfId="0" applyFont="1" applyAlignment="1">
      <alignment horizontal="left"/>
    </xf>
    <xf numFmtId="10" fontId="21" fillId="2" borderId="14" xfId="1" applyNumberFormat="1" applyFont="1" applyFill="1" applyBorder="1" applyAlignment="1" applyProtection="1">
      <alignment horizontal="center" vertical="center"/>
    </xf>
    <xf numFmtId="165" fontId="41" fillId="3" borderId="15" xfId="1" applyNumberFormat="1" applyFont="1" applyFill="1" applyBorder="1" applyAlignment="1">
      <alignment horizontal="center" vertical="center"/>
      <protection locked="0"/>
    </xf>
    <xf numFmtId="41" fontId="21" fillId="3" borderId="17" xfId="3" applyFont="1" applyFill="1" applyBorder="1" applyAlignment="1" applyProtection="1">
      <alignment horizontal="center" vertical="center"/>
      <protection locked="0"/>
    </xf>
    <xf numFmtId="0" fontId="27" fillId="30" borderId="0" xfId="5" applyFont="1" applyFill="1" applyAlignment="1" applyProtection="1">
      <alignment horizontal="center"/>
      <protection hidden="1"/>
    </xf>
    <xf numFmtId="3" fontId="0" fillId="30" borderId="0" xfId="2" applyNumberFormat="1" applyFont="1" applyFill="1" applyAlignment="1" applyProtection="1">
      <alignment vertical="center"/>
      <protection hidden="1"/>
    </xf>
    <xf numFmtId="38" fontId="0" fillId="30" borderId="0" xfId="0" applyNumberFormat="1" applyFill="1" applyProtection="1">
      <alignment vertical="center"/>
      <protection hidden="1"/>
    </xf>
    <xf numFmtId="0" fontId="16" fillId="25" borderId="35" xfId="0" applyFont="1" applyFill="1" applyBorder="1" applyAlignment="1" applyProtection="1">
      <alignment horizontal="center" vertical="center"/>
      <protection locked="0"/>
    </xf>
    <xf numFmtId="0" fontId="16" fillId="25" borderId="29" xfId="0" applyFont="1" applyFill="1" applyBorder="1" applyAlignment="1" applyProtection="1">
      <alignment horizontal="center" vertical="center"/>
      <protection locked="0"/>
    </xf>
    <xf numFmtId="0" fontId="16" fillId="25" borderId="36" xfId="0" applyFont="1" applyFill="1" applyBorder="1" applyAlignment="1" applyProtection="1">
      <alignment horizontal="center" vertical="center"/>
      <protection locked="0"/>
    </xf>
    <xf numFmtId="0" fontId="76" fillId="31" borderId="17" xfId="0" applyFont="1" applyFill="1" applyBorder="1" applyAlignment="1">
      <alignment horizontal="left"/>
    </xf>
    <xf numFmtId="0" fontId="97" fillId="3" borderId="0" xfId="0" applyFont="1" applyFill="1" applyAlignment="1">
      <alignment horizontal="center" vertical="center"/>
    </xf>
    <xf numFmtId="0" fontId="48" fillId="3" borderId="0" xfId="0" applyFont="1" applyFill="1">
      <alignment vertical="center"/>
    </xf>
    <xf numFmtId="0" fontId="98" fillId="3" borderId="0" xfId="0" quotePrefix="1" applyFont="1" applyFill="1" applyAlignment="1">
      <alignment horizontal="left" vertical="center"/>
    </xf>
    <xf numFmtId="43" fontId="21" fillId="2" borderId="8" xfId="1" applyFont="1" applyFill="1" applyBorder="1" applyAlignment="1">
      <alignment horizontal="left" vertical="center"/>
      <protection locked="0"/>
    </xf>
    <xf numFmtId="43" fontId="21" fillId="2" borderId="9" xfId="1" applyFont="1" applyFill="1" applyBorder="1" applyAlignment="1">
      <alignment horizontal="left" vertical="center"/>
      <protection locked="0"/>
    </xf>
    <xf numFmtId="0" fontId="101" fillId="2" borderId="0" xfId="0" applyFont="1" applyFill="1" applyAlignment="1" applyProtection="1">
      <alignment horizontal="left" vertical="center"/>
      <protection hidden="1"/>
    </xf>
    <xf numFmtId="0" fontId="102" fillId="2" borderId="0" xfId="0" applyFont="1" applyFill="1" applyProtection="1">
      <alignment vertical="center"/>
      <protection hidden="1"/>
    </xf>
    <xf numFmtId="0" fontId="103" fillId="2" borderId="3" xfId="0" applyFont="1" applyFill="1" applyBorder="1" applyProtection="1">
      <alignment vertical="center"/>
      <protection hidden="1"/>
    </xf>
    <xf numFmtId="0" fontId="102" fillId="2" borderId="4" xfId="0" applyFont="1" applyFill="1" applyBorder="1" applyProtection="1">
      <alignment vertical="center"/>
      <protection hidden="1"/>
    </xf>
    <xf numFmtId="0" fontId="96" fillId="2" borderId="0" xfId="0" applyFont="1" applyFill="1" applyAlignment="1" applyProtection="1">
      <alignment horizontal="center" vertical="center"/>
      <protection locked="0"/>
    </xf>
    <xf numFmtId="0" fontId="49" fillId="2" borderId="0" xfId="0" applyFont="1" applyFill="1" applyAlignment="1" applyProtection="1">
      <alignment horizontal="center" vertical="center"/>
      <protection locked="0"/>
    </xf>
    <xf numFmtId="0" fontId="5" fillId="2" borderId="0" xfId="0" applyFont="1" applyFill="1" applyAlignment="1" applyProtection="1">
      <alignment horizontal="center" vertical="center"/>
      <protection locked="0"/>
    </xf>
    <xf numFmtId="0" fontId="44" fillId="2" borderId="0" xfId="0" applyFont="1" applyFill="1" applyAlignment="1" applyProtection="1">
      <alignment horizontal="right" vertical="center"/>
      <protection locked="0"/>
    </xf>
    <xf numFmtId="0" fontId="44" fillId="2" borderId="0" xfId="0" applyFont="1" applyFill="1" applyProtection="1">
      <alignment vertical="center"/>
      <protection locked="0"/>
    </xf>
    <xf numFmtId="0" fontId="44" fillId="2" borderId="3" xfId="0" applyFont="1" applyFill="1" applyBorder="1" applyProtection="1">
      <alignment vertical="center"/>
      <protection locked="0"/>
    </xf>
    <xf numFmtId="0" fontId="44" fillId="0" borderId="4" xfId="0" applyFont="1" applyBorder="1" applyProtection="1">
      <alignment vertical="center"/>
      <protection locked="0"/>
    </xf>
    <xf numFmtId="0" fontId="90" fillId="2" borderId="0" xfId="5" applyFont="1" applyFill="1" applyProtection="1">
      <protection locked="0"/>
    </xf>
    <xf numFmtId="0" fontId="44" fillId="2" borderId="3" xfId="0" applyFont="1" applyFill="1" applyBorder="1" applyAlignment="1" applyProtection="1">
      <alignment horizontal="center" vertical="center"/>
      <protection locked="0"/>
    </xf>
    <xf numFmtId="0" fontId="44" fillId="2" borderId="0" xfId="0" applyFont="1" applyFill="1" applyAlignment="1" applyProtection="1">
      <protection locked="0"/>
    </xf>
    <xf numFmtId="0" fontId="44" fillId="20" borderId="5" xfId="0" applyFont="1" applyFill="1" applyBorder="1" applyAlignment="1" applyProtection="1">
      <protection locked="0"/>
    </xf>
    <xf numFmtId="0" fontId="44" fillId="20" borderId="5" xfId="0" applyFont="1" applyFill="1" applyBorder="1" applyProtection="1">
      <alignment vertical="center"/>
      <protection locked="0"/>
    </xf>
    <xf numFmtId="0" fontId="44" fillId="2" borderId="0" xfId="0" applyFont="1" applyFill="1" applyAlignment="1" applyProtection="1">
      <alignment horizontal="center"/>
      <protection locked="0"/>
    </xf>
    <xf numFmtId="9" fontId="106" fillId="2" borderId="0" xfId="0" applyNumberFormat="1" applyFont="1" applyFill="1" applyAlignment="1" applyProtection="1">
      <alignment horizontal="center"/>
      <protection locked="0"/>
    </xf>
    <xf numFmtId="0" fontId="44" fillId="20" borderId="8" xfId="0" applyFont="1" applyFill="1" applyBorder="1" applyAlignment="1" applyProtection="1">
      <protection locked="0"/>
    </xf>
    <xf numFmtId="0" fontId="44" fillId="20" borderId="8" xfId="0" applyFont="1" applyFill="1" applyBorder="1" applyProtection="1">
      <alignment vertical="center"/>
      <protection locked="0"/>
    </xf>
    <xf numFmtId="0" fontId="107" fillId="26" borderId="0" xfId="0" applyFont="1" applyFill="1" applyAlignment="1" applyProtection="1">
      <alignment horizontal="center"/>
      <protection locked="0"/>
    </xf>
    <xf numFmtId="37" fontId="106" fillId="2" borderId="0" xfId="0" applyNumberFormat="1" applyFont="1" applyFill="1" applyAlignment="1" applyProtection="1">
      <protection locked="0"/>
    </xf>
    <xf numFmtId="0" fontId="44" fillId="20" borderId="15" xfId="0" applyFont="1" applyFill="1" applyBorder="1" applyProtection="1">
      <alignment vertical="center"/>
      <protection locked="0"/>
    </xf>
    <xf numFmtId="37" fontId="108" fillId="2" borderId="0" xfId="0" applyNumberFormat="1" applyFont="1" applyFill="1" applyAlignment="1" applyProtection="1">
      <alignment horizontal="center"/>
      <protection locked="0"/>
    </xf>
    <xf numFmtId="0" fontId="65" fillId="2" borderId="0" xfId="0" applyFont="1" applyFill="1" applyAlignment="1" applyProtection="1">
      <protection locked="0"/>
    </xf>
    <xf numFmtId="180" fontId="108" fillId="2" borderId="0" xfId="0" applyNumberFormat="1" applyFont="1" applyFill="1" applyAlignment="1" applyProtection="1">
      <alignment horizontal="right"/>
      <protection locked="0"/>
    </xf>
    <xf numFmtId="9" fontId="44" fillId="2" borderId="0" xfId="0" applyNumberFormat="1" applyFont="1" applyFill="1" applyAlignment="1" applyProtection="1">
      <protection locked="0"/>
    </xf>
    <xf numFmtId="0" fontId="5" fillId="2" borderId="3" xfId="0" applyFont="1" applyFill="1" applyBorder="1" applyAlignment="1" applyProtection="1">
      <alignment horizontal="center" vertical="center"/>
      <protection locked="0"/>
    </xf>
    <xf numFmtId="0" fontId="44" fillId="2" borderId="4" xfId="0" applyFont="1" applyFill="1" applyBorder="1" applyProtection="1">
      <alignment vertical="center"/>
      <protection locked="0"/>
    </xf>
    <xf numFmtId="41" fontId="44" fillId="2" borderId="0" xfId="3" applyFont="1" applyFill="1" applyBorder="1" applyAlignment="1" applyProtection="1">
      <alignment vertical="center"/>
      <protection locked="0"/>
    </xf>
    <xf numFmtId="9" fontId="44" fillId="2" borderId="0" xfId="2" applyFont="1" applyFill="1" applyAlignment="1" applyProtection="1">
      <alignment horizontal="right" vertical="center"/>
      <protection locked="0"/>
    </xf>
    <xf numFmtId="41" fontId="5" fillId="17" borderId="17" xfId="3" applyFont="1" applyFill="1" applyBorder="1" applyAlignment="1" applyProtection="1">
      <alignment horizontal="center" vertical="center"/>
      <protection locked="0"/>
    </xf>
    <xf numFmtId="41" fontId="5" fillId="2" borderId="65" xfId="3" applyFont="1" applyFill="1" applyBorder="1" applyAlignment="1" applyProtection="1">
      <alignment vertical="center"/>
      <protection locked="0"/>
    </xf>
    <xf numFmtId="41" fontId="5" fillId="2" borderId="0" xfId="3" applyFont="1" applyFill="1" applyBorder="1" applyAlignment="1" applyProtection="1">
      <alignment horizontal="center" vertical="center"/>
      <protection locked="0"/>
    </xf>
    <xf numFmtId="41" fontId="5" fillId="17" borderId="17" xfId="3" applyFont="1" applyFill="1" applyBorder="1" applyAlignment="1" applyProtection="1">
      <alignment horizontal="center" vertical="center" wrapText="1"/>
      <protection locked="0"/>
    </xf>
    <xf numFmtId="41" fontId="5" fillId="17" borderId="17" xfId="3" applyFont="1" applyFill="1" applyBorder="1" applyAlignment="1" applyProtection="1">
      <alignment vertical="center" wrapText="1"/>
      <protection locked="0"/>
    </xf>
    <xf numFmtId="41" fontId="5" fillId="2" borderId="65" xfId="3" applyFont="1" applyFill="1" applyBorder="1" applyAlignment="1" applyProtection="1">
      <alignment vertical="center" wrapText="1"/>
      <protection locked="0"/>
    </xf>
    <xf numFmtId="41" fontId="5" fillId="2" borderId="0" xfId="3" applyFont="1" applyFill="1" applyBorder="1" applyAlignment="1" applyProtection="1">
      <alignment horizontal="center" vertical="center" wrapText="1"/>
      <protection locked="0"/>
    </xf>
    <xf numFmtId="41" fontId="44" fillId="2" borderId="17" xfId="3" applyFont="1" applyFill="1" applyBorder="1" applyAlignment="1" applyProtection="1">
      <alignment horizontal="center" vertical="center"/>
      <protection locked="0"/>
    </xf>
    <xf numFmtId="41" fontId="44" fillId="2" borderId="17" xfId="3" applyFont="1" applyFill="1" applyBorder="1" applyAlignment="1" applyProtection="1">
      <alignment vertical="center"/>
      <protection locked="0"/>
    </xf>
    <xf numFmtId="41" fontId="44" fillId="2" borderId="4" xfId="3" applyFont="1" applyFill="1" applyBorder="1" applyAlignment="1" applyProtection="1">
      <alignment vertical="center"/>
      <protection locked="0"/>
    </xf>
    <xf numFmtId="41" fontId="44" fillId="2" borderId="0" xfId="3" applyFont="1" applyFill="1" applyBorder="1" applyAlignment="1" applyProtection="1">
      <alignment horizontal="center" vertical="center"/>
      <protection locked="0"/>
    </xf>
    <xf numFmtId="41" fontId="44" fillId="2" borderId="35" xfId="3" applyFont="1" applyFill="1" applyBorder="1" applyAlignment="1" applyProtection="1">
      <alignment horizontal="center" vertical="center"/>
      <protection locked="0"/>
    </xf>
    <xf numFmtId="41" fontId="44" fillId="2" borderId="35" xfId="3" applyFont="1" applyFill="1" applyBorder="1" applyAlignment="1" applyProtection="1">
      <alignment vertical="center"/>
      <protection locked="0"/>
    </xf>
    <xf numFmtId="41" fontId="5" fillId="3" borderId="50" xfId="3" applyFont="1" applyFill="1" applyBorder="1" applyAlignment="1" applyProtection="1">
      <alignment horizontal="center" vertical="center" wrapText="1"/>
      <protection locked="0"/>
    </xf>
    <xf numFmtId="41" fontId="5" fillId="3" borderId="50" xfId="3" applyFont="1" applyFill="1" applyBorder="1" applyAlignment="1" applyProtection="1">
      <alignment vertical="center"/>
      <protection locked="0"/>
    </xf>
    <xf numFmtId="41" fontId="44" fillId="2" borderId="4" xfId="3" applyFont="1" applyFill="1" applyBorder="1" applyAlignment="1" applyProtection="1">
      <alignment horizontal="center" vertical="center"/>
      <protection locked="0"/>
    </xf>
    <xf numFmtId="41" fontId="44" fillId="2" borderId="0" xfId="3" applyFont="1" applyFill="1" applyBorder="1" applyAlignment="1" applyProtection="1">
      <alignment vertical="center" wrapText="1"/>
      <protection locked="0"/>
    </xf>
    <xf numFmtId="41" fontId="44" fillId="3" borderId="17" xfId="3" applyFont="1" applyFill="1" applyBorder="1" applyAlignment="1" applyProtection="1">
      <alignment horizontal="center" vertical="center"/>
      <protection locked="0"/>
    </xf>
    <xf numFmtId="9" fontId="44" fillId="2" borderId="17" xfId="2" applyFont="1" applyFill="1" applyBorder="1" applyAlignment="1" applyProtection="1">
      <alignment vertical="center"/>
      <protection locked="0"/>
    </xf>
    <xf numFmtId="41" fontId="5" fillId="3" borderId="17" xfId="3" applyFont="1" applyFill="1" applyBorder="1" applyAlignment="1" applyProtection="1">
      <alignment vertical="center"/>
      <protection locked="0"/>
    </xf>
    <xf numFmtId="9" fontId="5" fillId="3" borderId="17" xfId="2" applyFont="1" applyFill="1" applyBorder="1" applyAlignment="1" applyProtection="1">
      <alignment vertical="center"/>
      <protection locked="0"/>
    </xf>
    <xf numFmtId="0" fontId="44" fillId="2" borderId="0" xfId="0" applyFont="1" applyFill="1" applyAlignment="1" applyProtection="1">
      <alignment horizontal="left" vertical="center"/>
      <protection locked="0"/>
    </xf>
    <xf numFmtId="37" fontId="106" fillId="2" borderId="35" xfId="0" applyNumberFormat="1" applyFont="1" applyFill="1" applyBorder="1" applyAlignment="1" applyProtection="1">
      <protection locked="0"/>
    </xf>
    <xf numFmtId="0" fontId="44" fillId="25" borderId="5" xfId="0" applyFont="1" applyFill="1" applyBorder="1" applyProtection="1">
      <alignment vertical="center"/>
      <protection locked="0"/>
    </xf>
    <xf numFmtId="0" fontId="44" fillId="25" borderId="8" xfId="0" applyFont="1" applyFill="1" applyBorder="1" applyProtection="1">
      <alignment vertical="center"/>
      <protection locked="0"/>
    </xf>
    <xf numFmtId="0" fontId="44" fillId="25" borderId="15" xfId="0" applyFont="1" applyFill="1" applyBorder="1" applyProtection="1">
      <alignment vertical="center"/>
      <protection locked="0"/>
    </xf>
    <xf numFmtId="0" fontId="5" fillId="11" borderId="4" xfId="0" applyFont="1" applyFill="1" applyBorder="1" applyProtection="1">
      <alignment vertical="center"/>
      <protection locked="0"/>
    </xf>
    <xf numFmtId="0" fontId="44" fillId="25" borderId="5" xfId="0" applyFont="1" applyFill="1" applyBorder="1" applyAlignment="1" applyProtection="1">
      <protection locked="0"/>
    </xf>
    <xf numFmtId="0" fontId="44" fillId="25" borderId="8" xfId="0" applyFont="1" applyFill="1" applyBorder="1" applyAlignment="1" applyProtection="1">
      <protection locked="0"/>
    </xf>
    <xf numFmtId="0" fontId="65" fillId="25" borderId="14" xfId="0" applyFont="1" applyFill="1" applyBorder="1" applyAlignment="1" applyProtection="1">
      <protection locked="0"/>
    </xf>
    <xf numFmtId="0" fontId="44" fillId="2" borderId="5" xfId="0" applyFont="1" applyFill="1" applyBorder="1" applyAlignment="1" applyProtection="1">
      <alignment horizontal="center" vertical="center" wrapText="1"/>
      <protection locked="0"/>
    </xf>
    <xf numFmtId="0" fontId="95" fillId="0" borderId="4" xfId="0" applyFont="1" applyBorder="1" applyProtection="1">
      <alignment vertical="center"/>
      <protection locked="0"/>
    </xf>
    <xf numFmtId="0" fontId="95" fillId="2" borderId="0" xfId="0" applyFont="1" applyFill="1" applyProtection="1">
      <alignment vertical="center"/>
      <protection locked="0"/>
    </xf>
    <xf numFmtId="0" fontId="44" fillId="2" borderId="39" xfId="0" applyFont="1" applyFill="1" applyBorder="1" applyAlignment="1" applyProtection="1">
      <alignment horizontal="center" vertical="center"/>
      <protection locked="0"/>
    </xf>
    <xf numFmtId="0" fontId="44" fillId="2" borderId="15" xfId="0" applyFont="1" applyFill="1" applyBorder="1" applyAlignment="1" applyProtection="1">
      <alignment horizontal="center" vertical="center"/>
      <protection locked="0"/>
    </xf>
    <xf numFmtId="0" fontId="109" fillId="3" borderId="17" xfId="0" applyFont="1" applyFill="1" applyBorder="1" applyAlignment="1" applyProtection="1">
      <alignment horizontal="center" vertical="center"/>
      <protection locked="0"/>
    </xf>
    <xf numFmtId="0" fontId="44" fillId="2" borderId="17" xfId="0" applyFont="1" applyFill="1" applyBorder="1" applyAlignment="1" applyProtection="1">
      <alignment horizontal="center" vertical="center"/>
      <protection locked="0"/>
    </xf>
    <xf numFmtId="0" fontId="44" fillId="3" borderId="17" xfId="0" applyFont="1" applyFill="1" applyBorder="1" applyAlignment="1" applyProtection="1">
      <alignment horizontal="center" vertical="center"/>
      <protection locked="0"/>
    </xf>
    <xf numFmtId="3" fontId="44" fillId="2" borderId="0" xfId="0" applyNumberFormat="1" applyFont="1" applyFill="1" applyProtection="1">
      <alignment vertical="center"/>
      <protection locked="0"/>
    </xf>
    <xf numFmtId="3" fontId="44" fillId="2" borderId="0" xfId="0" applyNumberFormat="1" applyFont="1" applyFill="1" applyAlignment="1" applyProtection="1">
      <alignment horizontal="center" vertical="center"/>
      <protection locked="0"/>
    </xf>
    <xf numFmtId="3" fontId="44" fillId="12" borderId="14" xfId="3" applyNumberFormat="1" applyFont="1" applyFill="1" applyBorder="1" applyAlignment="1" applyProtection="1">
      <alignment horizontal="right" vertical="center"/>
      <protection locked="0"/>
    </xf>
    <xf numFmtId="3" fontId="44" fillId="2" borderId="14" xfId="3" applyNumberFormat="1" applyFont="1" applyFill="1" applyBorder="1" applyAlignment="1" applyProtection="1">
      <alignment horizontal="right" vertical="center"/>
      <protection locked="0"/>
    </xf>
    <xf numFmtId="3" fontId="44" fillId="3" borderId="14" xfId="3" applyNumberFormat="1" applyFont="1" applyFill="1" applyBorder="1" applyAlignment="1" applyProtection="1">
      <alignment horizontal="right" vertical="center"/>
      <protection locked="0"/>
    </xf>
    <xf numFmtId="10" fontId="44" fillId="2" borderId="0" xfId="0" applyNumberFormat="1" applyFont="1" applyFill="1" applyProtection="1">
      <alignment vertical="center"/>
      <protection locked="0"/>
    </xf>
    <xf numFmtId="38" fontId="44" fillId="2" borderId="0" xfId="0" applyNumberFormat="1" applyFont="1" applyFill="1" applyAlignment="1" applyProtection="1">
      <alignment horizontal="right" vertical="center"/>
      <protection locked="0"/>
    </xf>
    <xf numFmtId="38" fontId="44" fillId="3" borderId="0" xfId="0" applyNumberFormat="1" applyFont="1" applyFill="1" applyProtection="1">
      <alignment vertical="center"/>
      <protection locked="0"/>
    </xf>
    <xf numFmtId="165" fontId="44" fillId="12" borderId="17" xfId="3" applyNumberFormat="1" applyFont="1" applyFill="1" applyBorder="1" applyAlignment="1" applyProtection="1">
      <alignment vertical="center"/>
      <protection locked="0"/>
    </xf>
    <xf numFmtId="0" fontId="95" fillId="3" borderId="17" xfId="0" applyFont="1" applyFill="1" applyBorder="1" applyAlignment="1" applyProtection="1">
      <alignment horizontal="center" vertical="center"/>
      <protection locked="0"/>
    </xf>
    <xf numFmtId="0" fontId="95" fillId="2" borderId="15" xfId="0" applyFont="1" applyFill="1" applyBorder="1" applyAlignment="1" applyProtection="1">
      <alignment horizontal="center" vertical="center"/>
      <protection locked="0"/>
    </xf>
    <xf numFmtId="0" fontId="95" fillId="3" borderId="17" xfId="0" applyFont="1" applyFill="1" applyBorder="1" applyProtection="1">
      <alignment vertical="center"/>
      <protection locked="0"/>
    </xf>
    <xf numFmtId="0" fontId="95" fillId="2" borderId="4" xfId="0" applyFont="1" applyFill="1" applyBorder="1" applyProtection="1">
      <alignment vertical="center"/>
      <protection locked="0"/>
    </xf>
    <xf numFmtId="0" fontId="95" fillId="2" borderId="0" xfId="0" applyFont="1" applyFill="1" applyAlignment="1" applyProtection="1">
      <alignment horizontal="center" vertical="center"/>
      <protection locked="0"/>
    </xf>
    <xf numFmtId="3" fontId="5" fillId="2" borderId="0" xfId="0" applyNumberFormat="1" applyFont="1" applyFill="1" applyProtection="1">
      <alignment vertical="center"/>
      <protection locked="0"/>
    </xf>
    <xf numFmtId="41" fontId="95" fillId="12" borderId="14" xfId="0" applyNumberFormat="1" applyFont="1" applyFill="1" applyBorder="1" applyAlignment="1" applyProtection="1">
      <alignment horizontal="center" vertical="center"/>
      <protection locked="0"/>
    </xf>
    <xf numFmtId="41" fontId="95" fillId="12" borderId="17" xfId="0" applyNumberFormat="1" applyFont="1" applyFill="1" applyBorder="1" applyProtection="1">
      <alignment vertical="center"/>
      <protection locked="0"/>
    </xf>
    <xf numFmtId="0" fontId="95" fillId="2" borderId="10" xfId="0" applyFont="1" applyFill="1" applyBorder="1" applyAlignment="1" applyProtection="1">
      <alignment horizontal="center" vertical="center"/>
      <protection locked="0"/>
    </xf>
    <xf numFmtId="0" fontId="95" fillId="2" borderId="11" xfId="0" applyFont="1" applyFill="1" applyBorder="1" applyAlignment="1" applyProtection="1">
      <alignment horizontal="center" vertical="center"/>
      <protection locked="0"/>
    </xf>
    <xf numFmtId="41" fontId="95" fillId="2" borderId="11" xfId="0" applyNumberFormat="1" applyFont="1" applyFill="1" applyBorder="1" applyAlignment="1" applyProtection="1">
      <alignment horizontal="center" vertical="center"/>
      <protection locked="0"/>
    </xf>
    <xf numFmtId="0" fontId="95" fillId="2" borderId="11" xfId="0" applyFont="1" applyFill="1" applyBorder="1" applyProtection="1">
      <alignment vertical="center"/>
      <protection locked="0"/>
    </xf>
    <xf numFmtId="0" fontId="44" fillId="2" borderId="0" xfId="0" applyFont="1" applyFill="1" applyAlignment="1" applyProtection="1">
      <alignment vertical="top"/>
      <protection locked="0"/>
    </xf>
    <xf numFmtId="0" fontId="44" fillId="2" borderId="4" xfId="0" applyFont="1" applyFill="1" applyBorder="1" applyAlignment="1" applyProtection="1">
      <alignment vertical="top"/>
      <protection locked="0"/>
    </xf>
    <xf numFmtId="0" fontId="44" fillId="2" borderId="0" xfId="0" applyFont="1" applyFill="1" applyAlignment="1" applyProtection="1">
      <alignment horizontal="left" vertical="top"/>
      <protection locked="0"/>
    </xf>
    <xf numFmtId="0" fontId="44" fillId="2" borderId="3" xfId="0" applyFont="1" applyFill="1" applyBorder="1" applyAlignment="1" applyProtection="1">
      <alignment vertical="top"/>
      <protection locked="0"/>
    </xf>
    <xf numFmtId="0" fontId="5" fillId="2" borderId="4" xfId="0" applyFont="1" applyFill="1" applyBorder="1" applyProtection="1">
      <alignment vertical="center"/>
      <protection locked="0"/>
    </xf>
    <xf numFmtId="41" fontId="44" fillId="12" borderId="17" xfId="3" applyFont="1" applyFill="1" applyBorder="1" applyAlignment="1" applyProtection="1">
      <alignment vertical="center"/>
      <protection locked="0"/>
    </xf>
    <xf numFmtId="0" fontId="5" fillId="3" borderId="17" xfId="0" applyFont="1" applyFill="1" applyBorder="1" applyAlignment="1" applyProtection="1">
      <alignment horizontal="center" vertical="center"/>
      <protection locked="0"/>
    </xf>
    <xf numFmtId="0" fontId="5" fillId="2" borderId="15" xfId="0" applyFont="1" applyFill="1" applyBorder="1" applyAlignment="1" applyProtection="1">
      <alignment horizontal="center" vertical="center"/>
      <protection locked="0"/>
    </xf>
    <xf numFmtId="0" fontId="5" fillId="3" borderId="17" xfId="0" applyFont="1" applyFill="1" applyBorder="1" applyProtection="1">
      <alignment vertical="center"/>
      <protection locked="0"/>
    </xf>
    <xf numFmtId="41" fontId="5" fillId="12" borderId="14" xfId="0" applyNumberFormat="1" applyFont="1" applyFill="1" applyBorder="1" applyAlignment="1" applyProtection="1">
      <alignment horizontal="center" vertical="center"/>
      <protection locked="0"/>
    </xf>
    <xf numFmtId="41" fontId="5" fillId="12" borderId="17" xfId="0" applyNumberFormat="1" applyFont="1" applyFill="1" applyBorder="1" applyProtection="1">
      <alignment vertical="center"/>
      <protection locked="0"/>
    </xf>
    <xf numFmtId="0" fontId="44" fillId="2" borderId="3" xfId="0" applyFont="1" applyFill="1" applyBorder="1" applyAlignment="1" applyProtection="1">
      <alignment horizontal="left" vertical="center"/>
      <protection locked="0"/>
    </xf>
    <xf numFmtId="37" fontId="106" fillId="2" borderId="8" xfId="0" applyNumberFormat="1" applyFont="1" applyFill="1" applyBorder="1" applyAlignment="1" applyProtection="1">
      <protection locked="0"/>
    </xf>
    <xf numFmtId="37" fontId="106" fillId="2" borderId="9" xfId="0" applyNumberFormat="1" applyFont="1" applyFill="1" applyBorder="1" applyAlignment="1" applyProtection="1">
      <protection locked="0"/>
    </xf>
    <xf numFmtId="0" fontId="65" fillId="2" borderId="0" xfId="0" applyFont="1" applyFill="1" applyAlignment="1" applyProtection="1">
      <alignment horizontal="center"/>
      <protection locked="0"/>
    </xf>
    <xf numFmtId="37" fontId="42" fillId="2" borderId="0" xfId="0" applyNumberFormat="1" applyFont="1" applyFill="1" applyAlignment="1" applyProtection="1">
      <alignment horizontal="center"/>
      <protection locked="0"/>
    </xf>
    <xf numFmtId="0" fontId="44" fillId="2" borderId="0" xfId="0" applyFont="1" applyFill="1" applyAlignment="1" applyProtection="1">
      <alignment horizontal="center" vertical="center"/>
      <protection locked="0"/>
    </xf>
    <xf numFmtId="0" fontId="44" fillId="2" borderId="16" xfId="0" applyFont="1" applyFill="1" applyBorder="1" applyAlignment="1" applyProtection="1">
      <protection locked="0"/>
    </xf>
    <xf numFmtId="0" fontId="44" fillId="2" borderId="29" xfId="0" applyFont="1" applyFill="1" applyBorder="1" applyAlignment="1" applyProtection="1">
      <protection locked="0"/>
    </xf>
    <xf numFmtId="0" fontId="44" fillId="2" borderId="11" xfId="0" applyFont="1" applyFill="1" applyBorder="1" applyAlignment="1" applyProtection="1">
      <protection locked="0"/>
    </xf>
    <xf numFmtId="0" fontId="44" fillId="2" borderId="27" xfId="0" applyFont="1" applyFill="1" applyBorder="1" applyAlignment="1" applyProtection="1">
      <protection locked="0"/>
    </xf>
    <xf numFmtId="0" fontId="44" fillId="2" borderId="28" xfId="0" applyFont="1" applyFill="1" applyBorder="1" applyAlignment="1" applyProtection="1">
      <protection locked="0"/>
    </xf>
    <xf numFmtId="0" fontId="44" fillId="2" borderId="31" xfId="0" applyFont="1" applyFill="1" applyBorder="1" applyAlignment="1" applyProtection="1">
      <protection locked="0"/>
    </xf>
    <xf numFmtId="0" fontId="44" fillId="2" borderId="5" xfId="0" applyFont="1" applyFill="1" applyBorder="1" applyAlignment="1" applyProtection="1">
      <protection locked="0"/>
    </xf>
    <xf numFmtId="0" fontId="44" fillId="2" borderId="30" xfId="0" applyFont="1" applyFill="1" applyBorder="1" applyAlignment="1" applyProtection="1">
      <protection locked="0"/>
    </xf>
    <xf numFmtId="0" fontId="44" fillId="2" borderId="19" xfId="0" applyFont="1" applyFill="1" applyBorder="1" applyProtection="1">
      <alignment vertical="center"/>
      <protection locked="0"/>
    </xf>
    <xf numFmtId="0" fontId="44" fillId="2" borderId="18" xfId="0" applyFont="1" applyFill="1" applyBorder="1" applyProtection="1">
      <alignment vertical="center"/>
      <protection locked="0"/>
    </xf>
    <xf numFmtId="0" fontId="44" fillId="0" borderId="20" xfId="0" applyFont="1" applyBorder="1" applyProtection="1">
      <alignment vertical="center"/>
      <protection locked="0"/>
    </xf>
    <xf numFmtId="0" fontId="44" fillId="0" borderId="0" xfId="0" applyFont="1" applyProtection="1">
      <alignment vertical="center"/>
      <protection locked="0"/>
    </xf>
    <xf numFmtId="0" fontId="44" fillId="20" borderId="11" xfId="0" applyFont="1" applyFill="1" applyBorder="1" applyAlignment="1" applyProtection="1">
      <protection locked="0"/>
    </xf>
    <xf numFmtId="0" fontId="44" fillId="20" borderId="11" xfId="0" applyFont="1" applyFill="1" applyBorder="1" applyProtection="1">
      <alignment vertical="center"/>
      <protection locked="0"/>
    </xf>
    <xf numFmtId="0" fontId="44" fillId="20" borderId="0" xfId="0" applyFont="1" applyFill="1" applyAlignment="1" applyProtection="1">
      <protection locked="0"/>
    </xf>
    <xf numFmtId="0" fontId="5" fillId="20" borderId="14" xfId="0" applyFont="1" applyFill="1" applyBorder="1" applyAlignment="1" applyProtection="1">
      <protection locked="0"/>
    </xf>
    <xf numFmtId="0" fontId="109" fillId="2" borderId="3" xfId="0" applyFont="1" applyFill="1" applyBorder="1" applyAlignment="1" applyProtection="1">
      <alignment vertical="top"/>
      <protection locked="0"/>
    </xf>
    <xf numFmtId="0" fontId="95" fillId="17" borderId="39" xfId="0" applyFont="1" applyFill="1" applyBorder="1" applyProtection="1">
      <alignment vertical="center"/>
      <protection locked="0"/>
    </xf>
    <xf numFmtId="0" fontId="95" fillId="17" borderId="17" xfId="0" applyFont="1" applyFill="1" applyBorder="1" applyAlignment="1" applyProtection="1">
      <alignment horizontal="center" vertical="center" wrapText="1"/>
      <protection locked="0"/>
    </xf>
    <xf numFmtId="43" fontId="21" fillId="2" borderId="8" xfId="1" applyFont="1" applyFill="1" applyBorder="1" applyAlignment="1">
      <alignment vertical="center"/>
      <protection locked="0"/>
    </xf>
    <xf numFmtId="37" fontId="42" fillId="2" borderId="25" xfId="0" applyNumberFormat="1" applyFont="1" applyFill="1" applyBorder="1" applyAlignment="1" applyProtection="1">
      <alignment horizontal="center"/>
      <protection locked="0"/>
    </xf>
    <xf numFmtId="0" fontId="0" fillId="17" borderId="3" xfId="0" applyFill="1" applyBorder="1" applyAlignment="1" applyProtection="1">
      <alignment horizontal="center" vertical="center"/>
      <protection hidden="1"/>
    </xf>
    <xf numFmtId="0" fontId="8" fillId="17" borderId="0" xfId="0" applyFont="1" applyFill="1" applyProtection="1">
      <alignment vertical="center"/>
      <protection hidden="1"/>
    </xf>
    <xf numFmtId="0" fontId="0" fillId="17" borderId="0" xfId="0" applyFill="1" applyProtection="1">
      <alignment vertical="center"/>
      <protection hidden="1"/>
    </xf>
    <xf numFmtId="0" fontId="5" fillId="2" borderId="3" xfId="0" quotePrefix="1" applyFont="1" applyFill="1" applyBorder="1" applyProtection="1">
      <alignment vertical="center"/>
      <protection locked="0"/>
    </xf>
    <xf numFmtId="0" fontId="5" fillId="2" borderId="0" xfId="0" applyFont="1" applyFill="1" applyAlignment="1">
      <alignment horizontal="center" vertical="center"/>
    </xf>
    <xf numFmtId="0" fontId="8" fillId="2" borderId="0" xfId="0" quotePrefix="1" applyFont="1" applyFill="1" applyAlignment="1" applyProtection="1">
      <alignment horizontal="left" vertical="center"/>
      <protection locked="0"/>
    </xf>
    <xf numFmtId="0" fontId="16" fillId="20" borderId="24" xfId="0" applyFont="1" applyFill="1" applyBorder="1" applyAlignment="1" applyProtection="1">
      <alignment horizontal="right" vertical="center"/>
      <protection locked="0"/>
    </xf>
    <xf numFmtId="180" fontId="106" fillId="2" borderId="0" xfId="0" applyNumberFormat="1" applyFont="1" applyFill="1" applyAlignment="1" applyProtection="1">
      <protection locked="0"/>
    </xf>
    <xf numFmtId="37" fontId="42" fillId="2" borderId="0" xfId="0" applyNumberFormat="1" applyFont="1" applyFill="1" applyAlignment="1" applyProtection="1">
      <protection locked="0"/>
    </xf>
    <xf numFmtId="0" fontId="44" fillId="20" borderId="29" xfId="0" applyFont="1" applyFill="1" applyBorder="1" applyAlignment="1" applyProtection="1">
      <protection locked="0"/>
    </xf>
    <xf numFmtId="0" fontId="44" fillId="20" borderId="27" xfId="0" applyFont="1" applyFill="1" applyBorder="1" applyAlignment="1" applyProtection="1">
      <protection locked="0"/>
    </xf>
    <xf numFmtId="0" fontId="44" fillId="20" borderId="16" xfId="0" applyFont="1" applyFill="1" applyBorder="1" applyAlignment="1" applyProtection="1">
      <protection locked="0"/>
    </xf>
    <xf numFmtId="0" fontId="44" fillId="20" borderId="28" xfId="0" applyFont="1" applyFill="1" applyBorder="1" applyAlignment="1" applyProtection="1">
      <protection locked="0"/>
    </xf>
    <xf numFmtId="0" fontId="106" fillId="2" borderId="0" xfId="0" applyFont="1" applyFill="1" applyAlignment="1" applyProtection="1">
      <protection locked="0"/>
    </xf>
    <xf numFmtId="0" fontId="44" fillId="20" borderId="31" xfId="0" applyFont="1" applyFill="1" applyBorder="1" applyAlignment="1" applyProtection="1">
      <protection locked="0"/>
    </xf>
    <xf numFmtId="0" fontId="44" fillId="20" borderId="30" xfId="0" applyFont="1" applyFill="1" applyBorder="1" applyAlignment="1" applyProtection="1">
      <protection locked="0"/>
    </xf>
    <xf numFmtId="0" fontId="65" fillId="20" borderId="14" xfId="0" applyFont="1" applyFill="1" applyBorder="1" applyAlignment="1" applyProtection="1">
      <protection locked="0"/>
    </xf>
    <xf numFmtId="0" fontId="65" fillId="20" borderId="8" xfId="0" applyFont="1" applyFill="1" applyBorder="1" applyAlignment="1" applyProtection="1">
      <protection locked="0"/>
    </xf>
    <xf numFmtId="0" fontId="65" fillId="20" borderId="15" xfId="0" applyFont="1" applyFill="1" applyBorder="1" applyAlignment="1" applyProtection="1">
      <protection locked="0"/>
    </xf>
    <xf numFmtId="37" fontId="108" fillId="2" borderId="0" xfId="0" applyNumberFormat="1" applyFont="1" applyFill="1" applyAlignment="1" applyProtection="1">
      <protection locked="0"/>
    </xf>
    <xf numFmtId="9" fontId="108" fillId="2" borderId="11" xfId="0" applyNumberFormat="1" applyFont="1" applyFill="1" applyBorder="1" applyAlignment="1" applyProtection="1">
      <alignment horizontal="center"/>
      <protection locked="0"/>
    </xf>
    <xf numFmtId="180" fontId="42" fillId="2" borderId="0" xfId="0" applyNumberFormat="1" applyFont="1" applyFill="1" applyAlignment="1" applyProtection="1">
      <alignment horizontal="right"/>
      <protection locked="0"/>
    </xf>
    <xf numFmtId="0" fontId="44" fillId="2" borderId="3" xfId="0" applyFont="1" applyFill="1" applyBorder="1" applyAlignment="1" applyProtection="1">
      <alignment horizontal="center" vertical="center"/>
      <protection hidden="1"/>
    </xf>
    <xf numFmtId="0" fontId="44" fillId="2" borderId="0" xfId="0" applyFont="1" applyFill="1" applyAlignment="1" applyProtection="1">
      <protection hidden="1"/>
    </xf>
    <xf numFmtId="0" fontId="65" fillId="20" borderId="11" xfId="0" applyFont="1" applyFill="1" applyBorder="1" applyAlignment="1" applyProtection="1">
      <protection hidden="1"/>
    </xf>
    <xf numFmtId="0" fontId="44" fillId="20" borderId="11" xfId="0" applyFont="1" applyFill="1" applyBorder="1" applyAlignment="1" applyProtection="1">
      <protection hidden="1"/>
    </xf>
    <xf numFmtId="0" fontId="44" fillId="20" borderId="11" xfId="0" applyFont="1" applyFill="1" applyBorder="1" applyProtection="1">
      <alignment vertical="center"/>
      <protection hidden="1"/>
    </xf>
    <xf numFmtId="37" fontId="108" fillId="2" borderId="0" xfId="0" applyNumberFormat="1" applyFont="1" applyFill="1" applyAlignment="1" applyProtection="1">
      <alignment horizontal="center"/>
      <protection hidden="1"/>
    </xf>
    <xf numFmtId="0" fontId="44" fillId="2" borderId="0" xfId="0" applyFont="1" applyFill="1" applyProtection="1">
      <alignment vertical="center"/>
      <protection hidden="1"/>
    </xf>
    <xf numFmtId="0" fontId="44" fillId="0" borderId="4" xfId="0" applyFont="1" applyBorder="1" applyProtection="1">
      <alignment vertical="center"/>
      <protection hidden="1"/>
    </xf>
    <xf numFmtId="0" fontId="44" fillId="2" borderId="0" xfId="0" applyFont="1" applyFill="1" applyAlignment="1" applyProtection="1">
      <alignment horizontal="right" vertical="center"/>
      <protection hidden="1"/>
    </xf>
    <xf numFmtId="9" fontId="106" fillId="2" borderId="0" xfId="0" applyNumberFormat="1" applyFont="1" applyFill="1" applyAlignment="1" applyProtection="1">
      <alignment horizontal="center"/>
      <protection hidden="1"/>
    </xf>
    <xf numFmtId="0" fontId="65" fillId="20" borderId="0" xfId="0" applyFont="1" applyFill="1" applyAlignment="1" applyProtection="1">
      <protection hidden="1"/>
    </xf>
    <xf numFmtId="0" fontId="44" fillId="20" borderId="0" xfId="0" applyFont="1" applyFill="1" applyAlignment="1" applyProtection="1">
      <protection hidden="1"/>
    </xf>
    <xf numFmtId="0" fontId="44" fillId="20" borderId="0" xfId="0" applyFont="1" applyFill="1" applyProtection="1">
      <alignment vertical="center"/>
      <protection hidden="1"/>
    </xf>
    <xf numFmtId="0" fontId="44" fillId="2" borderId="4" xfId="0" applyFont="1" applyFill="1" applyBorder="1" applyProtection="1">
      <alignment vertical="center"/>
      <protection hidden="1"/>
    </xf>
    <xf numFmtId="0" fontId="44" fillId="25" borderId="5" xfId="0" applyFont="1" applyFill="1" applyBorder="1" applyAlignment="1" applyProtection="1">
      <protection hidden="1"/>
    </xf>
    <xf numFmtId="0" fontId="44" fillId="25" borderId="5" xfId="0" applyFont="1" applyFill="1" applyBorder="1" applyProtection="1">
      <alignment vertical="center"/>
      <protection hidden="1"/>
    </xf>
    <xf numFmtId="0" fontId="44" fillId="2" borderId="0" xfId="0" applyFont="1" applyFill="1" applyAlignment="1" applyProtection="1">
      <alignment horizontal="center"/>
      <protection hidden="1"/>
    </xf>
    <xf numFmtId="9" fontId="44" fillId="2" borderId="0" xfId="0" applyNumberFormat="1" applyFont="1" applyFill="1" applyAlignment="1" applyProtection="1">
      <protection hidden="1"/>
    </xf>
    <xf numFmtId="0" fontId="44" fillId="25" borderId="8" xfId="0" applyFont="1" applyFill="1" applyBorder="1" applyAlignment="1" applyProtection="1">
      <protection hidden="1"/>
    </xf>
    <xf numFmtId="0" fontId="44" fillId="25" borderId="8" xfId="0" applyFont="1" applyFill="1" applyBorder="1" applyProtection="1">
      <alignment vertical="center"/>
      <protection hidden="1"/>
    </xf>
    <xf numFmtId="0" fontId="44" fillId="25" borderId="11" xfId="0" applyFont="1" applyFill="1" applyBorder="1" applyAlignment="1" applyProtection="1">
      <protection hidden="1"/>
    </xf>
    <xf numFmtId="0" fontId="44" fillId="25" borderId="11" xfId="0" applyFont="1" applyFill="1" applyBorder="1" applyProtection="1">
      <alignment vertical="center"/>
      <protection hidden="1"/>
    </xf>
    <xf numFmtId="0" fontId="65" fillId="25" borderId="0" xfId="0" applyFont="1" applyFill="1" applyAlignment="1" applyProtection="1">
      <protection hidden="1"/>
    </xf>
    <xf numFmtId="0" fontId="44" fillId="25" borderId="0" xfId="0" applyFont="1" applyFill="1" applyAlignment="1" applyProtection="1">
      <protection hidden="1"/>
    </xf>
    <xf numFmtId="0" fontId="44" fillId="25" borderId="0" xfId="0" applyFont="1" applyFill="1" applyProtection="1">
      <alignment vertical="center"/>
      <protection hidden="1"/>
    </xf>
    <xf numFmtId="0" fontId="36" fillId="2" borderId="0" xfId="0" quotePrefix="1" applyFont="1" applyFill="1" applyProtection="1">
      <alignment vertical="center"/>
      <protection hidden="1"/>
    </xf>
    <xf numFmtId="0" fontId="23" fillId="2" borderId="8" xfId="0" applyFont="1" applyFill="1" applyBorder="1" applyAlignment="1" applyProtection="1">
      <alignment horizontal="center" vertical="center"/>
      <protection hidden="1"/>
    </xf>
    <xf numFmtId="41" fontId="0" fillId="2" borderId="0" xfId="3" applyFont="1" applyFill="1" applyBorder="1" applyAlignment="1" applyProtection="1">
      <alignment vertical="center"/>
      <protection hidden="1"/>
    </xf>
    <xf numFmtId="0" fontId="0" fillId="2" borderId="14" xfId="0" applyFill="1" applyBorder="1" applyAlignment="1" applyProtection="1">
      <alignment horizontal="center" vertical="center"/>
      <protection hidden="1"/>
    </xf>
    <xf numFmtId="0" fontId="0" fillId="2" borderId="15" xfId="0" applyFill="1" applyBorder="1" applyAlignment="1" applyProtection="1">
      <alignment horizontal="center" vertical="center"/>
      <protection hidden="1"/>
    </xf>
    <xf numFmtId="0" fontId="0" fillId="2" borderId="17" xfId="0" applyFill="1" applyBorder="1" applyAlignment="1" applyProtection="1">
      <alignment horizontal="center" vertical="center"/>
      <protection hidden="1"/>
    </xf>
    <xf numFmtId="0" fontId="70" fillId="2" borderId="14" xfId="0" applyFont="1" applyFill="1" applyBorder="1" applyAlignment="1" applyProtection="1">
      <alignment horizontal="right" vertical="center"/>
      <protection hidden="1"/>
    </xf>
    <xf numFmtId="0" fontId="23" fillId="2" borderId="52" xfId="0" applyFont="1" applyFill="1" applyBorder="1" applyAlignment="1" applyProtection="1">
      <alignment horizontal="center" vertical="center"/>
      <protection hidden="1"/>
    </xf>
    <xf numFmtId="3" fontId="36" fillId="2" borderId="11" xfId="0" quotePrefix="1" applyNumberFormat="1" applyFont="1" applyFill="1" applyBorder="1" applyAlignment="1" applyProtection="1">
      <alignment horizontal="left" vertical="center"/>
      <protection hidden="1"/>
    </xf>
    <xf numFmtId="0" fontId="36" fillId="2" borderId="11" xfId="0" quotePrefix="1" applyFont="1" applyFill="1" applyBorder="1" applyAlignment="1" applyProtection="1">
      <alignment horizontal="left" vertical="center"/>
      <protection hidden="1"/>
    </xf>
    <xf numFmtId="0" fontId="23" fillId="2" borderId="11" xfId="0" applyFont="1" applyFill="1" applyBorder="1" applyAlignment="1" applyProtection="1">
      <alignment horizontal="center" vertical="center"/>
      <protection hidden="1"/>
    </xf>
    <xf numFmtId="179" fontId="5" fillId="2" borderId="11" xfId="0" applyNumberFormat="1" applyFont="1" applyFill="1" applyBorder="1" applyAlignment="1" applyProtection="1">
      <alignment horizontal="right" vertical="center"/>
      <protection hidden="1"/>
    </xf>
    <xf numFmtId="0" fontId="80" fillId="2" borderId="0" xfId="0" applyFont="1" applyFill="1" applyAlignment="1" applyProtection="1">
      <protection hidden="1"/>
    </xf>
    <xf numFmtId="0" fontId="5" fillId="2" borderId="0" xfId="0" applyFont="1" applyFill="1" applyProtection="1">
      <alignment vertical="center"/>
      <protection hidden="1"/>
    </xf>
    <xf numFmtId="1" fontId="0" fillId="0" borderId="0" xfId="0" applyNumberFormat="1" applyProtection="1">
      <alignment vertical="center"/>
      <protection hidden="1"/>
    </xf>
    <xf numFmtId="0" fontId="101" fillId="3" borderId="22" xfId="0" applyFont="1" applyFill="1" applyBorder="1" applyAlignment="1" applyProtection="1">
      <alignment horizontal="center" vertical="center"/>
      <protection hidden="1"/>
    </xf>
    <xf numFmtId="179" fontId="0" fillId="0" borderId="0" xfId="0" applyNumberFormat="1" applyProtection="1">
      <alignment vertical="center"/>
      <protection hidden="1"/>
    </xf>
    <xf numFmtId="2" fontId="0" fillId="0" borderId="0" xfId="0" applyNumberFormat="1" applyProtection="1">
      <alignment vertical="center"/>
      <protection hidden="1"/>
    </xf>
    <xf numFmtId="187" fontId="27" fillId="2" borderId="0" xfId="5" applyNumberFormat="1" applyFont="1" applyFill="1" applyProtection="1">
      <protection hidden="1"/>
    </xf>
    <xf numFmtId="187" fontId="8" fillId="0" borderId="0" xfId="0" applyNumberFormat="1" applyFont="1" applyProtection="1">
      <alignment vertical="center"/>
      <protection hidden="1"/>
    </xf>
    <xf numFmtId="2" fontId="110" fillId="3" borderId="0" xfId="0" applyNumberFormat="1" applyFont="1" applyFill="1" applyProtection="1">
      <alignment vertical="center"/>
      <protection hidden="1"/>
    </xf>
    <xf numFmtId="0" fontId="0" fillId="0" borderId="3" xfId="0" applyBorder="1" applyProtection="1">
      <alignment vertical="center"/>
      <protection hidden="1"/>
    </xf>
    <xf numFmtId="41" fontId="0" fillId="2" borderId="0" xfId="3" applyFont="1" applyFill="1" applyBorder="1" applyAlignment="1" applyProtection="1">
      <alignment vertical="center"/>
      <protection locked="0"/>
    </xf>
    <xf numFmtId="0" fontId="0" fillId="2" borderId="3" xfId="0" applyFill="1" applyBorder="1" applyAlignment="1" applyProtection="1">
      <alignment horizontal="center" vertical="center" wrapText="1"/>
      <protection hidden="1"/>
    </xf>
    <xf numFmtId="179" fontId="16" fillId="2" borderId="8" xfId="3" applyNumberFormat="1" applyFont="1" applyFill="1" applyBorder="1" applyAlignment="1" applyProtection="1">
      <alignment horizontal="right" vertical="center"/>
      <protection hidden="1"/>
    </xf>
    <xf numFmtId="0" fontId="0" fillId="3" borderId="0" xfId="0" applyFill="1" applyProtection="1">
      <alignment vertical="center"/>
      <protection locked="0"/>
    </xf>
    <xf numFmtId="0" fontId="44" fillId="2" borderId="17" xfId="0" applyFont="1" applyFill="1" applyBorder="1" applyAlignment="1" applyProtection="1">
      <alignment horizontal="center" vertical="center"/>
      <protection locked="0"/>
    </xf>
    <xf numFmtId="0" fontId="77" fillId="0" borderId="17" xfId="0" quotePrefix="1" applyFont="1" applyBorder="1" applyAlignment="1">
      <alignment horizontal="center"/>
    </xf>
    <xf numFmtId="0" fontId="77" fillId="2" borderId="4" xfId="0" applyFont="1" applyFill="1" applyBorder="1" applyProtection="1">
      <alignment vertical="center"/>
      <protection locked="0"/>
    </xf>
    <xf numFmtId="0" fontId="77" fillId="2" borderId="4" xfId="0" applyFont="1" applyFill="1" applyBorder="1" applyAlignment="1" applyProtection="1">
      <alignment vertical="top"/>
      <protection locked="0"/>
    </xf>
    <xf numFmtId="0" fontId="77" fillId="2" borderId="20" xfId="0" applyFont="1" applyFill="1" applyBorder="1" applyAlignment="1" applyProtection="1">
      <alignment vertical="top"/>
      <protection locked="0"/>
    </xf>
    <xf numFmtId="0" fontId="8" fillId="2" borderId="0" xfId="0" applyFont="1" applyFill="1" applyAlignment="1" applyProtection="1">
      <alignment horizontal="center" vertical="center"/>
      <protection locked="0"/>
    </xf>
    <xf numFmtId="0" fontId="8" fillId="2" borderId="24" xfId="0" applyFont="1" applyFill="1" applyBorder="1" applyAlignment="1" applyProtection="1">
      <alignment horizontal="left" vertical="top"/>
      <protection locked="0"/>
    </xf>
    <xf numFmtId="0" fontId="8" fillId="2" borderId="25" xfId="0" applyFont="1" applyFill="1" applyBorder="1" applyAlignment="1" applyProtection="1">
      <alignment vertical="top" wrapText="1"/>
      <protection locked="0"/>
    </xf>
    <xf numFmtId="0" fontId="8" fillId="2" borderId="25" xfId="0" applyFont="1" applyFill="1" applyBorder="1" applyAlignment="1" applyProtection="1">
      <alignment vertical="top"/>
      <protection locked="0"/>
    </xf>
    <xf numFmtId="0" fontId="8" fillId="2" borderId="26" xfId="0" applyFont="1" applyFill="1" applyBorder="1" applyAlignment="1" applyProtection="1">
      <alignment vertical="top"/>
      <protection locked="0"/>
    </xf>
    <xf numFmtId="0" fontId="8" fillId="2" borderId="3" xfId="0" applyFont="1" applyFill="1" applyBorder="1" applyAlignment="1" applyProtection="1">
      <alignment vertical="top"/>
      <protection locked="0"/>
    </xf>
    <xf numFmtId="0" fontId="115" fillId="0" borderId="0" xfId="0" applyFont="1" applyAlignment="1" applyProtection="1">
      <protection locked="0"/>
    </xf>
    <xf numFmtId="0" fontId="8" fillId="2" borderId="0" xfId="0" applyFont="1" applyFill="1" applyAlignment="1" applyProtection="1">
      <alignment vertical="top"/>
      <protection locked="0"/>
    </xf>
    <xf numFmtId="0" fontId="8" fillId="2" borderId="4" xfId="0" applyFont="1" applyFill="1" applyBorder="1" applyAlignment="1" applyProtection="1">
      <alignment vertical="top"/>
      <protection locked="0"/>
    </xf>
    <xf numFmtId="0" fontId="8" fillId="2" borderId="19" xfId="0" applyFont="1" applyFill="1" applyBorder="1" applyAlignment="1" applyProtection="1">
      <alignment vertical="top"/>
      <protection locked="0"/>
    </xf>
    <xf numFmtId="0" fontId="44" fillId="0" borderId="16" xfId="0" applyFont="1" applyBorder="1">
      <alignment vertical="center"/>
    </xf>
    <xf numFmtId="0" fontId="44" fillId="0" borderId="0" xfId="0" applyFont="1" applyBorder="1">
      <alignment vertical="center"/>
    </xf>
    <xf numFmtId="0" fontId="44" fillId="0" borderId="28" xfId="0" applyFont="1" applyBorder="1">
      <alignment vertical="center"/>
    </xf>
    <xf numFmtId="0" fontId="117" fillId="0" borderId="0" xfId="0" applyFont="1" applyAlignment="1">
      <alignment horizontal="justify" vertical="center"/>
    </xf>
    <xf numFmtId="0" fontId="77" fillId="0" borderId="0" xfId="0" applyFont="1" applyAlignment="1">
      <alignment horizontal="justify" vertical="center"/>
    </xf>
    <xf numFmtId="0" fontId="0" fillId="0" borderId="0" xfId="0" applyBorder="1">
      <alignment vertical="center"/>
    </xf>
    <xf numFmtId="0" fontId="77" fillId="0" borderId="0" xfId="0" applyFont="1">
      <alignment vertical="center"/>
    </xf>
    <xf numFmtId="43" fontId="114" fillId="2" borderId="0" xfId="0" applyNumberFormat="1" applyFont="1" applyFill="1" applyBorder="1" applyAlignment="1" applyProtection="1">
      <alignment vertical="center"/>
      <protection locked="0"/>
    </xf>
    <xf numFmtId="0" fontId="76" fillId="2" borderId="0" xfId="0" applyFont="1" applyFill="1" applyBorder="1" applyAlignment="1" applyProtection="1">
      <alignment vertical="top"/>
      <protection locked="0"/>
    </xf>
    <xf numFmtId="0" fontId="8" fillId="2" borderId="0" xfId="0" applyFont="1" applyFill="1" applyAlignment="1">
      <alignment vertical="center"/>
    </xf>
    <xf numFmtId="43" fontId="8" fillId="2" borderId="5" xfId="0" applyNumberFormat="1" applyFont="1" applyFill="1" applyBorder="1" applyAlignment="1" applyProtection="1">
      <alignment vertical="center"/>
      <protection locked="0"/>
    </xf>
    <xf numFmtId="0" fontId="8" fillId="2" borderId="0" xfId="0" applyFont="1" applyFill="1" applyAlignment="1" applyProtection="1">
      <alignment vertical="center"/>
      <protection locked="0"/>
    </xf>
    <xf numFmtId="43" fontId="8" fillId="2" borderId="0" xfId="0" applyNumberFormat="1" applyFont="1" applyFill="1" applyBorder="1" applyAlignment="1" applyProtection="1">
      <alignment vertical="center"/>
      <protection locked="0"/>
    </xf>
    <xf numFmtId="43" fontId="79" fillId="2" borderId="0" xfId="0" applyNumberFormat="1" applyFont="1" applyFill="1" applyBorder="1" applyAlignment="1" applyProtection="1">
      <alignment vertical="center"/>
      <protection locked="0"/>
    </xf>
    <xf numFmtId="0" fontId="8" fillId="2" borderId="5" xfId="0" applyFont="1" applyFill="1" applyBorder="1" applyProtection="1">
      <alignment vertical="center"/>
      <protection locked="0"/>
    </xf>
    <xf numFmtId="0" fontId="8" fillId="2" borderId="5" xfId="0" applyFont="1" applyFill="1" applyBorder="1" applyAlignment="1" applyProtection="1">
      <alignment horizontal="center" vertical="center"/>
      <protection locked="0"/>
    </xf>
    <xf numFmtId="43" fontId="21" fillId="2" borderId="8" xfId="1" quotePrefix="1" applyFont="1" applyFill="1" applyBorder="1" applyAlignment="1">
      <alignment vertical="center"/>
      <protection locked="0"/>
    </xf>
    <xf numFmtId="0" fontId="44" fillId="2" borderId="11" xfId="0" applyFont="1" applyFill="1" applyBorder="1" applyAlignment="1" applyProtection="1">
      <alignment vertical="top"/>
      <protection locked="0"/>
    </xf>
    <xf numFmtId="0" fontId="44" fillId="2" borderId="5" xfId="0" applyFont="1" applyFill="1" applyBorder="1" applyAlignment="1" applyProtection="1">
      <alignment vertical="top"/>
      <protection locked="0"/>
    </xf>
    <xf numFmtId="0" fontId="77" fillId="0" borderId="29" xfId="0" applyFont="1" applyBorder="1">
      <alignment vertical="center"/>
    </xf>
    <xf numFmtId="0" fontId="44" fillId="2" borderId="0" xfId="0" applyFont="1" applyFill="1" applyBorder="1" applyAlignment="1" applyProtection="1">
      <alignment vertical="top"/>
      <protection locked="0"/>
    </xf>
    <xf numFmtId="0" fontId="0" fillId="0" borderId="0" xfId="0" applyFill="1" applyBorder="1">
      <alignment vertical="center"/>
    </xf>
    <xf numFmtId="0" fontId="119" fillId="0" borderId="16" xfId="0" applyFont="1" applyBorder="1">
      <alignment vertical="center"/>
    </xf>
    <xf numFmtId="0" fontId="119" fillId="0" borderId="0" xfId="0" applyFont="1" applyBorder="1">
      <alignment vertical="center"/>
    </xf>
    <xf numFmtId="0" fontId="119" fillId="0" borderId="28" xfId="0" applyFont="1" applyBorder="1">
      <alignment vertical="center"/>
    </xf>
    <xf numFmtId="0" fontId="119" fillId="0" borderId="16" xfId="0" applyFont="1" applyBorder="1" applyAlignment="1">
      <alignment horizontal="center" vertical="center"/>
    </xf>
    <xf numFmtId="0" fontId="119" fillId="0" borderId="0" xfId="0" applyFont="1" applyBorder="1" applyAlignment="1">
      <alignment horizontal="center" vertical="center"/>
    </xf>
    <xf numFmtId="0" fontId="119" fillId="0" borderId="0" xfId="0" applyFont="1" applyFill="1" applyBorder="1">
      <alignment vertical="center"/>
    </xf>
    <xf numFmtId="0" fontId="119" fillId="0" borderId="0" xfId="0" applyFont="1" applyBorder="1" applyAlignment="1">
      <alignment horizontal="justify" vertical="center"/>
    </xf>
    <xf numFmtId="189" fontId="120" fillId="0" borderId="0" xfId="0" applyNumberFormat="1" applyFont="1" applyFill="1" applyBorder="1" applyAlignment="1">
      <alignment vertical="center"/>
    </xf>
    <xf numFmtId="188" fontId="120" fillId="0" borderId="0" xfId="0" applyNumberFormat="1" applyFont="1" applyFill="1" applyBorder="1" applyAlignment="1">
      <alignment vertical="center"/>
    </xf>
    <xf numFmtId="169" fontId="119" fillId="0" borderId="0" xfId="0" applyNumberFormat="1" applyFont="1" applyBorder="1" applyAlignment="1">
      <alignment horizontal="left" vertical="center"/>
    </xf>
    <xf numFmtId="0" fontId="44" fillId="2" borderId="5" xfId="0" applyFont="1" applyFill="1" applyBorder="1" applyAlignment="1" applyProtection="1">
      <alignment horizontal="left" vertical="center"/>
      <protection locked="0"/>
    </xf>
    <xf numFmtId="0" fontId="85" fillId="2" borderId="17" xfId="0" quotePrefix="1" applyFont="1" applyFill="1" applyBorder="1" applyAlignment="1" applyProtection="1">
      <alignment horizontal="left" vertical="center"/>
      <protection locked="0"/>
    </xf>
    <xf numFmtId="0" fontId="77" fillId="0" borderId="16" xfId="0" applyFont="1" applyBorder="1">
      <alignment vertical="center"/>
    </xf>
    <xf numFmtId="0" fontId="77" fillId="0" borderId="31" xfId="0" applyFont="1" applyBorder="1">
      <alignment vertical="center"/>
    </xf>
    <xf numFmtId="43" fontId="119" fillId="0" borderId="0" xfId="0" applyNumberFormat="1" applyFont="1" applyBorder="1">
      <alignment vertical="center"/>
    </xf>
    <xf numFmtId="0" fontId="77" fillId="2" borderId="0" xfId="0" applyFont="1" applyFill="1" applyBorder="1" applyProtection="1">
      <alignment vertical="center"/>
      <protection locked="0"/>
    </xf>
    <xf numFmtId="0" fontId="77" fillId="2" borderId="0" xfId="0" applyFont="1" applyFill="1" applyBorder="1" applyAlignment="1" applyProtection="1">
      <alignment vertical="top"/>
      <protection locked="0"/>
    </xf>
    <xf numFmtId="0" fontId="77" fillId="2" borderId="0" xfId="0" applyFont="1" applyFill="1" applyBorder="1" applyAlignment="1" applyProtection="1">
      <alignment vertical="center"/>
      <protection locked="0"/>
    </xf>
    <xf numFmtId="0" fontId="113" fillId="2" borderId="0" xfId="0" applyNumberFormat="1" applyFont="1" applyFill="1" applyBorder="1" applyAlignment="1" applyProtection="1">
      <protection locked="0"/>
    </xf>
    <xf numFmtId="0" fontId="77" fillId="2" borderId="16" xfId="0" applyFont="1" applyFill="1" applyBorder="1" applyAlignment="1" applyProtection="1">
      <alignment vertical="top"/>
      <protection locked="0"/>
    </xf>
    <xf numFmtId="0" fontId="77" fillId="2" borderId="16" xfId="0" applyFont="1" applyFill="1" applyBorder="1" applyProtection="1">
      <alignment vertical="center"/>
      <protection locked="0"/>
    </xf>
    <xf numFmtId="0" fontId="76" fillId="2" borderId="5" xfId="0" applyNumberFormat="1" applyFont="1" applyFill="1" applyBorder="1" applyAlignment="1" applyProtection="1">
      <alignment vertical="center"/>
      <protection locked="0"/>
    </xf>
    <xf numFmtId="0" fontId="76" fillId="33" borderId="5" xfId="0" applyFont="1" applyFill="1" applyBorder="1" applyAlignment="1" applyProtection="1">
      <alignment vertical="top"/>
      <protection locked="0"/>
    </xf>
    <xf numFmtId="0" fontId="77" fillId="2" borderId="28" xfId="0" applyFont="1" applyFill="1" applyBorder="1" applyAlignment="1" applyProtection="1">
      <alignment vertical="top"/>
      <protection locked="0"/>
    </xf>
    <xf numFmtId="0" fontId="77" fillId="2" borderId="28" xfId="0" applyFont="1" applyFill="1" applyBorder="1" applyProtection="1">
      <alignment vertical="center"/>
      <protection locked="0"/>
    </xf>
    <xf numFmtId="0" fontId="76" fillId="33" borderId="30" xfId="0" applyFont="1" applyFill="1" applyBorder="1" applyAlignment="1" applyProtection="1">
      <alignment vertical="top"/>
      <protection locked="0"/>
    </xf>
    <xf numFmtId="0" fontId="77" fillId="2" borderId="3" xfId="0" applyFont="1" applyFill="1" applyBorder="1" applyAlignment="1" applyProtection="1">
      <alignment horizontal="left" vertical="center"/>
      <protection locked="0"/>
    </xf>
    <xf numFmtId="0" fontId="77" fillId="2" borderId="0" xfId="0" applyFont="1" applyFill="1" applyAlignment="1" applyProtection="1">
      <alignment horizontal="left" vertical="center"/>
      <protection locked="0"/>
    </xf>
    <xf numFmtId="0" fontId="77" fillId="2" borderId="0" xfId="0" applyFont="1" applyFill="1" applyProtection="1">
      <alignment vertical="center"/>
      <protection locked="0"/>
    </xf>
    <xf numFmtId="0" fontId="77" fillId="2" borderId="3" xfId="0" applyFont="1" applyFill="1" applyBorder="1" applyProtection="1">
      <alignment vertical="center"/>
      <protection locked="0"/>
    </xf>
    <xf numFmtId="0" fontId="77" fillId="2" borderId="0" xfId="0" applyFont="1" applyFill="1" applyAlignment="1" applyProtection="1">
      <alignment vertical="top"/>
      <protection locked="0"/>
    </xf>
    <xf numFmtId="0" fontId="76" fillId="2" borderId="3" xfId="0" applyFont="1" applyFill="1" applyBorder="1" applyProtection="1">
      <alignment vertical="center"/>
      <protection locked="0"/>
    </xf>
    <xf numFmtId="0" fontId="112" fillId="2" borderId="0" xfId="0" applyFont="1" applyFill="1" applyAlignment="1" applyProtection="1">
      <alignment horizontal="left"/>
      <protection locked="0"/>
    </xf>
    <xf numFmtId="44" fontId="77" fillId="2" borderId="3" xfId="0" applyNumberFormat="1" applyFont="1" applyFill="1" applyBorder="1" applyAlignment="1" applyProtection="1">
      <alignment horizontal="left"/>
      <protection locked="0"/>
    </xf>
    <xf numFmtId="0" fontId="112" fillId="2" borderId="0" xfId="0" applyNumberFormat="1" applyFont="1" applyFill="1" applyBorder="1" applyAlignment="1" applyProtection="1">
      <alignment horizontal="left"/>
      <protection locked="0"/>
    </xf>
    <xf numFmtId="0" fontId="113" fillId="2" borderId="0" xfId="0" applyFont="1" applyFill="1" applyBorder="1" applyAlignment="1" applyProtection="1">
      <alignment horizontal="left" vertical="center"/>
      <protection locked="0"/>
    </xf>
    <xf numFmtId="0" fontId="77" fillId="2" borderId="0" xfId="0" applyFont="1" applyFill="1" applyBorder="1" applyAlignment="1" applyProtection="1">
      <alignment horizontal="left" vertical="center"/>
      <protection locked="0"/>
    </xf>
    <xf numFmtId="0" fontId="77" fillId="2" borderId="19" xfId="0" applyFont="1" applyFill="1" applyBorder="1" applyAlignment="1" applyProtection="1">
      <alignment vertical="center"/>
      <protection locked="0"/>
    </xf>
    <xf numFmtId="0" fontId="112" fillId="2" borderId="18" xfId="0" applyNumberFormat="1" applyFont="1" applyFill="1" applyBorder="1" applyAlignment="1" applyProtection="1">
      <alignment horizontal="left" vertical="top"/>
      <protection locked="0"/>
    </xf>
    <xf numFmtId="0" fontId="76" fillId="2" borderId="18" xfId="0" applyFont="1" applyFill="1" applyBorder="1" applyAlignment="1" applyProtection="1">
      <alignment vertical="top"/>
      <protection locked="0"/>
    </xf>
    <xf numFmtId="0" fontId="77" fillId="2" borderId="18" xfId="0" applyFont="1" applyFill="1" applyBorder="1" applyAlignment="1" applyProtection="1">
      <alignment vertical="top"/>
      <protection locked="0"/>
    </xf>
    <xf numFmtId="0" fontId="16" fillId="0" borderId="0" xfId="0" applyFont="1" applyAlignment="1">
      <alignment horizontal="center" vertical="center"/>
    </xf>
    <xf numFmtId="0" fontId="122" fillId="2" borderId="11" xfId="0" applyFont="1" applyFill="1" applyBorder="1" applyAlignment="1" applyProtection="1">
      <alignment vertical="top"/>
      <protection locked="0"/>
    </xf>
    <xf numFmtId="0" fontId="122" fillId="2" borderId="0" xfId="0" applyFont="1" applyFill="1" applyAlignment="1" applyProtection="1">
      <alignment vertical="top"/>
      <protection locked="0"/>
    </xf>
    <xf numFmtId="0" fontId="124" fillId="0" borderId="0" xfId="0" applyFont="1" applyAlignment="1">
      <alignment horizontal="right"/>
    </xf>
    <xf numFmtId="0" fontId="115" fillId="0" borderId="0" xfId="0" applyFont="1" applyAlignment="1">
      <alignment horizontal="left"/>
    </xf>
    <xf numFmtId="0" fontId="124" fillId="0" borderId="0" xfId="0" applyFont="1" applyAlignment="1"/>
    <xf numFmtId="43" fontId="21" fillId="3" borderId="29" xfId="1" applyFont="1" applyFill="1" applyBorder="1" applyAlignment="1">
      <alignment horizontal="left" vertical="center"/>
      <protection locked="0"/>
    </xf>
    <xf numFmtId="43" fontId="21" fillId="3" borderId="11" xfId="1" quotePrefix="1" applyFont="1" applyFill="1" applyBorder="1" applyAlignment="1">
      <alignment horizontal="left" vertical="center"/>
      <protection locked="0"/>
    </xf>
    <xf numFmtId="43" fontId="21" fillId="3" borderId="27" xfId="1" quotePrefix="1" applyFont="1" applyFill="1" applyBorder="1" applyAlignment="1">
      <alignment horizontal="left" vertical="center"/>
      <protection locked="0"/>
    </xf>
    <xf numFmtId="43" fontId="21" fillId="3" borderId="14" xfId="1" applyFont="1" applyFill="1" applyBorder="1" applyAlignment="1">
      <alignment horizontal="left" vertical="center"/>
      <protection locked="0"/>
    </xf>
    <xf numFmtId="43" fontId="21" fillId="3" borderId="8" xfId="1" quotePrefix="1" applyFont="1" applyFill="1" applyBorder="1" applyAlignment="1">
      <alignment horizontal="left" vertical="center"/>
      <protection locked="0"/>
    </xf>
    <xf numFmtId="43" fontId="21" fillId="3" borderId="15" xfId="1" quotePrefix="1" applyFont="1" applyFill="1" applyBorder="1" applyAlignment="1">
      <alignment horizontal="left" vertical="center"/>
      <protection locked="0"/>
    </xf>
    <xf numFmtId="49" fontId="21" fillId="2" borderId="14" xfId="1" quotePrefix="1" applyNumberFormat="1" applyFont="1" applyFill="1" applyBorder="1" applyAlignment="1">
      <alignment horizontal="left" vertical="center"/>
      <protection locked="0"/>
    </xf>
    <xf numFmtId="49" fontId="21" fillId="2" borderId="8" xfId="1" applyNumberFormat="1" applyFont="1" applyFill="1" applyBorder="1" applyAlignment="1">
      <alignment horizontal="left" vertical="center"/>
      <protection locked="0"/>
    </xf>
    <xf numFmtId="49" fontId="21" fillId="2" borderId="15" xfId="1" applyNumberFormat="1" applyFont="1" applyFill="1" applyBorder="1" applyAlignment="1">
      <alignment horizontal="left" vertical="center"/>
      <protection locked="0"/>
    </xf>
    <xf numFmtId="49" fontId="21" fillId="17" borderId="14" xfId="1" applyNumberFormat="1" applyFont="1" applyFill="1" applyBorder="1" applyAlignment="1" applyProtection="1">
      <alignment horizontal="center" vertical="center"/>
    </xf>
    <xf numFmtId="49" fontId="21" fillId="17" borderId="8" xfId="1" applyNumberFormat="1" applyFont="1" applyFill="1" applyBorder="1" applyAlignment="1" applyProtection="1">
      <alignment horizontal="center" vertical="center"/>
    </xf>
    <xf numFmtId="43" fontId="21" fillId="2" borderId="17" xfId="1" applyFont="1" applyFill="1" applyBorder="1" applyAlignment="1">
      <alignment horizontal="left" vertical="center" wrapText="1"/>
      <protection locked="0"/>
    </xf>
    <xf numFmtId="43" fontId="21" fillId="2" borderId="40" xfId="1" applyFont="1" applyFill="1" applyBorder="1" applyAlignment="1">
      <alignment horizontal="left" vertical="center" wrapText="1"/>
      <protection locked="0"/>
    </xf>
    <xf numFmtId="43" fontId="21" fillId="2" borderId="14" xfId="1" applyFont="1" applyFill="1" applyBorder="1" applyAlignment="1">
      <alignment horizontal="left" vertical="center"/>
      <protection locked="0"/>
    </xf>
    <xf numFmtId="43" fontId="21" fillId="2" borderId="8" xfId="1" applyFont="1" applyFill="1" applyBorder="1" applyAlignment="1">
      <alignment horizontal="left" vertical="center"/>
      <protection locked="0"/>
    </xf>
    <xf numFmtId="43" fontId="21" fillId="2" borderId="9" xfId="1" applyFont="1" applyFill="1" applyBorder="1" applyAlignment="1">
      <alignment horizontal="left" vertical="center"/>
      <protection locked="0"/>
    </xf>
    <xf numFmtId="49" fontId="91" fillId="0" borderId="14" xfId="1" applyNumberFormat="1" applyFont="1" applyBorder="1" applyAlignment="1">
      <alignment horizontal="center" vertical="center"/>
      <protection locked="0"/>
    </xf>
    <xf numFmtId="49" fontId="91" fillId="0" borderId="15" xfId="1" applyNumberFormat="1" applyFont="1" applyBorder="1" applyAlignment="1">
      <alignment horizontal="center" vertical="center"/>
      <protection locked="0"/>
    </xf>
    <xf numFmtId="49" fontId="21" fillId="0" borderId="14" xfId="1" applyNumberFormat="1" applyFont="1" applyBorder="1" applyAlignment="1">
      <alignment horizontal="center" vertical="center"/>
      <protection locked="0"/>
    </xf>
    <xf numFmtId="49" fontId="21" fillId="0" borderId="9" xfId="1" applyNumberFormat="1" applyFont="1" applyBorder="1" applyAlignment="1">
      <alignment horizontal="center" vertical="center"/>
      <protection locked="0"/>
    </xf>
    <xf numFmtId="1" fontId="21" fillId="3" borderId="14" xfId="1" applyNumberFormat="1" applyFont="1" applyFill="1" applyBorder="1" applyAlignment="1">
      <alignment horizontal="left" vertical="center"/>
      <protection locked="0"/>
    </xf>
    <xf numFmtId="1" fontId="21" fillId="3" borderId="8" xfId="1" applyNumberFormat="1" applyFont="1" applyFill="1" applyBorder="1" applyAlignment="1">
      <alignment horizontal="left" vertical="center"/>
      <protection locked="0"/>
    </xf>
    <xf numFmtId="1" fontId="21" fillId="3" borderId="15" xfId="1" applyNumberFormat="1" applyFont="1" applyFill="1" applyBorder="1" applyAlignment="1">
      <alignment horizontal="left" vertical="center"/>
      <protection locked="0"/>
    </xf>
    <xf numFmtId="43" fontId="21" fillId="2" borderId="14" xfId="1" quotePrefix="1" applyFont="1" applyFill="1" applyBorder="1" applyAlignment="1">
      <alignment horizontal="left" vertical="center"/>
      <protection locked="0"/>
    </xf>
    <xf numFmtId="43" fontId="21" fillId="2" borderId="8" xfId="1" quotePrefix="1" applyFont="1" applyFill="1" applyBorder="1" applyAlignment="1">
      <alignment horizontal="left" vertical="center"/>
      <protection locked="0"/>
    </xf>
    <xf numFmtId="43" fontId="21" fillId="2" borderId="9" xfId="1" quotePrefix="1" applyFont="1" applyFill="1" applyBorder="1" applyAlignment="1">
      <alignment horizontal="left" vertical="center"/>
      <protection locked="0"/>
    </xf>
    <xf numFmtId="165" fontId="89" fillId="2" borderId="24" xfId="1" applyNumberFormat="1" applyFont="1" applyFill="1" applyBorder="1" applyAlignment="1" applyProtection="1">
      <alignment horizontal="center" vertical="top"/>
    </xf>
    <xf numFmtId="165" fontId="89" fillId="2" borderId="25" xfId="1" applyNumberFormat="1" applyFont="1" applyFill="1" applyBorder="1" applyAlignment="1" applyProtection="1">
      <alignment horizontal="center" vertical="top"/>
    </xf>
    <xf numFmtId="165" fontId="89" fillId="2" borderId="26" xfId="1" applyNumberFormat="1" applyFont="1" applyFill="1" applyBorder="1" applyAlignment="1" applyProtection="1">
      <alignment horizontal="center" vertical="top"/>
    </xf>
    <xf numFmtId="43" fontId="21" fillId="3" borderId="14" xfId="1" applyFont="1" applyFill="1" applyBorder="1" applyAlignment="1">
      <alignment horizontal="center" vertical="center" wrapText="1"/>
      <protection locked="0"/>
    </xf>
    <xf numFmtId="43" fontId="21" fillId="3" borderId="15" xfId="1" applyFont="1" applyFill="1" applyBorder="1" applyAlignment="1">
      <alignment horizontal="center" vertical="center" wrapText="1"/>
      <protection locked="0"/>
    </xf>
    <xf numFmtId="167" fontId="65" fillId="3" borderId="14" xfId="1" applyNumberFormat="1" applyFont="1" applyFill="1" applyBorder="1" applyAlignment="1">
      <alignment horizontal="center" vertical="center"/>
      <protection locked="0"/>
    </xf>
    <xf numFmtId="167" fontId="65" fillId="3" borderId="9" xfId="1" applyNumberFormat="1" applyFont="1" applyFill="1" applyBorder="1" applyAlignment="1">
      <alignment horizontal="center" vertical="center"/>
      <protection locked="0"/>
    </xf>
    <xf numFmtId="49" fontId="21" fillId="15" borderId="14" xfId="1" applyNumberFormat="1" applyFont="1" applyFill="1" applyBorder="1" applyAlignment="1">
      <alignment horizontal="left" vertical="center"/>
      <protection locked="0"/>
    </xf>
    <xf numFmtId="49" fontId="21" fillId="15" borderId="8" xfId="1" applyNumberFormat="1" applyFont="1" applyFill="1" applyBorder="1" applyAlignment="1">
      <alignment horizontal="left" vertical="center"/>
      <protection locked="0"/>
    </xf>
    <xf numFmtId="49" fontId="21" fillId="15" borderId="9" xfId="1" applyNumberFormat="1" applyFont="1" applyFill="1" applyBorder="1" applyAlignment="1">
      <alignment horizontal="left" vertical="center"/>
      <protection locked="0"/>
    </xf>
    <xf numFmtId="49" fontId="21" fillId="2" borderId="8" xfId="1" quotePrefix="1" applyNumberFormat="1" applyFont="1" applyFill="1" applyBorder="1" applyAlignment="1">
      <alignment horizontal="left" vertical="center"/>
      <protection locked="0"/>
    </xf>
    <xf numFmtId="49" fontId="21" fillId="2" borderId="15" xfId="1" quotePrefix="1" applyNumberFormat="1" applyFont="1" applyFill="1" applyBorder="1" applyAlignment="1">
      <alignment horizontal="left" vertical="center"/>
      <protection locked="0"/>
    </xf>
    <xf numFmtId="43" fontId="21" fillId="0" borderId="14" xfId="1" applyFont="1" applyBorder="1" applyAlignment="1">
      <alignment horizontal="left" vertical="center" wrapText="1"/>
      <protection locked="0"/>
    </xf>
    <xf numFmtId="43" fontId="21" fillId="0" borderId="8" xfId="1" applyFont="1" applyBorder="1" applyAlignment="1">
      <alignment horizontal="left" vertical="center" wrapText="1"/>
      <protection locked="0"/>
    </xf>
    <xf numFmtId="43" fontId="21" fillId="0" borderId="9" xfId="1" applyFont="1" applyBorder="1" applyAlignment="1">
      <alignment horizontal="left" vertical="center" wrapText="1"/>
      <protection locked="0"/>
    </xf>
    <xf numFmtId="49" fontId="21" fillId="2" borderId="14" xfId="1" applyNumberFormat="1" applyFont="1" applyFill="1" applyBorder="1" applyAlignment="1">
      <alignment horizontal="left" vertical="center"/>
      <protection locked="0"/>
    </xf>
    <xf numFmtId="177" fontId="21" fillId="2" borderId="14" xfId="1" applyNumberFormat="1" applyFont="1" applyFill="1" applyBorder="1" applyAlignment="1">
      <alignment horizontal="center" vertical="center"/>
      <protection locked="0"/>
    </xf>
    <xf numFmtId="177" fontId="21" fillId="2" borderId="9" xfId="1" applyNumberFormat="1" applyFont="1" applyFill="1" applyBorder="1" applyAlignment="1">
      <alignment horizontal="center" vertical="center"/>
      <protection locked="0"/>
    </xf>
    <xf numFmtId="43" fontId="42" fillId="3" borderId="8" xfId="1" applyFont="1" applyFill="1" applyBorder="1" applyAlignment="1">
      <alignment horizontal="center" vertical="center"/>
      <protection locked="0"/>
    </xf>
    <xf numFmtId="43" fontId="21" fillId="2" borderId="8" xfId="1" applyFont="1" applyFill="1" applyBorder="1" applyAlignment="1">
      <alignment horizontal="center" vertical="center"/>
      <protection locked="0"/>
    </xf>
    <xf numFmtId="177" fontId="21" fillId="2" borderId="8" xfId="1" applyNumberFormat="1" applyFont="1" applyFill="1" applyBorder="1" applyAlignment="1">
      <alignment horizontal="center" vertical="center"/>
      <protection locked="0"/>
    </xf>
    <xf numFmtId="43" fontId="99" fillId="11" borderId="7" xfId="1" applyFont="1" applyFill="1" applyBorder="1" applyAlignment="1" applyProtection="1">
      <alignment horizontal="center" vertical="center"/>
    </xf>
    <xf numFmtId="43" fontId="99" fillId="11" borderId="8" xfId="1" applyFont="1" applyFill="1" applyBorder="1" applyAlignment="1" applyProtection="1">
      <alignment horizontal="center" vertical="center"/>
    </xf>
    <xf numFmtId="43" fontId="99" fillId="11" borderId="9" xfId="1" applyFont="1" applyFill="1" applyBorder="1" applyAlignment="1" applyProtection="1">
      <alignment horizontal="center" vertical="center"/>
    </xf>
    <xf numFmtId="43" fontId="41" fillId="3" borderId="14" xfId="1" applyFont="1" applyFill="1" applyBorder="1" applyAlignment="1">
      <alignment horizontal="left" vertical="center"/>
      <protection locked="0"/>
    </xf>
    <xf numFmtId="43" fontId="41" fillId="3" borderId="8" xfId="1" applyFont="1" applyFill="1" applyBorder="1" applyAlignment="1">
      <alignment horizontal="left" vertical="center"/>
      <protection locked="0"/>
    </xf>
    <xf numFmtId="0" fontId="91" fillId="0" borderId="29" xfId="21" applyFont="1" applyBorder="1" applyAlignment="1">
      <alignment horizontal="justify" vertical="top" wrapText="1"/>
    </xf>
    <xf numFmtId="0" fontId="91" fillId="0" borderId="11" xfId="21" applyFont="1" applyBorder="1" applyAlignment="1">
      <alignment horizontal="justify" vertical="top" wrapText="1"/>
    </xf>
    <xf numFmtId="0" fontId="91" fillId="0" borderId="12" xfId="21" applyFont="1" applyBorder="1" applyAlignment="1">
      <alignment horizontal="justify" vertical="top" wrapText="1"/>
    </xf>
    <xf numFmtId="0" fontId="91" fillId="0" borderId="31" xfId="21" applyFont="1" applyBorder="1" applyAlignment="1">
      <alignment horizontal="justify" vertical="top" wrapText="1"/>
    </xf>
    <xf numFmtId="0" fontId="91" fillId="0" borderId="5" xfId="21" applyFont="1" applyBorder="1" applyAlignment="1">
      <alignment horizontal="justify" vertical="top" wrapText="1"/>
    </xf>
    <xf numFmtId="0" fontId="91" fillId="0" borderId="6" xfId="21" applyFont="1" applyBorder="1" applyAlignment="1">
      <alignment horizontal="justify" vertical="top" wrapText="1"/>
    </xf>
    <xf numFmtId="43" fontId="21" fillId="3" borderId="8" xfId="1" applyFont="1" applyFill="1" applyBorder="1" applyAlignment="1">
      <alignment horizontal="left" vertical="center"/>
      <protection locked="0"/>
    </xf>
    <xf numFmtId="43" fontId="21" fillId="2" borderId="5" xfId="1" applyFont="1" applyFill="1" applyBorder="1" applyAlignment="1" applyProtection="1">
      <alignment horizontal="center"/>
    </xf>
    <xf numFmtId="43" fontId="21" fillId="2" borderId="6" xfId="1" applyFont="1" applyFill="1" applyBorder="1" applyAlignment="1" applyProtection="1">
      <alignment horizontal="center"/>
    </xf>
    <xf numFmtId="43" fontId="21" fillId="25" borderId="52" xfId="1" applyFont="1" applyFill="1" applyBorder="1" applyAlignment="1" applyProtection="1">
      <alignment horizontal="center" vertical="top"/>
    </xf>
    <xf numFmtId="43" fontId="21" fillId="25" borderId="53" xfId="1" applyFont="1" applyFill="1" applyBorder="1" applyAlignment="1" applyProtection="1">
      <alignment horizontal="center" vertical="top"/>
    </xf>
    <xf numFmtId="177" fontId="21" fillId="2" borderId="0" xfId="1" applyNumberFormat="1" applyFont="1" applyFill="1" applyAlignment="1">
      <alignment horizontal="center"/>
      <protection locked="0"/>
    </xf>
    <xf numFmtId="177" fontId="21" fillId="2" borderId="0" xfId="1" applyNumberFormat="1" applyFont="1" applyFill="1" applyBorder="1" applyAlignment="1">
      <alignment horizontal="center" vertical="center"/>
      <protection locked="0"/>
    </xf>
    <xf numFmtId="43" fontId="21" fillId="2" borderId="18" xfId="1" applyFont="1" applyFill="1" applyBorder="1" applyAlignment="1" applyProtection="1">
      <alignment horizontal="center" vertical="center"/>
    </xf>
    <xf numFmtId="43" fontId="21" fillId="25" borderId="0" xfId="1" applyFont="1" applyFill="1" applyAlignment="1" applyProtection="1">
      <alignment horizontal="center" vertical="center"/>
    </xf>
    <xf numFmtId="43" fontId="21" fillId="25" borderId="4" xfId="1" applyFont="1" applyFill="1" applyBorder="1" applyAlignment="1" applyProtection="1">
      <alignment horizontal="center" vertical="center"/>
    </xf>
    <xf numFmtId="177" fontId="21" fillId="2" borderId="14" xfId="1" applyNumberFormat="1" applyFont="1" applyFill="1" applyBorder="1" applyAlignment="1">
      <alignment horizontal="left" vertical="center"/>
      <protection locked="0"/>
    </xf>
    <xf numFmtId="177" fontId="21" fillId="2" borderId="15" xfId="1" applyNumberFormat="1" applyFont="1" applyFill="1" applyBorder="1" applyAlignment="1">
      <alignment horizontal="left" vertical="center"/>
      <protection locked="0"/>
    </xf>
    <xf numFmtId="180" fontId="42" fillId="2" borderId="14" xfId="1" applyNumberFormat="1" applyFont="1" applyFill="1" applyBorder="1" applyAlignment="1" applyProtection="1">
      <alignment horizontal="right" vertical="center"/>
    </xf>
    <xf numFmtId="180" fontId="42" fillId="2" borderId="15" xfId="1" applyNumberFormat="1" applyFont="1" applyFill="1" applyBorder="1" applyAlignment="1" applyProtection="1">
      <alignment horizontal="right" vertical="center"/>
    </xf>
    <xf numFmtId="165" fontId="21" fillId="3" borderId="14" xfId="1" applyNumberFormat="1" applyFont="1" applyFill="1" applyBorder="1" applyAlignment="1">
      <alignment horizontal="center" vertical="center"/>
      <protection locked="0"/>
    </xf>
    <xf numFmtId="165" fontId="21" fillId="3" borderId="15" xfId="1" applyNumberFormat="1" applyFont="1" applyFill="1" applyBorder="1" applyAlignment="1">
      <alignment horizontal="center" vertical="center"/>
      <protection locked="0"/>
    </xf>
    <xf numFmtId="37" fontId="21" fillId="3" borderId="14" xfId="1" applyNumberFormat="1" applyFont="1" applyFill="1" applyBorder="1" applyAlignment="1" applyProtection="1">
      <alignment horizontal="center" vertical="center"/>
    </xf>
    <xf numFmtId="37" fontId="21" fillId="3" borderId="15" xfId="1" applyNumberFormat="1" applyFont="1" applyFill="1" applyBorder="1" applyAlignment="1" applyProtection="1">
      <alignment horizontal="center" vertical="center"/>
    </xf>
    <xf numFmtId="43" fontId="21" fillId="2" borderId="28" xfId="1" applyFont="1" applyFill="1" applyBorder="1" applyAlignment="1" applyProtection="1">
      <alignment horizontal="center" vertical="center"/>
    </xf>
    <xf numFmtId="165" fontId="92" fillId="3" borderId="14" xfId="1" applyNumberFormat="1" applyFont="1" applyFill="1" applyBorder="1" applyAlignment="1">
      <alignment horizontal="center" vertical="center"/>
      <protection locked="0"/>
    </xf>
    <xf numFmtId="165" fontId="92" fillId="3" borderId="15" xfId="1" applyNumberFormat="1" applyFont="1" applyFill="1" applyBorder="1" applyAlignment="1">
      <alignment horizontal="center" vertical="center"/>
      <protection locked="0"/>
    </xf>
    <xf numFmtId="43" fontId="99" fillId="11" borderId="14" xfId="1" applyFont="1" applyFill="1" applyBorder="1" applyAlignment="1" applyProtection="1">
      <alignment horizontal="center" vertical="center"/>
    </xf>
    <xf numFmtId="43" fontId="99" fillId="11" borderId="15" xfId="1" applyFont="1" applyFill="1" applyBorder="1" applyAlignment="1" applyProtection="1">
      <alignment horizontal="center" vertical="center"/>
    </xf>
    <xf numFmtId="43" fontId="21" fillId="3" borderId="15" xfId="1" applyFont="1" applyFill="1" applyBorder="1" applyAlignment="1">
      <alignment horizontal="left" vertical="center"/>
      <protection locked="0"/>
    </xf>
    <xf numFmtId="0" fontId="100" fillId="11" borderId="14" xfId="0" applyFont="1" applyFill="1" applyBorder="1" applyAlignment="1">
      <alignment horizontal="center" vertical="center"/>
    </xf>
    <xf numFmtId="0" fontId="100" fillId="11" borderId="8" xfId="0" applyFont="1" applyFill="1" applyBorder="1" applyAlignment="1">
      <alignment horizontal="center" vertical="center"/>
    </xf>
    <xf numFmtId="0" fontId="100" fillId="11" borderId="15" xfId="0" applyFont="1" applyFill="1" applyBorder="1" applyAlignment="1">
      <alignment horizontal="center" vertical="center"/>
    </xf>
    <xf numFmtId="0" fontId="8" fillId="25" borderId="14" xfId="0" quotePrefix="1" applyFont="1" applyFill="1" applyBorder="1" applyAlignment="1">
      <alignment horizontal="left" vertical="center"/>
    </xf>
    <xf numFmtId="0" fontId="8" fillId="25" borderId="8" xfId="0" quotePrefix="1" applyFont="1" applyFill="1" applyBorder="1" applyAlignment="1">
      <alignment horizontal="left" vertical="center"/>
    </xf>
    <xf numFmtId="0" fontId="8" fillId="2" borderId="8" xfId="0" quotePrefix="1" applyFont="1" applyFill="1" applyBorder="1" applyAlignment="1" applyProtection="1">
      <alignment horizontal="left" vertical="center"/>
      <protection locked="0"/>
    </xf>
    <xf numFmtId="0" fontId="8" fillId="2" borderId="15" xfId="0" quotePrefix="1" applyFont="1" applyFill="1" applyBorder="1" applyAlignment="1" applyProtection="1">
      <alignment horizontal="left" vertical="center"/>
      <protection locked="0"/>
    </xf>
    <xf numFmtId="177" fontId="8" fillId="2" borderId="8" xfId="0" quotePrefix="1" applyNumberFormat="1" applyFont="1" applyFill="1" applyBorder="1" applyAlignment="1" applyProtection="1">
      <alignment horizontal="left" vertical="center"/>
      <protection locked="0"/>
    </xf>
    <xf numFmtId="177" fontId="8" fillId="2" borderId="15" xfId="0" quotePrefix="1" applyNumberFormat="1" applyFont="1" applyFill="1" applyBorder="1" applyAlignment="1" applyProtection="1">
      <alignment horizontal="left" vertical="center"/>
      <protection locked="0"/>
    </xf>
    <xf numFmtId="0" fontId="87" fillId="25" borderId="14" xfId="0" applyFont="1" applyFill="1" applyBorder="1" applyAlignment="1">
      <alignment horizontal="center" vertical="center"/>
    </xf>
    <xf numFmtId="0" fontId="87" fillId="25" borderId="8" xfId="0" applyFont="1" applyFill="1" applyBorder="1" applyAlignment="1">
      <alignment horizontal="center" vertical="center"/>
    </xf>
    <xf numFmtId="0" fontId="87" fillId="25" borderId="15" xfId="0" applyFont="1" applyFill="1" applyBorder="1" applyAlignment="1">
      <alignment horizontal="center" vertical="center"/>
    </xf>
    <xf numFmtId="3" fontId="87" fillId="2" borderId="14" xfId="0" applyNumberFormat="1" applyFont="1" applyFill="1" applyBorder="1" applyAlignment="1">
      <alignment horizontal="right" vertical="center"/>
    </xf>
    <xf numFmtId="3" fontId="87" fillId="2" borderId="8" xfId="0" applyNumberFormat="1" applyFont="1" applyFill="1" applyBorder="1" applyAlignment="1">
      <alignment horizontal="right" vertical="center"/>
    </xf>
    <xf numFmtId="3" fontId="87" fillId="2" borderId="15" xfId="0" applyNumberFormat="1" applyFont="1" applyFill="1" applyBorder="1" applyAlignment="1">
      <alignment horizontal="right" vertical="center"/>
    </xf>
    <xf numFmtId="9" fontId="85" fillId="2" borderId="14" xfId="0" applyNumberFormat="1" applyFont="1" applyFill="1" applyBorder="1" applyAlignment="1" applyProtection="1">
      <alignment horizontal="center" vertical="center"/>
      <protection locked="0"/>
    </xf>
    <xf numFmtId="9" fontId="85" fillId="2" borderId="15" xfId="0" applyNumberFormat="1" applyFont="1" applyFill="1" applyBorder="1" applyAlignment="1" applyProtection="1">
      <alignment horizontal="center" vertical="center"/>
      <protection locked="0"/>
    </xf>
    <xf numFmtId="37" fontId="87" fillId="3" borderId="14" xfId="0" applyNumberFormat="1" applyFont="1" applyFill="1" applyBorder="1" applyAlignment="1">
      <alignment horizontal="right" vertical="center"/>
    </xf>
    <xf numFmtId="37" fontId="87" fillId="3" borderId="8" xfId="0" applyNumberFormat="1" applyFont="1" applyFill="1" applyBorder="1" applyAlignment="1">
      <alignment horizontal="right" vertical="center"/>
    </xf>
    <xf numFmtId="37" fontId="87" fillId="3" borderId="15" xfId="0" applyNumberFormat="1" applyFont="1" applyFill="1" applyBorder="1" applyAlignment="1">
      <alignment horizontal="right" vertical="center"/>
    </xf>
    <xf numFmtId="3" fontId="98" fillId="3" borderId="0" xfId="0" applyNumberFormat="1" applyFont="1" applyFill="1" applyAlignment="1">
      <alignment horizontal="center" vertical="center"/>
    </xf>
    <xf numFmtId="0" fontId="88" fillId="3" borderId="0" xfId="0" applyFont="1" applyFill="1" applyAlignment="1" applyProtection="1">
      <alignment horizontal="left" vertical="center"/>
      <protection locked="0"/>
    </xf>
    <xf numFmtId="0" fontId="85" fillId="2" borderId="14" xfId="0" applyFont="1" applyFill="1" applyBorder="1" applyAlignment="1">
      <alignment horizontal="left" vertical="center"/>
    </xf>
    <xf numFmtId="0" fontId="85" fillId="2" borderId="8" xfId="0" applyFont="1" applyFill="1" applyBorder="1" applyAlignment="1">
      <alignment horizontal="left" vertical="center"/>
    </xf>
    <xf numFmtId="0" fontId="85" fillId="2" borderId="15" xfId="0" applyFont="1" applyFill="1" applyBorder="1" applyAlignment="1">
      <alignment horizontal="left" vertical="center"/>
    </xf>
    <xf numFmtId="0" fontId="85" fillId="2" borderId="14" xfId="0" applyFont="1" applyFill="1" applyBorder="1" applyAlignment="1">
      <alignment horizontal="center" vertical="center"/>
    </xf>
    <xf numFmtId="0" fontId="85" fillId="2" borderId="8" xfId="0" applyFont="1" applyFill="1" applyBorder="1" applyAlignment="1">
      <alignment horizontal="center" vertical="center"/>
    </xf>
    <xf numFmtId="0" fontId="85" fillId="2" borderId="15" xfId="0" applyFont="1" applyFill="1" applyBorder="1" applyAlignment="1">
      <alignment horizontal="center" vertical="center"/>
    </xf>
    <xf numFmtId="3" fontId="85" fillId="2" borderId="14" xfId="0" applyNumberFormat="1" applyFont="1" applyFill="1" applyBorder="1" applyAlignment="1">
      <alignment horizontal="right" vertical="center"/>
    </xf>
    <xf numFmtId="3" fontId="85" fillId="2" borderId="8" xfId="0" applyNumberFormat="1" applyFont="1" applyFill="1" applyBorder="1" applyAlignment="1">
      <alignment horizontal="right" vertical="center"/>
    </xf>
    <xf numFmtId="3" fontId="85" fillId="2" borderId="15" xfId="0" applyNumberFormat="1" applyFont="1" applyFill="1" applyBorder="1" applyAlignment="1">
      <alignment horizontal="right" vertical="center"/>
    </xf>
    <xf numFmtId="37" fontId="85" fillId="3" borderId="14" xfId="0" applyNumberFormat="1" applyFont="1" applyFill="1" applyBorder="1" applyAlignment="1">
      <alignment horizontal="right" vertical="center"/>
    </xf>
    <xf numFmtId="37" fontId="85" fillId="3" borderId="8" xfId="0" applyNumberFormat="1" applyFont="1" applyFill="1" applyBorder="1" applyAlignment="1">
      <alignment horizontal="right" vertical="center"/>
    </xf>
    <xf numFmtId="37" fontId="85" fillId="3" borderId="15" xfId="0" applyNumberFormat="1" applyFont="1" applyFill="1" applyBorder="1" applyAlignment="1">
      <alignment horizontal="right" vertical="center"/>
    </xf>
    <xf numFmtId="0" fontId="87" fillId="25" borderId="14" xfId="0" applyFont="1" applyFill="1" applyBorder="1" applyAlignment="1" applyProtection="1">
      <alignment horizontal="center" vertical="center"/>
      <protection locked="0"/>
    </xf>
    <xf numFmtId="0" fontId="87" fillId="25" borderId="8" xfId="0" applyFont="1" applyFill="1" applyBorder="1" applyAlignment="1" applyProtection="1">
      <alignment horizontal="center" vertical="center"/>
      <protection locked="0"/>
    </xf>
    <xf numFmtId="0" fontId="87" fillId="25" borderId="15" xfId="0" applyFont="1" applyFill="1" applyBorder="1" applyAlignment="1" applyProtection="1">
      <alignment horizontal="center" vertical="center"/>
      <protection locked="0"/>
    </xf>
    <xf numFmtId="3" fontId="87" fillId="3" borderId="14" xfId="0" applyNumberFormat="1" applyFont="1" applyFill="1" applyBorder="1" applyAlignment="1" applyProtection="1">
      <alignment horizontal="right" vertical="center"/>
      <protection locked="0"/>
    </xf>
    <xf numFmtId="3" fontId="87" fillId="3" borderId="15" xfId="0" applyNumberFormat="1" applyFont="1" applyFill="1" applyBorder="1" applyAlignment="1" applyProtection="1">
      <alignment horizontal="right" vertical="center"/>
      <protection locked="0"/>
    </xf>
    <xf numFmtId="3" fontId="87" fillId="3" borderId="8" xfId="0" applyNumberFormat="1" applyFont="1" applyFill="1" applyBorder="1" applyAlignment="1" applyProtection="1">
      <alignment horizontal="right" vertical="center"/>
      <protection locked="0"/>
    </xf>
    <xf numFmtId="0" fontId="16" fillId="20" borderId="35" xfId="0" applyFont="1" applyFill="1" applyBorder="1" applyAlignment="1">
      <alignment horizontal="center" vertical="center"/>
    </xf>
    <xf numFmtId="0" fontId="16" fillId="20" borderId="36" xfId="0" applyFont="1" applyFill="1" applyBorder="1" applyAlignment="1">
      <alignment horizontal="center" vertical="center"/>
    </xf>
    <xf numFmtId="0" fontId="16" fillId="20" borderId="29" xfId="0" applyFont="1" applyFill="1" applyBorder="1" applyAlignment="1">
      <alignment horizontal="center" vertical="center"/>
    </xf>
    <xf numFmtId="0" fontId="16" fillId="20" borderId="11" xfId="0" applyFont="1" applyFill="1" applyBorder="1" applyAlignment="1">
      <alignment horizontal="center" vertical="center"/>
    </xf>
    <xf numFmtId="0" fontId="16" fillId="20" borderId="27" xfId="0" applyFont="1" applyFill="1" applyBorder="1" applyAlignment="1">
      <alignment horizontal="center" vertical="center"/>
    </xf>
    <xf numFmtId="0" fontId="16" fillId="20" borderId="31" xfId="0" applyFont="1" applyFill="1" applyBorder="1" applyAlignment="1">
      <alignment horizontal="center" vertical="center"/>
    </xf>
    <xf numFmtId="0" fontId="16" fillId="20" borderId="5" xfId="0" applyFont="1" applyFill="1" applyBorder="1" applyAlignment="1">
      <alignment horizontal="center" vertical="center"/>
    </xf>
    <xf numFmtId="0" fontId="16" fillId="20" borderId="30" xfId="0" applyFont="1" applyFill="1" applyBorder="1" applyAlignment="1">
      <alignment horizontal="center" vertical="center"/>
    </xf>
    <xf numFmtId="41" fontId="16" fillId="20" borderId="29" xfId="0" applyNumberFormat="1" applyFont="1" applyFill="1" applyBorder="1" applyAlignment="1">
      <alignment horizontal="center" vertical="center" wrapText="1"/>
    </xf>
    <xf numFmtId="41" fontId="16" fillId="20" borderId="27" xfId="0" applyNumberFormat="1" applyFont="1" applyFill="1" applyBorder="1" applyAlignment="1">
      <alignment horizontal="center" vertical="center" wrapText="1"/>
    </xf>
    <xf numFmtId="41" fontId="16" fillId="20" borderId="31" xfId="0" applyNumberFormat="1" applyFont="1" applyFill="1" applyBorder="1" applyAlignment="1">
      <alignment horizontal="center" vertical="center" wrapText="1"/>
    </xf>
    <xf numFmtId="41" fontId="16" fillId="20" borderId="30" xfId="0" applyNumberFormat="1" applyFont="1" applyFill="1" applyBorder="1" applyAlignment="1">
      <alignment horizontal="center" vertical="center" wrapText="1"/>
    </xf>
    <xf numFmtId="41" fontId="16" fillId="20" borderId="29" xfId="0" applyNumberFormat="1" applyFont="1" applyFill="1" applyBorder="1" applyAlignment="1">
      <alignment horizontal="center" vertical="center"/>
    </xf>
    <xf numFmtId="41" fontId="16" fillId="20" borderId="11" xfId="0" applyNumberFormat="1" applyFont="1" applyFill="1" applyBorder="1" applyAlignment="1">
      <alignment horizontal="center" vertical="center"/>
    </xf>
    <xf numFmtId="41" fontId="16" fillId="20" borderId="27" xfId="0" applyNumberFormat="1" applyFont="1" applyFill="1" applyBorder="1" applyAlignment="1">
      <alignment horizontal="center" vertical="center"/>
    </xf>
    <xf numFmtId="41" fontId="16" fillId="20" borderId="31" xfId="0" applyNumberFormat="1" applyFont="1" applyFill="1" applyBorder="1" applyAlignment="1">
      <alignment horizontal="center" vertical="center"/>
    </xf>
    <xf numFmtId="41" fontId="16" fillId="20" borderId="5" xfId="0" applyNumberFormat="1" applyFont="1" applyFill="1" applyBorder="1" applyAlignment="1">
      <alignment horizontal="center" vertical="center"/>
    </xf>
    <xf numFmtId="41" fontId="16" fillId="20" borderId="30" xfId="0" applyNumberFormat="1" applyFont="1" applyFill="1" applyBorder="1" applyAlignment="1">
      <alignment horizontal="center" vertical="center"/>
    </xf>
    <xf numFmtId="0" fontId="85" fillId="2" borderId="17" xfId="0" applyFont="1" applyFill="1" applyBorder="1" applyAlignment="1" applyProtection="1">
      <alignment horizontal="center" vertical="center"/>
      <protection locked="0"/>
    </xf>
    <xf numFmtId="0" fontId="85" fillId="2" borderId="17" xfId="0" applyFont="1" applyFill="1" applyBorder="1" applyAlignment="1" applyProtection="1">
      <alignment horizontal="left" vertical="center"/>
      <protection locked="0"/>
    </xf>
    <xf numFmtId="3" fontId="85" fillId="2" borderId="14" xfId="0" applyNumberFormat="1" applyFont="1" applyFill="1" applyBorder="1" applyAlignment="1" applyProtection="1">
      <alignment horizontal="right" vertical="center"/>
      <protection locked="0"/>
    </xf>
    <xf numFmtId="3" fontId="85" fillId="2" borderId="15" xfId="0" applyNumberFormat="1" applyFont="1" applyFill="1" applyBorder="1" applyAlignment="1" applyProtection="1">
      <alignment horizontal="right" vertical="center"/>
      <protection locked="0"/>
    </xf>
    <xf numFmtId="3" fontId="85" fillId="2" borderId="8" xfId="0" applyNumberFormat="1" applyFont="1" applyFill="1" applyBorder="1" applyAlignment="1" applyProtection="1">
      <alignment horizontal="right" vertical="center"/>
      <protection locked="0"/>
    </xf>
    <xf numFmtId="3" fontId="85" fillId="3" borderId="14" xfId="0" applyNumberFormat="1" applyFont="1" applyFill="1" applyBorder="1" applyAlignment="1" applyProtection="1">
      <alignment horizontal="right" vertical="center"/>
      <protection locked="0"/>
    </xf>
    <xf numFmtId="3" fontId="85" fillId="3" borderId="8" xfId="0" applyNumberFormat="1" applyFont="1" applyFill="1" applyBorder="1" applyAlignment="1" applyProtection="1">
      <alignment horizontal="right" vertical="center"/>
      <protection locked="0"/>
    </xf>
    <xf numFmtId="3" fontId="85" fillId="3" borderId="15" xfId="0" applyNumberFormat="1" applyFont="1" applyFill="1" applyBorder="1" applyAlignment="1" applyProtection="1">
      <alignment horizontal="right" vertical="center"/>
      <protection locked="0"/>
    </xf>
    <xf numFmtId="0" fontId="16" fillId="25" borderId="17" xfId="0" applyFont="1" applyFill="1" applyBorder="1" applyAlignment="1" applyProtection="1">
      <alignment horizontal="center" vertical="center"/>
      <protection locked="0"/>
    </xf>
    <xf numFmtId="0" fontId="16" fillId="25" borderId="17" xfId="0" applyFont="1" applyFill="1" applyBorder="1" applyAlignment="1" applyProtection="1">
      <alignment horizontal="center" vertical="center" wrapText="1"/>
      <protection locked="0"/>
    </xf>
    <xf numFmtId="0" fontId="16" fillId="25" borderId="36" xfId="0" applyFont="1" applyFill="1" applyBorder="1" applyAlignment="1" applyProtection="1">
      <alignment horizontal="center" vertical="center"/>
      <protection locked="0"/>
    </xf>
    <xf numFmtId="0" fontId="16" fillId="25" borderId="35" xfId="0" applyFont="1" applyFill="1" applyBorder="1" applyAlignment="1" applyProtection="1">
      <alignment horizontal="center" vertical="center"/>
      <protection locked="0"/>
    </xf>
    <xf numFmtId="0" fontId="85" fillId="3" borderId="14" xfId="0" applyFont="1" applyFill="1" applyBorder="1" applyAlignment="1" applyProtection="1">
      <alignment horizontal="left" vertical="center"/>
      <protection locked="0"/>
    </xf>
    <xf numFmtId="0" fontId="85" fillId="3" borderId="8" xfId="0" applyFont="1" applyFill="1" applyBorder="1" applyAlignment="1" applyProtection="1">
      <alignment horizontal="left" vertical="center"/>
      <protection locked="0"/>
    </xf>
    <xf numFmtId="0" fontId="85" fillId="3" borderId="15" xfId="0" applyFont="1" applyFill="1" applyBorder="1" applyAlignment="1" applyProtection="1">
      <alignment horizontal="left" vertical="center"/>
      <protection locked="0"/>
    </xf>
    <xf numFmtId="0" fontId="85" fillId="2" borderId="14" xfId="0" applyFont="1" applyFill="1" applyBorder="1" applyAlignment="1" applyProtection="1">
      <alignment horizontal="center" vertical="center"/>
      <protection locked="0"/>
    </xf>
    <xf numFmtId="0" fontId="85" fillId="2" borderId="8" xfId="0" applyFont="1" applyFill="1" applyBorder="1" applyAlignment="1" applyProtection="1">
      <alignment horizontal="center" vertical="center"/>
      <protection locked="0"/>
    </xf>
    <xf numFmtId="0" fontId="85" fillId="2" borderId="15" xfId="0" applyFont="1" applyFill="1" applyBorder="1" applyAlignment="1" applyProtection="1">
      <alignment horizontal="center" vertical="center"/>
      <protection locked="0"/>
    </xf>
    <xf numFmtId="3" fontId="85" fillId="3" borderId="29" xfId="0" applyNumberFormat="1" applyFont="1" applyFill="1" applyBorder="1" applyAlignment="1" applyProtection="1">
      <alignment horizontal="right" vertical="center"/>
      <protection locked="0"/>
    </xf>
    <xf numFmtId="3" fontId="85" fillId="3" borderId="11" xfId="0" applyNumberFormat="1" applyFont="1" applyFill="1" applyBorder="1" applyAlignment="1" applyProtection="1">
      <alignment horizontal="right" vertical="center"/>
      <protection locked="0"/>
    </xf>
    <xf numFmtId="3" fontId="86" fillId="3" borderId="17" xfId="0" applyNumberFormat="1" applyFont="1" applyFill="1" applyBorder="1" applyAlignment="1" applyProtection="1">
      <alignment horizontal="center" vertical="center" wrapText="1"/>
      <protection locked="0"/>
    </xf>
    <xf numFmtId="0" fontId="86" fillId="2" borderId="17" xfId="0" applyFont="1" applyFill="1" applyBorder="1" applyAlignment="1" applyProtection="1">
      <alignment horizontal="left" vertical="top" wrapText="1"/>
      <protection locked="0"/>
    </xf>
    <xf numFmtId="0" fontId="86" fillId="2" borderId="14" xfId="0" applyFont="1" applyFill="1" applyBorder="1" applyAlignment="1" applyProtection="1">
      <alignment horizontal="left" vertical="top" wrapText="1"/>
      <protection locked="0"/>
    </xf>
    <xf numFmtId="3" fontId="87" fillId="2" borderId="14" xfId="0" applyNumberFormat="1" applyFont="1" applyFill="1" applyBorder="1" applyAlignment="1" applyProtection="1">
      <alignment horizontal="right" vertical="center"/>
      <protection locked="0"/>
    </xf>
    <xf numFmtId="3" fontId="87" fillId="2" borderId="15" xfId="0" applyNumberFormat="1" applyFont="1" applyFill="1" applyBorder="1" applyAlignment="1" applyProtection="1">
      <alignment horizontal="right" vertical="center"/>
      <protection locked="0"/>
    </xf>
    <xf numFmtId="3" fontId="87" fillId="3" borderId="17" xfId="0" applyNumberFormat="1" applyFont="1" applyFill="1" applyBorder="1" applyAlignment="1" applyProtection="1">
      <alignment horizontal="right" vertical="center"/>
      <protection locked="0"/>
    </xf>
    <xf numFmtId="0" fontId="86" fillId="2" borderId="14" xfId="0" applyFont="1" applyFill="1" applyBorder="1" applyAlignment="1" applyProtection="1">
      <alignment horizontal="center" vertical="center" wrapText="1"/>
      <protection locked="0"/>
    </xf>
    <xf numFmtId="0" fontId="86" fillId="2" borderId="8" xfId="0" applyFont="1" applyFill="1" applyBorder="1" applyAlignment="1" applyProtection="1">
      <alignment horizontal="center" vertical="center" wrapText="1"/>
      <protection locked="0"/>
    </xf>
    <xf numFmtId="0" fontId="86" fillId="2" borderId="9" xfId="0" applyFont="1" applyFill="1" applyBorder="1" applyAlignment="1" applyProtection="1">
      <alignment horizontal="center" vertical="center" wrapText="1"/>
      <protection locked="0"/>
    </xf>
    <xf numFmtId="0" fontId="100" fillId="11" borderId="21" xfId="0" applyFont="1" applyFill="1" applyBorder="1" applyAlignment="1">
      <alignment horizontal="center" vertical="center"/>
    </xf>
    <xf numFmtId="0" fontId="100" fillId="11" borderId="22" xfId="0" applyFont="1" applyFill="1" applyBorder="1" applyAlignment="1">
      <alignment horizontal="center" vertical="center"/>
    </xf>
    <xf numFmtId="0" fontId="100" fillId="11" borderId="23" xfId="0" applyFont="1" applyFill="1" applyBorder="1" applyAlignment="1">
      <alignment horizontal="center" vertical="center"/>
    </xf>
    <xf numFmtId="0" fontId="16" fillId="25" borderId="29" xfId="0" applyFont="1" applyFill="1" applyBorder="1" applyAlignment="1" applyProtection="1">
      <alignment horizontal="center" vertical="center"/>
      <protection locked="0"/>
    </xf>
    <xf numFmtId="0" fontId="16" fillId="25" borderId="11" xfId="0" applyFont="1" applyFill="1" applyBorder="1" applyAlignment="1" applyProtection="1">
      <alignment horizontal="center" vertical="center"/>
      <protection locked="0"/>
    </xf>
    <xf numFmtId="0" fontId="16" fillId="25" borderId="31" xfId="0" applyFont="1" applyFill="1" applyBorder="1" applyAlignment="1" applyProtection="1">
      <alignment horizontal="center" vertical="center"/>
      <protection locked="0"/>
    </xf>
    <xf numFmtId="0" fontId="16" fillId="25" borderId="5" xfId="0" applyFont="1" applyFill="1" applyBorder="1" applyAlignment="1" applyProtection="1">
      <alignment horizontal="center" vertical="center"/>
      <protection locked="0"/>
    </xf>
    <xf numFmtId="0" fontId="16" fillId="25" borderId="14" xfId="0" applyFont="1" applyFill="1" applyBorder="1" applyAlignment="1" applyProtection="1">
      <alignment horizontal="center" vertical="center"/>
      <protection locked="0"/>
    </xf>
    <xf numFmtId="0" fontId="16" fillId="25" borderId="36" xfId="0" applyFont="1" applyFill="1" applyBorder="1" applyAlignment="1" applyProtection="1">
      <alignment horizontal="center" vertical="center" wrapText="1"/>
      <protection locked="0"/>
    </xf>
    <xf numFmtId="0" fontId="100" fillId="17" borderId="48" xfId="0" applyFont="1" applyFill="1" applyBorder="1" applyAlignment="1">
      <alignment horizontal="center" vertical="center"/>
    </xf>
    <xf numFmtId="0" fontId="100" fillId="17" borderId="50" xfId="0" applyFont="1" applyFill="1" applyBorder="1" applyAlignment="1">
      <alignment horizontal="center" vertical="center"/>
    </xf>
    <xf numFmtId="0" fontId="100" fillId="17" borderId="51" xfId="0" applyFont="1" applyFill="1" applyBorder="1" applyAlignment="1">
      <alignment horizontal="center" vertical="center"/>
    </xf>
    <xf numFmtId="0" fontId="8" fillId="17" borderId="39" xfId="0" applyFont="1" applyFill="1" applyBorder="1" applyAlignment="1" applyProtection="1">
      <alignment horizontal="left" vertical="center" wrapText="1"/>
      <protection locked="0"/>
    </xf>
    <xf numFmtId="0" fontId="0" fillId="17" borderId="39" xfId="0" applyFill="1" applyBorder="1" applyAlignment="1" applyProtection="1">
      <alignment horizontal="left" vertical="center" wrapText="1"/>
      <protection locked="0"/>
    </xf>
    <xf numFmtId="0" fontId="8" fillId="17" borderId="17" xfId="0" applyFont="1" applyFill="1" applyBorder="1" applyAlignment="1" applyProtection="1">
      <alignment horizontal="left" vertical="center" wrapText="1"/>
      <protection locked="0"/>
    </xf>
    <xf numFmtId="0" fontId="0" fillId="17" borderId="17" xfId="0" applyFill="1" applyBorder="1" applyAlignment="1" applyProtection="1">
      <alignment horizontal="left" vertical="center" wrapText="1"/>
      <protection locked="0"/>
    </xf>
    <xf numFmtId="0" fontId="8" fillId="2" borderId="0" xfId="0" applyFont="1" applyFill="1" applyAlignment="1">
      <alignment horizontal="center" vertical="center"/>
    </xf>
    <xf numFmtId="0" fontId="8" fillId="2" borderId="29" xfId="0" applyFont="1" applyFill="1" applyBorder="1" applyAlignment="1" applyProtection="1">
      <alignment horizontal="left" vertical="center" wrapText="1"/>
      <protection locked="0"/>
    </xf>
    <xf numFmtId="0" fontId="8" fillId="2" borderId="11" xfId="0" applyFont="1" applyFill="1" applyBorder="1" applyAlignment="1" applyProtection="1">
      <alignment horizontal="left" vertical="center" wrapText="1"/>
      <protection locked="0"/>
    </xf>
    <xf numFmtId="0" fontId="8" fillId="2" borderId="12" xfId="0" applyFont="1" applyFill="1" applyBorder="1" applyAlignment="1" applyProtection="1">
      <alignment horizontal="left" vertical="center" wrapText="1"/>
      <protection locked="0"/>
    </xf>
    <xf numFmtId="0" fontId="8" fillId="2" borderId="16" xfId="0" applyFont="1" applyFill="1" applyBorder="1" applyAlignment="1" applyProtection="1">
      <alignment horizontal="left" vertical="center" wrapText="1"/>
      <protection locked="0"/>
    </xf>
    <xf numFmtId="0" fontId="8" fillId="2" borderId="0" xfId="0" applyFont="1" applyFill="1" applyAlignment="1" applyProtection="1">
      <alignment horizontal="left" vertical="center" wrapText="1"/>
      <protection locked="0"/>
    </xf>
    <xf numFmtId="0" fontId="8" fillId="2" borderId="4" xfId="0" applyFont="1" applyFill="1" applyBorder="1" applyAlignment="1" applyProtection="1">
      <alignment horizontal="left" vertical="center" wrapText="1"/>
      <protection locked="0"/>
    </xf>
    <xf numFmtId="0" fontId="8" fillId="2" borderId="31" xfId="0" applyFont="1" applyFill="1" applyBorder="1" applyAlignment="1" applyProtection="1">
      <alignment horizontal="left" vertical="center" wrapText="1"/>
      <protection locked="0"/>
    </xf>
    <xf numFmtId="0" fontId="8" fillId="2" borderId="5" xfId="0" applyFont="1" applyFill="1" applyBorder="1" applyAlignment="1" applyProtection="1">
      <alignment horizontal="left" vertical="center" wrapText="1"/>
      <protection locked="0"/>
    </xf>
    <xf numFmtId="0" fontId="8" fillId="2" borderId="6" xfId="0" applyFont="1" applyFill="1" applyBorder="1" applyAlignment="1" applyProtection="1">
      <alignment horizontal="left" vertical="center" wrapText="1"/>
      <protection locked="0"/>
    </xf>
    <xf numFmtId="0" fontId="0" fillId="2" borderId="11" xfId="0" applyFill="1" applyBorder="1" applyAlignment="1" applyProtection="1">
      <alignment horizontal="left" vertical="center" wrapText="1"/>
      <protection locked="0"/>
    </xf>
    <xf numFmtId="0" fontId="0" fillId="2" borderId="27" xfId="0" applyFill="1" applyBorder="1" applyAlignment="1" applyProtection="1">
      <alignment horizontal="left" vertical="center" wrapText="1"/>
      <protection locked="0"/>
    </xf>
    <xf numFmtId="0" fontId="0" fillId="2" borderId="16" xfId="0" applyFill="1" applyBorder="1" applyAlignment="1" applyProtection="1">
      <alignment horizontal="left" vertical="center" wrapText="1"/>
      <protection locked="0"/>
    </xf>
    <xf numFmtId="0" fontId="0" fillId="2" borderId="0" xfId="0" applyFill="1" applyAlignment="1" applyProtection="1">
      <alignment horizontal="left" vertical="center" wrapText="1"/>
      <protection locked="0"/>
    </xf>
    <xf numFmtId="0" fontId="0" fillId="2" borderId="28" xfId="0" applyFill="1" applyBorder="1" applyAlignment="1" applyProtection="1">
      <alignment horizontal="left" vertical="center" wrapText="1"/>
      <protection locked="0"/>
    </xf>
    <xf numFmtId="0" fontId="0" fillId="2" borderId="31" xfId="0" applyFill="1" applyBorder="1" applyAlignment="1" applyProtection="1">
      <alignment horizontal="left" vertical="center" wrapText="1"/>
      <protection locked="0"/>
    </xf>
    <xf numFmtId="0" fontId="0" fillId="2" borderId="5" xfId="0" applyFill="1" applyBorder="1" applyAlignment="1" applyProtection="1">
      <alignment horizontal="left" vertical="center" wrapText="1"/>
      <protection locked="0"/>
    </xf>
    <xf numFmtId="0" fontId="0" fillId="2" borderId="30" xfId="0" applyFill="1" applyBorder="1" applyAlignment="1" applyProtection="1">
      <alignment horizontal="left" vertical="center" wrapText="1"/>
      <protection locked="0"/>
    </xf>
    <xf numFmtId="0" fontId="8" fillId="2" borderId="0" xfId="0" applyFont="1" applyFill="1" applyAlignment="1" applyProtection="1">
      <alignment horizontal="center" vertical="center"/>
      <protection locked="0"/>
    </xf>
    <xf numFmtId="49" fontId="0" fillId="2" borderId="0" xfId="0" applyNumberFormat="1" applyFill="1" applyAlignment="1" applyProtection="1">
      <alignment horizontal="left"/>
      <protection locked="0"/>
    </xf>
    <xf numFmtId="0" fontId="96" fillId="11" borderId="21" xfId="0" applyFont="1" applyFill="1" applyBorder="1" applyAlignment="1">
      <alignment horizontal="center" vertical="center"/>
    </xf>
    <xf numFmtId="0" fontId="96" fillId="11" borderId="22" xfId="0" applyFont="1" applyFill="1" applyBorder="1" applyAlignment="1">
      <alignment horizontal="center" vertical="center"/>
    </xf>
    <xf numFmtId="0" fontId="96" fillId="11" borderId="23" xfId="0" applyFont="1" applyFill="1" applyBorder="1" applyAlignment="1">
      <alignment horizontal="center" vertical="center"/>
    </xf>
    <xf numFmtId="0" fontId="18" fillId="11" borderId="17" xfId="0" applyFont="1" applyFill="1" applyBorder="1" applyAlignment="1" applyProtection="1">
      <alignment horizontal="center"/>
      <protection hidden="1"/>
    </xf>
    <xf numFmtId="0" fontId="0" fillId="2" borderId="17" xfId="0" applyFill="1" applyBorder="1" applyAlignment="1" applyProtection="1">
      <alignment horizontal="center"/>
      <protection hidden="1"/>
    </xf>
    <xf numFmtId="0" fontId="18" fillId="11" borderId="14" xfId="0" applyFont="1" applyFill="1" applyBorder="1" applyAlignment="1" applyProtection="1">
      <alignment horizontal="center"/>
      <protection hidden="1"/>
    </xf>
    <xf numFmtId="0" fontId="18" fillId="11" borderId="8" xfId="0" applyFont="1" applyFill="1" applyBorder="1" applyAlignment="1" applyProtection="1">
      <alignment horizontal="center"/>
      <protection hidden="1"/>
    </xf>
    <xf numFmtId="0" fontId="0" fillId="2" borderId="11" xfId="0" applyFill="1" applyBorder="1" applyAlignment="1" applyProtection="1">
      <alignment horizontal="left"/>
      <protection locked="0"/>
    </xf>
    <xf numFmtId="0" fontId="8" fillId="2" borderId="0" xfId="0" applyFont="1" applyFill="1" applyAlignment="1" applyProtection="1">
      <alignment horizontal="left"/>
      <protection locked="0"/>
    </xf>
    <xf numFmtId="0" fontId="0" fillId="2" borderId="0" xfId="0" applyFill="1" applyAlignment="1" applyProtection="1">
      <alignment horizontal="left"/>
      <protection locked="0"/>
    </xf>
    <xf numFmtId="43" fontId="79" fillId="2" borderId="0" xfId="0" applyNumberFormat="1" applyFont="1" applyFill="1" applyAlignment="1" applyProtection="1">
      <alignment horizontal="center" vertical="center"/>
      <protection locked="0"/>
    </xf>
    <xf numFmtId="10" fontId="44" fillId="2" borderId="14" xfId="0" applyNumberFormat="1" applyFont="1" applyFill="1" applyBorder="1" applyAlignment="1" applyProtection="1">
      <alignment horizontal="center" vertical="center"/>
      <protection locked="0"/>
    </xf>
    <xf numFmtId="10" fontId="44" fillId="2" borderId="15" xfId="0" applyNumberFormat="1" applyFont="1" applyFill="1" applyBorder="1" applyAlignment="1" applyProtection="1">
      <alignment horizontal="center" vertical="center"/>
      <protection locked="0"/>
    </xf>
    <xf numFmtId="3" fontId="44" fillId="3" borderId="14" xfId="0" applyNumberFormat="1" applyFont="1" applyFill="1" applyBorder="1" applyAlignment="1" applyProtection="1">
      <alignment horizontal="right" vertical="center"/>
      <protection locked="0"/>
    </xf>
    <xf numFmtId="3" fontId="44" fillId="3" borderId="8" xfId="0" applyNumberFormat="1" applyFont="1" applyFill="1" applyBorder="1" applyAlignment="1" applyProtection="1">
      <alignment horizontal="right" vertical="center"/>
      <protection locked="0"/>
    </xf>
    <xf numFmtId="3" fontId="44" fillId="3" borderId="15" xfId="0" applyNumberFormat="1" applyFont="1" applyFill="1" applyBorder="1" applyAlignment="1" applyProtection="1">
      <alignment horizontal="right" vertical="center"/>
      <protection locked="0"/>
    </xf>
    <xf numFmtId="177" fontId="44" fillId="2" borderId="14" xfId="0" applyNumberFormat="1" applyFont="1" applyFill="1" applyBorder="1" applyAlignment="1" applyProtection="1">
      <alignment horizontal="center" vertical="center"/>
      <protection locked="0"/>
    </xf>
    <xf numFmtId="177" fontId="44" fillId="2" borderId="8" xfId="0" applyNumberFormat="1" applyFont="1" applyFill="1" applyBorder="1" applyAlignment="1" applyProtection="1">
      <alignment horizontal="center" vertical="center"/>
      <protection locked="0"/>
    </xf>
    <xf numFmtId="177" fontId="44" fillId="2" borderId="15" xfId="0" applyNumberFormat="1" applyFont="1" applyFill="1" applyBorder="1" applyAlignment="1" applyProtection="1">
      <alignment horizontal="center" vertical="center"/>
      <protection locked="0"/>
    </xf>
    <xf numFmtId="0" fontId="44" fillId="2" borderId="17" xfId="0" applyFont="1" applyFill="1" applyBorder="1" applyAlignment="1" applyProtection="1">
      <alignment horizontal="center" vertical="center"/>
      <protection locked="0"/>
    </xf>
    <xf numFmtId="0" fontId="44" fillId="2" borderId="17" xfId="0" applyFont="1" applyFill="1" applyBorder="1" applyAlignment="1" applyProtection="1">
      <alignment horizontal="left" vertical="center"/>
      <protection locked="0"/>
    </xf>
    <xf numFmtId="41" fontId="44" fillId="2" borderId="14" xfId="3" applyFont="1" applyFill="1" applyBorder="1" applyAlignment="1" applyProtection="1">
      <alignment horizontal="center" vertical="center"/>
      <protection locked="0"/>
    </xf>
    <xf numFmtId="41" fontId="44" fillId="2" borderId="8" xfId="3" applyFont="1" applyFill="1" applyBorder="1" applyAlignment="1" applyProtection="1">
      <alignment horizontal="center" vertical="center"/>
      <protection locked="0"/>
    </xf>
    <xf numFmtId="41" fontId="44" fillId="2" borderId="15" xfId="3" applyFont="1" applyFill="1" applyBorder="1" applyAlignment="1" applyProtection="1">
      <alignment horizontal="center" vertical="center"/>
      <protection locked="0"/>
    </xf>
    <xf numFmtId="3" fontId="44" fillId="3" borderId="29" xfId="0" applyNumberFormat="1" applyFont="1" applyFill="1" applyBorder="1" applyAlignment="1" applyProtection="1">
      <alignment horizontal="right" vertical="center"/>
      <protection locked="0"/>
    </xf>
    <xf numFmtId="3" fontId="44" fillId="3" borderId="11" xfId="0" applyNumberFormat="1" applyFont="1" applyFill="1" applyBorder="1" applyAlignment="1" applyProtection="1">
      <alignment horizontal="right" vertical="center"/>
      <protection locked="0"/>
    </xf>
    <xf numFmtId="3" fontId="44" fillId="3" borderId="27" xfId="0" applyNumberFormat="1" applyFont="1" applyFill="1" applyBorder="1" applyAlignment="1" applyProtection="1">
      <alignment horizontal="right" vertical="center"/>
      <protection locked="0"/>
    </xf>
    <xf numFmtId="10" fontId="44" fillId="2" borderId="17" xfId="0" applyNumberFormat="1" applyFont="1" applyFill="1" applyBorder="1" applyAlignment="1" applyProtection="1">
      <alignment horizontal="center" vertical="center"/>
      <protection locked="0"/>
    </xf>
    <xf numFmtId="43" fontId="118" fillId="2" borderId="0" xfId="0" applyNumberFormat="1" applyFont="1" applyFill="1" applyAlignment="1" applyProtection="1">
      <alignment horizontal="center" vertical="center"/>
      <protection locked="0"/>
    </xf>
    <xf numFmtId="37" fontId="106" fillId="2" borderId="14" xfId="0" applyNumberFormat="1" applyFont="1" applyFill="1" applyBorder="1" applyAlignment="1" applyProtection="1">
      <alignment horizontal="right"/>
      <protection locked="0"/>
    </xf>
    <xf numFmtId="37" fontId="106" fillId="2" borderId="8" xfId="0" applyNumberFormat="1" applyFont="1" applyFill="1" applyBorder="1" applyAlignment="1" applyProtection="1">
      <alignment horizontal="right"/>
      <protection locked="0"/>
    </xf>
    <xf numFmtId="37" fontId="106" fillId="2" borderId="9" xfId="0" applyNumberFormat="1" applyFont="1" applyFill="1" applyBorder="1" applyAlignment="1" applyProtection="1">
      <alignment horizontal="right"/>
      <protection locked="0"/>
    </xf>
    <xf numFmtId="37" fontId="106" fillId="3" borderId="17" xfId="0" applyNumberFormat="1" applyFont="1" applyFill="1" applyBorder="1" applyAlignment="1" applyProtection="1">
      <alignment horizontal="center"/>
      <protection locked="0"/>
    </xf>
    <xf numFmtId="0" fontId="65" fillId="20" borderId="1" xfId="0" applyFont="1" applyFill="1" applyBorder="1" applyAlignment="1" applyProtection="1">
      <alignment horizontal="center"/>
      <protection locked="0"/>
    </xf>
    <xf numFmtId="0" fontId="65" fillId="20" borderId="2" xfId="0" applyFont="1" applyFill="1" applyBorder="1" applyAlignment="1" applyProtection="1">
      <alignment horizontal="center"/>
      <protection locked="0"/>
    </xf>
    <xf numFmtId="0" fontId="65" fillId="20" borderId="59" xfId="0" applyFont="1" applyFill="1" applyBorder="1" applyAlignment="1" applyProtection="1">
      <alignment horizontal="center"/>
      <protection locked="0"/>
    </xf>
    <xf numFmtId="0" fontId="5" fillId="2" borderId="14" xfId="0" applyFont="1" applyFill="1" applyBorder="1" applyAlignment="1" applyProtection="1">
      <alignment horizontal="center" vertical="center"/>
      <protection locked="0"/>
    </xf>
    <xf numFmtId="0" fontId="5" fillId="2" borderId="15" xfId="0" applyFont="1" applyFill="1" applyBorder="1" applyAlignment="1" applyProtection="1">
      <alignment horizontal="center" vertical="center"/>
      <protection locked="0"/>
    </xf>
    <xf numFmtId="3" fontId="5" fillId="3" borderId="29" xfId="0" applyNumberFormat="1" applyFont="1" applyFill="1" applyBorder="1" applyAlignment="1" applyProtection="1">
      <alignment horizontal="right" vertical="center"/>
      <protection locked="0"/>
    </xf>
    <xf numFmtId="3" fontId="5" fillId="3" borderId="11" xfId="0" applyNumberFormat="1" applyFont="1" applyFill="1" applyBorder="1" applyAlignment="1" applyProtection="1">
      <alignment horizontal="right" vertical="center"/>
      <protection locked="0"/>
    </xf>
    <xf numFmtId="3" fontId="5" fillId="3" borderId="27" xfId="0" applyNumberFormat="1" applyFont="1" applyFill="1" applyBorder="1" applyAlignment="1" applyProtection="1">
      <alignment horizontal="right" vertical="center"/>
      <protection locked="0"/>
    </xf>
    <xf numFmtId="0" fontId="65" fillId="20" borderId="14" xfId="0" applyFont="1" applyFill="1" applyBorder="1" applyAlignment="1" applyProtection="1">
      <alignment horizontal="center"/>
      <protection locked="0"/>
    </xf>
    <xf numFmtId="0" fontId="65" fillId="20" borderId="8" xfId="0" applyFont="1" applyFill="1" applyBorder="1" applyAlignment="1" applyProtection="1">
      <alignment horizontal="center"/>
      <protection locked="0"/>
    </xf>
    <xf numFmtId="0" fontId="65" fillId="20" borderId="9" xfId="0" applyFont="1" applyFill="1" applyBorder="1" applyAlignment="1" applyProtection="1">
      <alignment horizontal="center"/>
      <protection locked="0"/>
    </xf>
    <xf numFmtId="0" fontId="44" fillId="2" borderId="14" xfId="0" applyFont="1" applyFill="1" applyBorder="1" applyAlignment="1" applyProtection="1">
      <alignment horizontal="center" vertical="center"/>
      <protection locked="0"/>
    </xf>
    <xf numFmtId="0" fontId="44" fillId="2" borderId="15" xfId="0" applyFont="1" applyFill="1" applyBorder="1" applyAlignment="1" applyProtection="1">
      <alignment horizontal="center" vertical="center"/>
      <protection locked="0"/>
    </xf>
    <xf numFmtId="0" fontId="95" fillId="17" borderId="17" xfId="0" applyFont="1" applyFill="1" applyBorder="1" applyAlignment="1" applyProtection="1">
      <alignment horizontal="center" vertical="center" wrapText="1"/>
      <protection locked="0"/>
    </xf>
    <xf numFmtId="0" fontId="5" fillId="2" borderId="3"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95" fillId="31" borderId="39" xfId="0" applyFont="1" applyFill="1" applyBorder="1" applyAlignment="1" applyProtection="1">
      <alignment horizontal="center" vertical="center"/>
      <protection locked="0"/>
    </xf>
    <xf numFmtId="0" fontId="95" fillId="31" borderId="17" xfId="0" applyFont="1" applyFill="1" applyBorder="1" applyAlignment="1" applyProtection="1">
      <alignment horizontal="center" vertical="center"/>
      <protection locked="0"/>
    </xf>
    <xf numFmtId="0" fontId="44" fillId="2" borderId="29" xfId="0" applyFont="1" applyFill="1" applyBorder="1" applyAlignment="1" applyProtection="1">
      <alignment horizontal="left" vertical="top" wrapText="1"/>
      <protection locked="0"/>
    </xf>
    <xf numFmtId="0" fontId="44" fillId="2" borderId="11" xfId="0" applyFont="1" applyFill="1" applyBorder="1" applyAlignment="1" applyProtection="1">
      <alignment horizontal="left" vertical="top" wrapText="1"/>
      <protection locked="0"/>
    </xf>
    <xf numFmtId="0" fontId="44" fillId="2" borderId="27" xfId="0" applyFont="1" applyFill="1" applyBorder="1" applyAlignment="1" applyProtection="1">
      <alignment horizontal="left" vertical="top" wrapText="1"/>
      <protection locked="0"/>
    </xf>
    <xf numFmtId="0" fontId="44" fillId="2" borderId="31" xfId="0" applyFont="1" applyFill="1" applyBorder="1" applyAlignment="1" applyProtection="1">
      <alignment horizontal="left" vertical="top" wrapText="1"/>
      <protection locked="0"/>
    </xf>
    <xf numFmtId="0" fontId="44" fillId="2" borderId="5" xfId="0" applyFont="1" applyFill="1" applyBorder="1" applyAlignment="1" applyProtection="1">
      <alignment horizontal="left" vertical="top" wrapText="1"/>
      <protection locked="0"/>
    </xf>
    <xf numFmtId="0" fontId="44" fillId="2" borderId="30" xfId="0" applyFont="1" applyFill="1" applyBorder="1" applyAlignment="1" applyProtection="1">
      <alignment horizontal="left" vertical="top" wrapText="1"/>
      <protection locked="0"/>
    </xf>
    <xf numFmtId="0" fontId="104" fillId="11" borderId="3" xfId="0" applyFont="1" applyFill="1" applyBorder="1" applyAlignment="1" applyProtection="1">
      <alignment horizontal="center" vertical="center"/>
      <protection locked="0"/>
    </xf>
    <xf numFmtId="0" fontId="104" fillId="11" borderId="0" xfId="0" applyFont="1" applyFill="1" applyAlignment="1" applyProtection="1">
      <alignment horizontal="center" vertical="center"/>
      <protection locked="0"/>
    </xf>
    <xf numFmtId="0" fontId="104" fillId="11" borderId="4" xfId="0" applyFont="1" applyFill="1" applyBorder="1" applyAlignment="1" applyProtection="1">
      <alignment horizontal="center" vertical="center"/>
      <protection locked="0"/>
    </xf>
    <xf numFmtId="41" fontId="5" fillId="3" borderId="17" xfId="0" applyNumberFormat="1" applyFont="1" applyFill="1" applyBorder="1" applyAlignment="1" applyProtection="1">
      <alignment horizontal="center" vertical="center"/>
      <protection locked="0"/>
    </xf>
    <xf numFmtId="0" fontId="5" fillId="3" borderId="17" xfId="0" applyFont="1" applyFill="1" applyBorder="1" applyAlignment="1" applyProtection="1">
      <alignment horizontal="center" vertical="center"/>
      <protection locked="0"/>
    </xf>
    <xf numFmtId="0" fontId="5" fillId="2" borderId="8" xfId="0" applyFont="1" applyFill="1" applyBorder="1" applyAlignment="1" applyProtection="1">
      <alignment horizontal="center" vertical="center"/>
      <protection locked="0"/>
    </xf>
    <xf numFmtId="0" fontId="5" fillId="31" borderId="39" xfId="0" applyFont="1" applyFill="1" applyBorder="1" applyAlignment="1" applyProtection="1">
      <alignment horizontal="center" vertical="center"/>
      <protection locked="0"/>
    </xf>
    <xf numFmtId="0" fontId="5" fillId="31" borderId="17" xfId="0" applyFont="1" applyFill="1" applyBorder="1" applyAlignment="1" applyProtection="1">
      <alignment horizontal="center" vertical="center"/>
      <protection locked="0"/>
    </xf>
    <xf numFmtId="0" fontId="106" fillId="2" borderId="7" xfId="0" applyFont="1" applyFill="1" applyBorder="1" applyAlignment="1" applyProtection="1">
      <alignment horizontal="center"/>
      <protection locked="0"/>
    </xf>
    <xf numFmtId="0" fontId="106" fillId="2" borderId="8" xfId="0" applyFont="1" applyFill="1" applyBorder="1" applyAlignment="1" applyProtection="1">
      <alignment horizontal="center"/>
      <protection locked="0"/>
    </xf>
    <xf numFmtId="0" fontId="106" fillId="2" borderId="15" xfId="0" applyFont="1" applyFill="1" applyBorder="1" applyAlignment="1" applyProtection="1">
      <alignment horizontal="center"/>
      <protection locked="0"/>
    </xf>
    <xf numFmtId="0" fontId="65" fillId="20" borderId="60" xfId="0" applyFont="1" applyFill="1" applyBorder="1" applyAlignment="1" applyProtection="1">
      <alignment horizontal="center"/>
      <protection locked="0"/>
    </xf>
    <xf numFmtId="0" fontId="65" fillId="20" borderId="56" xfId="0" applyFont="1" applyFill="1" applyBorder="1" applyAlignment="1" applyProtection="1">
      <alignment horizontal="center"/>
      <protection locked="0"/>
    </xf>
    <xf numFmtId="37" fontId="42" fillId="3" borderId="63" xfId="0" applyNumberFormat="1" applyFont="1" applyFill="1" applyBorder="1" applyAlignment="1" applyProtection="1">
      <alignment horizontal="center"/>
      <protection locked="0"/>
    </xf>
    <xf numFmtId="37" fontId="42" fillId="3" borderId="52" xfId="0" applyNumberFormat="1" applyFont="1" applyFill="1" applyBorder="1" applyAlignment="1" applyProtection="1">
      <alignment horizontal="center"/>
      <protection locked="0"/>
    </xf>
    <xf numFmtId="37" fontId="42" fillId="3" borderId="53" xfId="0" applyNumberFormat="1" applyFont="1" applyFill="1" applyBorder="1" applyAlignment="1" applyProtection="1">
      <alignment horizontal="center"/>
      <protection locked="0"/>
    </xf>
    <xf numFmtId="0" fontId="65" fillId="20" borderId="15" xfId="0" applyFont="1" applyFill="1" applyBorder="1" applyAlignment="1" applyProtection="1">
      <alignment horizontal="center"/>
      <protection locked="0"/>
    </xf>
    <xf numFmtId="37" fontId="106" fillId="3" borderId="17" xfId="0" applyNumberFormat="1" applyFont="1" applyFill="1" applyBorder="1" applyAlignment="1" applyProtection="1">
      <alignment horizontal="right"/>
      <protection locked="0"/>
    </xf>
    <xf numFmtId="0" fontId="65" fillId="20" borderId="7" xfId="0" applyFont="1" applyFill="1" applyBorder="1" applyAlignment="1" applyProtection="1">
      <alignment horizontal="center"/>
      <protection locked="0"/>
    </xf>
    <xf numFmtId="0" fontId="106" fillId="2" borderId="39" xfId="0" applyFont="1" applyFill="1" applyBorder="1" applyAlignment="1" applyProtection="1">
      <alignment horizontal="left"/>
      <protection locked="0"/>
    </xf>
    <xf numFmtId="0" fontId="106" fillId="2" borderId="17" xfId="0" applyFont="1" applyFill="1" applyBorder="1" applyAlignment="1" applyProtection="1">
      <alignment horizontal="left"/>
      <protection locked="0"/>
    </xf>
    <xf numFmtId="0" fontId="65" fillId="11" borderId="17" xfId="0" applyFont="1" applyFill="1" applyBorder="1" applyAlignment="1" applyProtection="1">
      <alignment horizontal="center"/>
      <protection locked="0"/>
    </xf>
    <xf numFmtId="0" fontId="65" fillId="11" borderId="40" xfId="0" applyFont="1" applyFill="1" applyBorder="1" applyAlignment="1" applyProtection="1">
      <alignment horizontal="center"/>
      <protection locked="0"/>
    </xf>
    <xf numFmtId="0" fontId="44" fillId="2" borderId="17" xfId="0" applyFont="1" applyFill="1" applyBorder="1" applyAlignment="1" applyProtection="1">
      <alignment horizontal="center"/>
      <protection locked="0"/>
    </xf>
    <xf numFmtId="0" fontId="44" fillId="2" borderId="40" xfId="0" applyFont="1" applyFill="1" applyBorder="1" applyAlignment="1" applyProtection="1">
      <alignment horizontal="center"/>
      <protection locked="0"/>
    </xf>
    <xf numFmtId="49" fontId="44" fillId="2" borderId="0" xfId="0" applyNumberFormat="1" applyFont="1" applyFill="1" applyAlignment="1" applyProtection="1">
      <alignment horizontal="left"/>
      <protection locked="0"/>
    </xf>
    <xf numFmtId="0" fontId="65" fillId="11" borderId="14" xfId="0" applyFont="1" applyFill="1" applyBorder="1" applyAlignment="1" applyProtection="1">
      <alignment horizontal="center"/>
      <protection locked="0"/>
    </xf>
    <xf numFmtId="0" fontId="65" fillId="11" borderId="8" xfId="0" applyFont="1" applyFill="1" applyBorder="1" applyAlignment="1" applyProtection="1">
      <alignment horizontal="center"/>
      <protection locked="0"/>
    </xf>
    <xf numFmtId="0" fontId="65" fillId="11" borderId="15" xfId="0" applyFont="1" applyFill="1" applyBorder="1" applyAlignment="1" applyProtection="1">
      <alignment horizontal="center"/>
      <protection locked="0"/>
    </xf>
    <xf numFmtId="0" fontId="44" fillId="2" borderId="11" xfId="0" applyFont="1" applyFill="1" applyBorder="1" applyAlignment="1" applyProtection="1">
      <alignment horizontal="left"/>
      <protection locked="0"/>
    </xf>
    <xf numFmtId="0" fontId="44" fillId="2" borderId="27" xfId="0" applyFont="1" applyFill="1" applyBorder="1" applyAlignment="1" applyProtection="1">
      <alignment horizontal="left"/>
      <protection locked="0"/>
    </xf>
    <xf numFmtId="0" fontId="44" fillId="2" borderId="0" xfId="0" applyFont="1" applyFill="1" applyAlignment="1" applyProtection="1">
      <alignment horizontal="left"/>
      <protection locked="0"/>
    </xf>
    <xf numFmtId="0" fontId="44" fillId="2" borderId="28" xfId="0" applyFont="1" applyFill="1" applyBorder="1" applyAlignment="1" applyProtection="1">
      <alignment horizontal="left"/>
      <protection locked="0"/>
    </xf>
    <xf numFmtId="49" fontId="44" fillId="2" borderId="28" xfId="0" applyNumberFormat="1" applyFont="1" applyFill="1" applyBorder="1" applyAlignment="1" applyProtection="1">
      <alignment horizontal="left"/>
      <protection locked="0"/>
    </xf>
    <xf numFmtId="0" fontId="44" fillId="2" borderId="35" xfId="0" applyFont="1" applyFill="1" applyBorder="1" applyAlignment="1" applyProtection="1">
      <alignment horizontal="center"/>
      <protection locked="0"/>
    </xf>
    <xf numFmtId="0" fontId="44" fillId="2" borderId="72" xfId="0" applyFont="1" applyFill="1" applyBorder="1" applyAlignment="1" applyProtection="1">
      <alignment horizontal="center"/>
      <protection locked="0"/>
    </xf>
    <xf numFmtId="0" fontId="95" fillId="2" borderId="14" xfId="0" applyFont="1" applyFill="1" applyBorder="1" applyAlignment="1" applyProtection="1">
      <alignment horizontal="center" vertical="center"/>
      <protection locked="0"/>
    </xf>
    <xf numFmtId="0" fontId="95" fillId="2" borderId="8" xfId="0" applyFont="1" applyFill="1" applyBorder="1" applyAlignment="1" applyProtection="1">
      <alignment horizontal="center" vertical="center"/>
      <protection locked="0"/>
    </xf>
    <xf numFmtId="0" fontId="95" fillId="2" borderId="15" xfId="0" applyFont="1" applyFill="1" applyBorder="1" applyAlignment="1" applyProtection="1">
      <alignment horizontal="center" vertical="center"/>
      <protection locked="0"/>
    </xf>
    <xf numFmtId="0" fontId="105" fillId="17" borderId="21" xfId="0" applyFont="1" applyFill="1" applyBorder="1" applyAlignment="1" applyProtection="1">
      <alignment horizontal="center" vertical="center"/>
      <protection locked="0"/>
    </xf>
    <xf numFmtId="0" fontId="105" fillId="17" borderId="22" xfId="0" applyFont="1" applyFill="1" applyBorder="1" applyAlignment="1" applyProtection="1">
      <alignment horizontal="center" vertical="center"/>
      <protection locked="0"/>
    </xf>
    <xf numFmtId="0" fontId="105" fillId="17" borderId="23" xfId="0" applyFont="1" applyFill="1" applyBorder="1" applyAlignment="1" applyProtection="1">
      <alignment horizontal="center" vertical="center"/>
      <protection locked="0"/>
    </xf>
    <xf numFmtId="0" fontId="5" fillId="2" borderId="13" xfId="0" applyFont="1" applyFill="1" applyBorder="1" applyAlignment="1" applyProtection="1">
      <alignment horizontal="left" vertical="center" wrapText="1"/>
      <protection locked="0"/>
    </xf>
    <xf numFmtId="0" fontId="5" fillId="2" borderId="5" xfId="0" applyFont="1" applyFill="1" applyBorder="1" applyAlignment="1" applyProtection="1">
      <alignment horizontal="left" vertical="center" wrapText="1"/>
      <protection locked="0"/>
    </xf>
    <xf numFmtId="180" fontId="106" fillId="2" borderId="5" xfId="0" applyNumberFormat="1" applyFont="1" applyFill="1" applyBorder="1" applyAlignment="1" applyProtection="1">
      <alignment horizontal="right"/>
      <protection locked="0"/>
    </xf>
    <xf numFmtId="180" fontId="106" fillId="2" borderId="15" xfId="0" applyNumberFormat="1" applyFont="1" applyFill="1" applyBorder="1" applyAlignment="1" applyProtection="1">
      <alignment horizontal="right"/>
      <protection locked="0"/>
    </xf>
    <xf numFmtId="180" fontId="106" fillId="2" borderId="17" xfId="0" applyNumberFormat="1" applyFont="1" applyFill="1" applyBorder="1" applyAlignment="1" applyProtection="1">
      <alignment horizontal="right"/>
      <protection locked="0"/>
    </xf>
    <xf numFmtId="180" fontId="106" fillId="2" borderId="14" xfId="0" applyNumberFormat="1" applyFont="1" applyFill="1" applyBorder="1" applyAlignment="1" applyProtection="1">
      <alignment horizontal="right"/>
      <protection locked="0"/>
    </xf>
    <xf numFmtId="180" fontId="108" fillId="3" borderId="11" xfId="0" applyNumberFormat="1" applyFont="1" applyFill="1" applyBorder="1" applyAlignment="1" applyProtection="1">
      <alignment horizontal="right"/>
      <protection hidden="1"/>
    </xf>
    <xf numFmtId="9" fontId="42" fillId="2" borderId="14" xfId="0" applyNumberFormat="1" applyFont="1" applyFill="1" applyBorder="1" applyAlignment="1" applyProtection="1">
      <alignment horizontal="center"/>
      <protection locked="0"/>
    </xf>
    <xf numFmtId="9" fontId="42" fillId="2" borderId="8" xfId="0" applyNumberFormat="1" applyFont="1" applyFill="1" applyBorder="1" applyAlignment="1" applyProtection="1">
      <alignment horizontal="center"/>
      <protection locked="0"/>
    </xf>
    <xf numFmtId="9" fontId="42" fillId="2" borderId="15" xfId="0" applyNumberFormat="1" applyFont="1" applyFill="1" applyBorder="1" applyAlignment="1" applyProtection="1">
      <alignment horizontal="center"/>
      <protection locked="0"/>
    </xf>
    <xf numFmtId="180" fontId="106" fillId="2" borderId="27" xfId="0" applyNumberFormat="1" applyFont="1" applyFill="1" applyBorder="1" applyAlignment="1" applyProtection="1">
      <alignment horizontal="right"/>
      <protection locked="0"/>
    </xf>
    <xf numFmtId="180" fontId="106" fillId="2" borderId="35" xfId="0" applyNumberFormat="1" applyFont="1" applyFill="1" applyBorder="1" applyAlignment="1" applyProtection="1">
      <alignment horizontal="right"/>
      <protection locked="0"/>
    </xf>
    <xf numFmtId="180" fontId="106" fillId="2" borderId="29" xfId="0" applyNumberFormat="1" applyFont="1" applyFill="1" applyBorder="1" applyAlignment="1" applyProtection="1">
      <alignment horizontal="right"/>
      <protection locked="0"/>
    </xf>
    <xf numFmtId="0" fontId="44" fillId="2" borderId="14" xfId="0" applyFont="1" applyFill="1" applyBorder="1" applyAlignment="1" applyProtection="1">
      <alignment horizontal="left" vertical="center"/>
      <protection locked="0"/>
    </xf>
    <xf numFmtId="0" fontId="44" fillId="2" borderId="8" xfId="0" applyFont="1" applyFill="1" applyBorder="1" applyAlignment="1" applyProtection="1">
      <alignment horizontal="left" vertical="center"/>
      <protection locked="0"/>
    </xf>
    <xf numFmtId="0" fontId="44" fillId="2" borderId="15" xfId="0" applyFont="1" applyFill="1" applyBorder="1" applyAlignment="1" applyProtection="1">
      <alignment horizontal="left" vertical="center"/>
      <protection locked="0"/>
    </xf>
    <xf numFmtId="180" fontId="108" fillId="3" borderId="0" xfId="0" applyNumberFormat="1" applyFont="1" applyFill="1" applyAlignment="1" applyProtection="1">
      <alignment horizontal="right"/>
      <protection hidden="1"/>
    </xf>
    <xf numFmtId="0" fontId="95" fillId="17" borderId="15" xfId="0" applyFont="1" applyFill="1" applyBorder="1" applyAlignment="1" applyProtection="1">
      <alignment horizontal="center" vertical="center" wrapText="1"/>
      <protection locked="0"/>
    </xf>
    <xf numFmtId="41" fontId="5" fillId="17" borderId="17" xfId="3" applyFont="1" applyFill="1" applyBorder="1" applyAlignment="1" applyProtection="1">
      <alignment horizontal="center" vertical="center"/>
      <protection locked="0"/>
    </xf>
    <xf numFmtId="41" fontId="5" fillId="17" borderId="14" xfId="3" applyFont="1" applyFill="1" applyBorder="1" applyAlignment="1" applyProtection="1">
      <alignment horizontal="center" vertical="center"/>
      <protection locked="0"/>
    </xf>
    <xf numFmtId="41" fontId="5" fillId="17" borderId="8" xfId="3" applyFont="1" applyFill="1" applyBorder="1" applyAlignment="1" applyProtection="1">
      <alignment horizontal="center" vertical="center"/>
      <protection locked="0"/>
    </xf>
    <xf numFmtId="41" fontId="5" fillId="17" borderId="15" xfId="3" applyFont="1" applyFill="1" applyBorder="1" applyAlignment="1" applyProtection="1">
      <alignment horizontal="center" vertical="center"/>
      <protection locked="0"/>
    </xf>
    <xf numFmtId="0" fontId="44" fillId="2" borderId="0" xfId="0" applyFont="1" applyFill="1" applyAlignment="1" applyProtection="1">
      <alignment horizontal="center" vertical="center"/>
      <protection locked="0"/>
    </xf>
    <xf numFmtId="41" fontId="95" fillId="3" borderId="17" xfId="0" applyNumberFormat="1" applyFont="1" applyFill="1" applyBorder="1" applyAlignment="1" applyProtection="1">
      <alignment horizontal="center" vertical="center"/>
      <protection locked="0"/>
    </xf>
    <xf numFmtId="0" fontId="95" fillId="3" borderId="17" xfId="0" applyFont="1" applyFill="1" applyBorder="1" applyAlignment="1" applyProtection="1">
      <alignment horizontal="center" vertical="center"/>
      <protection locked="0"/>
    </xf>
    <xf numFmtId="0" fontId="44" fillId="2" borderId="5" xfId="0" applyFont="1" applyFill="1" applyBorder="1" applyAlignment="1" applyProtection="1">
      <alignment horizontal="center" vertical="center"/>
      <protection locked="0"/>
    </xf>
    <xf numFmtId="41" fontId="5" fillId="17" borderId="17" xfId="3" applyFont="1" applyFill="1" applyBorder="1" applyAlignment="1" applyProtection="1">
      <alignment horizontal="center" vertical="center" wrapText="1"/>
      <protection locked="0"/>
    </xf>
    <xf numFmtId="41" fontId="5" fillId="17" borderId="14" xfId="3" applyFont="1" applyFill="1" applyBorder="1" applyAlignment="1" applyProtection="1">
      <alignment horizontal="center" vertical="center" wrapText="1"/>
      <protection locked="0"/>
    </xf>
    <xf numFmtId="41" fontId="5" fillId="17" borderId="8" xfId="3" applyFont="1" applyFill="1" applyBorder="1" applyAlignment="1" applyProtection="1">
      <alignment horizontal="center" vertical="center" wrapText="1"/>
      <protection locked="0"/>
    </xf>
    <xf numFmtId="41" fontId="5" fillId="17" borderId="15" xfId="3" applyFont="1" applyFill="1" applyBorder="1" applyAlignment="1" applyProtection="1">
      <alignment horizontal="center" vertical="center" wrapText="1"/>
      <protection locked="0"/>
    </xf>
    <xf numFmtId="41" fontId="44" fillId="2" borderId="17" xfId="3" applyFont="1" applyFill="1" applyBorder="1" applyAlignment="1" applyProtection="1">
      <alignment horizontal="center" vertical="center"/>
      <protection locked="0"/>
    </xf>
    <xf numFmtId="41" fontId="44" fillId="3" borderId="14" xfId="3" applyFont="1" applyFill="1" applyBorder="1" applyAlignment="1" applyProtection="1">
      <alignment horizontal="center" vertical="center"/>
      <protection locked="0"/>
    </xf>
    <xf numFmtId="41" fontId="44" fillId="3" borderId="8" xfId="3" applyFont="1" applyFill="1" applyBorder="1" applyAlignment="1" applyProtection="1">
      <alignment horizontal="center" vertical="center"/>
      <protection locked="0"/>
    </xf>
    <xf numFmtId="41" fontId="44" fillId="3" borderId="15" xfId="3" applyFont="1" applyFill="1" applyBorder="1" applyAlignment="1" applyProtection="1">
      <alignment horizontal="center" vertical="center"/>
      <protection locked="0"/>
    </xf>
    <xf numFmtId="41" fontId="44" fillId="2" borderId="35" xfId="3" applyFont="1" applyFill="1" applyBorder="1" applyAlignment="1" applyProtection="1">
      <alignment horizontal="center" vertical="center"/>
      <protection locked="0"/>
    </xf>
    <xf numFmtId="41" fontId="5" fillId="3" borderId="21" xfId="3" applyFont="1" applyFill="1" applyBorder="1" applyAlignment="1" applyProtection="1">
      <alignment horizontal="center" vertical="center"/>
      <protection locked="0"/>
    </xf>
    <xf numFmtId="41" fontId="5" fillId="3" borderId="22" xfId="3" applyFont="1" applyFill="1" applyBorder="1" applyAlignment="1" applyProtection="1">
      <alignment horizontal="center" vertical="center"/>
      <protection locked="0"/>
    </xf>
    <xf numFmtId="41" fontId="5" fillId="3" borderId="46" xfId="3" applyFont="1" applyFill="1" applyBorder="1" applyAlignment="1" applyProtection="1">
      <alignment horizontal="center" vertical="center"/>
      <protection locked="0"/>
    </xf>
    <xf numFmtId="41" fontId="5" fillId="3" borderId="50" xfId="3" applyFont="1" applyFill="1" applyBorder="1" applyAlignment="1" applyProtection="1">
      <alignment horizontal="center" vertical="center"/>
      <protection locked="0"/>
    </xf>
    <xf numFmtId="41" fontId="5" fillId="3" borderId="45" xfId="3" applyFont="1" applyFill="1" applyBorder="1" applyAlignment="1" applyProtection="1">
      <alignment horizontal="center" vertical="center"/>
      <protection locked="0"/>
    </xf>
    <xf numFmtId="41" fontId="5" fillId="3" borderId="45" xfId="3" applyFont="1" applyFill="1" applyBorder="1" applyAlignment="1" applyProtection="1">
      <alignment horizontal="right" vertical="center"/>
      <protection locked="0"/>
    </xf>
    <xf numFmtId="41" fontId="5" fillId="3" borderId="46" xfId="3" applyFont="1" applyFill="1" applyBorder="1" applyAlignment="1" applyProtection="1">
      <alignment horizontal="right" vertical="center"/>
      <protection locked="0"/>
    </xf>
    <xf numFmtId="41" fontId="44" fillId="2" borderId="0" xfId="3" applyFont="1" applyFill="1" applyBorder="1" applyAlignment="1" applyProtection="1">
      <alignment horizontal="center" vertical="center"/>
      <protection locked="0"/>
    </xf>
    <xf numFmtId="37" fontId="106" fillId="2" borderId="14" xfId="0" applyNumberFormat="1" applyFont="1" applyFill="1" applyBorder="1" applyAlignment="1" applyProtection="1">
      <alignment horizontal="center"/>
      <protection locked="0"/>
    </xf>
    <xf numFmtId="37" fontId="106" fillId="2" borderId="8" xfId="0" applyNumberFormat="1" applyFont="1" applyFill="1" applyBorder="1" applyAlignment="1" applyProtection="1">
      <alignment horizontal="center"/>
      <protection locked="0"/>
    </xf>
    <xf numFmtId="37" fontId="106" fillId="2" borderId="15" xfId="0" applyNumberFormat="1" applyFont="1" applyFill="1" applyBorder="1" applyAlignment="1" applyProtection="1">
      <alignment horizontal="center"/>
      <protection locked="0"/>
    </xf>
    <xf numFmtId="37" fontId="106" fillId="2" borderId="15" xfId="0" applyNumberFormat="1" applyFont="1" applyFill="1" applyBorder="1" applyAlignment="1" applyProtection="1">
      <alignment horizontal="right"/>
      <protection locked="0"/>
    </xf>
    <xf numFmtId="9" fontId="106" fillId="2" borderId="17" xfId="0" applyNumberFormat="1" applyFont="1" applyFill="1" applyBorder="1" applyAlignment="1" applyProtection="1">
      <alignment horizontal="center"/>
      <protection locked="0"/>
    </xf>
    <xf numFmtId="37" fontId="108" fillId="3" borderId="14" xfId="0" applyNumberFormat="1" applyFont="1" applyFill="1" applyBorder="1" applyAlignment="1" applyProtection="1">
      <alignment horizontal="right"/>
      <protection locked="0"/>
    </xf>
    <xf numFmtId="37" fontId="108" fillId="3" borderId="8" xfId="0" applyNumberFormat="1" applyFont="1" applyFill="1" applyBorder="1" applyAlignment="1" applyProtection="1">
      <alignment horizontal="right"/>
      <protection locked="0"/>
    </xf>
    <xf numFmtId="37" fontId="108" fillId="3" borderId="15" xfId="0" applyNumberFormat="1" applyFont="1" applyFill="1" applyBorder="1" applyAlignment="1" applyProtection="1">
      <alignment horizontal="right"/>
      <protection locked="0"/>
    </xf>
    <xf numFmtId="41" fontId="44" fillId="3" borderId="17" xfId="3" applyFont="1" applyFill="1" applyBorder="1" applyAlignment="1" applyProtection="1">
      <alignment horizontal="center" vertical="center"/>
      <protection locked="0"/>
    </xf>
    <xf numFmtId="41" fontId="5" fillId="3" borderId="17" xfId="3" applyFont="1" applyFill="1" applyBorder="1" applyAlignment="1" applyProtection="1">
      <alignment horizontal="center" vertical="center"/>
      <protection locked="0"/>
    </xf>
    <xf numFmtId="41" fontId="5" fillId="3" borderId="14" xfId="3" applyFont="1" applyFill="1" applyBorder="1" applyAlignment="1" applyProtection="1">
      <alignment horizontal="center" vertical="center"/>
      <protection locked="0"/>
    </xf>
    <xf numFmtId="41" fontId="5" fillId="3" borderId="8" xfId="3" applyFont="1" applyFill="1" applyBorder="1" applyAlignment="1" applyProtection="1">
      <alignment horizontal="center" vertical="center"/>
      <protection locked="0"/>
    </xf>
    <xf numFmtId="41" fontId="5" fillId="3" borderId="15" xfId="3" applyFont="1" applyFill="1" applyBorder="1" applyAlignment="1" applyProtection="1">
      <alignment horizontal="center" vertical="center"/>
      <protection locked="0"/>
    </xf>
    <xf numFmtId="0" fontId="101" fillId="3" borderId="21" xfId="0" applyFont="1" applyFill="1" applyBorder="1" applyAlignment="1" applyProtection="1">
      <alignment horizontal="center" vertical="center"/>
      <protection hidden="1"/>
    </xf>
    <xf numFmtId="0" fontId="101" fillId="3" borderId="22" xfId="0" applyFont="1" applyFill="1" applyBorder="1" applyAlignment="1" applyProtection="1">
      <alignment horizontal="center" vertical="center"/>
      <protection hidden="1"/>
    </xf>
    <xf numFmtId="37" fontId="101" fillId="3" borderId="22" xfId="0" applyNumberFormat="1" applyFont="1" applyFill="1" applyBorder="1" applyAlignment="1" applyProtection="1">
      <alignment horizontal="center"/>
      <protection hidden="1"/>
    </xf>
    <xf numFmtId="37" fontId="101" fillId="3" borderId="23" xfId="0" applyNumberFormat="1" applyFont="1" applyFill="1" applyBorder="1" applyAlignment="1" applyProtection="1">
      <alignment horizontal="center"/>
      <protection hidden="1"/>
    </xf>
    <xf numFmtId="180" fontId="108" fillId="3" borderId="14" xfId="0" applyNumberFormat="1" applyFont="1" applyFill="1" applyBorder="1" applyAlignment="1" applyProtection="1">
      <alignment horizontal="right"/>
      <protection locked="0"/>
    </xf>
    <xf numFmtId="180" fontId="108" fillId="3" borderId="8" xfId="0" applyNumberFormat="1" applyFont="1" applyFill="1" applyBorder="1" applyAlignment="1" applyProtection="1">
      <alignment horizontal="right"/>
      <protection locked="0"/>
    </xf>
    <xf numFmtId="180" fontId="108" fillId="3" borderId="15" xfId="0" applyNumberFormat="1" applyFont="1" applyFill="1" applyBorder="1" applyAlignment="1" applyProtection="1">
      <alignment horizontal="right"/>
      <protection locked="0"/>
    </xf>
    <xf numFmtId="180" fontId="106" fillId="3" borderId="5" xfId="0" applyNumberFormat="1" applyFont="1" applyFill="1" applyBorder="1" applyAlignment="1" applyProtection="1">
      <alignment horizontal="right"/>
      <protection hidden="1"/>
    </xf>
    <xf numFmtId="180" fontId="106" fillId="3" borderId="8" xfId="0" applyNumberFormat="1" applyFont="1" applyFill="1" applyBorder="1" applyAlignment="1" applyProtection="1">
      <alignment horizontal="right"/>
      <protection hidden="1"/>
    </xf>
    <xf numFmtId="180" fontId="106" fillId="3" borderId="27" xfId="0" applyNumberFormat="1" applyFont="1" applyFill="1" applyBorder="1" applyAlignment="1" applyProtection="1">
      <alignment horizontal="right"/>
      <protection hidden="1"/>
    </xf>
    <xf numFmtId="180" fontId="106" fillId="3" borderId="35" xfId="0" applyNumberFormat="1" applyFont="1" applyFill="1" applyBorder="1" applyAlignment="1" applyProtection="1">
      <alignment horizontal="right"/>
      <protection hidden="1"/>
    </xf>
    <xf numFmtId="180" fontId="106" fillId="3" borderId="29" xfId="0" applyNumberFormat="1" applyFont="1" applyFill="1" applyBorder="1" applyAlignment="1" applyProtection="1">
      <alignment horizontal="right"/>
      <protection hidden="1"/>
    </xf>
    <xf numFmtId="180" fontId="106" fillId="3" borderId="15" xfId="0" applyNumberFormat="1" applyFont="1" applyFill="1" applyBorder="1" applyAlignment="1" applyProtection="1">
      <alignment horizontal="right"/>
      <protection hidden="1"/>
    </xf>
    <xf numFmtId="180" fontId="106" fillId="3" borderId="17" xfId="0" applyNumberFormat="1" applyFont="1" applyFill="1" applyBorder="1" applyAlignment="1" applyProtection="1">
      <alignment horizontal="right"/>
      <protection hidden="1"/>
    </xf>
    <xf numFmtId="180" fontId="106" fillId="3" borderId="14" xfId="0" applyNumberFormat="1" applyFont="1" applyFill="1" applyBorder="1" applyAlignment="1" applyProtection="1">
      <alignment horizontal="right"/>
      <protection hidden="1"/>
    </xf>
    <xf numFmtId="9" fontId="108" fillId="2" borderId="14" xfId="0" applyNumberFormat="1" applyFont="1" applyFill="1" applyBorder="1" applyAlignment="1" applyProtection="1">
      <alignment horizontal="center"/>
      <protection locked="0"/>
    </xf>
    <xf numFmtId="9" fontId="108" fillId="2" borderId="8" xfId="0" applyNumberFormat="1" applyFont="1" applyFill="1" applyBorder="1" applyAlignment="1" applyProtection="1">
      <alignment horizontal="center"/>
      <protection locked="0"/>
    </xf>
    <xf numFmtId="9" fontId="108" fillId="2" borderId="15" xfId="0" applyNumberFormat="1" applyFont="1" applyFill="1" applyBorder="1" applyAlignment="1" applyProtection="1">
      <alignment horizontal="center"/>
      <protection locked="0"/>
    </xf>
    <xf numFmtId="180" fontId="42" fillId="3" borderId="28" xfId="0" applyNumberFormat="1" applyFont="1" applyFill="1" applyBorder="1" applyAlignment="1" applyProtection="1">
      <alignment horizontal="right"/>
      <protection hidden="1"/>
    </xf>
    <xf numFmtId="180" fontId="42" fillId="3" borderId="34" xfId="0" applyNumberFormat="1" applyFont="1" applyFill="1" applyBorder="1" applyAlignment="1" applyProtection="1">
      <alignment horizontal="right"/>
      <protection hidden="1"/>
    </xf>
    <xf numFmtId="180" fontId="42" fillId="3" borderId="16" xfId="0" applyNumberFormat="1" applyFont="1" applyFill="1" applyBorder="1" applyAlignment="1" applyProtection="1">
      <alignment horizontal="right"/>
      <protection hidden="1"/>
    </xf>
    <xf numFmtId="0" fontId="0" fillId="0" borderId="17" xfId="0" applyBorder="1" applyAlignment="1" applyProtection="1">
      <alignment horizontal="justify" vertical="top"/>
      <protection hidden="1"/>
    </xf>
    <xf numFmtId="0" fontId="9" fillId="8" borderId="17" xfId="0" applyFont="1" applyFill="1" applyBorder="1" applyAlignment="1" applyProtection="1">
      <alignment horizontal="justify" vertical="center"/>
      <protection locked="0"/>
    </xf>
    <xf numFmtId="0" fontId="18" fillId="9" borderId="17" xfId="0" applyFont="1" applyFill="1" applyBorder="1" applyAlignment="1" applyProtection="1">
      <alignment horizontal="center"/>
      <protection hidden="1"/>
    </xf>
    <xf numFmtId="0" fontId="18" fillId="3" borderId="17" xfId="0" applyFont="1" applyFill="1" applyBorder="1" applyAlignment="1" applyProtection="1">
      <alignment horizontal="center"/>
      <protection hidden="1"/>
    </xf>
    <xf numFmtId="0" fontId="18" fillId="7" borderId="17" xfId="0" applyFont="1" applyFill="1" applyBorder="1" applyAlignment="1" applyProtection="1">
      <alignment horizontal="center"/>
      <protection hidden="1"/>
    </xf>
    <xf numFmtId="0" fontId="18" fillId="7" borderId="35" xfId="0" applyFont="1" applyFill="1" applyBorder="1" applyAlignment="1" applyProtection="1">
      <alignment horizontal="center"/>
      <protection hidden="1"/>
    </xf>
    <xf numFmtId="0" fontId="9" fillId="8" borderId="17" xfId="0" applyFont="1" applyFill="1" applyBorder="1" applyAlignment="1" applyProtection="1">
      <alignment horizontal="left" vertical="center"/>
      <protection locked="0"/>
    </xf>
    <xf numFmtId="0" fontId="11" fillId="0" borderId="11" xfId="0" applyFont="1" applyBorder="1" applyAlignment="1" applyProtection="1">
      <alignment horizontal="justify" vertical="top"/>
      <protection hidden="1"/>
    </xf>
    <xf numFmtId="0" fontId="11" fillId="0" borderId="27" xfId="0" applyFont="1" applyBorder="1" applyAlignment="1" applyProtection="1">
      <alignment horizontal="justify" vertical="top"/>
      <protection hidden="1"/>
    </xf>
    <xf numFmtId="0" fontId="9" fillId="8" borderId="0" xfId="0" applyFont="1" applyFill="1" applyAlignment="1" applyProtection="1">
      <alignment horizontal="justify" vertical="top"/>
      <protection locked="0"/>
    </xf>
    <xf numFmtId="0" fontId="9" fillId="8" borderId="28" xfId="0" applyFont="1" applyFill="1" applyBorder="1" applyAlignment="1" applyProtection="1">
      <alignment horizontal="justify" vertical="top"/>
      <protection locked="0"/>
    </xf>
    <xf numFmtId="0" fontId="9" fillId="8" borderId="5" xfId="0" applyFont="1" applyFill="1" applyBorder="1" applyAlignment="1" applyProtection="1">
      <alignment horizontal="justify" vertical="top"/>
      <protection locked="0"/>
    </xf>
    <xf numFmtId="0" fontId="9" fillId="8" borderId="30" xfId="0" applyFont="1" applyFill="1" applyBorder="1" applyAlignment="1" applyProtection="1">
      <alignment horizontal="justify" vertical="top"/>
      <protection locked="0"/>
    </xf>
    <xf numFmtId="0" fontId="0" fillId="0" borderId="35" xfId="0" applyBorder="1" applyAlignment="1" applyProtection="1">
      <alignment horizontal="justify" vertical="top"/>
      <protection hidden="1"/>
    </xf>
    <xf numFmtId="0" fontId="9" fillId="8" borderId="17" xfId="0" applyFont="1" applyFill="1" applyBorder="1" applyAlignment="1" applyProtection="1">
      <protection locked="0"/>
    </xf>
    <xf numFmtId="0" fontId="0" fillId="0" borderId="29" xfId="0" applyBorder="1" applyAlignment="1" applyProtection="1">
      <alignment horizontal="justify" vertical="center"/>
      <protection hidden="1"/>
    </xf>
    <xf numFmtId="0" fontId="0" fillId="0" borderId="11" xfId="0" applyBorder="1" applyAlignment="1" applyProtection="1">
      <alignment horizontal="justify" vertical="center"/>
      <protection hidden="1"/>
    </xf>
    <xf numFmtId="0" fontId="0" fillId="0" borderId="27" xfId="0" applyBorder="1" applyAlignment="1" applyProtection="1">
      <alignment horizontal="justify" vertical="center"/>
      <protection hidden="1"/>
    </xf>
    <xf numFmtId="0" fontId="0" fillId="0" borderId="31" xfId="0" applyBorder="1" applyAlignment="1" applyProtection="1">
      <alignment horizontal="justify" vertical="center"/>
      <protection hidden="1"/>
    </xf>
    <xf numFmtId="0" fontId="0" fillId="0" borderId="5" xfId="0" applyBorder="1" applyAlignment="1" applyProtection="1">
      <alignment horizontal="justify" vertical="center"/>
      <protection hidden="1"/>
    </xf>
    <xf numFmtId="0" fontId="0" fillId="0" borderId="30" xfId="0" applyBorder="1" applyAlignment="1" applyProtection="1">
      <alignment horizontal="justify" vertical="center"/>
      <protection hidden="1"/>
    </xf>
    <xf numFmtId="0" fontId="9" fillId="8" borderId="29" xfId="0" applyFont="1" applyFill="1" applyBorder="1" applyAlignment="1" applyProtection="1">
      <alignment horizontal="justify" vertical="center"/>
      <protection locked="0"/>
    </xf>
    <xf numFmtId="0" fontId="9" fillId="8" borderId="11" xfId="0" applyFont="1" applyFill="1" applyBorder="1" applyAlignment="1" applyProtection="1">
      <alignment horizontal="justify" vertical="center"/>
      <protection locked="0"/>
    </xf>
    <xf numFmtId="0" fontId="9" fillId="8" borderId="27" xfId="0" applyFont="1" applyFill="1" applyBorder="1" applyAlignment="1" applyProtection="1">
      <alignment horizontal="justify" vertical="center"/>
      <protection locked="0"/>
    </xf>
    <xf numFmtId="0" fontId="9" fillId="8" borderId="31" xfId="0" applyFont="1" applyFill="1" applyBorder="1" applyAlignment="1" applyProtection="1">
      <alignment horizontal="justify" vertical="center"/>
      <protection locked="0"/>
    </xf>
    <xf numFmtId="0" fontId="9" fillId="8" borderId="5" xfId="0" applyFont="1" applyFill="1" applyBorder="1" applyAlignment="1" applyProtection="1">
      <alignment horizontal="justify" vertical="center"/>
      <protection locked="0"/>
    </xf>
    <xf numFmtId="0" fontId="9" fillId="8" borderId="30" xfId="0" applyFont="1" applyFill="1" applyBorder="1" applyAlignment="1" applyProtection="1">
      <alignment horizontal="justify" vertical="center"/>
      <protection locked="0"/>
    </xf>
    <xf numFmtId="0" fontId="9" fillId="8" borderId="17" xfId="0" applyFont="1" applyFill="1" applyBorder="1" applyAlignment="1" applyProtection="1">
      <alignment horizontal="justify" vertical="top"/>
      <protection locked="0"/>
    </xf>
    <xf numFmtId="0" fontId="0" fillId="0" borderId="17" xfId="0" applyBorder="1" applyAlignment="1" applyProtection="1">
      <alignment vertical="top"/>
      <protection hidden="1"/>
    </xf>
    <xf numFmtId="0" fontId="9" fillId="8" borderId="29" xfId="0" applyFont="1" applyFill="1" applyBorder="1" applyAlignment="1" applyProtection="1">
      <alignment horizontal="justify" vertical="top"/>
      <protection locked="0"/>
    </xf>
    <xf numFmtId="0" fontId="9" fillId="8" borderId="11" xfId="0" applyFont="1" applyFill="1" applyBorder="1" applyAlignment="1" applyProtection="1">
      <alignment horizontal="justify" vertical="top"/>
      <protection locked="0"/>
    </xf>
    <xf numFmtId="0" fontId="9" fillId="8" borderId="27" xfId="0" applyFont="1" applyFill="1" applyBorder="1" applyAlignment="1" applyProtection="1">
      <alignment horizontal="justify" vertical="top"/>
      <protection locked="0"/>
    </xf>
    <xf numFmtId="0" fontId="9" fillId="8" borderId="16" xfId="0" applyFont="1" applyFill="1" applyBorder="1" applyAlignment="1" applyProtection="1">
      <alignment horizontal="justify" vertical="top"/>
      <protection locked="0"/>
    </xf>
    <xf numFmtId="0" fontId="12" fillId="8" borderId="0" xfId="0" applyFont="1" applyFill="1" applyAlignment="1" applyProtection="1">
      <alignment horizontal="justify" vertical="top"/>
      <protection locked="0"/>
    </xf>
    <xf numFmtId="0" fontId="12" fillId="8" borderId="28" xfId="0" applyFont="1" applyFill="1" applyBorder="1" applyAlignment="1" applyProtection="1">
      <alignment horizontal="justify" vertical="top"/>
      <protection locked="0"/>
    </xf>
    <xf numFmtId="0" fontId="12" fillId="8" borderId="5" xfId="0" applyFont="1" applyFill="1" applyBorder="1" applyAlignment="1" applyProtection="1">
      <alignment horizontal="justify" vertical="top"/>
      <protection locked="0"/>
    </xf>
    <xf numFmtId="0" fontId="12" fillId="8" borderId="30" xfId="0" applyFont="1" applyFill="1" applyBorder="1" applyAlignment="1" applyProtection="1">
      <alignment horizontal="justify" vertical="top"/>
      <protection locked="0"/>
    </xf>
    <xf numFmtId="0" fontId="9" fillId="8" borderId="36" xfId="0" applyFont="1" applyFill="1" applyBorder="1" applyAlignment="1" applyProtection="1">
      <alignment horizontal="justify" vertical="top"/>
      <protection locked="0"/>
    </xf>
    <xf numFmtId="0" fontId="9" fillId="8" borderId="35" xfId="0" applyFont="1" applyFill="1" applyBorder="1" applyAlignment="1" applyProtection="1">
      <alignment horizontal="justify" vertical="top"/>
      <protection locked="0"/>
    </xf>
    <xf numFmtId="0" fontId="0" fillId="0" borderId="17" xfId="0" applyBorder="1" applyAlignment="1" applyProtection="1">
      <alignment horizontal="justify" vertical="center"/>
      <protection hidden="1"/>
    </xf>
    <xf numFmtId="0" fontId="0" fillId="0" borderId="29" xfId="0" applyBorder="1" applyAlignment="1" applyProtection="1">
      <alignment horizontal="justify" vertical="top"/>
      <protection hidden="1"/>
    </xf>
    <xf numFmtId="0" fontId="0" fillId="0" borderId="11" xfId="0" applyBorder="1" applyAlignment="1" applyProtection="1">
      <alignment horizontal="justify" vertical="top"/>
      <protection hidden="1"/>
    </xf>
    <xf numFmtId="0" fontId="0" fillId="0" borderId="27" xfId="0" applyBorder="1" applyAlignment="1" applyProtection="1">
      <alignment horizontal="justify" vertical="top"/>
      <protection hidden="1"/>
    </xf>
    <xf numFmtId="0" fontId="0" fillId="0" borderId="16" xfId="0" applyBorder="1" applyAlignment="1" applyProtection="1">
      <alignment horizontal="justify" vertical="top"/>
      <protection hidden="1"/>
    </xf>
    <xf numFmtId="0" fontId="0" fillId="0" borderId="0" xfId="0" applyAlignment="1" applyProtection="1">
      <alignment horizontal="justify" vertical="top"/>
      <protection hidden="1"/>
    </xf>
    <xf numFmtId="0" fontId="0" fillId="0" borderId="28" xfId="0" applyBorder="1" applyAlignment="1" applyProtection="1">
      <alignment horizontal="justify" vertical="top"/>
      <protection hidden="1"/>
    </xf>
    <xf numFmtId="0" fontId="0" fillId="0" borderId="31" xfId="0" applyBorder="1" applyAlignment="1" applyProtection="1">
      <alignment horizontal="justify" vertical="top"/>
      <protection hidden="1"/>
    </xf>
    <xf numFmtId="0" fontId="0" fillId="0" borderId="5" xfId="0" applyBorder="1" applyAlignment="1" applyProtection="1">
      <alignment horizontal="justify" vertical="top"/>
      <protection hidden="1"/>
    </xf>
    <xf numFmtId="0" fontId="0" fillId="0" borderId="30" xfId="0" applyBorder="1" applyAlignment="1" applyProtection="1">
      <alignment horizontal="justify" vertical="top"/>
      <protection hidden="1"/>
    </xf>
    <xf numFmtId="0" fontId="12" fillId="0" borderId="17" xfId="4" applyFont="1" applyBorder="1" applyAlignment="1" applyProtection="1">
      <alignment horizontal="justify" vertical="top"/>
      <protection hidden="1"/>
    </xf>
    <xf numFmtId="0" fontId="12" fillId="0" borderId="14" xfId="4" applyFont="1" applyBorder="1" applyAlignment="1" applyProtection="1">
      <alignment horizontal="justify" vertical="top"/>
      <protection hidden="1"/>
    </xf>
    <xf numFmtId="0" fontId="12" fillId="8" borderId="29" xfId="4" applyFont="1" applyFill="1" applyBorder="1" applyAlignment="1" applyProtection="1">
      <alignment horizontal="justify" vertical="top"/>
      <protection locked="0"/>
    </xf>
    <xf numFmtId="0" fontId="12" fillId="8" borderId="11" xfId="4" applyFont="1" applyFill="1" applyBorder="1" applyAlignment="1" applyProtection="1">
      <alignment horizontal="justify" vertical="top"/>
      <protection locked="0"/>
    </xf>
    <xf numFmtId="0" fontId="12" fillId="8" borderId="27" xfId="4" applyFont="1" applyFill="1" applyBorder="1" applyAlignment="1" applyProtection="1">
      <alignment horizontal="justify" vertical="top"/>
      <protection locked="0"/>
    </xf>
    <xf numFmtId="0" fontId="12" fillId="8" borderId="16" xfId="4" applyFont="1" applyFill="1" applyBorder="1" applyAlignment="1" applyProtection="1">
      <alignment horizontal="justify" vertical="top"/>
      <protection locked="0"/>
    </xf>
    <xf numFmtId="0" fontId="12" fillId="8" borderId="0" xfId="4" applyFont="1" applyFill="1" applyAlignment="1" applyProtection="1">
      <alignment horizontal="justify" vertical="top"/>
      <protection locked="0"/>
    </xf>
    <xf numFmtId="0" fontId="12" fillId="8" borderId="28" xfId="4" applyFont="1" applyFill="1" applyBorder="1" applyAlignment="1" applyProtection="1">
      <alignment horizontal="justify" vertical="top"/>
      <protection locked="0"/>
    </xf>
    <xf numFmtId="0" fontId="12" fillId="8" borderId="5" xfId="4" applyFont="1" applyFill="1" applyBorder="1" applyAlignment="1" applyProtection="1">
      <alignment horizontal="justify" vertical="top"/>
      <protection locked="0"/>
    </xf>
    <xf numFmtId="0" fontId="12" fillId="8" borderId="30" xfId="4" applyFont="1" applyFill="1" applyBorder="1" applyAlignment="1" applyProtection="1">
      <alignment horizontal="justify" vertical="top"/>
      <protection locked="0"/>
    </xf>
    <xf numFmtId="0" fontId="0" fillId="0" borderId="16" xfId="0" applyBorder="1" applyAlignment="1" applyProtection="1">
      <alignment horizontal="justify" vertical="center"/>
      <protection hidden="1"/>
    </xf>
    <xf numFmtId="0" fontId="0" fillId="0" borderId="0" xfId="0" applyAlignment="1" applyProtection="1">
      <alignment horizontal="justify" vertical="center"/>
      <protection hidden="1"/>
    </xf>
    <xf numFmtId="0" fontId="0" fillId="0" borderId="28" xfId="0" applyBorder="1" applyAlignment="1" applyProtection="1">
      <alignment horizontal="justify" vertical="center"/>
      <protection hidden="1"/>
    </xf>
    <xf numFmtId="0" fontId="9" fillId="8" borderId="16" xfId="0" applyFont="1" applyFill="1" applyBorder="1" applyAlignment="1" applyProtection="1">
      <alignment horizontal="justify" vertical="center"/>
      <protection locked="0"/>
    </xf>
    <xf numFmtId="0" fontId="9" fillId="8" borderId="0" xfId="0" applyFont="1" applyFill="1" applyAlignment="1" applyProtection="1">
      <alignment horizontal="justify" vertical="center"/>
      <protection locked="0"/>
    </xf>
    <xf numFmtId="0" fontId="9" fillId="8" borderId="28" xfId="0" applyFont="1" applyFill="1" applyBorder="1" applyAlignment="1" applyProtection="1">
      <alignment horizontal="justify" vertical="center"/>
      <protection locked="0"/>
    </xf>
    <xf numFmtId="0" fontId="12" fillId="8" borderId="17" xfId="0" applyFont="1" applyFill="1" applyBorder="1" applyAlignment="1" applyProtection="1">
      <alignment horizontal="justify" vertical="center"/>
      <protection locked="0"/>
    </xf>
    <xf numFmtId="0" fontId="12" fillId="8" borderId="31" xfId="4" applyFont="1" applyFill="1" applyBorder="1" applyAlignment="1" applyProtection="1">
      <alignment horizontal="justify" vertical="top"/>
      <protection locked="0"/>
    </xf>
    <xf numFmtId="0" fontId="12" fillId="0" borderId="35" xfId="4" applyFont="1" applyBorder="1" applyAlignment="1" applyProtection="1">
      <alignment horizontal="justify" vertical="top"/>
      <protection hidden="1"/>
    </xf>
    <xf numFmtId="0" fontId="12" fillId="0" borderId="29" xfId="4" applyFont="1" applyBorder="1" applyAlignment="1" applyProtection="1">
      <alignment horizontal="justify" vertical="top"/>
      <protection hidden="1"/>
    </xf>
    <xf numFmtId="0" fontId="12" fillId="8" borderId="29" xfId="0" applyFont="1" applyFill="1" applyBorder="1" applyProtection="1">
      <alignment vertical="center"/>
      <protection locked="0"/>
    </xf>
    <xf numFmtId="0" fontId="12" fillId="8" borderId="11" xfId="0" applyFont="1" applyFill="1" applyBorder="1" applyProtection="1">
      <alignment vertical="center"/>
      <protection locked="0"/>
    </xf>
    <xf numFmtId="0" fontId="12" fillId="8" borderId="27" xfId="0" applyFont="1" applyFill="1" applyBorder="1" applyProtection="1">
      <alignment vertical="center"/>
      <protection locked="0"/>
    </xf>
    <xf numFmtId="0" fontId="12" fillId="8" borderId="31" xfId="0" applyFont="1" applyFill="1" applyBorder="1" applyProtection="1">
      <alignment vertical="center"/>
      <protection locked="0"/>
    </xf>
    <xf numFmtId="0" fontId="12" fillId="8" borderId="5" xfId="0" applyFont="1" applyFill="1" applyBorder="1" applyProtection="1">
      <alignment vertical="center"/>
      <protection locked="0"/>
    </xf>
    <xf numFmtId="0" fontId="12" fillId="8" borderId="30" xfId="0" applyFont="1" applyFill="1" applyBorder="1" applyProtection="1">
      <alignment vertical="center"/>
      <protection locked="0"/>
    </xf>
    <xf numFmtId="0" fontId="12" fillId="8" borderId="29" xfId="0" applyFont="1" applyFill="1" applyBorder="1" applyAlignment="1" applyProtection="1">
      <alignment horizontal="justify" vertical="center"/>
      <protection locked="0"/>
    </xf>
    <xf numFmtId="0" fontId="12" fillId="8" borderId="11" xfId="0" applyFont="1" applyFill="1" applyBorder="1" applyAlignment="1" applyProtection="1">
      <alignment horizontal="justify" vertical="center"/>
      <protection locked="0"/>
    </xf>
    <xf numFmtId="0" fontId="12" fillId="8" borderId="27" xfId="0" applyFont="1" applyFill="1" applyBorder="1" applyAlignment="1" applyProtection="1">
      <alignment horizontal="justify" vertical="center"/>
      <protection locked="0"/>
    </xf>
    <xf numFmtId="0" fontId="12" fillId="8" borderId="31" xfId="0" applyFont="1" applyFill="1" applyBorder="1" applyAlignment="1" applyProtection="1">
      <alignment horizontal="justify" vertical="center"/>
      <protection locked="0"/>
    </xf>
    <xf numFmtId="0" fontId="12" fillId="8" borderId="5" xfId="0" applyFont="1" applyFill="1" applyBorder="1" applyAlignment="1" applyProtection="1">
      <alignment horizontal="justify" vertical="center"/>
      <protection locked="0"/>
    </xf>
    <xf numFmtId="0" fontId="12" fillId="8" borderId="30" xfId="0" applyFont="1" applyFill="1" applyBorder="1" applyAlignment="1" applyProtection="1">
      <alignment horizontal="justify" vertical="center"/>
      <protection locked="0"/>
    </xf>
    <xf numFmtId="0" fontId="11" fillId="7" borderId="35" xfId="4" applyFont="1" applyFill="1" applyBorder="1" applyAlignment="1" applyProtection="1">
      <alignment horizontal="center" vertical="top"/>
      <protection hidden="1"/>
    </xf>
    <xf numFmtId="0" fontId="11" fillId="7" borderId="17" xfId="4" applyFont="1" applyFill="1" applyBorder="1" applyAlignment="1" applyProtection="1">
      <alignment horizontal="center" vertical="top"/>
      <protection hidden="1"/>
    </xf>
    <xf numFmtId="0" fontId="11" fillId="7" borderId="14" xfId="4" applyFont="1" applyFill="1" applyBorder="1" applyAlignment="1" applyProtection="1">
      <alignment horizontal="center" vertical="top"/>
      <protection hidden="1"/>
    </xf>
    <xf numFmtId="0" fontId="11" fillId="7" borderId="8" xfId="4" applyFont="1" applyFill="1" applyBorder="1" applyAlignment="1" applyProtection="1">
      <alignment horizontal="center" vertical="top"/>
      <protection hidden="1"/>
    </xf>
    <xf numFmtId="0" fontId="11" fillId="7" borderId="15" xfId="4" applyFont="1" applyFill="1" applyBorder="1" applyAlignment="1" applyProtection="1">
      <alignment horizontal="center" vertical="top"/>
      <protection hidden="1"/>
    </xf>
    <xf numFmtId="0" fontId="12" fillId="8" borderId="17" xfId="0" applyFont="1" applyFill="1" applyBorder="1" applyProtection="1">
      <alignment vertical="center"/>
      <protection locked="0"/>
    </xf>
    <xf numFmtId="0" fontId="12" fillId="0" borderId="36" xfId="4" applyFont="1" applyBorder="1" applyAlignment="1" applyProtection="1">
      <alignment horizontal="justify" vertical="top"/>
      <protection hidden="1"/>
    </xf>
    <xf numFmtId="0" fontId="12" fillId="0" borderId="31" xfId="4" applyFont="1" applyBorder="1" applyAlignment="1" applyProtection="1">
      <alignment horizontal="justify" vertical="top"/>
      <protection hidden="1"/>
    </xf>
    <xf numFmtId="0" fontId="11" fillId="7" borderId="29" xfId="4" applyFont="1" applyFill="1" applyBorder="1" applyAlignment="1" applyProtection="1">
      <alignment horizontal="center" vertical="top"/>
      <protection hidden="1"/>
    </xf>
    <xf numFmtId="0" fontId="11" fillId="7" borderId="11" xfId="4" applyFont="1" applyFill="1" applyBorder="1" applyAlignment="1" applyProtection="1">
      <alignment horizontal="center" vertical="top"/>
      <protection hidden="1"/>
    </xf>
    <xf numFmtId="0" fontId="11" fillId="7" borderId="27" xfId="4" applyFont="1" applyFill="1" applyBorder="1" applyAlignment="1" applyProtection="1">
      <alignment horizontal="center" vertical="top"/>
      <protection hidden="1"/>
    </xf>
    <xf numFmtId="0" fontId="20" fillId="0" borderId="35" xfId="0" applyFont="1" applyBorder="1" applyAlignment="1" applyProtection="1">
      <alignment horizontal="center" vertical="top"/>
      <protection hidden="1"/>
    </xf>
    <xf numFmtId="0" fontId="20" fillId="0" borderId="34" xfId="0" applyFont="1" applyBorder="1" applyAlignment="1" applyProtection="1">
      <alignment horizontal="center" vertical="top"/>
      <protection hidden="1"/>
    </xf>
    <xf numFmtId="0" fontId="20" fillId="0" borderId="36" xfId="0" applyFont="1" applyBorder="1" applyAlignment="1" applyProtection="1">
      <alignment horizontal="center" vertical="top"/>
      <protection hidden="1"/>
    </xf>
    <xf numFmtId="0" fontId="12" fillId="8" borderId="29" xfId="0" applyFont="1" applyFill="1" applyBorder="1" applyAlignment="1" applyProtection="1">
      <alignment horizontal="justify" vertical="top"/>
      <protection locked="0"/>
    </xf>
    <xf numFmtId="0" fontId="12" fillId="8" borderId="11" xfId="0" applyFont="1" applyFill="1" applyBorder="1" applyAlignment="1" applyProtection="1">
      <alignment horizontal="justify" vertical="top"/>
      <protection locked="0"/>
    </xf>
    <xf numFmtId="0" fontId="12" fillId="8" borderId="27" xfId="0" applyFont="1" applyFill="1" applyBorder="1" applyAlignment="1" applyProtection="1">
      <alignment horizontal="justify" vertical="top"/>
      <protection locked="0"/>
    </xf>
    <xf numFmtId="0" fontId="12" fillId="8" borderId="16" xfId="0" applyFont="1" applyFill="1" applyBorder="1" applyAlignment="1" applyProtection="1">
      <alignment horizontal="justify" vertical="top"/>
      <protection locked="0"/>
    </xf>
    <xf numFmtId="0" fontId="12" fillId="8" borderId="31" xfId="0" applyFont="1" applyFill="1" applyBorder="1" applyAlignment="1" applyProtection="1">
      <alignment horizontal="justify" vertical="top"/>
      <protection locked="0"/>
    </xf>
    <xf numFmtId="0" fontId="18" fillId="16" borderId="14" xfId="0" applyFont="1" applyFill="1" applyBorder="1" applyAlignment="1" applyProtection="1">
      <alignment horizontal="center"/>
      <protection hidden="1"/>
    </xf>
    <xf numFmtId="0" fontId="18" fillId="16" borderId="8" xfId="0" applyFont="1" applyFill="1" applyBorder="1" applyAlignment="1" applyProtection="1">
      <alignment horizontal="center"/>
      <protection hidden="1"/>
    </xf>
    <xf numFmtId="0" fontId="18" fillId="16" borderId="15" xfId="0" applyFont="1" applyFill="1" applyBorder="1" applyAlignment="1" applyProtection="1">
      <alignment horizontal="center"/>
      <protection hidden="1"/>
    </xf>
    <xf numFmtId="43" fontId="79" fillId="2" borderId="0" xfId="0" applyNumberFormat="1" applyFont="1" applyFill="1" applyAlignment="1">
      <alignment horizontal="center" vertical="center"/>
    </xf>
    <xf numFmtId="0" fontId="76" fillId="31" borderId="17" xfId="0" applyFont="1" applyFill="1" applyBorder="1" applyAlignment="1">
      <alignment horizontal="left"/>
    </xf>
    <xf numFmtId="182" fontId="6" fillId="0" borderId="18" xfId="0" applyNumberFormat="1" applyFont="1" applyBorder="1" applyAlignment="1">
      <alignment horizontal="center"/>
    </xf>
    <xf numFmtId="179" fontId="76" fillId="0" borderId="17" xfId="0" applyNumberFormat="1" applyFont="1" applyBorder="1" applyAlignment="1">
      <alignment horizontal="left"/>
    </xf>
    <xf numFmtId="43" fontId="77" fillId="0" borderId="14" xfId="0" applyNumberFormat="1" applyFont="1" applyBorder="1" applyAlignment="1">
      <alignment horizontal="center"/>
    </xf>
    <xf numFmtId="0" fontId="77" fillId="0" borderId="15" xfId="0" applyFont="1" applyBorder="1" applyAlignment="1">
      <alignment horizontal="center"/>
    </xf>
    <xf numFmtId="0" fontId="77" fillId="0" borderId="14" xfId="0" applyFont="1" applyBorder="1" applyAlignment="1">
      <alignment horizontal="left"/>
    </xf>
    <xf numFmtId="0" fontId="77" fillId="0" borderId="15" xfId="0" applyFont="1" applyBorder="1" applyAlignment="1">
      <alignment horizontal="left"/>
    </xf>
    <xf numFmtId="186" fontId="8" fillId="28" borderId="1" xfId="0" quotePrefix="1" applyNumberFormat="1" applyFont="1" applyFill="1" applyBorder="1" applyAlignment="1">
      <alignment horizontal="center" vertical="center"/>
    </xf>
    <xf numFmtId="186" fontId="8" fillId="28" borderId="2" xfId="0" quotePrefix="1" applyNumberFormat="1" applyFont="1" applyFill="1" applyBorder="1" applyAlignment="1">
      <alignment horizontal="center" vertical="center"/>
    </xf>
    <xf numFmtId="0" fontId="8" fillId="0" borderId="0" xfId="0" applyFont="1" applyAlignment="1">
      <alignment horizontal="left" vertical="center"/>
    </xf>
    <xf numFmtId="186" fontId="8" fillId="28" borderId="7" xfId="0" quotePrefix="1" applyNumberFormat="1" applyFont="1" applyFill="1" applyBorder="1" applyAlignment="1">
      <alignment horizontal="center" vertical="center"/>
    </xf>
    <xf numFmtId="186" fontId="8" fillId="28" borderId="8" xfId="0" quotePrefix="1" applyNumberFormat="1" applyFont="1" applyFill="1" applyBorder="1" applyAlignment="1">
      <alignment horizontal="center" vertical="center"/>
    </xf>
    <xf numFmtId="186" fontId="8" fillId="28" borderId="61" xfId="0" quotePrefix="1" applyNumberFormat="1" applyFont="1" applyFill="1" applyBorder="1" applyAlignment="1">
      <alignment horizontal="center" vertical="center"/>
    </xf>
    <xf numFmtId="186" fontId="8" fillId="28" borderId="52" xfId="0" quotePrefix="1" applyNumberFormat="1" applyFont="1" applyFill="1" applyBorder="1" applyAlignment="1">
      <alignment horizontal="center" vertical="center"/>
    </xf>
    <xf numFmtId="186" fontId="8" fillId="28" borderId="19" xfId="0" quotePrefix="1" applyNumberFormat="1" applyFont="1" applyFill="1" applyBorder="1" applyAlignment="1">
      <alignment horizontal="center" vertical="center"/>
    </xf>
    <xf numFmtId="186" fontId="8" fillId="28" borderId="18" xfId="0" quotePrefix="1" applyNumberFormat="1" applyFont="1" applyFill="1" applyBorder="1" applyAlignment="1">
      <alignment horizontal="center" vertical="center"/>
    </xf>
    <xf numFmtId="179" fontId="8" fillId="0" borderId="0" xfId="0" applyNumberFormat="1" applyFont="1" applyAlignment="1">
      <alignment horizontal="left" vertical="center"/>
    </xf>
    <xf numFmtId="0" fontId="16" fillId="32" borderId="21" xfId="0" quotePrefix="1" applyFont="1" applyFill="1" applyBorder="1" applyAlignment="1">
      <alignment horizontal="center" vertical="center"/>
    </xf>
    <xf numFmtId="0" fontId="16" fillId="32" borderId="22" xfId="0" quotePrefix="1" applyFont="1" applyFill="1" applyBorder="1" applyAlignment="1">
      <alignment horizontal="center" vertical="center"/>
    </xf>
    <xf numFmtId="179" fontId="16" fillId="3" borderId="22" xfId="0" applyNumberFormat="1" applyFont="1" applyFill="1" applyBorder="1" applyAlignment="1">
      <alignment horizontal="center" vertical="center"/>
    </xf>
    <xf numFmtId="179" fontId="16" fillId="2" borderId="0" xfId="0" quotePrefix="1" applyNumberFormat="1" applyFont="1" applyFill="1" applyAlignment="1">
      <alignment horizontal="left" vertical="center"/>
    </xf>
    <xf numFmtId="0" fontId="63" fillId="24" borderId="7" xfId="0" applyFont="1" applyFill="1" applyBorder="1" applyAlignment="1" applyProtection="1">
      <alignment horizontal="center" vertical="center"/>
      <protection hidden="1"/>
    </xf>
    <xf numFmtId="0" fontId="63" fillId="24" borderId="8" xfId="0" applyFont="1" applyFill="1" applyBorder="1" applyAlignment="1" applyProtection="1">
      <alignment horizontal="center" vertical="center"/>
      <protection hidden="1"/>
    </xf>
    <xf numFmtId="0" fontId="63" fillId="24" borderId="9" xfId="0" applyFont="1" applyFill="1" applyBorder="1" applyAlignment="1" applyProtection="1">
      <alignment horizontal="center" vertical="center"/>
      <protection hidden="1"/>
    </xf>
    <xf numFmtId="179" fontId="0" fillId="3" borderId="14" xfId="3" applyNumberFormat="1" applyFont="1" applyFill="1" applyBorder="1" applyAlignment="1" applyProtection="1">
      <alignment horizontal="right" vertical="center"/>
      <protection hidden="1"/>
    </xf>
    <xf numFmtId="179" fontId="0" fillId="3" borderId="8" xfId="3" applyNumberFormat="1" applyFont="1" applyFill="1" applyBorder="1" applyAlignment="1" applyProtection="1">
      <alignment horizontal="right" vertical="center"/>
      <protection hidden="1"/>
    </xf>
    <xf numFmtId="179" fontId="0" fillId="3" borderId="15" xfId="3" applyNumberFormat="1" applyFont="1" applyFill="1" applyBorder="1" applyAlignment="1" applyProtection="1">
      <alignment horizontal="right" vertical="center"/>
      <protection hidden="1"/>
    </xf>
    <xf numFmtId="164" fontId="21" fillId="3" borderId="8" xfId="9" applyNumberFormat="1" applyFont="1" applyFill="1" applyBorder="1" applyAlignment="1" applyProtection="1">
      <alignment horizontal="center" vertical="center"/>
      <protection hidden="1"/>
    </xf>
    <xf numFmtId="0" fontId="8" fillId="20" borderId="8" xfId="0" applyFont="1" applyFill="1" applyBorder="1" applyAlignment="1" applyProtection="1">
      <alignment horizontal="left" vertical="top" wrapText="1"/>
      <protection hidden="1"/>
    </xf>
    <xf numFmtId="164" fontId="21" fillId="3" borderId="5" xfId="0" applyNumberFormat="1" applyFont="1" applyFill="1" applyBorder="1" applyAlignment="1" applyProtection="1">
      <alignment horizontal="center" vertical="center"/>
      <protection hidden="1"/>
    </xf>
    <xf numFmtId="0" fontId="8" fillId="20" borderId="5" xfId="0" applyFont="1" applyFill="1" applyBorder="1" applyAlignment="1" applyProtection="1">
      <alignment horizontal="left" vertical="top" wrapText="1"/>
      <protection hidden="1"/>
    </xf>
    <xf numFmtId="3" fontId="36" fillId="19" borderId="60" xfId="0" quotePrefix="1" applyNumberFormat="1" applyFont="1" applyFill="1" applyBorder="1" applyAlignment="1" applyProtection="1">
      <alignment horizontal="left" vertical="center"/>
      <protection hidden="1"/>
    </xf>
    <xf numFmtId="0" fontId="36" fillId="19" borderId="56" xfId="0" quotePrefix="1" applyFont="1" applyFill="1" applyBorder="1" applyAlignment="1" applyProtection="1">
      <alignment horizontal="left" vertical="center"/>
      <protection hidden="1"/>
    </xf>
    <xf numFmtId="0" fontId="36" fillId="19" borderId="63" xfId="0" quotePrefix="1" applyFont="1" applyFill="1" applyBorder="1" applyAlignment="1" applyProtection="1">
      <alignment horizontal="left" vertical="center"/>
      <protection hidden="1"/>
    </xf>
    <xf numFmtId="0" fontId="36" fillId="19" borderId="39" xfId="0" quotePrefix="1" applyFont="1" applyFill="1" applyBorder="1" applyAlignment="1" applyProtection="1">
      <alignment horizontal="left" vertical="center"/>
      <protection locked="0"/>
    </xf>
    <xf numFmtId="0" fontId="36" fillId="19" borderId="17" xfId="0" quotePrefix="1" applyFont="1" applyFill="1" applyBorder="1" applyAlignment="1" applyProtection="1">
      <alignment horizontal="left" vertical="center"/>
      <protection locked="0"/>
    </xf>
    <xf numFmtId="0" fontId="36" fillId="19" borderId="14" xfId="0" quotePrefix="1" applyFont="1" applyFill="1" applyBorder="1" applyAlignment="1" applyProtection="1">
      <alignment horizontal="left" vertical="center"/>
      <protection locked="0"/>
    </xf>
    <xf numFmtId="0" fontId="36" fillId="19" borderId="39" xfId="0" quotePrefix="1" applyFont="1" applyFill="1" applyBorder="1" applyAlignment="1" applyProtection="1">
      <alignment horizontal="left" vertical="center"/>
      <protection hidden="1"/>
    </xf>
    <xf numFmtId="0" fontId="36" fillId="19" borderId="17" xfId="0" quotePrefix="1" applyFont="1" applyFill="1" applyBorder="1" applyAlignment="1" applyProtection="1">
      <alignment horizontal="left" vertical="center"/>
      <protection hidden="1"/>
    </xf>
    <xf numFmtId="0" fontId="36" fillId="19" borderId="14" xfId="0" quotePrefix="1" applyFont="1" applyFill="1" applyBorder="1" applyAlignment="1" applyProtection="1">
      <alignment horizontal="left" vertical="center"/>
      <protection hidden="1"/>
    </xf>
    <xf numFmtId="179" fontId="5" fillId="3" borderId="62" xfId="0" applyNumberFormat="1" applyFont="1" applyFill="1" applyBorder="1" applyAlignment="1" applyProtection="1">
      <alignment horizontal="right" vertical="center"/>
      <protection hidden="1"/>
    </xf>
    <xf numFmtId="179" fontId="5" fillId="3" borderId="56" xfId="0" applyNumberFormat="1" applyFont="1" applyFill="1" applyBorder="1" applyAlignment="1" applyProtection="1">
      <alignment horizontal="right" vertical="center"/>
      <protection hidden="1"/>
    </xf>
    <xf numFmtId="179" fontId="5" fillId="3" borderId="57" xfId="0" applyNumberFormat="1" applyFont="1" applyFill="1" applyBorder="1" applyAlignment="1" applyProtection="1">
      <alignment horizontal="right" vertical="center"/>
      <protection hidden="1"/>
    </xf>
    <xf numFmtId="179" fontId="5" fillId="3" borderId="15" xfId="0" applyNumberFormat="1" applyFont="1" applyFill="1" applyBorder="1" applyAlignment="1" applyProtection="1">
      <alignment horizontal="right" vertical="center"/>
      <protection hidden="1"/>
    </xf>
    <xf numFmtId="179" fontId="5" fillId="3" borderId="17" xfId="0" applyNumberFormat="1" applyFont="1" applyFill="1" applyBorder="1" applyAlignment="1" applyProtection="1">
      <alignment horizontal="right" vertical="center"/>
      <protection hidden="1"/>
    </xf>
    <xf numFmtId="179" fontId="5" fillId="3" borderId="40" xfId="0" applyNumberFormat="1" applyFont="1" applyFill="1" applyBorder="1" applyAlignment="1" applyProtection="1">
      <alignment horizontal="right" vertical="center"/>
      <protection hidden="1"/>
    </xf>
    <xf numFmtId="10" fontId="16" fillId="2" borderId="15" xfId="0" applyNumberFormat="1" applyFont="1" applyFill="1" applyBorder="1" applyAlignment="1" applyProtection="1">
      <alignment horizontal="center" vertical="center"/>
      <protection locked="0"/>
    </xf>
    <xf numFmtId="10" fontId="16" fillId="2" borderId="17" xfId="0" applyNumberFormat="1" applyFont="1" applyFill="1" applyBorder="1" applyAlignment="1" applyProtection="1">
      <alignment horizontal="center" vertical="center"/>
      <protection locked="0"/>
    </xf>
    <xf numFmtId="10" fontId="16" fillId="2" borderId="40" xfId="0" applyNumberFormat="1" applyFont="1" applyFill="1" applyBorder="1" applyAlignment="1" applyProtection="1">
      <alignment horizontal="center" vertical="center"/>
      <protection locked="0"/>
    </xf>
    <xf numFmtId="0" fontId="16" fillId="2" borderId="15" xfId="0" applyFont="1" applyFill="1" applyBorder="1" applyAlignment="1" applyProtection="1">
      <alignment horizontal="center" vertical="center"/>
      <protection locked="0"/>
    </xf>
    <xf numFmtId="0" fontId="16" fillId="2" borderId="17" xfId="0" applyFont="1" applyFill="1" applyBorder="1" applyAlignment="1" applyProtection="1">
      <alignment horizontal="center" vertical="center"/>
      <protection locked="0"/>
    </xf>
    <xf numFmtId="0" fontId="16" fillId="2" borderId="40" xfId="0" applyFont="1" applyFill="1" applyBorder="1" applyAlignment="1" applyProtection="1">
      <alignment horizontal="center" vertical="center"/>
      <protection locked="0"/>
    </xf>
    <xf numFmtId="10" fontId="70" fillId="2" borderId="8" xfId="0" applyNumberFormat="1" applyFont="1" applyFill="1" applyBorder="1" applyAlignment="1" applyProtection="1">
      <alignment horizontal="center" vertical="center"/>
      <protection locked="0"/>
    </xf>
    <xf numFmtId="10" fontId="70" fillId="2" borderId="15" xfId="0" applyNumberFormat="1" applyFont="1" applyFill="1" applyBorder="1" applyAlignment="1" applyProtection="1">
      <alignment horizontal="center" vertical="center"/>
      <protection locked="0"/>
    </xf>
    <xf numFmtId="10" fontId="70" fillId="2" borderId="8" xfId="0" applyNumberFormat="1" applyFont="1" applyFill="1" applyBorder="1" applyAlignment="1" applyProtection="1">
      <alignment horizontal="center" vertical="center"/>
      <protection hidden="1"/>
    </xf>
    <xf numFmtId="10" fontId="70" fillId="2" borderId="15" xfId="0" applyNumberFormat="1" applyFont="1" applyFill="1" applyBorder="1" applyAlignment="1" applyProtection="1">
      <alignment horizontal="center" vertical="center"/>
      <protection hidden="1"/>
    </xf>
    <xf numFmtId="0" fontId="36" fillId="19" borderId="7" xfId="0" quotePrefix="1" applyFont="1" applyFill="1" applyBorder="1" applyAlignment="1" applyProtection="1">
      <alignment horizontal="left" vertical="center"/>
      <protection hidden="1"/>
    </xf>
    <xf numFmtId="0" fontId="36" fillId="19" borderId="8" xfId="0" quotePrefix="1" applyFont="1" applyFill="1" applyBorder="1" applyAlignment="1" applyProtection="1">
      <alignment horizontal="left" vertical="center"/>
      <protection hidden="1"/>
    </xf>
    <xf numFmtId="10" fontId="0" fillId="3" borderId="16" xfId="3" applyNumberFormat="1" applyFont="1" applyFill="1" applyBorder="1" applyAlignment="1" applyProtection="1">
      <alignment horizontal="right" vertical="center"/>
      <protection hidden="1"/>
    </xf>
    <xf numFmtId="10" fontId="0" fillId="3" borderId="0" xfId="3" applyNumberFormat="1" applyFont="1" applyFill="1" applyBorder="1" applyAlignment="1" applyProtection="1">
      <alignment horizontal="right" vertical="center"/>
      <protection hidden="1"/>
    </xf>
    <xf numFmtId="10" fontId="0" fillId="3" borderId="28" xfId="3" applyNumberFormat="1" applyFont="1" applyFill="1" applyBorder="1" applyAlignment="1" applyProtection="1">
      <alignment horizontal="right" vertical="center"/>
      <protection hidden="1"/>
    </xf>
    <xf numFmtId="1" fontId="0" fillId="3" borderId="16" xfId="3" applyNumberFormat="1" applyFont="1" applyFill="1" applyBorder="1" applyAlignment="1" applyProtection="1">
      <alignment horizontal="right" vertical="center"/>
      <protection hidden="1"/>
    </xf>
    <xf numFmtId="1" fontId="0" fillId="3" borderId="0" xfId="3" applyNumberFormat="1" applyFont="1" applyFill="1" applyBorder="1" applyAlignment="1" applyProtection="1">
      <alignment horizontal="right" vertical="center"/>
      <protection hidden="1"/>
    </xf>
    <xf numFmtId="1" fontId="0" fillId="3" borderId="28" xfId="3" applyNumberFormat="1" applyFont="1" applyFill="1" applyBorder="1" applyAlignment="1" applyProtection="1">
      <alignment horizontal="right" vertical="center"/>
      <protection hidden="1"/>
    </xf>
    <xf numFmtId="180" fontId="0" fillId="3" borderId="31" xfId="3" applyNumberFormat="1" applyFont="1" applyFill="1" applyBorder="1" applyAlignment="1" applyProtection="1">
      <alignment horizontal="right" vertical="center"/>
      <protection hidden="1"/>
    </xf>
    <xf numFmtId="180" fontId="0" fillId="3" borderId="5" xfId="3" applyNumberFormat="1" applyFont="1" applyFill="1" applyBorder="1" applyAlignment="1" applyProtection="1">
      <alignment horizontal="right" vertical="center"/>
      <protection hidden="1"/>
    </xf>
    <xf numFmtId="180" fontId="0" fillId="3" borderId="30" xfId="3" applyNumberFormat="1" applyFont="1" applyFill="1" applyBorder="1" applyAlignment="1" applyProtection="1">
      <alignment horizontal="right" vertical="center"/>
      <protection hidden="1"/>
    </xf>
    <xf numFmtId="0" fontId="21" fillId="2" borderId="0" xfId="0" applyFont="1" applyFill="1" applyAlignment="1" applyProtection="1">
      <alignment horizontal="left" vertical="top" wrapText="1"/>
      <protection hidden="1"/>
    </xf>
    <xf numFmtId="164" fontId="21" fillId="2" borderId="0" xfId="0" applyNumberFormat="1" applyFont="1" applyFill="1" applyAlignment="1" applyProtection="1">
      <alignment horizontal="left" vertical="top"/>
      <protection hidden="1"/>
    </xf>
    <xf numFmtId="0" fontId="8" fillId="20" borderId="11" xfId="0" applyFont="1" applyFill="1" applyBorder="1" applyAlignment="1" applyProtection="1">
      <alignment horizontal="left" vertical="top" wrapText="1"/>
      <protection hidden="1"/>
    </xf>
    <xf numFmtId="9" fontId="21" fillId="2" borderId="0" xfId="18" applyFont="1" applyFill="1" applyBorder="1" applyAlignment="1" applyProtection="1">
      <alignment horizontal="center" vertical="center"/>
      <protection hidden="1"/>
    </xf>
    <xf numFmtId="164" fontId="21" fillId="3" borderId="8" xfId="0" applyNumberFormat="1" applyFont="1" applyFill="1" applyBorder="1" applyAlignment="1" applyProtection="1">
      <alignment horizontal="center" vertical="center"/>
      <protection hidden="1"/>
    </xf>
    <xf numFmtId="164" fontId="21" fillId="3" borderId="11" xfId="0" applyNumberFormat="1" applyFont="1" applyFill="1" applyBorder="1" applyAlignment="1" applyProtection="1">
      <alignment horizontal="center" vertical="center"/>
      <protection hidden="1"/>
    </xf>
    <xf numFmtId="179" fontId="0" fillId="3" borderId="17" xfId="3" applyNumberFormat="1" applyFont="1" applyFill="1" applyBorder="1" applyAlignment="1" applyProtection="1">
      <alignment horizontal="right" vertical="center"/>
      <protection hidden="1"/>
    </xf>
    <xf numFmtId="0" fontId="8" fillId="17" borderId="0" xfId="0" applyFont="1" applyFill="1" applyAlignment="1" applyProtection="1">
      <alignment horizontal="left" vertical="center" wrapText="1"/>
      <protection hidden="1"/>
    </xf>
    <xf numFmtId="9" fontId="16" fillId="2" borderId="0" xfId="2" applyFont="1" applyFill="1" applyBorder="1" applyAlignment="1" applyProtection="1">
      <alignment horizontal="center" vertical="top" wrapText="1"/>
      <protection hidden="1"/>
    </xf>
    <xf numFmtId="0" fontId="16" fillId="0" borderId="24" xfId="0" applyFont="1" applyBorder="1" applyAlignment="1" applyProtection="1">
      <alignment horizontal="center" vertical="center"/>
      <protection locked="0"/>
    </xf>
    <xf numFmtId="0" fontId="16" fillId="0" borderId="25" xfId="0" applyFont="1" applyBorder="1" applyAlignment="1" applyProtection="1">
      <alignment horizontal="center" vertical="center"/>
      <protection locked="0"/>
    </xf>
    <xf numFmtId="0" fontId="16" fillId="0" borderId="26" xfId="0" applyFont="1" applyBorder="1" applyAlignment="1" applyProtection="1">
      <alignment horizontal="center" vertical="center"/>
      <protection locked="0"/>
    </xf>
    <xf numFmtId="180" fontId="0" fillId="3" borderId="16" xfId="3" applyNumberFormat="1" applyFont="1" applyFill="1" applyBorder="1" applyAlignment="1" applyProtection="1">
      <alignment horizontal="right" vertical="center"/>
      <protection hidden="1"/>
    </xf>
    <xf numFmtId="180" fontId="0" fillId="3" borderId="0" xfId="3" applyNumberFormat="1" applyFont="1" applyFill="1" applyBorder="1" applyAlignment="1" applyProtection="1">
      <alignment horizontal="right" vertical="center"/>
      <protection hidden="1"/>
    </xf>
    <xf numFmtId="180" fontId="0" fillId="3" borderId="28" xfId="3" applyNumberFormat="1" applyFont="1" applyFill="1" applyBorder="1" applyAlignment="1" applyProtection="1">
      <alignment horizontal="right" vertical="center"/>
      <protection hidden="1"/>
    </xf>
    <xf numFmtId="41" fontId="0" fillId="3" borderId="16" xfId="3" applyFont="1" applyFill="1" applyBorder="1" applyAlignment="1" applyProtection="1">
      <alignment horizontal="right" vertical="center"/>
      <protection hidden="1"/>
    </xf>
    <xf numFmtId="41" fontId="0" fillId="3" borderId="0" xfId="3" applyFont="1" applyFill="1" applyBorder="1" applyAlignment="1" applyProtection="1">
      <alignment horizontal="right" vertical="center"/>
      <protection hidden="1"/>
    </xf>
    <xf numFmtId="41" fontId="0" fillId="3" borderId="28" xfId="3" applyFont="1" applyFill="1" applyBorder="1" applyAlignment="1" applyProtection="1">
      <alignment horizontal="right" vertical="center"/>
      <protection hidden="1"/>
    </xf>
    <xf numFmtId="43" fontId="0" fillId="3" borderId="16" xfId="0" applyNumberFormat="1" applyFill="1" applyBorder="1" applyAlignment="1" applyProtection="1">
      <alignment horizontal="left" vertical="center"/>
      <protection hidden="1"/>
    </xf>
    <xf numFmtId="0" fontId="0" fillId="3" borderId="0" xfId="0" applyFill="1" applyAlignment="1" applyProtection="1">
      <alignment horizontal="left" vertical="center"/>
      <protection hidden="1"/>
    </xf>
    <xf numFmtId="0" fontId="0" fillId="3" borderId="5" xfId="0" applyFill="1" applyBorder="1" applyAlignment="1" applyProtection="1">
      <alignment horizontal="left" vertical="center"/>
      <protection hidden="1"/>
    </xf>
    <xf numFmtId="0" fontId="0" fillId="3" borderId="30" xfId="0" applyFill="1" applyBorder="1" applyAlignment="1" applyProtection="1">
      <alignment horizontal="left" vertical="center"/>
      <protection hidden="1"/>
    </xf>
    <xf numFmtId="43" fontId="21" fillId="2" borderId="8" xfId="0" applyNumberFormat="1" applyFont="1" applyFill="1" applyBorder="1" applyAlignment="1" applyProtection="1">
      <alignment horizontal="left" vertical="center"/>
      <protection hidden="1"/>
    </xf>
    <xf numFmtId="0" fontId="21" fillId="2" borderId="8" xfId="0" applyFont="1" applyFill="1" applyBorder="1" applyAlignment="1" applyProtection="1">
      <alignment horizontal="left" vertical="center"/>
      <protection hidden="1"/>
    </xf>
    <xf numFmtId="0" fontId="21" fillId="2" borderId="15" xfId="0" applyFont="1" applyFill="1" applyBorder="1" applyAlignment="1" applyProtection="1">
      <alignment horizontal="left" vertical="center"/>
      <protection hidden="1"/>
    </xf>
    <xf numFmtId="177" fontId="21" fillId="3" borderId="8" xfId="0" applyNumberFormat="1" applyFont="1" applyFill="1" applyBorder="1" applyAlignment="1" applyProtection="1">
      <alignment horizontal="left" vertical="center"/>
      <protection hidden="1"/>
    </xf>
    <xf numFmtId="177" fontId="21" fillId="3" borderId="15" xfId="0" applyNumberFormat="1" applyFont="1" applyFill="1" applyBorder="1" applyAlignment="1" applyProtection="1">
      <alignment horizontal="left" vertical="center"/>
      <protection hidden="1"/>
    </xf>
    <xf numFmtId="0" fontId="21" fillId="3" borderId="8" xfId="0" applyFont="1" applyFill="1" applyBorder="1" applyAlignment="1" applyProtection="1">
      <alignment horizontal="left" vertical="center"/>
      <protection hidden="1"/>
    </xf>
    <xf numFmtId="0" fontId="21" fillId="3" borderId="15" xfId="0" applyFont="1" applyFill="1" applyBorder="1" applyAlignment="1" applyProtection="1">
      <alignment horizontal="left" vertical="center"/>
      <protection hidden="1"/>
    </xf>
    <xf numFmtId="0" fontId="63" fillId="24" borderId="14" xfId="0" applyFont="1" applyFill="1" applyBorder="1" applyAlignment="1" applyProtection="1">
      <alignment horizontal="center" vertical="center"/>
      <protection hidden="1"/>
    </xf>
    <xf numFmtId="0" fontId="63" fillId="24" borderId="15" xfId="0" applyFont="1" applyFill="1" applyBorder="1" applyAlignment="1" applyProtection="1">
      <alignment horizontal="center" vertical="center"/>
      <protection hidden="1"/>
    </xf>
    <xf numFmtId="0" fontId="115" fillId="0" borderId="0" xfId="0" applyFont="1" applyAlignment="1" applyProtection="1">
      <alignment horizontal="left"/>
      <protection locked="0"/>
    </xf>
    <xf numFmtId="0" fontId="16" fillId="2" borderId="18" xfId="0" applyFont="1" applyFill="1" applyBorder="1" applyAlignment="1" applyProtection="1">
      <alignment horizontal="center" vertical="top" wrapText="1"/>
      <protection locked="0"/>
    </xf>
    <xf numFmtId="0" fontId="16" fillId="2" borderId="20" xfId="0" applyFont="1" applyFill="1" applyBorder="1" applyAlignment="1" applyProtection="1">
      <alignment horizontal="center" vertical="top" wrapText="1"/>
      <protection locked="0"/>
    </xf>
    <xf numFmtId="9" fontId="21" fillId="0" borderId="0" xfId="18" applyFont="1" applyFill="1" applyBorder="1" applyAlignment="1" applyProtection="1">
      <alignment horizontal="center" vertical="center"/>
      <protection hidden="1"/>
    </xf>
    <xf numFmtId="0" fontId="8" fillId="2" borderId="0" xfId="0" applyFont="1" applyFill="1" applyAlignment="1" applyProtection="1">
      <alignment horizontal="left" vertical="top" wrapText="1"/>
      <protection hidden="1"/>
    </xf>
    <xf numFmtId="178" fontId="21" fillId="3" borderId="5" xfId="1" applyNumberFormat="1" applyFont="1" applyFill="1" applyBorder="1" applyAlignment="1" applyProtection="1">
      <alignment horizontal="center"/>
      <protection hidden="1"/>
    </xf>
    <xf numFmtId="0" fontId="98" fillId="3" borderId="21" xfId="0" applyFont="1" applyFill="1" applyBorder="1" applyAlignment="1" applyProtection="1">
      <alignment horizontal="center" vertical="center"/>
      <protection hidden="1"/>
    </xf>
    <xf numFmtId="0" fontId="98" fillId="3" borderId="23" xfId="0" applyFont="1" applyFill="1" applyBorder="1" applyAlignment="1" applyProtection="1">
      <alignment horizontal="center" vertical="center"/>
      <protection hidden="1"/>
    </xf>
    <xf numFmtId="179" fontId="5" fillId="2" borderId="49" xfId="0" applyNumberFormat="1" applyFont="1" applyFill="1" applyBorder="1" applyAlignment="1" applyProtection="1">
      <alignment horizontal="right" vertical="center"/>
      <protection locked="0"/>
    </xf>
    <xf numFmtId="179" fontId="5" fillId="2" borderId="38" xfId="0" applyNumberFormat="1" applyFont="1" applyFill="1" applyBorder="1" applyAlignment="1" applyProtection="1">
      <alignment horizontal="right" vertical="center"/>
      <protection locked="0"/>
    </xf>
    <xf numFmtId="179" fontId="5" fillId="2" borderId="58" xfId="0" applyNumberFormat="1" applyFont="1" applyFill="1" applyBorder="1" applyAlignment="1" applyProtection="1">
      <alignment horizontal="right" vertical="center"/>
      <protection locked="0"/>
    </xf>
    <xf numFmtId="179" fontId="5" fillId="2" borderId="15" xfId="0" applyNumberFormat="1" applyFont="1" applyFill="1" applyBorder="1" applyAlignment="1" applyProtection="1">
      <alignment horizontal="right" vertical="center"/>
      <protection locked="0"/>
    </xf>
    <xf numFmtId="179" fontId="5" fillId="2" borderId="17" xfId="0" applyNumberFormat="1" applyFont="1" applyFill="1" applyBorder="1" applyAlignment="1" applyProtection="1">
      <alignment horizontal="right" vertical="center"/>
      <protection locked="0"/>
    </xf>
    <xf numFmtId="179" fontId="5" fillId="2" borderId="40" xfId="0" applyNumberFormat="1" applyFont="1" applyFill="1" applyBorder="1" applyAlignment="1" applyProtection="1">
      <alignment horizontal="right" vertical="center"/>
      <protection locked="0"/>
    </xf>
    <xf numFmtId="0" fontId="36" fillId="19" borderId="37" xfId="0" quotePrefix="1" applyFont="1" applyFill="1" applyBorder="1" applyAlignment="1" applyProtection="1">
      <alignment horizontal="left" vertical="center"/>
      <protection locked="0"/>
    </xf>
    <xf numFmtId="0" fontId="36" fillId="19" borderId="38" xfId="0" quotePrefix="1" applyFont="1" applyFill="1" applyBorder="1" applyAlignment="1" applyProtection="1">
      <alignment horizontal="left" vertical="center"/>
      <protection locked="0"/>
    </xf>
    <xf numFmtId="0" fontId="36" fillId="19" borderId="47" xfId="0" quotePrefix="1" applyFont="1" applyFill="1" applyBorder="1" applyAlignment="1" applyProtection="1">
      <alignment horizontal="left" vertical="center"/>
      <protection locked="0"/>
    </xf>
    <xf numFmtId="0" fontId="70" fillId="2" borderId="0" xfId="0" quotePrefix="1" applyFont="1" applyFill="1" applyAlignment="1" applyProtection="1">
      <alignment horizontal="left" wrapText="1"/>
      <protection hidden="1"/>
    </xf>
    <xf numFmtId="0" fontId="70" fillId="2" borderId="4" xfId="0" quotePrefix="1" applyFont="1" applyFill="1" applyBorder="1" applyAlignment="1" applyProtection="1">
      <alignment horizontal="left" wrapText="1"/>
      <protection hidden="1"/>
    </xf>
    <xf numFmtId="9" fontId="37" fillId="2" borderId="0" xfId="0" applyNumberFormat="1" applyFont="1" applyFill="1" applyAlignment="1" applyProtection="1">
      <alignment horizontal="left" vertical="center"/>
      <protection locked="0"/>
    </xf>
    <xf numFmtId="0" fontId="47" fillId="18" borderId="21" xfId="0" applyFont="1" applyFill="1" applyBorder="1" applyAlignment="1" applyProtection="1">
      <alignment horizontal="center" vertical="center"/>
      <protection hidden="1"/>
    </xf>
    <xf numFmtId="0" fontId="47" fillId="18" borderId="23" xfId="0" applyFont="1" applyFill="1" applyBorder="1" applyAlignment="1" applyProtection="1">
      <alignment horizontal="center" vertical="center"/>
      <protection hidden="1"/>
    </xf>
    <xf numFmtId="0" fontId="98" fillId="20" borderId="24" xfId="0" applyFont="1" applyFill="1" applyBorder="1" applyAlignment="1" applyProtection="1">
      <alignment horizontal="center" vertical="center"/>
      <protection hidden="1"/>
    </xf>
    <xf numFmtId="0" fontId="98" fillId="20" borderId="25" xfId="0" applyFont="1" applyFill="1" applyBorder="1" applyAlignment="1" applyProtection="1">
      <alignment horizontal="center" vertical="center"/>
      <protection hidden="1"/>
    </xf>
    <xf numFmtId="0" fontId="98" fillId="20" borderId="26" xfId="0" applyFont="1" applyFill="1" applyBorder="1" applyAlignment="1" applyProtection="1">
      <alignment horizontal="center" vertical="center"/>
      <protection hidden="1"/>
    </xf>
    <xf numFmtId="0" fontId="98" fillId="20" borderId="19" xfId="0" applyFont="1" applyFill="1" applyBorder="1" applyAlignment="1" applyProtection="1">
      <alignment horizontal="center" vertical="center"/>
      <protection hidden="1"/>
    </xf>
    <xf numFmtId="0" fontId="98" fillId="20" borderId="18" xfId="0" applyFont="1" applyFill="1" applyBorder="1" applyAlignment="1" applyProtection="1">
      <alignment horizontal="center" vertical="center"/>
      <protection hidden="1"/>
    </xf>
    <xf numFmtId="0" fontId="98" fillId="20" borderId="20" xfId="0" applyFont="1" applyFill="1" applyBorder="1" applyAlignment="1" applyProtection="1">
      <alignment horizontal="center" vertical="center"/>
      <protection hidden="1"/>
    </xf>
    <xf numFmtId="0" fontId="16" fillId="19" borderId="24" xfId="0" applyFont="1" applyFill="1" applyBorder="1" applyAlignment="1" applyProtection="1">
      <alignment horizontal="justify" vertical="top" wrapText="1"/>
      <protection hidden="1"/>
    </xf>
    <xf numFmtId="0" fontId="16" fillId="19" borderId="25" xfId="0" applyFont="1" applyFill="1" applyBorder="1" applyAlignment="1" applyProtection="1">
      <alignment horizontal="justify" vertical="top" wrapText="1"/>
      <protection hidden="1"/>
    </xf>
    <xf numFmtId="0" fontId="16" fillId="19" borderId="26" xfId="0" applyFont="1" applyFill="1" applyBorder="1" applyAlignment="1" applyProtection="1">
      <alignment horizontal="justify" vertical="top" wrapText="1"/>
      <protection hidden="1"/>
    </xf>
    <xf numFmtId="0" fontId="16" fillId="19" borderId="3" xfId="0" applyFont="1" applyFill="1" applyBorder="1" applyAlignment="1" applyProtection="1">
      <alignment horizontal="justify" vertical="top" wrapText="1"/>
      <protection hidden="1"/>
    </xf>
    <xf numFmtId="0" fontId="16" fillId="19" borderId="0" xfId="0" applyFont="1" applyFill="1" applyAlignment="1" applyProtection="1">
      <alignment horizontal="justify" vertical="top" wrapText="1"/>
      <protection hidden="1"/>
    </xf>
    <xf numFmtId="0" fontId="16" fillId="19" borderId="4" xfId="0" applyFont="1" applyFill="1" applyBorder="1" applyAlignment="1" applyProtection="1">
      <alignment horizontal="justify" vertical="top" wrapText="1"/>
      <protection hidden="1"/>
    </xf>
    <xf numFmtId="0" fontId="16" fillId="19" borderId="19" xfId="0" applyFont="1" applyFill="1" applyBorder="1" applyAlignment="1" applyProtection="1">
      <alignment horizontal="justify" vertical="top" wrapText="1"/>
      <protection hidden="1"/>
    </xf>
    <xf numFmtId="0" fontId="16" fillId="19" borderId="18" xfId="0" applyFont="1" applyFill="1" applyBorder="1" applyAlignment="1" applyProtection="1">
      <alignment horizontal="justify" vertical="top" wrapText="1"/>
      <protection hidden="1"/>
    </xf>
    <xf numFmtId="0" fontId="16" fillId="19" borderId="20" xfId="0" applyFont="1" applyFill="1" applyBorder="1" applyAlignment="1" applyProtection="1">
      <alignment horizontal="justify" vertical="top" wrapText="1"/>
      <protection hidden="1"/>
    </xf>
    <xf numFmtId="0" fontId="8" fillId="2" borderId="19" xfId="0" applyFont="1" applyFill="1" applyBorder="1" applyAlignment="1" applyProtection="1">
      <alignment horizontal="center" vertical="center"/>
      <protection locked="0"/>
    </xf>
    <xf numFmtId="0" fontId="0" fillId="2" borderId="18" xfId="0" applyFill="1" applyBorder="1" applyAlignment="1" applyProtection="1">
      <alignment horizontal="center" vertical="center"/>
      <protection locked="0"/>
    </xf>
    <xf numFmtId="0" fontId="0" fillId="2" borderId="41" xfId="0" applyFill="1" applyBorder="1" applyAlignment="1" applyProtection="1">
      <alignment horizontal="center" vertical="center"/>
      <protection locked="0"/>
    </xf>
    <xf numFmtId="0" fontId="8" fillId="32" borderId="3" xfId="0" applyFont="1" applyFill="1" applyBorder="1" applyAlignment="1" applyProtection="1">
      <alignment horizontal="center" vertical="center"/>
      <protection locked="0"/>
    </xf>
    <xf numFmtId="0" fontId="8" fillId="32" borderId="0" xfId="0" applyFont="1" applyFill="1" applyAlignment="1" applyProtection="1">
      <alignment horizontal="center" vertical="center"/>
      <protection locked="0"/>
    </xf>
    <xf numFmtId="0" fontId="8" fillId="11" borderId="0" xfId="0" applyFont="1" applyFill="1" applyAlignment="1" applyProtection="1">
      <alignment horizontal="left" vertical="center"/>
      <protection locked="0"/>
    </xf>
    <xf numFmtId="0" fontId="0" fillId="11" borderId="0" xfId="0" applyFill="1" applyAlignment="1" applyProtection="1">
      <alignment horizontal="left" vertical="center"/>
      <protection locked="0"/>
    </xf>
    <xf numFmtId="0" fontId="0" fillId="32" borderId="0" xfId="0" applyFill="1" applyAlignment="1" applyProtection="1">
      <alignment horizontal="center" vertical="center"/>
      <protection locked="0"/>
    </xf>
    <xf numFmtId="0" fontId="0" fillId="2" borderId="29" xfId="0" applyFill="1" applyBorder="1" applyAlignment="1" applyProtection="1">
      <alignment horizontal="center" vertical="center"/>
      <protection locked="0"/>
    </xf>
    <xf numFmtId="0" fontId="0" fillId="2" borderId="11" xfId="0" applyFill="1" applyBorder="1" applyAlignment="1" applyProtection="1">
      <alignment horizontal="center" vertical="center"/>
      <protection locked="0"/>
    </xf>
    <xf numFmtId="0" fontId="0" fillId="2" borderId="12" xfId="0" applyFill="1" applyBorder="1" applyAlignment="1" applyProtection="1">
      <alignment horizontal="center" vertical="center"/>
      <protection locked="0"/>
    </xf>
    <xf numFmtId="0" fontId="0" fillId="2" borderId="16" xfId="0" applyFill="1" applyBorder="1" applyAlignment="1" applyProtection="1">
      <alignment horizontal="center" vertical="center"/>
      <protection locked="0"/>
    </xf>
    <xf numFmtId="0" fontId="0" fillId="2" borderId="0" xfId="0" applyFill="1" applyAlignment="1" applyProtection="1">
      <alignment horizontal="center" vertical="center"/>
      <protection locked="0"/>
    </xf>
    <xf numFmtId="0" fontId="0" fillId="2" borderId="4" xfId="0" applyFill="1" applyBorder="1" applyAlignment="1" applyProtection="1">
      <alignment horizontal="center" vertical="center"/>
      <protection locked="0"/>
    </xf>
    <xf numFmtId="0" fontId="0" fillId="2" borderId="31" xfId="0" applyFill="1" applyBorder="1" applyAlignment="1" applyProtection="1">
      <alignment horizontal="center" vertical="center"/>
      <protection locked="0"/>
    </xf>
    <xf numFmtId="0" fontId="0" fillId="2" borderId="5" xfId="0"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5" fillId="24" borderId="7" xfId="0" applyFont="1" applyFill="1" applyBorder="1" applyAlignment="1" applyProtection="1">
      <alignment horizontal="center" vertical="center"/>
      <protection locked="0"/>
    </xf>
    <xf numFmtId="0" fontId="5" fillId="24" borderId="8" xfId="0" applyFont="1" applyFill="1" applyBorder="1" applyAlignment="1" applyProtection="1">
      <alignment horizontal="center" vertical="center"/>
      <protection locked="0"/>
    </xf>
    <xf numFmtId="0" fontId="5" fillId="24" borderId="9" xfId="0" applyFont="1" applyFill="1" applyBorder="1" applyAlignment="1" applyProtection="1">
      <alignment horizontal="center" vertical="center"/>
      <protection locked="0"/>
    </xf>
    <xf numFmtId="0" fontId="8" fillId="11" borderId="0" xfId="0" applyFont="1"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0" fillId="32" borderId="28" xfId="0" applyFill="1" applyBorder="1" applyAlignment="1" applyProtection="1">
      <alignment horizontal="center" vertical="center"/>
      <protection locked="0"/>
    </xf>
    <xf numFmtId="2" fontId="81" fillId="2" borderId="17" xfId="0" applyNumberFormat="1" applyFont="1" applyFill="1" applyBorder="1" applyAlignment="1" applyProtection="1">
      <alignment horizontal="center" vertical="center"/>
      <protection hidden="1"/>
    </xf>
    <xf numFmtId="2" fontId="111" fillId="3" borderId="17" xfId="0" applyNumberFormat="1" applyFont="1" applyFill="1" applyBorder="1" applyAlignment="1" applyProtection="1">
      <alignment horizontal="center" vertical="center" wrapText="1"/>
      <protection hidden="1"/>
    </xf>
    <xf numFmtId="2" fontId="111" fillId="3" borderId="14" xfId="0" applyNumberFormat="1" applyFont="1" applyFill="1" applyBorder="1" applyAlignment="1" applyProtection="1">
      <alignment horizontal="center" vertical="center" wrapText="1"/>
      <protection hidden="1"/>
    </xf>
    <xf numFmtId="2" fontId="82" fillId="21" borderId="15" xfId="0" applyNumberFormat="1" applyFont="1" applyFill="1" applyBorder="1" applyAlignment="1" applyProtection="1">
      <alignment horizontal="center" vertical="center"/>
      <protection hidden="1"/>
    </xf>
    <xf numFmtId="2" fontId="82" fillId="21" borderId="17" xfId="0" applyNumberFormat="1" applyFont="1" applyFill="1" applyBorder="1" applyAlignment="1" applyProtection="1">
      <alignment horizontal="center" vertical="center"/>
      <protection hidden="1"/>
    </xf>
    <xf numFmtId="9" fontId="98" fillId="3" borderId="24" xfId="2" applyFont="1" applyFill="1" applyBorder="1" applyAlignment="1" applyProtection="1">
      <alignment horizontal="center" vertical="center"/>
      <protection hidden="1"/>
    </xf>
    <xf numFmtId="9" fontId="98" fillId="3" borderId="26" xfId="2" applyFont="1" applyFill="1" applyBorder="1" applyAlignment="1" applyProtection="1">
      <alignment horizontal="center" vertical="center"/>
      <protection hidden="1"/>
    </xf>
    <xf numFmtId="9" fontId="98" fillId="3" borderId="19" xfId="2" applyFont="1" applyFill="1" applyBorder="1" applyAlignment="1" applyProtection="1">
      <alignment horizontal="center" vertical="center"/>
      <protection hidden="1"/>
    </xf>
    <xf numFmtId="9" fontId="98" fillId="3" borderId="20" xfId="2" applyFont="1" applyFill="1" applyBorder="1" applyAlignment="1" applyProtection="1">
      <alignment horizontal="center" vertical="center"/>
      <protection hidden="1"/>
    </xf>
    <xf numFmtId="0" fontId="98" fillId="3" borderId="22" xfId="0" applyFont="1" applyFill="1" applyBorder="1" applyAlignment="1" applyProtection="1">
      <alignment horizontal="center" vertical="center"/>
      <protection hidden="1"/>
    </xf>
    <xf numFmtId="0" fontId="47" fillId="18" borderId="22" xfId="0" applyFont="1" applyFill="1" applyBorder="1" applyAlignment="1" applyProtection="1">
      <alignment horizontal="center" vertical="center"/>
      <protection hidden="1"/>
    </xf>
    <xf numFmtId="0" fontId="78" fillId="22" borderId="3" xfId="0" applyFont="1" applyFill="1" applyBorder="1" applyAlignment="1" applyProtection="1">
      <alignment horizontal="center" vertical="center" wrapText="1"/>
      <protection hidden="1"/>
    </xf>
    <xf numFmtId="0" fontId="78" fillId="22" borderId="0" xfId="0" applyFont="1" applyFill="1" applyAlignment="1" applyProtection="1">
      <alignment horizontal="center" vertical="center" wrapText="1"/>
      <protection hidden="1"/>
    </xf>
    <xf numFmtId="2" fontId="98" fillId="3" borderId="21" xfId="0" applyNumberFormat="1" applyFont="1" applyFill="1" applyBorder="1" applyAlignment="1" applyProtection="1">
      <alignment horizontal="center" vertical="center" wrapText="1"/>
      <protection hidden="1"/>
    </xf>
    <xf numFmtId="2" fontId="98" fillId="3" borderId="22" xfId="0" applyNumberFormat="1" applyFont="1" applyFill="1" applyBorder="1" applyAlignment="1" applyProtection="1">
      <alignment horizontal="center" vertical="center" wrapText="1"/>
      <protection hidden="1"/>
    </xf>
    <xf numFmtId="2" fontId="98" fillId="3" borderId="23" xfId="0" applyNumberFormat="1" applyFont="1" applyFill="1" applyBorder="1" applyAlignment="1" applyProtection="1">
      <alignment horizontal="center" vertical="center" wrapText="1"/>
      <protection hidden="1"/>
    </xf>
    <xf numFmtId="0" fontId="16" fillId="2" borderId="0" xfId="0" applyFont="1" applyFill="1" applyAlignment="1" applyProtection="1">
      <alignment horizontal="center" vertical="center"/>
      <protection hidden="1"/>
    </xf>
    <xf numFmtId="41" fontId="21" fillId="2" borderId="11" xfId="9" applyFont="1" applyFill="1" applyBorder="1" applyAlignment="1" applyProtection="1">
      <alignment horizontal="center" vertical="center"/>
      <protection hidden="1"/>
    </xf>
    <xf numFmtId="0" fontId="21" fillId="2" borderId="0" xfId="0" applyFont="1" applyFill="1" applyAlignment="1" applyProtection="1">
      <alignment horizontal="center" vertical="center"/>
      <protection hidden="1"/>
    </xf>
    <xf numFmtId="9" fontId="42" fillId="2" borderId="0" xfId="2" applyFont="1" applyFill="1" applyBorder="1" applyAlignment="1" applyProtection="1">
      <alignment horizontal="center" vertical="center"/>
      <protection hidden="1"/>
    </xf>
    <xf numFmtId="0" fontId="9" fillId="2" borderId="28" xfId="0" applyFont="1" applyFill="1" applyBorder="1" applyProtection="1">
      <alignment vertical="center"/>
      <protection hidden="1"/>
    </xf>
    <xf numFmtId="37" fontId="11" fillId="2" borderId="5" xfId="0" applyNumberFormat="1" applyFont="1" applyFill="1" applyBorder="1" applyAlignment="1" applyProtection="1">
      <protection hidden="1"/>
    </xf>
    <xf numFmtId="0" fontId="6" fillId="0" borderId="14" xfId="0" applyFont="1" applyBorder="1" applyAlignment="1">
      <alignment horizontal="left"/>
    </xf>
    <xf numFmtId="0" fontId="6" fillId="0" borderId="15" xfId="0" applyFont="1" applyBorder="1" applyAlignment="1">
      <alignment horizontal="left"/>
    </xf>
    <xf numFmtId="0" fontId="6" fillId="0" borderId="17" xfId="0" applyFont="1" applyBorder="1" applyAlignment="1">
      <alignment horizontal="left"/>
    </xf>
    <xf numFmtId="37" fontId="9" fillId="2" borderId="0" xfId="0" applyNumberFormat="1" applyFont="1" applyFill="1" applyAlignment="1" applyProtection="1">
      <protection hidden="1"/>
    </xf>
    <xf numFmtId="43" fontId="9" fillId="2" borderId="0" xfId="1" applyFont="1" applyFill="1" applyAlignment="1" applyProtection="1">
      <alignment horizontal="center"/>
      <protection hidden="1"/>
    </xf>
    <xf numFmtId="37" fontId="9" fillId="2" borderId="5" xfId="0" applyNumberFormat="1" applyFont="1" applyFill="1" applyBorder="1" applyAlignment="1" applyProtection="1">
      <protection hidden="1"/>
    </xf>
    <xf numFmtId="0" fontId="9" fillId="2" borderId="0" xfId="0" applyFont="1" applyFill="1" applyProtection="1">
      <alignment vertical="center"/>
      <protection hidden="1"/>
    </xf>
    <xf numFmtId="0" fontId="9" fillId="2" borderId="11" xfId="0" applyFont="1" applyFill="1" applyBorder="1" applyAlignment="1" applyProtection="1">
      <alignment horizontal="center"/>
      <protection hidden="1"/>
    </xf>
    <xf numFmtId="37" fontId="9" fillId="2" borderId="11" xfId="0" applyNumberFormat="1" applyFont="1" applyFill="1" applyBorder="1" applyAlignment="1" applyProtection="1">
      <alignment horizontal="right"/>
      <protection hidden="1"/>
    </xf>
    <xf numFmtId="37" fontId="11" fillId="2" borderId="0" xfId="0" applyNumberFormat="1" applyFont="1" applyFill="1" applyAlignment="1" applyProtection="1">
      <protection hidden="1"/>
    </xf>
    <xf numFmtId="0" fontId="9" fillId="2" borderId="0" xfId="0" applyFont="1" applyFill="1" applyAlignment="1" applyProtection="1">
      <alignment horizontal="center" vertical="center"/>
      <protection hidden="1"/>
    </xf>
    <xf numFmtId="37" fontId="9" fillId="2" borderId="0" xfId="0" applyNumberFormat="1" applyFont="1" applyFill="1" applyAlignment="1" applyProtection="1">
      <alignment horizontal="right" vertical="center"/>
      <protection hidden="1"/>
    </xf>
    <xf numFmtId="3" fontId="9" fillId="2" borderId="0" xfId="0" applyNumberFormat="1" applyFont="1" applyFill="1" applyAlignment="1" applyProtection="1">
      <alignment horizontal="center"/>
      <protection hidden="1"/>
    </xf>
    <xf numFmtId="39" fontId="9" fillId="2" borderId="5" xfId="0" applyNumberFormat="1" applyFont="1" applyFill="1" applyBorder="1" applyAlignment="1" applyProtection="1">
      <alignment horizontal="center"/>
      <protection hidden="1"/>
    </xf>
    <xf numFmtId="37" fontId="9" fillId="2" borderId="0" xfId="0" applyNumberFormat="1" applyFont="1" applyFill="1" applyAlignment="1" applyProtection="1">
      <alignment horizontal="center" vertical="center"/>
      <protection hidden="1"/>
    </xf>
    <xf numFmtId="9" fontId="9" fillId="2" borderId="0" xfId="0" applyNumberFormat="1" applyFont="1" applyFill="1" applyAlignment="1" applyProtection="1">
      <alignment horizontal="center" vertical="center"/>
      <protection hidden="1"/>
    </xf>
    <xf numFmtId="0" fontId="9" fillId="2" borderId="11" xfId="0" applyFont="1" applyFill="1" applyBorder="1" applyAlignment="1" applyProtection="1">
      <alignment horizontal="left" vertical="center"/>
      <protection hidden="1"/>
    </xf>
    <xf numFmtId="0" fontId="9" fillId="2" borderId="27" xfId="0" applyFont="1" applyFill="1" applyBorder="1" applyAlignment="1" applyProtection="1">
      <alignment horizontal="left" vertical="center"/>
      <protection hidden="1"/>
    </xf>
    <xf numFmtId="0" fontId="9" fillId="2" borderId="0" xfId="0" applyFont="1" applyFill="1" applyAlignment="1" applyProtection="1">
      <alignment horizontal="left" vertical="center"/>
      <protection hidden="1"/>
    </xf>
    <xf numFmtId="0" fontId="9" fillId="2" borderId="28" xfId="0" applyFont="1" applyFill="1" applyBorder="1" applyAlignment="1" applyProtection="1">
      <alignment horizontal="left" vertical="center"/>
      <protection hidden="1"/>
    </xf>
    <xf numFmtId="0" fontId="9" fillId="2" borderId="0" xfId="0" applyFont="1" applyFill="1" applyAlignment="1" applyProtection="1">
      <alignment horizontal="center"/>
      <protection hidden="1"/>
    </xf>
    <xf numFmtId="37" fontId="9" fillId="2" borderId="0" xfId="0" applyNumberFormat="1" applyFont="1" applyFill="1" applyAlignment="1" applyProtection="1">
      <alignment horizontal="center"/>
      <protection hidden="1"/>
    </xf>
    <xf numFmtId="0" fontId="8" fillId="2" borderId="0" xfId="0" applyFont="1" applyFill="1" applyAlignment="1" applyProtection="1">
      <alignment horizontal="center" vertical="center"/>
      <protection hidden="1"/>
    </xf>
    <xf numFmtId="0" fontId="9" fillId="2" borderId="5" xfId="0" applyFont="1" applyFill="1" applyBorder="1" applyAlignment="1" applyProtection="1">
      <alignment horizontal="center"/>
      <protection hidden="1"/>
    </xf>
    <xf numFmtId="39" fontId="9" fillId="2" borderId="0" xfId="0" applyNumberFormat="1" applyFont="1" applyFill="1" applyAlignment="1" applyProtection="1">
      <alignment horizontal="center" vertical="center"/>
      <protection hidden="1"/>
    </xf>
    <xf numFmtId="4" fontId="9" fillId="2" borderId="0" xfId="0" applyNumberFormat="1" applyFont="1" applyFill="1" applyAlignment="1" applyProtection="1">
      <alignment horizontal="center"/>
      <protection hidden="1"/>
    </xf>
    <xf numFmtId="0" fontId="9" fillId="2" borderId="8" xfId="0" applyFont="1" applyFill="1" applyBorder="1" applyAlignment="1" applyProtection="1">
      <alignment horizontal="center"/>
      <protection hidden="1"/>
    </xf>
    <xf numFmtId="0" fontId="9" fillId="2" borderId="11" xfId="0" applyFont="1" applyFill="1" applyBorder="1" applyAlignment="1" applyProtection="1">
      <alignment horizontal="center" vertical="center"/>
      <protection hidden="1"/>
    </xf>
    <xf numFmtId="37" fontId="9" fillId="2" borderId="8" xfId="0" applyNumberFormat="1" applyFont="1" applyFill="1" applyBorder="1" applyAlignment="1" applyProtection="1">
      <alignment horizontal="center"/>
      <protection hidden="1"/>
    </xf>
    <xf numFmtId="39" fontId="9" fillId="2" borderId="11" xfId="0" applyNumberFormat="1" applyFont="1" applyFill="1" applyBorder="1" applyAlignment="1" applyProtection="1">
      <alignment horizontal="center" vertical="center"/>
      <protection hidden="1"/>
    </xf>
    <xf numFmtId="0" fontId="10" fillId="4" borderId="29" xfId="0" applyFont="1" applyFill="1" applyBorder="1" applyAlignment="1" applyProtection="1">
      <alignment horizontal="center" vertical="center"/>
      <protection hidden="1"/>
    </xf>
    <xf numFmtId="0" fontId="10" fillId="4" borderId="11" xfId="0" applyFont="1" applyFill="1" applyBorder="1" applyAlignment="1" applyProtection="1">
      <alignment horizontal="center" vertical="center"/>
      <protection hidden="1"/>
    </xf>
    <xf numFmtId="0" fontId="10" fillId="4" borderId="27" xfId="0" applyFont="1" applyFill="1" applyBorder="1" applyAlignment="1" applyProtection="1">
      <alignment horizontal="center" vertical="center"/>
      <protection hidden="1"/>
    </xf>
    <xf numFmtId="0" fontId="10" fillId="4" borderId="31" xfId="0" applyFont="1" applyFill="1" applyBorder="1" applyAlignment="1" applyProtection="1">
      <alignment horizontal="center" vertical="center"/>
      <protection hidden="1"/>
    </xf>
    <xf numFmtId="0" fontId="10" fillId="4" borderId="5" xfId="0" applyFont="1" applyFill="1" applyBorder="1" applyAlignment="1" applyProtection="1">
      <alignment horizontal="center" vertical="center"/>
      <protection hidden="1"/>
    </xf>
    <xf numFmtId="0" fontId="10" fillId="4" borderId="0" xfId="0" applyFont="1" applyFill="1" applyAlignment="1" applyProtection="1">
      <alignment horizontal="center" vertical="center"/>
      <protection hidden="1"/>
    </xf>
    <xf numFmtId="0" fontId="10" fillId="4" borderId="30" xfId="0" applyFont="1" applyFill="1" applyBorder="1" applyAlignment="1" applyProtection="1">
      <alignment horizontal="center" vertical="center"/>
      <protection hidden="1"/>
    </xf>
    <xf numFmtId="37" fontId="9" fillId="2" borderId="11" xfId="0" applyNumberFormat="1" applyFont="1" applyFill="1" applyBorder="1" applyAlignment="1" applyProtection="1">
      <protection hidden="1"/>
    </xf>
    <xf numFmtId="166" fontId="13" fillId="2" borderId="11" xfId="0" applyNumberFormat="1" applyFont="1" applyFill="1" applyBorder="1" applyAlignment="1" applyProtection="1">
      <alignment horizontal="center" vertical="center"/>
      <protection hidden="1"/>
    </xf>
    <xf numFmtId="166" fontId="13" fillId="2" borderId="0" xfId="0" applyNumberFormat="1" applyFont="1" applyFill="1" applyAlignment="1" applyProtection="1">
      <alignment horizontal="center" vertical="center"/>
      <protection hidden="1"/>
    </xf>
    <xf numFmtId="37" fontId="9" fillId="2" borderId="11" xfId="0" applyNumberFormat="1" applyFont="1" applyFill="1" applyBorder="1" applyAlignment="1" applyProtection="1">
      <alignment horizontal="center"/>
      <protection hidden="1"/>
    </xf>
    <xf numFmtId="0" fontId="16" fillId="6" borderId="29" xfId="0" applyFont="1" applyFill="1" applyBorder="1" applyAlignment="1">
      <alignment horizontal="center" vertical="center"/>
    </xf>
    <xf numFmtId="0" fontId="16" fillId="6" borderId="11" xfId="0" applyFont="1" applyFill="1" applyBorder="1" applyAlignment="1">
      <alignment horizontal="center" vertical="center"/>
    </xf>
    <xf numFmtId="0" fontId="16" fillId="6" borderId="27" xfId="0" applyFont="1" applyFill="1" applyBorder="1" applyAlignment="1">
      <alignment horizontal="center" vertical="center"/>
    </xf>
    <xf numFmtId="0" fontId="8" fillId="6" borderId="31" xfId="0" applyFont="1" applyFill="1" applyBorder="1" applyAlignment="1">
      <alignment horizontal="center" vertical="center"/>
    </xf>
    <xf numFmtId="0" fontId="0" fillId="6" borderId="5" xfId="0" applyFill="1" applyBorder="1" applyAlignment="1">
      <alignment horizontal="center" vertical="center"/>
    </xf>
    <xf numFmtId="0" fontId="0" fillId="6" borderId="30" xfId="0" applyFill="1"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8" fillId="0" borderId="11" xfId="0" applyFont="1" applyBorder="1" applyAlignment="1">
      <alignment horizontal="center" vertical="center"/>
    </xf>
    <xf numFmtId="14" fontId="0" fillId="0" borderId="11" xfId="0" applyNumberFormat="1" applyBorder="1" applyAlignment="1">
      <alignment horizontal="center" vertical="center"/>
    </xf>
    <xf numFmtId="0" fontId="0" fillId="0" borderId="11" xfId="0" applyBorder="1" applyAlignment="1">
      <alignment horizontal="center" vertical="center"/>
    </xf>
    <xf numFmtId="43" fontId="0" fillId="0" borderId="0" xfId="0" applyNumberFormat="1" applyAlignment="1">
      <alignment horizontal="left" vertical="center"/>
    </xf>
    <xf numFmtId="0" fontId="0" fillId="0" borderId="0" xfId="0" applyAlignment="1">
      <alignment horizontal="left" vertical="center"/>
    </xf>
    <xf numFmtId="43" fontId="8" fillId="0" borderId="0" xfId="0" applyNumberFormat="1" applyFont="1" applyAlignment="1">
      <alignment horizontal="left" vertical="center"/>
    </xf>
    <xf numFmtId="0" fontId="16" fillId="0" borderId="17" xfId="0" applyFont="1" applyBorder="1" applyAlignment="1">
      <alignment horizontal="center" vertical="center"/>
    </xf>
    <xf numFmtId="0" fontId="16" fillId="0" borderId="40" xfId="0" applyFont="1" applyBorder="1" applyAlignment="1">
      <alignment horizontal="center" vertical="center"/>
    </xf>
    <xf numFmtId="41" fontId="0" fillId="0" borderId="17" xfId="0" applyNumberFormat="1" applyBorder="1" applyAlignment="1">
      <alignment horizontal="center" vertical="center"/>
    </xf>
    <xf numFmtId="9" fontId="0" fillId="0" borderId="17" xfId="0" applyNumberFormat="1" applyBorder="1" applyAlignment="1">
      <alignment horizontal="center" vertical="center"/>
    </xf>
    <xf numFmtId="0" fontId="8" fillId="0" borderId="17" xfId="0" quotePrefix="1" applyFont="1" applyBorder="1" applyAlignment="1">
      <alignment horizontal="center" vertical="center"/>
    </xf>
    <xf numFmtId="0" fontId="8" fillId="0" borderId="17" xfId="0" applyFont="1" applyBorder="1" applyAlignment="1">
      <alignment vertical="top" wrapText="1"/>
    </xf>
    <xf numFmtId="0" fontId="0" fillId="0" borderId="17" xfId="0" applyBorder="1" applyAlignment="1">
      <alignment vertical="top" wrapText="1"/>
    </xf>
    <xf numFmtId="0" fontId="0" fillId="0" borderId="40" xfId="0" applyBorder="1" applyAlignment="1">
      <alignment horizontal="center" vertical="center"/>
    </xf>
    <xf numFmtId="0" fontId="8" fillId="0" borderId="17" xfId="0" applyFont="1" applyBorder="1" applyAlignment="1">
      <alignment horizontal="left" vertical="top" wrapText="1"/>
    </xf>
    <xf numFmtId="0" fontId="0" fillId="0" borderId="17" xfId="0" applyBorder="1" applyAlignment="1">
      <alignment horizontal="left" vertical="top" wrapText="1"/>
    </xf>
    <xf numFmtId="0" fontId="8" fillId="0" borderId="0" xfId="0" applyFont="1" applyAlignment="1">
      <alignment horizontal="left" vertical="center" wrapText="1"/>
    </xf>
    <xf numFmtId="0" fontId="16" fillId="0" borderId="39" xfId="0" applyFont="1" applyBorder="1" applyAlignment="1">
      <alignment horizontal="center" vertical="center"/>
    </xf>
    <xf numFmtId="41" fontId="16" fillId="0" borderId="17" xfId="0" applyNumberFormat="1" applyFont="1" applyBorder="1" applyAlignment="1">
      <alignment horizontal="center" vertical="center"/>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16" xfId="0" applyBorder="1" applyAlignment="1">
      <alignment horizontal="center" vertical="center"/>
    </xf>
    <xf numFmtId="0" fontId="0" fillId="0" borderId="28" xfId="0" applyBorder="1" applyAlignment="1">
      <alignment horizontal="center" vertical="center"/>
    </xf>
    <xf numFmtId="0" fontId="16" fillId="0" borderId="29" xfId="0" applyFont="1" applyBorder="1" applyAlignment="1">
      <alignment horizontal="center" vertical="center"/>
    </xf>
    <xf numFmtId="0" fontId="16" fillId="0" borderId="11" xfId="0" applyFont="1" applyBorder="1" applyAlignment="1">
      <alignment horizontal="center" vertical="center"/>
    </xf>
    <xf numFmtId="0" fontId="16" fillId="0" borderId="27" xfId="0" applyFont="1" applyBorder="1" applyAlignment="1">
      <alignment horizontal="center" vertical="center"/>
    </xf>
    <xf numFmtId="0" fontId="16" fillId="0" borderId="16" xfId="0" applyFont="1" applyBorder="1" applyAlignment="1">
      <alignment horizontal="center" vertical="center"/>
    </xf>
    <xf numFmtId="0" fontId="16" fillId="0" borderId="0" xfId="0" applyFont="1" applyAlignment="1">
      <alignment horizontal="center" vertical="center"/>
    </xf>
    <xf numFmtId="0" fontId="16" fillId="0" borderId="28" xfId="0" applyFont="1" applyBorder="1" applyAlignment="1">
      <alignment horizontal="center" vertical="center"/>
    </xf>
    <xf numFmtId="0" fontId="16" fillId="0" borderId="31" xfId="0" applyFont="1" applyBorder="1" applyAlignment="1">
      <alignment horizontal="center" vertical="center"/>
    </xf>
    <xf numFmtId="0" fontId="16" fillId="0" borderId="5" xfId="0" applyFont="1" applyBorder="1" applyAlignment="1">
      <alignment horizontal="center" vertical="center"/>
    </xf>
    <xf numFmtId="0" fontId="16" fillId="0" borderId="30" xfId="0" applyFont="1" applyBorder="1" applyAlignment="1">
      <alignment horizontal="center" vertical="center"/>
    </xf>
    <xf numFmtId="0" fontId="76" fillId="2" borderId="18" xfId="0" applyNumberFormat="1" applyFont="1" applyFill="1" applyBorder="1" applyAlignment="1" applyProtection="1">
      <alignment horizontal="left" vertical="center"/>
      <protection locked="0"/>
    </xf>
    <xf numFmtId="0" fontId="76" fillId="2" borderId="18" xfId="0" applyFont="1" applyFill="1" applyBorder="1" applyAlignment="1" applyProtection="1">
      <alignment horizontal="center" vertical="top"/>
      <protection locked="0"/>
    </xf>
    <xf numFmtId="0" fontId="77" fillId="2" borderId="0" xfId="0" applyFont="1" applyFill="1" applyAlignment="1" applyProtection="1">
      <alignment horizontal="left" vertical="center"/>
      <protection locked="0"/>
    </xf>
    <xf numFmtId="0" fontId="38" fillId="2" borderId="0" xfId="0" applyFont="1" applyFill="1" applyAlignment="1" applyProtection="1">
      <alignment horizontal="left" vertical="top" wrapText="1"/>
      <protection locked="0"/>
    </xf>
    <xf numFmtId="0" fontId="77" fillId="2" borderId="0" xfId="0" applyFont="1" applyFill="1" applyAlignment="1" applyProtection="1">
      <alignment horizontal="center" vertical="center"/>
      <protection locked="0"/>
    </xf>
    <xf numFmtId="0" fontId="113" fillId="2" borderId="0" xfId="0" applyNumberFormat="1" applyFont="1" applyFill="1" applyBorder="1" applyAlignment="1" applyProtection="1">
      <alignment horizontal="left"/>
      <protection locked="0"/>
    </xf>
    <xf numFmtId="43" fontId="114" fillId="2" borderId="0" xfId="0" applyNumberFormat="1" applyFont="1" applyFill="1" applyAlignment="1" applyProtection="1">
      <alignment horizontal="center" vertical="center"/>
      <protection locked="0"/>
    </xf>
    <xf numFmtId="0" fontId="21" fillId="2" borderId="0" xfId="0" applyFont="1" applyFill="1" applyAlignment="1" applyProtection="1">
      <alignment horizontal="left" vertical="center" wrapText="1"/>
      <protection locked="0"/>
    </xf>
    <xf numFmtId="0" fontId="21" fillId="2" borderId="4" xfId="0" applyFont="1" applyFill="1" applyBorder="1" applyAlignment="1" applyProtection="1">
      <alignment horizontal="left" vertical="center" wrapText="1"/>
      <protection locked="0"/>
    </xf>
    <xf numFmtId="0" fontId="77" fillId="3" borderId="3" xfId="0" applyFont="1" applyFill="1" applyBorder="1" applyAlignment="1" applyProtection="1">
      <alignment horizontal="center" vertical="center"/>
      <protection locked="0"/>
    </xf>
    <xf numFmtId="0" fontId="77" fillId="3" borderId="0" xfId="0" applyFont="1" applyFill="1" applyAlignment="1" applyProtection="1">
      <alignment horizontal="center" vertical="center"/>
      <protection locked="0"/>
    </xf>
    <xf numFmtId="0" fontId="77" fillId="3" borderId="4" xfId="0" applyFont="1" applyFill="1" applyBorder="1" applyAlignment="1" applyProtection="1">
      <alignment horizontal="center" vertical="center"/>
      <protection locked="0"/>
    </xf>
    <xf numFmtId="0" fontId="21" fillId="25" borderId="8" xfId="0" applyFont="1" applyFill="1" applyBorder="1" applyAlignment="1" applyProtection="1">
      <alignment horizontal="left"/>
      <protection hidden="1"/>
    </xf>
    <xf numFmtId="179" fontId="42" fillId="3" borderId="8" xfId="0" applyNumberFormat="1" applyFont="1" applyFill="1" applyBorder="1" applyAlignment="1" applyProtection="1">
      <alignment horizontal="right" vertical="center"/>
      <protection hidden="1"/>
    </xf>
    <xf numFmtId="179" fontId="42" fillId="3" borderId="15" xfId="0" applyNumberFormat="1" applyFont="1" applyFill="1" applyBorder="1" applyAlignment="1" applyProtection="1">
      <alignment horizontal="right" vertical="center"/>
      <protection hidden="1"/>
    </xf>
    <xf numFmtId="0" fontId="42" fillId="3" borderId="8" xfId="0" applyFont="1" applyFill="1" applyBorder="1" applyAlignment="1" applyProtection="1">
      <alignment horizontal="center" vertical="center"/>
      <protection hidden="1"/>
    </xf>
    <xf numFmtId="169" fontId="42" fillId="3" borderId="8" xfId="0" applyNumberFormat="1" applyFont="1" applyFill="1" applyBorder="1" applyAlignment="1" applyProtection="1">
      <alignment horizontal="center" vertical="center"/>
      <protection hidden="1"/>
    </xf>
    <xf numFmtId="169" fontId="42" fillId="3" borderId="15" xfId="0" applyNumberFormat="1" applyFont="1" applyFill="1" applyBorder="1" applyAlignment="1" applyProtection="1">
      <alignment horizontal="center" vertical="center"/>
      <protection hidden="1"/>
    </xf>
    <xf numFmtId="0" fontId="8" fillId="25" borderId="17" xfId="0" applyFont="1" applyFill="1" applyBorder="1" applyProtection="1">
      <alignment vertical="center"/>
      <protection hidden="1"/>
    </xf>
    <xf numFmtId="0" fontId="0" fillId="25" borderId="17" xfId="0" applyFill="1" applyBorder="1" applyProtection="1">
      <alignment vertical="center"/>
      <protection hidden="1"/>
    </xf>
    <xf numFmtId="0" fontId="99" fillId="11" borderId="7" xfId="0" applyFont="1" applyFill="1" applyBorder="1" applyAlignment="1" applyProtection="1">
      <alignment horizontal="center" vertical="center"/>
      <protection hidden="1"/>
    </xf>
    <xf numFmtId="0" fontId="99" fillId="11" borderId="8" xfId="0" applyFont="1" applyFill="1" applyBorder="1" applyAlignment="1" applyProtection="1">
      <alignment horizontal="center" vertical="center"/>
      <protection hidden="1"/>
    </xf>
    <xf numFmtId="0" fontId="99" fillId="11" borderId="9" xfId="0" applyFont="1" applyFill="1" applyBorder="1" applyAlignment="1" applyProtection="1">
      <alignment horizontal="center" vertical="center"/>
      <protection hidden="1"/>
    </xf>
    <xf numFmtId="43" fontId="0" fillId="3" borderId="17" xfId="0" applyNumberFormat="1" applyFill="1" applyBorder="1" applyProtection="1">
      <alignment vertical="center"/>
      <protection hidden="1"/>
    </xf>
    <xf numFmtId="0" fontId="0" fillId="3" borderId="17" xfId="0" applyFill="1" applyBorder="1" applyProtection="1">
      <alignment vertical="center"/>
      <protection hidden="1"/>
    </xf>
    <xf numFmtId="0" fontId="0" fillId="3" borderId="40" xfId="0" applyFill="1" applyBorder="1" applyProtection="1">
      <alignment vertical="center"/>
      <protection hidden="1"/>
    </xf>
    <xf numFmtId="0" fontId="5" fillId="0" borderId="24" xfId="0" applyFont="1" applyBorder="1" applyAlignment="1" applyProtection="1">
      <alignment horizontal="center" vertical="center"/>
      <protection hidden="1"/>
    </xf>
    <xf numFmtId="0" fontId="5" fillId="0" borderId="25" xfId="0" applyFont="1" applyBorder="1" applyAlignment="1" applyProtection="1">
      <alignment horizontal="center" vertical="center"/>
      <protection hidden="1"/>
    </xf>
    <xf numFmtId="0" fontId="5" fillId="0" borderId="26" xfId="0" applyFont="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6" fillId="0" borderId="12" xfId="0" applyFont="1" applyBorder="1" applyAlignment="1" applyProtection="1">
      <alignment horizontal="center" vertical="center"/>
      <protection hidden="1"/>
    </xf>
    <xf numFmtId="43" fontId="0" fillId="3" borderId="8" xfId="0" applyNumberFormat="1" applyFill="1" applyBorder="1" applyAlignment="1" applyProtection="1">
      <alignment horizontal="left" vertical="center"/>
      <protection hidden="1"/>
    </xf>
    <xf numFmtId="43" fontId="8" fillId="3" borderId="8" xfId="0" applyNumberFormat="1" applyFont="1" applyFill="1" applyBorder="1" applyAlignment="1" applyProtection="1">
      <alignment horizontal="left" vertical="center"/>
      <protection hidden="1"/>
    </xf>
    <xf numFmtId="180" fontId="0" fillId="3" borderId="8" xfId="3" applyNumberFormat="1" applyFont="1" applyFill="1" applyBorder="1" applyAlignment="1" applyProtection="1">
      <alignment horizontal="left" vertical="center"/>
      <protection hidden="1"/>
    </xf>
    <xf numFmtId="41" fontId="8" fillId="3" borderId="8" xfId="3" applyFont="1" applyFill="1" applyBorder="1" applyAlignment="1" applyProtection="1">
      <alignment horizontal="left" vertical="top" wrapText="1"/>
      <protection hidden="1"/>
    </xf>
    <xf numFmtId="0" fontId="100" fillId="11" borderId="7" xfId="0" applyFont="1" applyFill="1" applyBorder="1" applyAlignment="1" applyProtection="1">
      <alignment horizontal="center" vertical="center"/>
      <protection hidden="1"/>
    </xf>
    <xf numFmtId="0" fontId="100" fillId="11" borderId="8" xfId="0" applyFont="1" applyFill="1" applyBorder="1" applyAlignment="1" applyProtection="1">
      <alignment horizontal="center" vertical="center"/>
      <protection hidden="1"/>
    </xf>
    <xf numFmtId="0" fontId="100" fillId="11" borderId="9" xfId="0" applyFont="1" applyFill="1" applyBorder="1" applyAlignment="1" applyProtection="1">
      <alignment horizontal="center" vertical="center"/>
      <protection hidden="1"/>
    </xf>
    <xf numFmtId="0" fontId="0" fillId="3" borderId="8" xfId="0" applyFill="1" applyBorder="1" applyAlignment="1" applyProtection="1">
      <alignment horizontal="left" vertical="center"/>
      <protection hidden="1"/>
    </xf>
    <xf numFmtId="43" fontId="0" fillId="3" borderId="5" xfId="0" applyNumberFormat="1" applyFill="1" applyBorder="1" applyAlignment="1" applyProtection="1">
      <alignment horizontal="left" vertical="center"/>
      <protection hidden="1"/>
    </xf>
    <xf numFmtId="0" fontId="50" fillId="32" borderId="3" xfId="0" applyFont="1" applyFill="1" applyBorder="1" applyAlignment="1" applyProtection="1">
      <alignment horizontal="center" vertical="center"/>
      <protection hidden="1"/>
    </xf>
    <xf numFmtId="0" fontId="50" fillId="32" borderId="0" xfId="0" applyFont="1" applyFill="1" applyAlignment="1" applyProtection="1">
      <alignment horizontal="center" vertical="center"/>
      <protection hidden="1"/>
    </xf>
    <xf numFmtId="0" fontId="50" fillId="32" borderId="4" xfId="0" applyFont="1" applyFill="1" applyBorder="1" applyAlignment="1" applyProtection="1">
      <alignment horizontal="center" vertical="center"/>
      <protection hidden="1"/>
    </xf>
    <xf numFmtId="1" fontId="0" fillId="3" borderId="8" xfId="0" applyNumberFormat="1" applyFill="1" applyBorder="1" applyAlignment="1" applyProtection="1">
      <alignment horizontal="left" vertical="center"/>
      <protection hidden="1"/>
    </xf>
    <xf numFmtId="10" fontId="0" fillId="3" borderId="8" xfId="0" applyNumberFormat="1" applyFill="1" applyBorder="1" applyAlignment="1" applyProtection="1">
      <alignment horizontal="left" vertical="center"/>
      <protection hidden="1"/>
    </xf>
    <xf numFmtId="0" fontId="16" fillId="0" borderId="13" xfId="0" applyFont="1" applyBorder="1" applyAlignment="1" applyProtection="1">
      <alignment horizontal="center" vertical="center"/>
      <protection hidden="1"/>
    </xf>
    <xf numFmtId="0" fontId="16" fillId="0" borderId="5" xfId="0" applyFont="1" applyBorder="1" applyAlignment="1" applyProtection="1">
      <alignment horizontal="center" vertical="center"/>
      <protection hidden="1"/>
    </xf>
    <xf numFmtId="0" fontId="16" fillId="0" borderId="6" xfId="0" applyFont="1" applyBorder="1" applyAlignment="1" applyProtection="1">
      <alignment horizontal="center" vertical="center"/>
      <protection hidden="1"/>
    </xf>
    <xf numFmtId="0" fontId="8" fillId="25" borderId="14" xfId="0" applyFont="1" applyFill="1" applyBorder="1" applyAlignment="1" applyProtection="1">
      <alignment vertical="center" wrapText="1"/>
      <protection hidden="1"/>
    </xf>
    <xf numFmtId="0" fontId="0" fillId="25" borderId="8" xfId="0" applyFill="1" applyBorder="1" applyAlignment="1" applyProtection="1">
      <alignment vertical="center" wrapText="1"/>
      <protection hidden="1"/>
    </xf>
    <xf numFmtId="0" fontId="0" fillId="25" borderId="15" xfId="0" applyFill="1" applyBorder="1" applyAlignment="1" applyProtection="1">
      <alignment vertical="center" wrapText="1"/>
      <protection hidden="1"/>
    </xf>
    <xf numFmtId="0" fontId="8" fillId="25" borderId="17" xfId="0" applyFont="1" applyFill="1" applyBorder="1" applyAlignment="1" applyProtection="1">
      <alignment horizontal="left" vertical="center"/>
      <protection hidden="1"/>
    </xf>
    <xf numFmtId="0" fontId="0" fillId="25" borderId="17" xfId="0" applyFill="1" applyBorder="1" applyAlignment="1" applyProtection="1">
      <alignment horizontal="left" vertical="center"/>
      <protection hidden="1"/>
    </xf>
    <xf numFmtId="0" fontId="0" fillId="3" borderId="17" xfId="0" applyFill="1" applyBorder="1" applyAlignment="1" applyProtection="1">
      <alignment horizontal="left" vertical="center"/>
      <protection hidden="1"/>
    </xf>
    <xf numFmtId="0" fontId="0" fillId="3" borderId="40" xfId="0" applyFill="1" applyBorder="1" applyAlignment="1" applyProtection="1">
      <alignment horizontal="left" vertical="center"/>
      <protection hidden="1"/>
    </xf>
    <xf numFmtId="49" fontId="0" fillId="3" borderId="17" xfId="0" applyNumberFormat="1" applyFill="1" applyBorder="1" applyAlignment="1" applyProtection="1">
      <alignment horizontal="left" vertical="center"/>
      <protection hidden="1"/>
    </xf>
    <xf numFmtId="49" fontId="0" fillId="3" borderId="40" xfId="0" applyNumberFormat="1" applyFill="1" applyBorder="1" applyAlignment="1" applyProtection="1">
      <alignment horizontal="left" vertical="center"/>
      <protection hidden="1"/>
    </xf>
    <xf numFmtId="41" fontId="0" fillId="3" borderId="14" xfId="0" applyNumberFormat="1" applyFill="1" applyBorder="1" applyAlignment="1" applyProtection="1">
      <alignment horizontal="left" vertical="center"/>
      <protection hidden="1"/>
    </xf>
    <xf numFmtId="41" fontId="0" fillId="3" borderId="8" xfId="0" applyNumberFormat="1" applyFill="1" applyBorder="1" applyAlignment="1" applyProtection="1">
      <alignment horizontal="left" vertical="center"/>
      <protection hidden="1"/>
    </xf>
    <xf numFmtId="0" fontId="8" fillId="20" borderId="17" xfId="0" applyFont="1" applyFill="1" applyBorder="1" applyAlignment="1" applyProtection="1">
      <alignment horizontal="left" vertical="center"/>
      <protection hidden="1"/>
    </xf>
    <xf numFmtId="0" fontId="0" fillId="20" borderId="17" xfId="0" applyFill="1" applyBorder="1" applyAlignment="1" applyProtection="1">
      <alignment horizontal="left" vertical="center"/>
      <protection hidden="1"/>
    </xf>
    <xf numFmtId="41" fontId="0" fillId="3" borderId="9" xfId="0" applyNumberFormat="1" applyFill="1" applyBorder="1" applyAlignment="1" applyProtection="1">
      <alignment horizontal="left" vertical="center"/>
      <protection hidden="1"/>
    </xf>
    <xf numFmtId="9" fontId="21" fillId="2" borderId="0" xfId="0" applyNumberFormat="1" applyFont="1" applyFill="1" applyAlignment="1" applyProtection="1">
      <alignment horizontal="center" vertical="center"/>
      <protection hidden="1"/>
    </xf>
    <xf numFmtId="0" fontId="70" fillId="2" borderId="16" xfId="0" quotePrefix="1" applyFont="1" applyFill="1" applyBorder="1" applyAlignment="1" applyProtection="1">
      <alignment horizontal="left" wrapText="1"/>
      <protection hidden="1"/>
    </xf>
    <xf numFmtId="0" fontId="66" fillId="15" borderId="17" xfId="0" quotePrefix="1" applyFont="1" applyFill="1" applyBorder="1" applyAlignment="1" applyProtection="1">
      <alignment horizontal="left" vertical="center"/>
      <protection hidden="1"/>
    </xf>
    <xf numFmtId="0" fontId="66" fillId="15" borderId="17" xfId="0" applyFont="1" applyFill="1" applyBorder="1" applyAlignment="1" applyProtection="1">
      <alignment horizontal="left" vertical="center"/>
      <protection hidden="1"/>
    </xf>
    <xf numFmtId="0" fontId="76" fillId="33" borderId="31" xfId="0" applyNumberFormat="1" applyFont="1" applyFill="1" applyBorder="1" applyAlignment="1" applyProtection="1">
      <alignment horizontal="center" vertical="center"/>
      <protection locked="0"/>
    </xf>
    <xf numFmtId="0" fontId="76" fillId="33" borderId="5" xfId="0" applyNumberFormat="1" applyFont="1" applyFill="1" applyBorder="1" applyAlignment="1" applyProtection="1">
      <alignment horizontal="center" vertical="center"/>
      <protection locked="0"/>
    </xf>
    <xf numFmtId="0" fontId="77" fillId="33" borderId="16" xfId="0" applyFont="1" applyFill="1" applyBorder="1" applyAlignment="1" applyProtection="1">
      <alignment horizontal="center" vertical="center"/>
      <protection locked="0"/>
    </xf>
    <xf numFmtId="0" fontId="77" fillId="33" borderId="0" xfId="0" applyFont="1" applyFill="1" applyBorder="1" applyAlignment="1" applyProtection="1">
      <alignment horizontal="center" vertical="center"/>
      <protection locked="0"/>
    </xf>
    <xf numFmtId="0" fontId="76" fillId="33" borderId="5" xfId="0" applyFont="1" applyFill="1" applyBorder="1" applyAlignment="1" applyProtection="1">
      <alignment horizontal="center" vertical="top"/>
      <protection locked="0"/>
    </xf>
    <xf numFmtId="0" fontId="77" fillId="33" borderId="28" xfId="0" applyFont="1" applyFill="1" applyBorder="1" applyAlignment="1" applyProtection="1">
      <alignment horizontal="center" vertical="center"/>
      <protection locked="0"/>
    </xf>
    <xf numFmtId="0" fontId="113" fillId="2" borderId="0" xfId="0" applyFont="1" applyFill="1" applyBorder="1" applyAlignment="1" applyProtection="1">
      <alignment horizontal="center" vertical="center"/>
      <protection locked="0"/>
    </xf>
    <xf numFmtId="43" fontId="114" fillId="2" borderId="0" xfId="0" applyNumberFormat="1" applyFont="1" applyFill="1" applyBorder="1" applyAlignment="1" applyProtection="1">
      <alignment horizontal="center" vertical="center"/>
      <protection locked="0"/>
    </xf>
    <xf numFmtId="43" fontId="114" fillId="2" borderId="28" xfId="0" applyNumberFormat="1" applyFont="1" applyFill="1" applyBorder="1" applyAlignment="1" applyProtection="1">
      <alignment horizontal="center" vertical="center"/>
      <protection locked="0"/>
    </xf>
    <xf numFmtId="0" fontId="113" fillId="2" borderId="16" xfId="0" applyNumberFormat="1" applyFont="1" applyFill="1" applyBorder="1" applyAlignment="1" applyProtection="1">
      <alignment horizontal="center"/>
      <protection locked="0"/>
    </xf>
    <xf numFmtId="0" fontId="113" fillId="2" borderId="0" xfId="0" applyNumberFormat="1" applyFont="1" applyFill="1" applyBorder="1" applyAlignment="1" applyProtection="1">
      <alignment horizontal="center"/>
      <protection locked="0"/>
    </xf>
    <xf numFmtId="188" fontId="119" fillId="3" borderId="0" xfId="0" applyNumberFormat="1" applyFont="1" applyFill="1" applyBorder="1" applyAlignment="1">
      <alignment horizontal="left" vertical="center"/>
    </xf>
    <xf numFmtId="188" fontId="119" fillId="0" borderId="0" xfId="0" applyNumberFormat="1" applyFont="1" applyAlignment="1">
      <alignment horizontal="left" vertical="center"/>
    </xf>
    <xf numFmtId="188" fontId="119" fillId="0" borderId="0" xfId="0" applyNumberFormat="1" applyFont="1" applyFill="1" applyBorder="1" applyAlignment="1">
      <alignment horizontal="left" vertical="center"/>
    </xf>
    <xf numFmtId="0" fontId="116" fillId="3" borderId="14" xfId="0" applyFont="1" applyFill="1" applyBorder="1" applyAlignment="1">
      <alignment horizontal="center" vertical="center"/>
    </xf>
    <xf numFmtId="0" fontId="116" fillId="3" borderId="8" xfId="0" applyFont="1" applyFill="1" applyBorder="1" applyAlignment="1">
      <alignment horizontal="center" vertical="center"/>
    </xf>
    <xf numFmtId="0" fontId="116" fillId="3" borderId="15" xfId="0" applyFont="1" applyFill="1" applyBorder="1" applyAlignment="1">
      <alignment horizontal="center" vertical="center"/>
    </xf>
    <xf numFmtId="188" fontId="119" fillId="0" borderId="0" xfId="0" applyNumberFormat="1" applyFont="1" applyBorder="1" applyAlignment="1">
      <alignment horizontal="left" vertical="center"/>
    </xf>
    <xf numFmtId="3" fontId="58" fillId="17" borderId="7" xfId="0" applyNumberFormat="1" applyFont="1" applyFill="1" applyBorder="1" applyAlignment="1">
      <alignment horizontal="center"/>
    </xf>
    <xf numFmtId="3" fontId="58" fillId="17" borderId="15" xfId="0" applyNumberFormat="1" applyFont="1" applyFill="1" applyBorder="1" applyAlignment="1">
      <alignment horizontal="center"/>
    </xf>
    <xf numFmtId="3" fontId="56" fillId="0" borderId="0" xfId="0" applyNumberFormat="1" applyFont="1" applyAlignment="1">
      <alignment horizontal="center"/>
    </xf>
    <xf numFmtId="3" fontId="62" fillId="0" borderId="0" xfId="0" applyNumberFormat="1" applyFont="1" applyAlignment="1">
      <alignment horizontal="center"/>
    </xf>
    <xf numFmtId="0" fontId="69" fillId="0" borderId="17" xfId="0" applyFont="1" applyBorder="1" applyAlignment="1" applyProtection="1">
      <alignment horizontal="center"/>
      <protection locked="0"/>
    </xf>
    <xf numFmtId="4" fontId="55" fillId="0" borderId="0" xfId="0" applyNumberFormat="1" applyFont="1" applyAlignment="1">
      <alignment horizontal="center" vertical="center"/>
    </xf>
    <xf numFmtId="3" fontId="58" fillId="19" borderId="44" xfId="0" applyNumberFormat="1" applyFont="1" applyFill="1" applyBorder="1" applyAlignment="1">
      <alignment horizontal="center" vertical="center"/>
    </xf>
    <xf numFmtId="3" fontId="58" fillId="19" borderId="16" xfId="0" applyNumberFormat="1" applyFont="1" applyFill="1" applyBorder="1" applyAlignment="1">
      <alignment horizontal="center" vertical="center"/>
    </xf>
    <xf numFmtId="3" fontId="58" fillId="19" borderId="42" xfId="0" applyNumberFormat="1" applyFont="1" applyFill="1" applyBorder="1" applyAlignment="1">
      <alignment horizontal="center" vertical="center"/>
    </xf>
    <xf numFmtId="4" fontId="58" fillId="0" borderId="17" xfId="0" applyNumberFormat="1" applyFont="1" applyBorder="1" applyAlignment="1">
      <alignment horizontal="center"/>
    </xf>
    <xf numFmtId="0" fontId="24" fillId="0" borderId="0" xfId="5" applyFont="1" applyAlignment="1" applyProtection="1">
      <alignment horizontal="center" vertical="center" wrapText="1"/>
      <protection hidden="1"/>
    </xf>
    <xf numFmtId="0" fontId="24" fillId="0" borderId="18" xfId="5" applyFont="1" applyBorder="1" applyAlignment="1" applyProtection="1">
      <alignment horizontal="center" vertical="center" wrapText="1"/>
      <protection hidden="1"/>
    </xf>
    <xf numFmtId="170" fontId="26" fillId="11" borderId="29" xfId="5" applyNumberFormat="1" applyFont="1" applyFill="1" applyBorder="1" applyAlignment="1" applyProtection="1">
      <alignment horizontal="center" vertical="center" wrapText="1"/>
      <protection hidden="1"/>
    </xf>
    <xf numFmtId="170" fontId="26" fillId="11" borderId="11" xfId="5" applyNumberFormat="1" applyFont="1" applyFill="1" applyBorder="1" applyAlignment="1" applyProtection="1">
      <alignment horizontal="center" vertical="center" wrapText="1"/>
      <protection hidden="1"/>
    </xf>
    <xf numFmtId="170" fontId="26" fillId="11" borderId="27" xfId="5" applyNumberFormat="1" applyFont="1" applyFill="1" applyBorder="1" applyAlignment="1" applyProtection="1">
      <alignment horizontal="center" vertical="center" wrapText="1"/>
      <protection hidden="1"/>
    </xf>
    <xf numFmtId="170" fontId="26" fillId="12" borderId="29" xfId="5" applyNumberFormat="1" applyFont="1" applyFill="1" applyBorder="1" applyAlignment="1" applyProtection="1">
      <alignment horizontal="center" vertical="center" wrapText="1"/>
      <protection hidden="1"/>
    </xf>
    <xf numFmtId="170" fontId="26" fillId="12" borderId="11" xfId="5" applyNumberFormat="1" applyFont="1" applyFill="1" applyBorder="1" applyAlignment="1" applyProtection="1">
      <alignment horizontal="center" vertical="center" wrapText="1"/>
      <protection hidden="1"/>
    </xf>
    <xf numFmtId="170" fontId="26" fillId="12" borderId="27" xfId="5" applyNumberFormat="1" applyFont="1" applyFill="1" applyBorder="1" applyAlignment="1" applyProtection="1">
      <alignment horizontal="center" vertical="center" wrapText="1"/>
      <protection hidden="1"/>
    </xf>
    <xf numFmtId="0" fontId="65" fillId="3" borderId="33" xfId="0" applyFont="1" applyFill="1" applyBorder="1" applyAlignment="1" applyProtection="1">
      <alignment horizontal="center" vertical="top" wrapText="1"/>
      <protection hidden="1"/>
    </xf>
  </cellXfs>
  <cellStyles count="33">
    <cellStyle name="Comma" xfId="1" builtinId="3"/>
    <cellStyle name="Comma [0]" xfId="3" builtinId="6"/>
    <cellStyle name="Comma [0] 2" xfId="9"/>
    <cellStyle name="Comma [0] 3" xfId="29"/>
    <cellStyle name="Comma [0] 4" xfId="22"/>
    <cellStyle name="Comma 2" xfId="17"/>
    <cellStyle name="Comma 3" xfId="27"/>
    <cellStyle name="Dezimal [0]_35ERI8T2gbIEMixb4v26icuOo" xfId="10"/>
    <cellStyle name="Dezimal_35ERI8T2gbIEMixb4v26icuOo" xfId="11"/>
    <cellStyle name="Normal" xfId="0" builtinId="0"/>
    <cellStyle name="Normal - Style1" xfId="12"/>
    <cellStyle name="Normal 2" xfId="4"/>
    <cellStyle name="Normal 2 2" xfId="28"/>
    <cellStyle name="Normal 3" xfId="8"/>
    <cellStyle name="Normal 4" xfId="16"/>
    <cellStyle name="Normal 5" xfId="19"/>
    <cellStyle name="Normal 5 2" xfId="30"/>
    <cellStyle name="Normal 5 3" xfId="23"/>
    <cellStyle name="Normal 6" xfId="20"/>
    <cellStyle name="Normal 6 2" xfId="31"/>
    <cellStyle name="Normal 6 3" xfId="24"/>
    <cellStyle name="Normal 7" xfId="21"/>
    <cellStyle name="Normal 7 2" xfId="32"/>
    <cellStyle name="Normal 7 3" xfId="25"/>
    <cellStyle name="Normal 8" xfId="26"/>
    <cellStyle name="Normal_Credit Scoring KPM_KPR_KJR (ver 1)" xfId="5"/>
    <cellStyle name="Normal_Credit Scoring KSG_CC (ver 1)" xfId="7"/>
    <cellStyle name="Percent" xfId="2" builtinId="5"/>
    <cellStyle name="Percent 2" xfId="6"/>
    <cellStyle name="Percent 3" xfId="18"/>
    <cellStyle name="Standard_Data" xfId="13"/>
    <cellStyle name="Währung [0]_35ERI8T2gbIEMixb4v26icuOo" xfId="14"/>
    <cellStyle name="Währung_35ERI8T2gbIEMixb4v26icuOo" xfId="15"/>
  </cellStyles>
  <dxfs count="3">
    <dxf>
      <fill>
        <patternFill>
          <bgColor rgb="FF00B050"/>
        </patternFill>
      </fill>
    </dxf>
    <dxf>
      <fill>
        <patternFill>
          <bgColor rgb="FFFF0000"/>
        </patternFill>
      </fill>
    </dxf>
    <dxf>
      <fill>
        <patternFill>
          <bgColor rgb="FFFFFF00"/>
        </patternFill>
      </fill>
    </dxf>
  </dxfs>
  <tableStyles count="0" defaultTableStyle="TableStyleMedium9" defaultPivotStyle="PivotStyleLight16"/>
  <colors>
    <mruColors>
      <color rgb="FFB2EAFE"/>
      <color rgb="FFCCFFCC"/>
      <color rgb="FFFDF5B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180975</xdr:colOff>
      <xdr:row>162</xdr:row>
      <xdr:rowOff>0</xdr:rowOff>
    </xdr:from>
    <xdr:to>
      <xdr:col>2</xdr:col>
      <xdr:colOff>180975</xdr:colOff>
      <xdr:row>162</xdr:row>
      <xdr:rowOff>0</xdr:rowOff>
    </xdr:to>
    <xdr:sp macro="" textlink="">
      <xdr:nvSpPr>
        <xdr:cNvPr id="2" name="AutoShape 1">
          <a:extLst>
            <a:ext uri="{FF2B5EF4-FFF2-40B4-BE49-F238E27FC236}">
              <a16:creationId xmlns:a16="http://schemas.microsoft.com/office/drawing/2014/main" xmlns="" id="{00000000-0008-0000-0300-000007080000}"/>
            </a:ext>
          </a:extLst>
        </xdr:cNvPr>
        <xdr:cNvSpPr>
          <a:spLocks noChangeArrowheads="1"/>
        </xdr:cNvSpPr>
      </xdr:nvSpPr>
      <xdr:spPr bwMode="auto">
        <a:xfrm>
          <a:off x="1628775" y="25774650"/>
          <a:ext cx="0" cy="0"/>
        </a:xfrm>
        <a:prstGeom prst="rightArrow">
          <a:avLst>
            <a:gd name="adj1" fmla="val 50000"/>
            <a:gd name="adj2" fmla="val -2147483648"/>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autan-eksterna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autan-ekster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autan-ekster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autan-ekster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autan-eksternal.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autan-ekster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KASUS1"/>
      <sheetName val="KASUS2"/>
      <sheetName val="KASUS3"/>
      <sheetName val="KASUS4"/>
      <sheetName val="KASUS5"/>
      <sheetName val="KASUS6"/>
      <sheetName val="KASUS7"/>
      <sheetName val="KASUS8"/>
      <sheetName val="KASUS9"/>
      <sheetName val="KASUS10"/>
      <sheetName val="KASUS11"/>
      <sheetName val="KASUS12"/>
      <sheetName val="Parameter"/>
    </sheetNames>
    <sheetDataSet>
      <sheetData sheetId="0"/>
      <sheetData sheetId="1"/>
      <sheetData sheetId="2"/>
      <sheetData sheetId="3"/>
      <sheetData sheetId="4"/>
      <sheetData sheetId="5"/>
      <sheetData sheetId="6"/>
      <sheetData sheetId="7"/>
      <sheetData sheetId="8">
        <row r="15">
          <cell r="B15">
            <v>1</v>
          </cell>
        </row>
      </sheetData>
      <sheetData sheetId="9"/>
      <sheetData sheetId="10">
        <row r="23">
          <cell r="I23">
            <v>1</v>
          </cell>
        </row>
        <row r="24">
          <cell r="I24">
            <v>2</v>
          </cell>
        </row>
        <row r="25">
          <cell r="I25">
            <v>3</v>
          </cell>
        </row>
        <row r="26">
          <cell r="I26">
            <v>4</v>
          </cell>
        </row>
        <row r="27">
          <cell r="I27">
            <v>5</v>
          </cell>
        </row>
        <row r="28">
          <cell r="I28">
            <v>6</v>
          </cell>
        </row>
        <row r="29">
          <cell r="I29">
            <v>7</v>
          </cell>
        </row>
        <row r="30">
          <cell r="I30">
            <v>8</v>
          </cell>
        </row>
        <row r="31">
          <cell r="I31">
            <v>9</v>
          </cell>
        </row>
        <row r="32">
          <cell r="I32">
            <v>10</v>
          </cell>
        </row>
        <row r="33">
          <cell r="I33">
            <v>11</v>
          </cell>
        </row>
        <row r="34">
          <cell r="I34">
            <v>12</v>
          </cell>
        </row>
        <row r="35">
          <cell r="I35">
            <v>13</v>
          </cell>
        </row>
        <row r="36">
          <cell r="I36">
            <v>14</v>
          </cell>
        </row>
        <row r="37">
          <cell r="I37">
            <v>15</v>
          </cell>
        </row>
        <row r="38">
          <cell r="I38">
            <v>16</v>
          </cell>
        </row>
        <row r="39">
          <cell r="I39">
            <v>17</v>
          </cell>
        </row>
        <row r="40">
          <cell r="I40">
            <v>18</v>
          </cell>
        </row>
        <row r="41">
          <cell r="I41">
            <v>19</v>
          </cell>
        </row>
        <row r="42">
          <cell r="I42">
            <v>20</v>
          </cell>
        </row>
        <row r="43">
          <cell r="I43">
            <v>21</v>
          </cell>
        </row>
        <row r="44">
          <cell r="I44">
            <v>22</v>
          </cell>
        </row>
        <row r="45">
          <cell r="I45">
            <v>23</v>
          </cell>
        </row>
        <row r="46">
          <cell r="I46">
            <v>24</v>
          </cell>
        </row>
        <row r="47">
          <cell r="I47">
            <v>25</v>
          </cell>
        </row>
        <row r="48">
          <cell r="I48">
            <v>26</v>
          </cell>
        </row>
        <row r="49">
          <cell r="I49">
            <v>27</v>
          </cell>
        </row>
        <row r="50">
          <cell r="I50">
            <v>28</v>
          </cell>
        </row>
        <row r="51">
          <cell r="I51">
            <v>29</v>
          </cell>
        </row>
        <row r="52">
          <cell r="I52">
            <v>30</v>
          </cell>
        </row>
        <row r="53">
          <cell r="I53">
            <v>31</v>
          </cell>
        </row>
        <row r="54">
          <cell r="I54">
            <v>32</v>
          </cell>
        </row>
        <row r="55">
          <cell r="I55">
            <v>33</v>
          </cell>
        </row>
        <row r="56">
          <cell r="I56">
            <v>34</v>
          </cell>
        </row>
        <row r="57">
          <cell r="I57">
            <v>35</v>
          </cell>
        </row>
        <row r="58">
          <cell r="I58">
            <v>36</v>
          </cell>
        </row>
        <row r="59">
          <cell r="I59">
            <v>37</v>
          </cell>
        </row>
        <row r="60">
          <cell r="I60">
            <v>38</v>
          </cell>
        </row>
        <row r="61">
          <cell r="I61">
            <v>39</v>
          </cell>
        </row>
        <row r="62">
          <cell r="I62">
            <v>40</v>
          </cell>
        </row>
        <row r="63">
          <cell r="I63">
            <v>41</v>
          </cell>
        </row>
        <row r="64">
          <cell r="I64">
            <v>42</v>
          </cell>
        </row>
        <row r="65">
          <cell r="I65">
            <v>43</v>
          </cell>
        </row>
        <row r="66">
          <cell r="I66">
            <v>44</v>
          </cell>
        </row>
        <row r="67">
          <cell r="I67">
            <v>45</v>
          </cell>
        </row>
        <row r="68">
          <cell r="I68">
            <v>46</v>
          </cell>
        </row>
        <row r="69">
          <cell r="I69">
            <v>47</v>
          </cell>
        </row>
        <row r="70">
          <cell r="I70">
            <v>48</v>
          </cell>
        </row>
        <row r="71">
          <cell r="I71">
            <v>49</v>
          </cell>
        </row>
        <row r="72">
          <cell r="I72">
            <v>50</v>
          </cell>
        </row>
        <row r="73">
          <cell r="I73">
            <v>51</v>
          </cell>
        </row>
        <row r="74">
          <cell r="I74">
            <v>52</v>
          </cell>
        </row>
        <row r="75">
          <cell r="I75">
            <v>53</v>
          </cell>
        </row>
        <row r="76">
          <cell r="I76">
            <v>54</v>
          </cell>
        </row>
        <row r="77">
          <cell r="I77">
            <v>55</v>
          </cell>
        </row>
        <row r="78">
          <cell r="I78">
            <v>56</v>
          </cell>
        </row>
        <row r="79">
          <cell r="I79">
            <v>57</v>
          </cell>
        </row>
        <row r="80">
          <cell r="I80">
            <v>58</v>
          </cell>
        </row>
        <row r="81">
          <cell r="I81">
            <v>59</v>
          </cell>
        </row>
        <row r="82">
          <cell r="I82">
            <v>60</v>
          </cell>
        </row>
        <row r="83">
          <cell r="I83">
            <v>61</v>
          </cell>
        </row>
        <row r="84">
          <cell r="I84">
            <v>62</v>
          </cell>
        </row>
        <row r="85">
          <cell r="I85">
            <v>63</v>
          </cell>
        </row>
        <row r="86">
          <cell r="I86">
            <v>64</v>
          </cell>
        </row>
        <row r="87">
          <cell r="I87">
            <v>65</v>
          </cell>
        </row>
        <row r="88">
          <cell r="I88">
            <v>66</v>
          </cell>
        </row>
        <row r="89">
          <cell r="I89">
            <v>67</v>
          </cell>
        </row>
        <row r="90">
          <cell r="I90">
            <v>68</v>
          </cell>
        </row>
        <row r="91">
          <cell r="I91">
            <v>69</v>
          </cell>
        </row>
        <row r="92">
          <cell r="I92">
            <v>70</v>
          </cell>
        </row>
        <row r="93">
          <cell r="I93">
            <v>71</v>
          </cell>
        </row>
        <row r="94">
          <cell r="I94">
            <v>72</v>
          </cell>
        </row>
        <row r="95">
          <cell r="I95">
            <v>73</v>
          </cell>
        </row>
        <row r="96">
          <cell r="I96">
            <v>74</v>
          </cell>
        </row>
        <row r="97">
          <cell r="I97">
            <v>75</v>
          </cell>
        </row>
        <row r="98">
          <cell r="I98">
            <v>76</v>
          </cell>
        </row>
        <row r="99">
          <cell r="I99">
            <v>77</v>
          </cell>
        </row>
        <row r="100">
          <cell r="I100">
            <v>78</v>
          </cell>
        </row>
        <row r="101">
          <cell r="I101">
            <v>79</v>
          </cell>
        </row>
        <row r="102">
          <cell r="I102">
            <v>80</v>
          </cell>
        </row>
        <row r="103">
          <cell r="I103">
            <v>81</v>
          </cell>
        </row>
        <row r="104">
          <cell r="I104">
            <v>82</v>
          </cell>
        </row>
        <row r="105">
          <cell r="I105">
            <v>83</v>
          </cell>
        </row>
        <row r="106">
          <cell r="I106">
            <v>84</v>
          </cell>
        </row>
        <row r="107">
          <cell r="I107">
            <v>85</v>
          </cell>
        </row>
        <row r="108">
          <cell r="I108">
            <v>86</v>
          </cell>
        </row>
        <row r="109">
          <cell r="I109">
            <v>87</v>
          </cell>
        </row>
        <row r="110">
          <cell r="I110">
            <v>88</v>
          </cell>
        </row>
        <row r="111">
          <cell r="I111">
            <v>89</v>
          </cell>
        </row>
        <row r="112">
          <cell r="I112">
            <v>90</v>
          </cell>
        </row>
        <row r="113">
          <cell r="I113">
            <v>91</v>
          </cell>
        </row>
        <row r="114">
          <cell r="I114">
            <v>92</v>
          </cell>
        </row>
        <row r="115">
          <cell r="I115">
            <v>93</v>
          </cell>
        </row>
        <row r="116">
          <cell r="I116">
            <v>94</v>
          </cell>
        </row>
        <row r="117">
          <cell r="I117">
            <v>95</v>
          </cell>
        </row>
        <row r="118">
          <cell r="I118">
            <v>96</v>
          </cell>
        </row>
        <row r="119">
          <cell r="I119">
            <v>97</v>
          </cell>
        </row>
        <row r="120">
          <cell r="I120">
            <v>98</v>
          </cell>
        </row>
        <row r="121">
          <cell r="I121">
            <v>99</v>
          </cell>
        </row>
        <row r="122">
          <cell r="I122">
            <v>100</v>
          </cell>
        </row>
        <row r="123">
          <cell r="I123">
            <v>101</v>
          </cell>
        </row>
        <row r="124">
          <cell r="I124">
            <v>102</v>
          </cell>
        </row>
        <row r="125">
          <cell r="I125">
            <v>103</v>
          </cell>
        </row>
        <row r="126">
          <cell r="I126">
            <v>104</v>
          </cell>
        </row>
        <row r="127">
          <cell r="I127">
            <v>105</v>
          </cell>
        </row>
        <row r="128">
          <cell r="I128">
            <v>106</v>
          </cell>
        </row>
        <row r="129">
          <cell r="I129">
            <v>107</v>
          </cell>
        </row>
        <row r="130">
          <cell r="I130">
            <v>108</v>
          </cell>
        </row>
        <row r="131">
          <cell r="I131">
            <v>109</v>
          </cell>
        </row>
        <row r="132">
          <cell r="I132">
            <v>110</v>
          </cell>
        </row>
        <row r="133">
          <cell r="I133">
            <v>111</v>
          </cell>
        </row>
        <row r="134">
          <cell r="I134">
            <v>112</v>
          </cell>
        </row>
        <row r="135">
          <cell r="I135">
            <v>113</v>
          </cell>
        </row>
        <row r="136">
          <cell r="I136">
            <v>114</v>
          </cell>
        </row>
        <row r="137">
          <cell r="I137">
            <v>115</v>
          </cell>
        </row>
        <row r="138">
          <cell r="I138">
            <v>116</v>
          </cell>
        </row>
        <row r="139">
          <cell r="I139">
            <v>117</v>
          </cell>
        </row>
        <row r="140">
          <cell r="I140">
            <v>118</v>
          </cell>
        </row>
        <row r="141">
          <cell r="I141">
            <v>119</v>
          </cell>
        </row>
        <row r="142">
          <cell r="I142">
            <v>120</v>
          </cell>
        </row>
        <row r="143">
          <cell r="I143">
            <v>121</v>
          </cell>
        </row>
        <row r="144">
          <cell r="I144">
            <v>122</v>
          </cell>
        </row>
        <row r="145">
          <cell r="I145">
            <v>123</v>
          </cell>
        </row>
        <row r="146">
          <cell r="I146">
            <v>124</v>
          </cell>
        </row>
        <row r="147">
          <cell r="I147">
            <v>125</v>
          </cell>
        </row>
        <row r="148">
          <cell r="I148">
            <v>126</v>
          </cell>
        </row>
        <row r="149">
          <cell r="I149">
            <v>127</v>
          </cell>
        </row>
        <row r="150">
          <cell r="I150">
            <v>128</v>
          </cell>
        </row>
        <row r="151">
          <cell r="I151">
            <v>129</v>
          </cell>
        </row>
        <row r="152">
          <cell r="I152">
            <v>130</v>
          </cell>
        </row>
        <row r="153">
          <cell r="I153">
            <v>131</v>
          </cell>
        </row>
        <row r="154">
          <cell r="I154">
            <v>132</v>
          </cell>
        </row>
        <row r="155">
          <cell r="I155">
            <v>133</v>
          </cell>
        </row>
        <row r="156">
          <cell r="I156">
            <v>134</v>
          </cell>
        </row>
        <row r="157">
          <cell r="I157">
            <v>135</v>
          </cell>
        </row>
        <row r="158">
          <cell r="I158">
            <v>136</v>
          </cell>
        </row>
        <row r="159">
          <cell r="I159">
            <v>137</v>
          </cell>
        </row>
        <row r="160">
          <cell r="I160">
            <v>138</v>
          </cell>
        </row>
        <row r="161">
          <cell r="I161">
            <v>139</v>
          </cell>
        </row>
        <row r="162">
          <cell r="I162">
            <v>140</v>
          </cell>
        </row>
        <row r="163">
          <cell r="I163">
            <v>141</v>
          </cell>
        </row>
        <row r="164">
          <cell r="I164">
            <v>142</v>
          </cell>
        </row>
        <row r="165">
          <cell r="I165">
            <v>143</v>
          </cell>
        </row>
        <row r="166">
          <cell r="I166">
            <v>144</v>
          </cell>
        </row>
        <row r="167">
          <cell r="I167">
            <v>145</v>
          </cell>
        </row>
        <row r="168">
          <cell r="I168">
            <v>146</v>
          </cell>
        </row>
        <row r="169">
          <cell r="I169">
            <v>147</v>
          </cell>
        </row>
        <row r="170">
          <cell r="I170">
            <v>148</v>
          </cell>
        </row>
        <row r="171">
          <cell r="I171">
            <v>149</v>
          </cell>
        </row>
        <row r="172">
          <cell r="I172">
            <v>150</v>
          </cell>
        </row>
        <row r="173">
          <cell r="I173">
            <v>151</v>
          </cell>
        </row>
        <row r="174">
          <cell r="I174">
            <v>152</v>
          </cell>
        </row>
        <row r="175">
          <cell r="I175">
            <v>153</v>
          </cell>
        </row>
        <row r="176">
          <cell r="I176">
            <v>154</v>
          </cell>
        </row>
        <row r="177">
          <cell r="I177">
            <v>155</v>
          </cell>
        </row>
        <row r="178">
          <cell r="I178">
            <v>156</v>
          </cell>
        </row>
        <row r="179">
          <cell r="I179">
            <v>157</v>
          </cell>
        </row>
        <row r="180">
          <cell r="I180">
            <v>158</v>
          </cell>
        </row>
        <row r="181">
          <cell r="I181">
            <v>159</v>
          </cell>
        </row>
        <row r="182">
          <cell r="I182">
            <v>160</v>
          </cell>
        </row>
        <row r="183">
          <cell r="I183">
            <v>161</v>
          </cell>
        </row>
        <row r="184">
          <cell r="I184">
            <v>162</v>
          </cell>
        </row>
        <row r="185">
          <cell r="I185">
            <v>163</v>
          </cell>
        </row>
        <row r="186">
          <cell r="I186">
            <v>164</v>
          </cell>
        </row>
        <row r="187">
          <cell r="I187">
            <v>165</v>
          </cell>
        </row>
        <row r="188">
          <cell r="I188">
            <v>166</v>
          </cell>
        </row>
        <row r="189">
          <cell r="I189">
            <v>167</v>
          </cell>
        </row>
        <row r="190">
          <cell r="I190">
            <v>168</v>
          </cell>
        </row>
        <row r="191">
          <cell r="I191">
            <v>169</v>
          </cell>
        </row>
        <row r="192">
          <cell r="I192">
            <v>170</v>
          </cell>
        </row>
        <row r="193">
          <cell r="I193">
            <v>171</v>
          </cell>
        </row>
        <row r="194">
          <cell r="I194">
            <v>172</v>
          </cell>
        </row>
        <row r="195">
          <cell r="I195">
            <v>173</v>
          </cell>
        </row>
        <row r="196">
          <cell r="I196">
            <v>174</v>
          </cell>
        </row>
        <row r="197">
          <cell r="I197">
            <v>175</v>
          </cell>
        </row>
        <row r="198">
          <cell r="I198">
            <v>176</v>
          </cell>
        </row>
        <row r="199">
          <cell r="I199">
            <v>177</v>
          </cell>
        </row>
        <row r="200">
          <cell r="I200">
            <v>178</v>
          </cell>
        </row>
        <row r="201">
          <cell r="I201">
            <v>179</v>
          </cell>
        </row>
        <row r="202">
          <cell r="I202">
            <v>180</v>
          </cell>
        </row>
      </sheetData>
      <sheetData sheetId="11"/>
      <sheetData sheetId="12">
        <row r="20">
          <cell r="K20" t="str">
            <v>CICILAN POKOK PINJAMAN</v>
          </cell>
        </row>
      </sheetData>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sheetName val="kocab"/>
      <sheetName val="parameter"/>
      <sheetName val="parameter_tier"/>
      <sheetName val="Formulir"/>
      <sheetName val="Cetak Laporan"/>
    </sheetNames>
    <sheetDataSet>
      <sheetData sheetId="0"/>
      <sheetData sheetId="1"/>
      <sheetData sheetId="2">
        <row r="6">
          <cell r="E6" t="str">
            <v>21 - 30 tahun</v>
          </cell>
        </row>
        <row r="7">
          <cell r="E7" t="str">
            <v>31 - 40 tahun</v>
          </cell>
        </row>
        <row r="8">
          <cell r="E8" t="str">
            <v>41 - 55 tahun</v>
          </cell>
        </row>
        <row r="9">
          <cell r="E9" t="str">
            <v>56 - 60 tahun</v>
          </cell>
        </row>
        <row r="11">
          <cell r="E11" t="str">
            <v>Menikah</v>
          </cell>
        </row>
        <row r="12">
          <cell r="E12" t="str">
            <v>Lajang</v>
          </cell>
        </row>
        <row r="14">
          <cell r="E14" t="str">
            <v>Tanggungan &gt; 5 Orang</v>
          </cell>
        </row>
        <row r="15">
          <cell r="E15" t="str">
            <v>Tanggungan 3 - 5 Orang</v>
          </cell>
        </row>
        <row r="16">
          <cell r="E16" t="str">
            <v>tanggungan 1 - 2 Orang</v>
          </cell>
        </row>
        <row r="17">
          <cell r="E17" t="str">
            <v>Tidak Mempunyai Tanggungan</v>
          </cell>
        </row>
        <row r="19">
          <cell r="E19" t="str">
            <v>Sekolah Dasar/Sekolah Menengah Pertama</v>
          </cell>
        </row>
        <row r="20">
          <cell r="E20" t="str">
            <v>Sekolah Menengah Umum</v>
          </cell>
        </row>
        <row r="21">
          <cell r="E21" t="str">
            <v>Akademi</v>
          </cell>
        </row>
        <row r="22">
          <cell r="E22" t="str">
            <v>Universitas</v>
          </cell>
        </row>
        <row r="26">
          <cell r="E26" t="str">
            <v>Sewa</v>
          </cell>
        </row>
        <row r="27">
          <cell r="E27" t="str">
            <v>Lain-lain (Menumpang)</v>
          </cell>
        </row>
        <row r="28">
          <cell r="E28" t="str">
            <v>Mencicil</v>
          </cell>
        </row>
        <row r="29">
          <cell r="E29" t="str">
            <v>Milik sendiri</v>
          </cell>
        </row>
        <row r="31">
          <cell r="E31" t="str">
            <v>0 - 2 tahun</v>
          </cell>
        </row>
        <row r="32">
          <cell r="E32" t="str">
            <v>&gt; 2 - 5 tahun</v>
          </cell>
        </row>
        <row r="33">
          <cell r="E33" t="str">
            <v>&gt; 5 - 8 tahun</v>
          </cell>
        </row>
        <row r="34">
          <cell r="E34" t="str">
            <v>&gt; 8 tahun</v>
          </cell>
        </row>
        <row r="36">
          <cell r="E36" t="str">
            <v>Tidak Bagus</v>
          </cell>
        </row>
        <row r="37">
          <cell r="E37" t="str">
            <v>Tidak dikenal</v>
          </cell>
        </row>
        <row r="38">
          <cell r="E38" t="str">
            <v>Dikenal namum kurang bersosialisasi</v>
          </cell>
        </row>
        <row r="39">
          <cell r="E39" t="str">
            <v>Dikenal memiliki reputasi baik/tokoh masyarakat</v>
          </cell>
        </row>
        <row r="43">
          <cell r="E43" t="str">
            <v>=1 tahun</v>
          </cell>
        </row>
        <row r="44">
          <cell r="E44" t="str">
            <v>&gt;1 - 5 tahun</v>
          </cell>
        </row>
        <row r="45">
          <cell r="E45" t="str">
            <v>&gt;5 - 10 tahun</v>
          </cell>
        </row>
        <row r="46">
          <cell r="E46" t="str">
            <v>&gt;10 tahun</v>
          </cell>
        </row>
        <row r="53">
          <cell r="E53" t="str">
            <v>Kebutuhan Tersier</v>
          </cell>
        </row>
        <row r="54">
          <cell r="E54" t="str">
            <v>Kebutuhan Sekunder</v>
          </cell>
        </row>
        <row r="55">
          <cell r="E55" t="str">
            <v>Kebutuhan Primer</v>
          </cell>
        </row>
        <row r="57">
          <cell r="E57" t="str">
            <v>Konsinyasi &amp; Bagi Hasil</v>
          </cell>
        </row>
        <row r="58">
          <cell r="E58" t="str">
            <v>Kredit</v>
          </cell>
        </row>
        <row r="59">
          <cell r="E59" t="str">
            <v>Kredit &amp; Tunai</v>
          </cell>
        </row>
        <row r="60">
          <cell r="E60" t="str">
            <v>Tunai</v>
          </cell>
        </row>
        <row r="62">
          <cell r="E62" t="str">
            <v>Lain-lain</v>
          </cell>
        </row>
        <row r="63">
          <cell r="E63" t="str">
            <v>Sewa</v>
          </cell>
        </row>
        <row r="64">
          <cell r="E64" t="str">
            <v>Mencicil</v>
          </cell>
        </row>
        <row r="65">
          <cell r="E65" t="str">
            <v>Milik sendiri</v>
          </cell>
        </row>
        <row r="67">
          <cell r="E67" t="str">
            <v>Lain-lain</v>
          </cell>
        </row>
        <row r="68">
          <cell r="E68" t="str">
            <v>Berpindah</v>
          </cell>
        </row>
        <row r="69">
          <cell r="E69" t="str">
            <v>Mangkal/Non Permanen</v>
          </cell>
        </row>
        <row r="70">
          <cell r="E70" t="str">
            <v>Menetap/Permanen</v>
          </cell>
        </row>
        <row r="86">
          <cell r="E86" t="str">
            <v>TK &lt;= 2 Orang</v>
          </cell>
        </row>
        <row r="87">
          <cell r="E87" t="str">
            <v>2 &lt; TK &lt;= 5 Orang</v>
          </cell>
        </row>
        <row r="88">
          <cell r="E88" t="str">
            <v>5 &lt; TK &lt;= 10 Orang</v>
          </cell>
        </row>
        <row r="89">
          <cell r="E89" t="str">
            <v>TK &gt; 10 Orang</v>
          </cell>
        </row>
        <row r="91">
          <cell r="E91" t="str">
            <v>Tidak terdapat pencatatan dan pemisahan pengelolaan keuangan usaha</v>
          </cell>
        </row>
        <row r="92">
          <cell r="E92" t="str">
            <v>Terdapat pemisahan pengelolaan usaha namun tidak terdapat pencatatan</v>
          </cell>
        </row>
        <row r="93">
          <cell r="E93" t="str">
            <v>Terdapat pemisahan dan pencatatan keuangan dilakukan sederhana namun belum memiliki laporan keuangan sendiri</v>
          </cell>
        </row>
        <row r="94">
          <cell r="E94" t="str">
            <v>Terdapat pemisahan dan memiliki pencatatan yang baik serta mampu membuat laporan keuangan sendiri</v>
          </cell>
        </row>
        <row r="96">
          <cell r="E96" t="str">
            <v>Lebih besar dari kredit yang dimohon</v>
          </cell>
        </row>
        <row r="97">
          <cell r="E97" t="str">
            <v>sampai dengan 50 % dari Kredit yang dimohon</v>
          </cell>
        </row>
        <row r="98">
          <cell r="E98" t="str">
            <v>sampai dengan 25 % dari Kredit yang dimohon</v>
          </cell>
        </row>
        <row r="99">
          <cell r="E99" t="str">
            <v>tidak ada / sebagian kecil dari kredit yang dimohon</v>
          </cell>
        </row>
        <row r="103">
          <cell r="E103" t="str">
            <v>Belum Pernah</v>
          </cell>
        </row>
        <row r="104">
          <cell r="E104" t="str">
            <v>Nasabah/debitur bank &lt; 1 tahun</v>
          </cell>
        </row>
        <row r="105">
          <cell r="E105" t="str">
            <v>Nasabah/debitur bank 1 - 3 tahun</v>
          </cell>
        </row>
        <row r="106">
          <cell r="E106" t="str">
            <v>Nasabah/debitur bank &gt; 3 tahun</v>
          </cell>
        </row>
        <row r="118">
          <cell r="E118" t="str">
            <v>Kurang baik / Sering Menunggak</v>
          </cell>
        </row>
        <row r="119">
          <cell r="E119" t="str">
            <v>Belum Pernah</v>
          </cell>
        </row>
        <row r="120">
          <cell r="E120" t="str">
            <v>1 - 2 Tahun Berjalan baik</v>
          </cell>
        </row>
        <row r="121">
          <cell r="E121" t="str">
            <v>Lebih dari 2 Tahun dan berjalan baik</v>
          </cell>
        </row>
        <row r="132">
          <cell r="E132" t="str">
            <v>Ada agunan, CEV &lt; 40%</v>
          </cell>
        </row>
        <row r="133">
          <cell r="E133" t="str">
            <v>Ada agunan, CEV  &gt;=  40%</v>
          </cell>
        </row>
        <row r="159">
          <cell r="E159" t="str">
            <v>Modal Kerja</v>
          </cell>
        </row>
        <row r="160">
          <cell r="E160" t="str">
            <v>Investasi</v>
          </cell>
        </row>
        <row r="163">
          <cell r="E163" t="str">
            <v>Laki-laki</v>
          </cell>
        </row>
        <row r="164">
          <cell r="E164" t="str">
            <v>Perempuan</v>
          </cell>
        </row>
        <row r="174">
          <cell r="E174" t="str">
            <v>Pedagang</v>
          </cell>
        </row>
        <row r="175">
          <cell r="E175" t="str">
            <v>Petani</v>
          </cell>
        </row>
        <row r="176">
          <cell r="E176" t="str">
            <v>Swasta</v>
          </cell>
        </row>
        <row r="177">
          <cell r="E177" t="str">
            <v>Lainnya</v>
          </cell>
        </row>
        <row r="180">
          <cell r="E180" t="str">
            <v>Menikah</v>
          </cell>
        </row>
        <row r="181">
          <cell r="E181" t="str">
            <v>Lajang (termasuk janda/duda)</v>
          </cell>
        </row>
        <row r="184">
          <cell r="E184" t="str">
            <v>Pedagang</v>
          </cell>
        </row>
        <row r="185">
          <cell r="E185" t="str">
            <v>Petani</v>
          </cell>
        </row>
        <row r="186">
          <cell r="E186" t="str">
            <v>Swasta</v>
          </cell>
        </row>
        <row r="187">
          <cell r="E187" t="str">
            <v>Lainnya</v>
          </cell>
        </row>
        <row r="190">
          <cell r="E190" t="str">
            <v>01 Bulan</v>
          </cell>
        </row>
        <row r="191">
          <cell r="E191" t="str">
            <v>02 Bulan</v>
          </cell>
        </row>
        <row r="192">
          <cell r="E192" t="str">
            <v>03 Bulan</v>
          </cell>
        </row>
        <row r="193">
          <cell r="E193" t="str">
            <v>04 Bulan</v>
          </cell>
        </row>
        <row r="194">
          <cell r="E194" t="str">
            <v>05 Bulan</v>
          </cell>
        </row>
        <row r="195">
          <cell r="E195" t="str">
            <v>06 Bulan</v>
          </cell>
        </row>
        <row r="196">
          <cell r="E196" t="str">
            <v>10 Bulan</v>
          </cell>
        </row>
        <row r="197">
          <cell r="E197" t="str">
            <v>12 Bulan</v>
          </cell>
        </row>
        <row r="198">
          <cell r="E198" t="str">
            <v>13 Bulan</v>
          </cell>
        </row>
        <row r="199">
          <cell r="E199" t="str">
            <v>14 Bulan</v>
          </cell>
        </row>
        <row r="200">
          <cell r="E200" t="str">
            <v>15 Bulan</v>
          </cell>
        </row>
        <row r="201">
          <cell r="E201" t="str">
            <v>16 Bulan</v>
          </cell>
        </row>
        <row r="202">
          <cell r="E202" t="str">
            <v>17 Bulan</v>
          </cell>
        </row>
        <row r="203">
          <cell r="E203" t="str">
            <v>18 Bulan</v>
          </cell>
        </row>
        <row r="204">
          <cell r="E204" t="str">
            <v>19 Bulan</v>
          </cell>
        </row>
        <row r="205">
          <cell r="E205" t="str">
            <v>20 Bulan</v>
          </cell>
        </row>
        <row r="206">
          <cell r="E206" t="str">
            <v>24 Bulan</v>
          </cell>
        </row>
        <row r="207">
          <cell r="E207" t="str">
            <v>36 Bulan</v>
          </cell>
        </row>
        <row r="208">
          <cell r="E208" t="str">
            <v>48 Bulan</v>
          </cell>
        </row>
        <row r="209">
          <cell r="E209" t="str">
            <v>50 Bulan</v>
          </cell>
        </row>
        <row r="210">
          <cell r="E210" t="str">
            <v>52 Bulan</v>
          </cell>
        </row>
        <row r="211">
          <cell r="E211" t="str">
            <v>60 Bulan</v>
          </cell>
        </row>
      </sheetData>
      <sheetData sheetId="3">
        <row r="48">
          <cell r="E48" t="str">
            <v>Sektor Pertanian Tanaman Pangan</v>
          </cell>
        </row>
        <row r="49">
          <cell r="E49" t="str">
            <v>Sektor Perkebunan</v>
          </cell>
        </row>
        <row r="50">
          <cell r="E50" t="str">
            <v>Sektor Peternakan</v>
          </cell>
        </row>
        <row r="51">
          <cell r="E51" t="str">
            <v>Sektor Perikanan</v>
          </cell>
        </row>
        <row r="52">
          <cell r="E52" t="str">
            <v>Sektor Kehutanan</v>
          </cell>
        </row>
        <row r="53">
          <cell r="E53" t="str">
            <v>Sektor Perindustrian</v>
          </cell>
        </row>
        <row r="54">
          <cell r="E54" t="str">
            <v>Sektor Pertambangan Rakyat</v>
          </cell>
        </row>
        <row r="55">
          <cell r="E55" t="str">
            <v>Sektor Lainnya</v>
          </cell>
        </row>
        <row r="141">
          <cell r="E141">
            <v>-10</v>
          </cell>
        </row>
        <row r="142">
          <cell r="E142">
            <v>-9</v>
          </cell>
        </row>
        <row r="143">
          <cell r="E143">
            <v>-8</v>
          </cell>
        </row>
        <row r="144">
          <cell r="E144">
            <v>-7</v>
          </cell>
        </row>
        <row r="145">
          <cell r="E145">
            <v>-6</v>
          </cell>
        </row>
        <row r="146">
          <cell r="E146">
            <v>-5</v>
          </cell>
        </row>
        <row r="147">
          <cell r="E147">
            <v>-4</v>
          </cell>
        </row>
        <row r="148">
          <cell r="E148">
            <v>-3</v>
          </cell>
        </row>
        <row r="149">
          <cell r="E149">
            <v>-2</v>
          </cell>
        </row>
        <row r="150">
          <cell r="E150">
            <v>-1</v>
          </cell>
        </row>
        <row r="151">
          <cell r="E151">
            <v>0</v>
          </cell>
        </row>
        <row r="152">
          <cell r="E152">
            <v>1</v>
          </cell>
        </row>
        <row r="153">
          <cell r="E153">
            <v>2</v>
          </cell>
        </row>
        <row r="154">
          <cell r="E154">
            <v>3</v>
          </cell>
        </row>
        <row r="155">
          <cell r="E155">
            <v>4</v>
          </cell>
        </row>
        <row r="156">
          <cell r="E156">
            <v>5</v>
          </cell>
        </row>
        <row r="157">
          <cell r="E157">
            <v>6</v>
          </cell>
        </row>
        <row r="158">
          <cell r="E158">
            <v>7</v>
          </cell>
        </row>
        <row r="159">
          <cell r="E159">
            <v>8</v>
          </cell>
        </row>
        <row r="160">
          <cell r="E160">
            <v>9</v>
          </cell>
        </row>
        <row r="161">
          <cell r="E161">
            <v>10</v>
          </cell>
        </row>
      </sheetData>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POKOK"/>
      <sheetName val="ASPEK NON KEU"/>
      <sheetName val="ASPEK KEU"/>
      <sheetName val="KEBUTUHAN KREDIT"/>
      <sheetName val="REKOMENDASI"/>
    </sheetNames>
    <sheetDataSet>
      <sheetData sheetId="0"/>
      <sheetData sheetId="1"/>
      <sheetData sheetId="2">
        <row r="46">
          <cell r="K46">
            <v>1</v>
          </cell>
        </row>
        <row r="47">
          <cell r="K47">
            <v>2</v>
          </cell>
        </row>
        <row r="48">
          <cell r="K48">
            <v>3</v>
          </cell>
        </row>
        <row r="49">
          <cell r="K49">
            <v>4</v>
          </cell>
        </row>
        <row r="50">
          <cell r="K50">
            <v>5</v>
          </cell>
        </row>
      </sheetData>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Pokok"/>
      <sheetName val="Aspek Non Keuangan"/>
      <sheetName val="AKTIVITAS USAHA"/>
      <sheetName val="Aspek Keuangan"/>
      <sheetName val="Rekening Koran &amp; Asset"/>
      <sheetName val="Usulan Pembiayaan"/>
      <sheetName val="K Modal"/>
      <sheetName val="Komite Kredit"/>
      <sheetName val="Keputusan Pembiayaan"/>
      <sheetName val="Jadang"/>
      <sheetName val="Parameter"/>
      <sheetName val="Rating"/>
      <sheetName val="SPP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Pokok"/>
      <sheetName val="Aspek Non Keuangan"/>
      <sheetName val="AKTIVITAS USAHA"/>
      <sheetName val="Aspek Keuangan"/>
      <sheetName val="Rekening Koran &amp; Asset"/>
      <sheetName val="Usulan Pembiayaan"/>
      <sheetName val="K Modal"/>
      <sheetName val="Komite Kredit"/>
      <sheetName val="Keputusan Pembiayaan"/>
      <sheetName val="REKOMENDASI AO"/>
      <sheetName val="Jadang"/>
      <sheetName val="Parameter"/>
      <sheetName val="Rating"/>
      <sheetName val="SPPK"/>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rmasi Pokok"/>
      <sheetName val="Aspek Non Keuangan"/>
      <sheetName val="AKTIVITAS USAHA"/>
      <sheetName val="Input R Koran"/>
      <sheetName val="Aspek Keuangan"/>
      <sheetName val="Usulan Pembiayaan"/>
      <sheetName val="K Modal"/>
      <sheetName val="Komite Kredit"/>
      <sheetName val="Keputusan Pembiayaan"/>
      <sheetName val="Jadang"/>
      <sheetName val="Biaya"/>
      <sheetName val="Parameter"/>
      <sheetName val="Rating"/>
      <sheetName val="SPPK"/>
    </sheetNames>
    <sheetDataSet>
      <sheetData sheetId="0"/>
      <sheetData sheetId="1"/>
      <sheetData sheetId="2"/>
      <sheetData sheetId="3"/>
      <sheetData sheetId="4"/>
      <sheetData sheetId="5"/>
      <sheetData sheetId="6"/>
      <sheetData sheetId="7"/>
      <sheetData sheetId="8">
        <row r="11">
          <cell r="N11">
            <v>0</v>
          </cell>
          <cell r="T11">
            <v>0</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S401"/>
  <sheetViews>
    <sheetView topLeftCell="A63" zoomScaleNormal="100" workbookViewId="0">
      <selection activeCell="E72" sqref="E72"/>
    </sheetView>
  </sheetViews>
  <sheetFormatPr defaultColWidth="8.85546875" defaultRowHeight="15.75"/>
  <cols>
    <col min="1" max="1" width="4.7109375" style="722" customWidth="1"/>
    <col min="2" max="2" width="36.42578125" style="678" customWidth="1"/>
    <col min="3" max="3" width="1.28515625" style="678" customWidth="1"/>
    <col min="4" max="4" width="7.140625" style="678" customWidth="1"/>
    <col min="5" max="5" width="19" style="678" customWidth="1"/>
    <col min="6" max="6" width="6" style="678" customWidth="1"/>
    <col min="7" max="7" width="9" style="678" customWidth="1"/>
    <col min="8" max="8" width="12.28515625" style="678" customWidth="1"/>
    <col min="9" max="9" width="5.85546875" style="678" customWidth="1"/>
    <col min="10" max="10" width="11" style="678" customWidth="1"/>
    <col min="11" max="11" width="10.42578125" style="678" customWidth="1"/>
    <col min="12" max="18" width="18" style="678" hidden="1" customWidth="1"/>
    <col min="19" max="19" width="0" style="678" hidden="1" customWidth="1"/>
    <col min="20" max="255" width="7.7109375" style="678"/>
    <col min="256" max="256" width="7.42578125" style="678" customWidth="1"/>
    <col min="257" max="257" width="25.7109375" style="678" customWidth="1"/>
    <col min="258" max="258" width="5.42578125" style="678" customWidth="1"/>
    <col min="259" max="259" width="5.28515625" style="678" customWidth="1"/>
    <col min="260" max="260" width="20.42578125" style="678" customWidth="1"/>
    <col min="261" max="261" width="5.28515625" style="678" customWidth="1"/>
    <col min="262" max="262" width="7.7109375" style="678"/>
    <col min="263" max="263" width="11.42578125" style="678" customWidth="1"/>
    <col min="264" max="264" width="5.85546875" style="678" customWidth="1"/>
    <col min="265" max="265" width="13.42578125" style="678" customWidth="1"/>
    <col min="266" max="266" width="10.42578125" style="678" customWidth="1"/>
    <col min="267" max="269" width="7.7109375" style="678" customWidth="1"/>
    <col min="270" max="271" width="10.42578125" style="678" customWidth="1"/>
    <col min="272" max="511" width="7.7109375" style="678"/>
    <col min="512" max="512" width="7.42578125" style="678" customWidth="1"/>
    <col min="513" max="513" width="25.7109375" style="678" customWidth="1"/>
    <col min="514" max="514" width="5.42578125" style="678" customWidth="1"/>
    <col min="515" max="515" width="5.28515625" style="678" customWidth="1"/>
    <col min="516" max="516" width="20.42578125" style="678" customWidth="1"/>
    <col min="517" max="517" width="5.28515625" style="678" customWidth="1"/>
    <col min="518" max="518" width="7.7109375" style="678"/>
    <col min="519" max="519" width="11.42578125" style="678" customWidth="1"/>
    <col min="520" max="520" width="5.85546875" style="678" customWidth="1"/>
    <col min="521" max="521" width="13.42578125" style="678" customWidth="1"/>
    <col min="522" max="522" width="10.42578125" style="678" customWidth="1"/>
    <col min="523" max="525" width="7.7109375" style="678" customWidth="1"/>
    <col min="526" max="527" width="10.42578125" style="678" customWidth="1"/>
    <col min="528" max="767" width="7.7109375" style="678"/>
    <col min="768" max="768" width="7.42578125" style="678" customWidth="1"/>
    <col min="769" max="769" width="25.7109375" style="678" customWidth="1"/>
    <col min="770" max="770" width="5.42578125" style="678" customWidth="1"/>
    <col min="771" max="771" width="5.28515625" style="678" customWidth="1"/>
    <col min="772" max="772" width="20.42578125" style="678" customWidth="1"/>
    <col min="773" max="773" width="5.28515625" style="678" customWidth="1"/>
    <col min="774" max="774" width="7.7109375" style="678"/>
    <col min="775" max="775" width="11.42578125" style="678" customWidth="1"/>
    <col min="776" max="776" width="5.85546875" style="678" customWidth="1"/>
    <col min="777" max="777" width="13.42578125" style="678" customWidth="1"/>
    <col min="778" max="778" width="10.42578125" style="678" customWidth="1"/>
    <col min="779" max="781" width="7.7109375" style="678" customWidth="1"/>
    <col min="782" max="783" width="10.42578125" style="678" customWidth="1"/>
    <col min="784" max="1023" width="7.7109375" style="678"/>
    <col min="1024" max="1024" width="7.42578125" style="678" customWidth="1"/>
    <col min="1025" max="1025" width="25.7109375" style="678" customWidth="1"/>
    <col min="1026" max="1026" width="5.42578125" style="678" customWidth="1"/>
    <col min="1027" max="1027" width="5.28515625" style="678" customWidth="1"/>
    <col min="1028" max="1028" width="20.42578125" style="678" customWidth="1"/>
    <col min="1029" max="1029" width="5.28515625" style="678" customWidth="1"/>
    <col min="1030" max="1030" width="7.7109375" style="678"/>
    <col min="1031" max="1031" width="11.42578125" style="678" customWidth="1"/>
    <col min="1032" max="1032" width="5.85546875" style="678" customWidth="1"/>
    <col min="1033" max="1033" width="13.42578125" style="678" customWidth="1"/>
    <col min="1034" max="1034" width="10.42578125" style="678" customWidth="1"/>
    <col min="1035" max="1037" width="7.7109375" style="678" customWidth="1"/>
    <col min="1038" max="1039" width="10.42578125" style="678" customWidth="1"/>
    <col min="1040" max="1279" width="7.7109375" style="678"/>
    <col min="1280" max="1280" width="7.42578125" style="678" customWidth="1"/>
    <col min="1281" max="1281" width="25.7109375" style="678" customWidth="1"/>
    <col min="1282" max="1282" width="5.42578125" style="678" customWidth="1"/>
    <col min="1283" max="1283" width="5.28515625" style="678" customWidth="1"/>
    <col min="1284" max="1284" width="20.42578125" style="678" customWidth="1"/>
    <col min="1285" max="1285" width="5.28515625" style="678" customWidth="1"/>
    <col min="1286" max="1286" width="7.7109375" style="678"/>
    <col min="1287" max="1287" width="11.42578125" style="678" customWidth="1"/>
    <col min="1288" max="1288" width="5.85546875" style="678" customWidth="1"/>
    <col min="1289" max="1289" width="13.42578125" style="678" customWidth="1"/>
    <col min="1290" max="1290" width="10.42578125" style="678" customWidth="1"/>
    <col min="1291" max="1293" width="7.7109375" style="678" customWidth="1"/>
    <col min="1294" max="1295" width="10.42578125" style="678" customWidth="1"/>
    <col min="1296" max="1535" width="7.7109375" style="678"/>
    <col min="1536" max="1536" width="7.42578125" style="678" customWidth="1"/>
    <col min="1537" max="1537" width="25.7109375" style="678" customWidth="1"/>
    <col min="1538" max="1538" width="5.42578125" style="678" customWidth="1"/>
    <col min="1539" max="1539" width="5.28515625" style="678" customWidth="1"/>
    <col min="1540" max="1540" width="20.42578125" style="678" customWidth="1"/>
    <col min="1541" max="1541" width="5.28515625" style="678" customWidth="1"/>
    <col min="1542" max="1542" width="7.7109375" style="678"/>
    <col min="1543" max="1543" width="11.42578125" style="678" customWidth="1"/>
    <col min="1544" max="1544" width="5.85546875" style="678" customWidth="1"/>
    <col min="1545" max="1545" width="13.42578125" style="678" customWidth="1"/>
    <col min="1546" max="1546" width="10.42578125" style="678" customWidth="1"/>
    <col min="1547" max="1549" width="7.7109375" style="678" customWidth="1"/>
    <col min="1550" max="1551" width="10.42578125" style="678" customWidth="1"/>
    <col min="1552" max="1791" width="7.7109375" style="678"/>
    <col min="1792" max="1792" width="7.42578125" style="678" customWidth="1"/>
    <col min="1793" max="1793" width="25.7109375" style="678" customWidth="1"/>
    <col min="1794" max="1794" width="5.42578125" style="678" customWidth="1"/>
    <col min="1795" max="1795" width="5.28515625" style="678" customWidth="1"/>
    <col min="1796" max="1796" width="20.42578125" style="678" customWidth="1"/>
    <col min="1797" max="1797" width="5.28515625" style="678" customWidth="1"/>
    <col min="1798" max="1798" width="7.7109375" style="678"/>
    <col min="1799" max="1799" width="11.42578125" style="678" customWidth="1"/>
    <col min="1800" max="1800" width="5.85546875" style="678" customWidth="1"/>
    <col min="1801" max="1801" width="13.42578125" style="678" customWidth="1"/>
    <col min="1802" max="1802" width="10.42578125" style="678" customWidth="1"/>
    <col min="1803" max="1805" width="7.7109375" style="678" customWidth="1"/>
    <col min="1806" max="1807" width="10.42578125" style="678" customWidth="1"/>
    <col min="1808" max="2047" width="7.7109375" style="678"/>
    <col min="2048" max="2048" width="7.42578125" style="678" customWidth="1"/>
    <col min="2049" max="2049" width="25.7109375" style="678" customWidth="1"/>
    <col min="2050" max="2050" width="5.42578125" style="678" customWidth="1"/>
    <col min="2051" max="2051" width="5.28515625" style="678" customWidth="1"/>
    <col min="2052" max="2052" width="20.42578125" style="678" customWidth="1"/>
    <col min="2053" max="2053" width="5.28515625" style="678" customWidth="1"/>
    <col min="2054" max="2054" width="7.7109375" style="678"/>
    <col min="2055" max="2055" width="11.42578125" style="678" customWidth="1"/>
    <col min="2056" max="2056" width="5.85546875" style="678" customWidth="1"/>
    <col min="2057" max="2057" width="13.42578125" style="678" customWidth="1"/>
    <col min="2058" max="2058" width="10.42578125" style="678" customWidth="1"/>
    <col min="2059" max="2061" width="7.7109375" style="678" customWidth="1"/>
    <col min="2062" max="2063" width="10.42578125" style="678" customWidth="1"/>
    <col min="2064" max="2303" width="7.7109375" style="678"/>
    <col min="2304" max="2304" width="7.42578125" style="678" customWidth="1"/>
    <col min="2305" max="2305" width="25.7109375" style="678" customWidth="1"/>
    <col min="2306" max="2306" width="5.42578125" style="678" customWidth="1"/>
    <col min="2307" max="2307" width="5.28515625" style="678" customWidth="1"/>
    <col min="2308" max="2308" width="20.42578125" style="678" customWidth="1"/>
    <col min="2309" max="2309" width="5.28515625" style="678" customWidth="1"/>
    <col min="2310" max="2310" width="7.7109375" style="678"/>
    <col min="2311" max="2311" width="11.42578125" style="678" customWidth="1"/>
    <col min="2312" max="2312" width="5.85546875" style="678" customWidth="1"/>
    <col min="2313" max="2313" width="13.42578125" style="678" customWidth="1"/>
    <col min="2314" max="2314" width="10.42578125" style="678" customWidth="1"/>
    <col min="2315" max="2317" width="7.7109375" style="678" customWidth="1"/>
    <col min="2318" max="2319" width="10.42578125" style="678" customWidth="1"/>
    <col min="2320" max="2559" width="7.7109375" style="678"/>
    <col min="2560" max="2560" width="7.42578125" style="678" customWidth="1"/>
    <col min="2561" max="2561" width="25.7109375" style="678" customWidth="1"/>
    <col min="2562" max="2562" width="5.42578125" style="678" customWidth="1"/>
    <col min="2563" max="2563" width="5.28515625" style="678" customWidth="1"/>
    <col min="2564" max="2564" width="20.42578125" style="678" customWidth="1"/>
    <col min="2565" max="2565" width="5.28515625" style="678" customWidth="1"/>
    <col min="2566" max="2566" width="7.7109375" style="678"/>
    <col min="2567" max="2567" width="11.42578125" style="678" customWidth="1"/>
    <col min="2568" max="2568" width="5.85546875" style="678" customWidth="1"/>
    <col min="2569" max="2569" width="13.42578125" style="678" customWidth="1"/>
    <col min="2570" max="2570" width="10.42578125" style="678" customWidth="1"/>
    <col min="2571" max="2573" width="7.7109375" style="678" customWidth="1"/>
    <col min="2574" max="2575" width="10.42578125" style="678" customWidth="1"/>
    <col min="2576" max="2815" width="7.7109375" style="678"/>
    <col min="2816" max="2816" width="7.42578125" style="678" customWidth="1"/>
    <col min="2817" max="2817" width="25.7109375" style="678" customWidth="1"/>
    <col min="2818" max="2818" width="5.42578125" style="678" customWidth="1"/>
    <col min="2819" max="2819" width="5.28515625" style="678" customWidth="1"/>
    <col min="2820" max="2820" width="20.42578125" style="678" customWidth="1"/>
    <col min="2821" max="2821" width="5.28515625" style="678" customWidth="1"/>
    <col min="2822" max="2822" width="7.7109375" style="678"/>
    <col min="2823" max="2823" width="11.42578125" style="678" customWidth="1"/>
    <col min="2824" max="2824" width="5.85546875" style="678" customWidth="1"/>
    <col min="2825" max="2825" width="13.42578125" style="678" customWidth="1"/>
    <col min="2826" max="2826" width="10.42578125" style="678" customWidth="1"/>
    <col min="2827" max="2829" width="7.7109375" style="678" customWidth="1"/>
    <col min="2830" max="2831" width="10.42578125" style="678" customWidth="1"/>
    <col min="2832" max="3071" width="7.7109375" style="678"/>
    <col min="3072" max="3072" width="7.42578125" style="678" customWidth="1"/>
    <col min="3073" max="3073" width="25.7109375" style="678" customWidth="1"/>
    <col min="3074" max="3074" width="5.42578125" style="678" customWidth="1"/>
    <col min="3075" max="3075" width="5.28515625" style="678" customWidth="1"/>
    <col min="3076" max="3076" width="20.42578125" style="678" customWidth="1"/>
    <col min="3077" max="3077" width="5.28515625" style="678" customWidth="1"/>
    <col min="3078" max="3078" width="7.7109375" style="678"/>
    <col min="3079" max="3079" width="11.42578125" style="678" customWidth="1"/>
    <col min="3080" max="3080" width="5.85546875" style="678" customWidth="1"/>
    <col min="3081" max="3081" width="13.42578125" style="678" customWidth="1"/>
    <col min="3082" max="3082" width="10.42578125" style="678" customWidth="1"/>
    <col min="3083" max="3085" width="7.7109375" style="678" customWidth="1"/>
    <col min="3086" max="3087" width="10.42578125" style="678" customWidth="1"/>
    <col min="3088" max="3327" width="7.7109375" style="678"/>
    <col min="3328" max="3328" width="7.42578125" style="678" customWidth="1"/>
    <col min="3329" max="3329" width="25.7109375" style="678" customWidth="1"/>
    <col min="3330" max="3330" width="5.42578125" style="678" customWidth="1"/>
    <col min="3331" max="3331" width="5.28515625" style="678" customWidth="1"/>
    <col min="3332" max="3332" width="20.42578125" style="678" customWidth="1"/>
    <col min="3333" max="3333" width="5.28515625" style="678" customWidth="1"/>
    <col min="3334" max="3334" width="7.7109375" style="678"/>
    <col min="3335" max="3335" width="11.42578125" style="678" customWidth="1"/>
    <col min="3336" max="3336" width="5.85546875" style="678" customWidth="1"/>
    <col min="3337" max="3337" width="13.42578125" style="678" customWidth="1"/>
    <col min="3338" max="3338" width="10.42578125" style="678" customWidth="1"/>
    <col min="3339" max="3341" width="7.7109375" style="678" customWidth="1"/>
    <col min="3342" max="3343" width="10.42578125" style="678" customWidth="1"/>
    <col min="3344" max="3583" width="7.7109375" style="678"/>
    <col min="3584" max="3584" width="7.42578125" style="678" customWidth="1"/>
    <col min="3585" max="3585" width="25.7109375" style="678" customWidth="1"/>
    <col min="3586" max="3586" width="5.42578125" style="678" customWidth="1"/>
    <col min="3587" max="3587" width="5.28515625" style="678" customWidth="1"/>
    <col min="3588" max="3588" width="20.42578125" style="678" customWidth="1"/>
    <col min="3589" max="3589" width="5.28515625" style="678" customWidth="1"/>
    <col min="3590" max="3590" width="7.7109375" style="678"/>
    <col min="3591" max="3591" width="11.42578125" style="678" customWidth="1"/>
    <col min="3592" max="3592" width="5.85546875" style="678" customWidth="1"/>
    <col min="3593" max="3593" width="13.42578125" style="678" customWidth="1"/>
    <col min="3594" max="3594" width="10.42578125" style="678" customWidth="1"/>
    <col min="3595" max="3597" width="7.7109375" style="678" customWidth="1"/>
    <col min="3598" max="3599" width="10.42578125" style="678" customWidth="1"/>
    <col min="3600" max="3839" width="7.7109375" style="678"/>
    <col min="3840" max="3840" width="7.42578125" style="678" customWidth="1"/>
    <col min="3841" max="3841" width="25.7109375" style="678" customWidth="1"/>
    <col min="3842" max="3842" width="5.42578125" style="678" customWidth="1"/>
    <col min="3843" max="3843" width="5.28515625" style="678" customWidth="1"/>
    <col min="3844" max="3844" width="20.42578125" style="678" customWidth="1"/>
    <col min="3845" max="3845" width="5.28515625" style="678" customWidth="1"/>
    <col min="3846" max="3846" width="7.7109375" style="678"/>
    <col min="3847" max="3847" width="11.42578125" style="678" customWidth="1"/>
    <col min="3848" max="3848" width="5.85546875" style="678" customWidth="1"/>
    <col min="3849" max="3849" width="13.42578125" style="678" customWidth="1"/>
    <col min="3850" max="3850" width="10.42578125" style="678" customWidth="1"/>
    <col min="3851" max="3853" width="7.7109375" style="678" customWidth="1"/>
    <col min="3854" max="3855" width="10.42578125" style="678" customWidth="1"/>
    <col min="3856" max="4095" width="7.7109375" style="678"/>
    <col min="4096" max="4096" width="7.42578125" style="678" customWidth="1"/>
    <col min="4097" max="4097" width="25.7109375" style="678" customWidth="1"/>
    <col min="4098" max="4098" width="5.42578125" style="678" customWidth="1"/>
    <col min="4099" max="4099" width="5.28515625" style="678" customWidth="1"/>
    <col min="4100" max="4100" width="20.42578125" style="678" customWidth="1"/>
    <col min="4101" max="4101" width="5.28515625" style="678" customWidth="1"/>
    <col min="4102" max="4102" width="7.7109375" style="678"/>
    <col min="4103" max="4103" width="11.42578125" style="678" customWidth="1"/>
    <col min="4104" max="4104" width="5.85546875" style="678" customWidth="1"/>
    <col min="4105" max="4105" width="13.42578125" style="678" customWidth="1"/>
    <col min="4106" max="4106" width="10.42578125" style="678" customWidth="1"/>
    <col min="4107" max="4109" width="7.7109375" style="678" customWidth="1"/>
    <col min="4110" max="4111" width="10.42578125" style="678" customWidth="1"/>
    <col min="4112" max="4351" width="7.7109375" style="678"/>
    <col min="4352" max="4352" width="7.42578125" style="678" customWidth="1"/>
    <col min="4353" max="4353" width="25.7109375" style="678" customWidth="1"/>
    <col min="4354" max="4354" width="5.42578125" style="678" customWidth="1"/>
    <col min="4355" max="4355" width="5.28515625" style="678" customWidth="1"/>
    <col min="4356" max="4356" width="20.42578125" style="678" customWidth="1"/>
    <col min="4357" max="4357" width="5.28515625" style="678" customWidth="1"/>
    <col min="4358" max="4358" width="7.7109375" style="678"/>
    <col min="4359" max="4359" width="11.42578125" style="678" customWidth="1"/>
    <col min="4360" max="4360" width="5.85546875" style="678" customWidth="1"/>
    <col min="4361" max="4361" width="13.42578125" style="678" customWidth="1"/>
    <col min="4362" max="4362" width="10.42578125" style="678" customWidth="1"/>
    <col min="4363" max="4365" width="7.7109375" style="678" customWidth="1"/>
    <col min="4366" max="4367" width="10.42578125" style="678" customWidth="1"/>
    <col min="4368" max="4607" width="7.7109375" style="678"/>
    <col min="4608" max="4608" width="7.42578125" style="678" customWidth="1"/>
    <col min="4609" max="4609" width="25.7109375" style="678" customWidth="1"/>
    <col min="4610" max="4610" width="5.42578125" style="678" customWidth="1"/>
    <col min="4611" max="4611" width="5.28515625" style="678" customWidth="1"/>
    <col min="4612" max="4612" width="20.42578125" style="678" customWidth="1"/>
    <col min="4613" max="4613" width="5.28515625" style="678" customWidth="1"/>
    <col min="4614" max="4614" width="7.7109375" style="678"/>
    <col min="4615" max="4615" width="11.42578125" style="678" customWidth="1"/>
    <col min="4616" max="4616" width="5.85546875" style="678" customWidth="1"/>
    <col min="4617" max="4617" width="13.42578125" style="678" customWidth="1"/>
    <col min="4618" max="4618" width="10.42578125" style="678" customWidth="1"/>
    <col min="4619" max="4621" width="7.7109375" style="678" customWidth="1"/>
    <col min="4622" max="4623" width="10.42578125" style="678" customWidth="1"/>
    <col min="4624" max="4863" width="7.7109375" style="678"/>
    <col min="4864" max="4864" width="7.42578125" style="678" customWidth="1"/>
    <col min="4865" max="4865" width="25.7109375" style="678" customWidth="1"/>
    <col min="4866" max="4866" width="5.42578125" style="678" customWidth="1"/>
    <col min="4867" max="4867" width="5.28515625" style="678" customWidth="1"/>
    <col min="4868" max="4868" width="20.42578125" style="678" customWidth="1"/>
    <col min="4869" max="4869" width="5.28515625" style="678" customWidth="1"/>
    <col min="4870" max="4870" width="7.7109375" style="678"/>
    <col min="4871" max="4871" width="11.42578125" style="678" customWidth="1"/>
    <col min="4872" max="4872" width="5.85546875" style="678" customWidth="1"/>
    <col min="4873" max="4873" width="13.42578125" style="678" customWidth="1"/>
    <col min="4874" max="4874" width="10.42578125" style="678" customWidth="1"/>
    <col min="4875" max="4877" width="7.7109375" style="678" customWidth="1"/>
    <col min="4878" max="4879" width="10.42578125" style="678" customWidth="1"/>
    <col min="4880" max="5119" width="7.7109375" style="678"/>
    <col min="5120" max="5120" width="7.42578125" style="678" customWidth="1"/>
    <col min="5121" max="5121" width="25.7109375" style="678" customWidth="1"/>
    <col min="5122" max="5122" width="5.42578125" style="678" customWidth="1"/>
    <col min="5123" max="5123" width="5.28515625" style="678" customWidth="1"/>
    <col min="5124" max="5124" width="20.42578125" style="678" customWidth="1"/>
    <col min="5125" max="5125" width="5.28515625" style="678" customWidth="1"/>
    <col min="5126" max="5126" width="7.7109375" style="678"/>
    <col min="5127" max="5127" width="11.42578125" style="678" customWidth="1"/>
    <col min="5128" max="5128" width="5.85546875" style="678" customWidth="1"/>
    <col min="5129" max="5129" width="13.42578125" style="678" customWidth="1"/>
    <col min="5130" max="5130" width="10.42578125" style="678" customWidth="1"/>
    <col min="5131" max="5133" width="7.7109375" style="678" customWidth="1"/>
    <col min="5134" max="5135" width="10.42578125" style="678" customWidth="1"/>
    <col min="5136" max="5375" width="7.7109375" style="678"/>
    <col min="5376" max="5376" width="7.42578125" style="678" customWidth="1"/>
    <col min="5377" max="5377" width="25.7109375" style="678" customWidth="1"/>
    <col min="5378" max="5378" width="5.42578125" style="678" customWidth="1"/>
    <col min="5379" max="5379" width="5.28515625" style="678" customWidth="1"/>
    <col min="5380" max="5380" width="20.42578125" style="678" customWidth="1"/>
    <col min="5381" max="5381" width="5.28515625" style="678" customWidth="1"/>
    <col min="5382" max="5382" width="7.7109375" style="678"/>
    <col min="5383" max="5383" width="11.42578125" style="678" customWidth="1"/>
    <col min="5384" max="5384" width="5.85546875" style="678" customWidth="1"/>
    <col min="5385" max="5385" width="13.42578125" style="678" customWidth="1"/>
    <col min="5386" max="5386" width="10.42578125" style="678" customWidth="1"/>
    <col min="5387" max="5389" width="7.7109375" style="678" customWidth="1"/>
    <col min="5390" max="5391" width="10.42578125" style="678" customWidth="1"/>
    <col min="5392" max="5631" width="7.7109375" style="678"/>
    <col min="5632" max="5632" width="7.42578125" style="678" customWidth="1"/>
    <col min="5633" max="5633" width="25.7109375" style="678" customWidth="1"/>
    <col min="5634" max="5634" width="5.42578125" style="678" customWidth="1"/>
    <col min="5635" max="5635" width="5.28515625" style="678" customWidth="1"/>
    <col min="5636" max="5636" width="20.42578125" style="678" customWidth="1"/>
    <col min="5637" max="5637" width="5.28515625" style="678" customWidth="1"/>
    <col min="5638" max="5638" width="7.7109375" style="678"/>
    <col min="5639" max="5639" width="11.42578125" style="678" customWidth="1"/>
    <col min="5640" max="5640" width="5.85546875" style="678" customWidth="1"/>
    <col min="5641" max="5641" width="13.42578125" style="678" customWidth="1"/>
    <col min="5642" max="5642" width="10.42578125" style="678" customWidth="1"/>
    <col min="5643" max="5645" width="7.7109375" style="678" customWidth="1"/>
    <col min="5646" max="5647" width="10.42578125" style="678" customWidth="1"/>
    <col min="5648" max="5887" width="7.7109375" style="678"/>
    <col min="5888" max="5888" width="7.42578125" style="678" customWidth="1"/>
    <col min="5889" max="5889" width="25.7109375" style="678" customWidth="1"/>
    <col min="5890" max="5890" width="5.42578125" style="678" customWidth="1"/>
    <col min="5891" max="5891" width="5.28515625" style="678" customWidth="1"/>
    <col min="5892" max="5892" width="20.42578125" style="678" customWidth="1"/>
    <col min="5893" max="5893" width="5.28515625" style="678" customWidth="1"/>
    <col min="5894" max="5894" width="7.7109375" style="678"/>
    <col min="5895" max="5895" width="11.42578125" style="678" customWidth="1"/>
    <col min="5896" max="5896" width="5.85546875" style="678" customWidth="1"/>
    <col min="5897" max="5897" width="13.42578125" style="678" customWidth="1"/>
    <col min="5898" max="5898" width="10.42578125" style="678" customWidth="1"/>
    <col min="5899" max="5901" width="7.7109375" style="678" customWidth="1"/>
    <col min="5902" max="5903" width="10.42578125" style="678" customWidth="1"/>
    <col min="5904" max="6143" width="7.7109375" style="678"/>
    <col min="6144" max="6144" width="7.42578125" style="678" customWidth="1"/>
    <col min="6145" max="6145" width="25.7109375" style="678" customWidth="1"/>
    <col min="6146" max="6146" width="5.42578125" style="678" customWidth="1"/>
    <col min="6147" max="6147" width="5.28515625" style="678" customWidth="1"/>
    <col min="6148" max="6148" width="20.42578125" style="678" customWidth="1"/>
    <col min="6149" max="6149" width="5.28515625" style="678" customWidth="1"/>
    <col min="6150" max="6150" width="7.7109375" style="678"/>
    <col min="6151" max="6151" width="11.42578125" style="678" customWidth="1"/>
    <col min="6152" max="6152" width="5.85546875" style="678" customWidth="1"/>
    <col min="6153" max="6153" width="13.42578125" style="678" customWidth="1"/>
    <col min="6154" max="6154" width="10.42578125" style="678" customWidth="1"/>
    <col min="6155" max="6157" width="7.7109375" style="678" customWidth="1"/>
    <col min="6158" max="6159" width="10.42578125" style="678" customWidth="1"/>
    <col min="6160" max="6399" width="7.7109375" style="678"/>
    <col min="6400" max="6400" width="7.42578125" style="678" customWidth="1"/>
    <col min="6401" max="6401" width="25.7109375" style="678" customWidth="1"/>
    <col min="6402" max="6402" width="5.42578125" style="678" customWidth="1"/>
    <col min="6403" max="6403" width="5.28515625" style="678" customWidth="1"/>
    <col min="6404" max="6404" width="20.42578125" style="678" customWidth="1"/>
    <col min="6405" max="6405" width="5.28515625" style="678" customWidth="1"/>
    <col min="6406" max="6406" width="7.7109375" style="678"/>
    <col min="6407" max="6407" width="11.42578125" style="678" customWidth="1"/>
    <col min="6408" max="6408" width="5.85546875" style="678" customWidth="1"/>
    <col min="6409" max="6409" width="13.42578125" style="678" customWidth="1"/>
    <col min="6410" max="6410" width="10.42578125" style="678" customWidth="1"/>
    <col min="6411" max="6413" width="7.7109375" style="678" customWidth="1"/>
    <col min="6414" max="6415" width="10.42578125" style="678" customWidth="1"/>
    <col min="6416" max="6655" width="7.7109375" style="678"/>
    <col min="6656" max="6656" width="7.42578125" style="678" customWidth="1"/>
    <col min="6657" max="6657" width="25.7109375" style="678" customWidth="1"/>
    <col min="6658" max="6658" width="5.42578125" style="678" customWidth="1"/>
    <col min="6659" max="6659" width="5.28515625" style="678" customWidth="1"/>
    <col min="6660" max="6660" width="20.42578125" style="678" customWidth="1"/>
    <col min="6661" max="6661" width="5.28515625" style="678" customWidth="1"/>
    <col min="6662" max="6662" width="7.7109375" style="678"/>
    <col min="6663" max="6663" width="11.42578125" style="678" customWidth="1"/>
    <col min="6664" max="6664" width="5.85546875" style="678" customWidth="1"/>
    <col min="6665" max="6665" width="13.42578125" style="678" customWidth="1"/>
    <col min="6666" max="6666" width="10.42578125" style="678" customWidth="1"/>
    <col min="6667" max="6669" width="7.7109375" style="678" customWidth="1"/>
    <col min="6670" max="6671" width="10.42578125" style="678" customWidth="1"/>
    <col min="6672" max="6911" width="7.7109375" style="678"/>
    <col min="6912" max="6912" width="7.42578125" style="678" customWidth="1"/>
    <col min="6913" max="6913" width="25.7109375" style="678" customWidth="1"/>
    <col min="6914" max="6914" width="5.42578125" style="678" customWidth="1"/>
    <col min="6915" max="6915" width="5.28515625" style="678" customWidth="1"/>
    <col min="6916" max="6916" width="20.42578125" style="678" customWidth="1"/>
    <col min="6917" max="6917" width="5.28515625" style="678" customWidth="1"/>
    <col min="6918" max="6918" width="7.7109375" style="678"/>
    <col min="6919" max="6919" width="11.42578125" style="678" customWidth="1"/>
    <col min="6920" max="6920" width="5.85546875" style="678" customWidth="1"/>
    <col min="6921" max="6921" width="13.42578125" style="678" customWidth="1"/>
    <col min="6922" max="6922" width="10.42578125" style="678" customWidth="1"/>
    <col min="6923" max="6925" width="7.7109375" style="678" customWidth="1"/>
    <col min="6926" max="6927" width="10.42578125" style="678" customWidth="1"/>
    <col min="6928" max="7167" width="7.7109375" style="678"/>
    <col min="7168" max="7168" width="7.42578125" style="678" customWidth="1"/>
    <col min="7169" max="7169" width="25.7109375" style="678" customWidth="1"/>
    <col min="7170" max="7170" width="5.42578125" style="678" customWidth="1"/>
    <col min="7171" max="7171" width="5.28515625" style="678" customWidth="1"/>
    <col min="7172" max="7172" width="20.42578125" style="678" customWidth="1"/>
    <col min="7173" max="7173" width="5.28515625" style="678" customWidth="1"/>
    <col min="7174" max="7174" width="7.7109375" style="678"/>
    <col min="7175" max="7175" width="11.42578125" style="678" customWidth="1"/>
    <col min="7176" max="7176" width="5.85546875" style="678" customWidth="1"/>
    <col min="7177" max="7177" width="13.42578125" style="678" customWidth="1"/>
    <col min="7178" max="7178" width="10.42578125" style="678" customWidth="1"/>
    <col min="7179" max="7181" width="7.7109375" style="678" customWidth="1"/>
    <col min="7182" max="7183" width="10.42578125" style="678" customWidth="1"/>
    <col min="7184" max="7423" width="7.7109375" style="678"/>
    <col min="7424" max="7424" width="7.42578125" style="678" customWidth="1"/>
    <col min="7425" max="7425" width="25.7109375" style="678" customWidth="1"/>
    <col min="7426" max="7426" width="5.42578125" style="678" customWidth="1"/>
    <col min="7427" max="7427" width="5.28515625" style="678" customWidth="1"/>
    <col min="7428" max="7428" width="20.42578125" style="678" customWidth="1"/>
    <col min="7429" max="7429" width="5.28515625" style="678" customWidth="1"/>
    <col min="7430" max="7430" width="7.7109375" style="678"/>
    <col min="7431" max="7431" width="11.42578125" style="678" customWidth="1"/>
    <col min="7432" max="7432" width="5.85546875" style="678" customWidth="1"/>
    <col min="7433" max="7433" width="13.42578125" style="678" customWidth="1"/>
    <col min="7434" max="7434" width="10.42578125" style="678" customWidth="1"/>
    <col min="7435" max="7437" width="7.7109375" style="678" customWidth="1"/>
    <col min="7438" max="7439" width="10.42578125" style="678" customWidth="1"/>
    <col min="7440" max="7679" width="7.7109375" style="678"/>
    <col min="7680" max="7680" width="7.42578125" style="678" customWidth="1"/>
    <col min="7681" max="7681" width="25.7109375" style="678" customWidth="1"/>
    <col min="7682" max="7682" width="5.42578125" style="678" customWidth="1"/>
    <col min="7683" max="7683" width="5.28515625" style="678" customWidth="1"/>
    <col min="7684" max="7684" width="20.42578125" style="678" customWidth="1"/>
    <col min="7685" max="7685" width="5.28515625" style="678" customWidth="1"/>
    <col min="7686" max="7686" width="7.7109375" style="678"/>
    <col min="7687" max="7687" width="11.42578125" style="678" customWidth="1"/>
    <col min="7688" max="7688" width="5.85546875" style="678" customWidth="1"/>
    <col min="7689" max="7689" width="13.42578125" style="678" customWidth="1"/>
    <col min="7690" max="7690" width="10.42578125" style="678" customWidth="1"/>
    <col min="7691" max="7693" width="7.7109375" style="678" customWidth="1"/>
    <col min="7694" max="7695" width="10.42578125" style="678" customWidth="1"/>
    <col min="7696" max="7935" width="7.7109375" style="678"/>
    <col min="7936" max="7936" width="7.42578125" style="678" customWidth="1"/>
    <col min="7937" max="7937" width="25.7109375" style="678" customWidth="1"/>
    <col min="7938" max="7938" width="5.42578125" style="678" customWidth="1"/>
    <col min="7939" max="7939" width="5.28515625" style="678" customWidth="1"/>
    <col min="7940" max="7940" width="20.42578125" style="678" customWidth="1"/>
    <col min="7941" max="7941" width="5.28515625" style="678" customWidth="1"/>
    <col min="7942" max="7942" width="7.7109375" style="678"/>
    <col min="7943" max="7943" width="11.42578125" style="678" customWidth="1"/>
    <col min="7944" max="7944" width="5.85546875" style="678" customWidth="1"/>
    <col min="7945" max="7945" width="13.42578125" style="678" customWidth="1"/>
    <col min="7946" max="7946" width="10.42578125" style="678" customWidth="1"/>
    <col min="7947" max="7949" width="7.7109375" style="678" customWidth="1"/>
    <col min="7950" max="7951" width="10.42578125" style="678" customWidth="1"/>
    <col min="7952" max="8191" width="7.7109375" style="678"/>
    <col min="8192" max="8192" width="7.42578125" style="678" customWidth="1"/>
    <col min="8193" max="8193" width="25.7109375" style="678" customWidth="1"/>
    <col min="8194" max="8194" width="5.42578125" style="678" customWidth="1"/>
    <col min="8195" max="8195" width="5.28515625" style="678" customWidth="1"/>
    <col min="8196" max="8196" width="20.42578125" style="678" customWidth="1"/>
    <col min="8197" max="8197" width="5.28515625" style="678" customWidth="1"/>
    <col min="8198" max="8198" width="7.7109375" style="678"/>
    <col min="8199" max="8199" width="11.42578125" style="678" customWidth="1"/>
    <col min="8200" max="8200" width="5.85546875" style="678" customWidth="1"/>
    <col min="8201" max="8201" width="13.42578125" style="678" customWidth="1"/>
    <col min="8202" max="8202" width="10.42578125" style="678" customWidth="1"/>
    <col min="8203" max="8205" width="7.7109375" style="678" customWidth="1"/>
    <col min="8206" max="8207" width="10.42578125" style="678" customWidth="1"/>
    <col min="8208" max="8447" width="7.7109375" style="678"/>
    <col min="8448" max="8448" width="7.42578125" style="678" customWidth="1"/>
    <col min="8449" max="8449" width="25.7109375" style="678" customWidth="1"/>
    <col min="8450" max="8450" width="5.42578125" style="678" customWidth="1"/>
    <col min="8451" max="8451" width="5.28515625" style="678" customWidth="1"/>
    <col min="8452" max="8452" width="20.42578125" style="678" customWidth="1"/>
    <col min="8453" max="8453" width="5.28515625" style="678" customWidth="1"/>
    <col min="8454" max="8454" width="7.7109375" style="678"/>
    <col min="8455" max="8455" width="11.42578125" style="678" customWidth="1"/>
    <col min="8456" max="8456" width="5.85546875" style="678" customWidth="1"/>
    <col min="8457" max="8457" width="13.42578125" style="678" customWidth="1"/>
    <col min="8458" max="8458" width="10.42578125" style="678" customWidth="1"/>
    <col min="8459" max="8461" width="7.7109375" style="678" customWidth="1"/>
    <col min="8462" max="8463" width="10.42578125" style="678" customWidth="1"/>
    <col min="8464" max="8703" width="7.7109375" style="678"/>
    <col min="8704" max="8704" width="7.42578125" style="678" customWidth="1"/>
    <col min="8705" max="8705" width="25.7109375" style="678" customWidth="1"/>
    <col min="8706" max="8706" width="5.42578125" style="678" customWidth="1"/>
    <col min="8707" max="8707" width="5.28515625" style="678" customWidth="1"/>
    <col min="8708" max="8708" width="20.42578125" style="678" customWidth="1"/>
    <col min="8709" max="8709" width="5.28515625" style="678" customWidth="1"/>
    <col min="8710" max="8710" width="7.7109375" style="678"/>
    <col min="8711" max="8711" width="11.42578125" style="678" customWidth="1"/>
    <col min="8712" max="8712" width="5.85546875" style="678" customWidth="1"/>
    <col min="8713" max="8713" width="13.42578125" style="678" customWidth="1"/>
    <col min="8714" max="8714" width="10.42578125" style="678" customWidth="1"/>
    <col min="8715" max="8717" width="7.7109375" style="678" customWidth="1"/>
    <col min="8718" max="8719" width="10.42578125" style="678" customWidth="1"/>
    <col min="8720" max="8959" width="7.7109375" style="678"/>
    <col min="8960" max="8960" width="7.42578125" style="678" customWidth="1"/>
    <col min="8961" max="8961" width="25.7109375" style="678" customWidth="1"/>
    <col min="8962" max="8962" width="5.42578125" style="678" customWidth="1"/>
    <col min="8963" max="8963" width="5.28515625" style="678" customWidth="1"/>
    <col min="8964" max="8964" width="20.42578125" style="678" customWidth="1"/>
    <col min="8965" max="8965" width="5.28515625" style="678" customWidth="1"/>
    <col min="8966" max="8966" width="7.7109375" style="678"/>
    <col min="8967" max="8967" width="11.42578125" style="678" customWidth="1"/>
    <col min="8968" max="8968" width="5.85546875" style="678" customWidth="1"/>
    <col min="8969" max="8969" width="13.42578125" style="678" customWidth="1"/>
    <col min="8970" max="8970" width="10.42578125" style="678" customWidth="1"/>
    <col min="8971" max="8973" width="7.7109375" style="678" customWidth="1"/>
    <col min="8974" max="8975" width="10.42578125" style="678" customWidth="1"/>
    <col min="8976" max="9215" width="7.7109375" style="678"/>
    <col min="9216" max="9216" width="7.42578125" style="678" customWidth="1"/>
    <col min="9217" max="9217" width="25.7109375" style="678" customWidth="1"/>
    <col min="9218" max="9218" width="5.42578125" style="678" customWidth="1"/>
    <col min="9219" max="9219" width="5.28515625" style="678" customWidth="1"/>
    <col min="9220" max="9220" width="20.42578125" style="678" customWidth="1"/>
    <col min="9221" max="9221" width="5.28515625" style="678" customWidth="1"/>
    <col min="9222" max="9222" width="7.7109375" style="678"/>
    <col min="9223" max="9223" width="11.42578125" style="678" customWidth="1"/>
    <col min="9224" max="9224" width="5.85546875" style="678" customWidth="1"/>
    <col min="9225" max="9225" width="13.42578125" style="678" customWidth="1"/>
    <col min="9226" max="9226" width="10.42578125" style="678" customWidth="1"/>
    <col min="9227" max="9229" width="7.7109375" style="678" customWidth="1"/>
    <col min="9230" max="9231" width="10.42578125" style="678" customWidth="1"/>
    <col min="9232" max="9471" width="7.7109375" style="678"/>
    <col min="9472" max="9472" width="7.42578125" style="678" customWidth="1"/>
    <col min="9473" max="9473" width="25.7109375" style="678" customWidth="1"/>
    <col min="9474" max="9474" width="5.42578125" style="678" customWidth="1"/>
    <col min="9475" max="9475" width="5.28515625" style="678" customWidth="1"/>
    <col min="9476" max="9476" width="20.42578125" style="678" customWidth="1"/>
    <col min="9477" max="9477" width="5.28515625" style="678" customWidth="1"/>
    <col min="9478" max="9478" width="7.7109375" style="678"/>
    <col min="9479" max="9479" width="11.42578125" style="678" customWidth="1"/>
    <col min="9480" max="9480" width="5.85546875" style="678" customWidth="1"/>
    <col min="9481" max="9481" width="13.42578125" style="678" customWidth="1"/>
    <col min="9482" max="9482" width="10.42578125" style="678" customWidth="1"/>
    <col min="9483" max="9485" width="7.7109375" style="678" customWidth="1"/>
    <col min="9486" max="9487" width="10.42578125" style="678" customWidth="1"/>
    <col min="9488" max="9727" width="7.7109375" style="678"/>
    <col min="9728" max="9728" width="7.42578125" style="678" customWidth="1"/>
    <col min="9729" max="9729" width="25.7109375" style="678" customWidth="1"/>
    <col min="9730" max="9730" width="5.42578125" style="678" customWidth="1"/>
    <col min="9731" max="9731" width="5.28515625" style="678" customWidth="1"/>
    <col min="9732" max="9732" width="20.42578125" style="678" customWidth="1"/>
    <col min="9733" max="9733" width="5.28515625" style="678" customWidth="1"/>
    <col min="9734" max="9734" width="7.7109375" style="678"/>
    <col min="9735" max="9735" width="11.42578125" style="678" customWidth="1"/>
    <col min="9736" max="9736" width="5.85546875" style="678" customWidth="1"/>
    <col min="9737" max="9737" width="13.42578125" style="678" customWidth="1"/>
    <col min="9738" max="9738" width="10.42578125" style="678" customWidth="1"/>
    <col min="9739" max="9741" width="7.7109375" style="678" customWidth="1"/>
    <col min="9742" max="9743" width="10.42578125" style="678" customWidth="1"/>
    <col min="9744" max="9983" width="7.7109375" style="678"/>
    <col min="9984" max="9984" width="7.42578125" style="678" customWidth="1"/>
    <col min="9985" max="9985" width="25.7109375" style="678" customWidth="1"/>
    <col min="9986" max="9986" width="5.42578125" style="678" customWidth="1"/>
    <col min="9987" max="9987" width="5.28515625" style="678" customWidth="1"/>
    <col min="9988" max="9988" width="20.42578125" style="678" customWidth="1"/>
    <col min="9989" max="9989" width="5.28515625" style="678" customWidth="1"/>
    <col min="9990" max="9990" width="7.7109375" style="678"/>
    <col min="9991" max="9991" width="11.42578125" style="678" customWidth="1"/>
    <col min="9992" max="9992" width="5.85546875" style="678" customWidth="1"/>
    <col min="9993" max="9993" width="13.42578125" style="678" customWidth="1"/>
    <col min="9994" max="9994" width="10.42578125" style="678" customWidth="1"/>
    <col min="9995" max="9997" width="7.7109375" style="678" customWidth="1"/>
    <col min="9998" max="9999" width="10.42578125" style="678" customWidth="1"/>
    <col min="10000" max="10239" width="7.7109375" style="678"/>
    <col min="10240" max="10240" width="7.42578125" style="678" customWidth="1"/>
    <col min="10241" max="10241" width="25.7109375" style="678" customWidth="1"/>
    <col min="10242" max="10242" width="5.42578125" style="678" customWidth="1"/>
    <col min="10243" max="10243" width="5.28515625" style="678" customWidth="1"/>
    <col min="10244" max="10244" width="20.42578125" style="678" customWidth="1"/>
    <col min="10245" max="10245" width="5.28515625" style="678" customWidth="1"/>
    <col min="10246" max="10246" width="7.7109375" style="678"/>
    <col min="10247" max="10247" width="11.42578125" style="678" customWidth="1"/>
    <col min="10248" max="10248" width="5.85546875" style="678" customWidth="1"/>
    <col min="10249" max="10249" width="13.42578125" style="678" customWidth="1"/>
    <col min="10250" max="10250" width="10.42578125" style="678" customWidth="1"/>
    <col min="10251" max="10253" width="7.7109375" style="678" customWidth="1"/>
    <col min="10254" max="10255" width="10.42578125" style="678" customWidth="1"/>
    <col min="10256" max="10495" width="7.7109375" style="678"/>
    <col min="10496" max="10496" width="7.42578125" style="678" customWidth="1"/>
    <col min="10497" max="10497" width="25.7109375" style="678" customWidth="1"/>
    <col min="10498" max="10498" width="5.42578125" style="678" customWidth="1"/>
    <col min="10499" max="10499" width="5.28515625" style="678" customWidth="1"/>
    <col min="10500" max="10500" width="20.42578125" style="678" customWidth="1"/>
    <col min="10501" max="10501" width="5.28515625" style="678" customWidth="1"/>
    <col min="10502" max="10502" width="7.7109375" style="678"/>
    <col min="10503" max="10503" width="11.42578125" style="678" customWidth="1"/>
    <col min="10504" max="10504" width="5.85546875" style="678" customWidth="1"/>
    <col min="10505" max="10505" width="13.42578125" style="678" customWidth="1"/>
    <col min="10506" max="10506" width="10.42578125" style="678" customWidth="1"/>
    <col min="10507" max="10509" width="7.7109375" style="678" customWidth="1"/>
    <col min="10510" max="10511" width="10.42578125" style="678" customWidth="1"/>
    <col min="10512" max="10751" width="7.7109375" style="678"/>
    <col min="10752" max="10752" width="7.42578125" style="678" customWidth="1"/>
    <col min="10753" max="10753" width="25.7109375" style="678" customWidth="1"/>
    <col min="10754" max="10754" width="5.42578125" style="678" customWidth="1"/>
    <col min="10755" max="10755" width="5.28515625" style="678" customWidth="1"/>
    <col min="10756" max="10756" width="20.42578125" style="678" customWidth="1"/>
    <col min="10757" max="10757" width="5.28515625" style="678" customWidth="1"/>
    <col min="10758" max="10758" width="7.7109375" style="678"/>
    <col min="10759" max="10759" width="11.42578125" style="678" customWidth="1"/>
    <col min="10760" max="10760" width="5.85546875" style="678" customWidth="1"/>
    <col min="10761" max="10761" width="13.42578125" style="678" customWidth="1"/>
    <col min="10762" max="10762" width="10.42578125" style="678" customWidth="1"/>
    <col min="10763" max="10765" width="7.7109375" style="678" customWidth="1"/>
    <col min="10766" max="10767" width="10.42578125" style="678" customWidth="1"/>
    <col min="10768" max="11007" width="7.7109375" style="678"/>
    <col min="11008" max="11008" width="7.42578125" style="678" customWidth="1"/>
    <col min="11009" max="11009" width="25.7109375" style="678" customWidth="1"/>
    <col min="11010" max="11010" width="5.42578125" style="678" customWidth="1"/>
    <col min="11011" max="11011" width="5.28515625" style="678" customWidth="1"/>
    <col min="11012" max="11012" width="20.42578125" style="678" customWidth="1"/>
    <col min="11013" max="11013" width="5.28515625" style="678" customWidth="1"/>
    <col min="11014" max="11014" width="7.7109375" style="678"/>
    <col min="11015" max="11015" width="11.42578125" style="678" customWidth="1"/>
    <col min="11016" max="11016" width="5.85546875" style="678" customWidth="1"/>
    <col min="11017" max="11017" width="13.42578125" style="678" customWidth="1"/>
    <col min="11018" max="11018" width="10.42578125" style="678" customWidth="1"/>
    <col min="11019" max="11021" width="7.7109375" style="678" customWidth="1"/>
    <col min="11022" max="11023" width="10.42578125" style="678" customWidth="1"/>
    <col min="11024" max="11263" width="7.7109375" style="678"/>
    <col min="11264" max="11264" width="7.42578125" style="678" customWidth="1"/>
    <col min="11265" max="11265" width="25.7109375" style="678" customWidth="1"/>
    <col min="11266" max="11266" width="5.42578125" style="678" customWidth="1"/>
    <col min="11267" max="11267" width="5.28515625" style="678" customWidth="1"/>
    <col min="11268" max="11268" width="20.42578125" style="678" customWidth="1"/>
    <col min="11269" max="11269" width="5.28515625" style="678" customWidth="1"/>
    <col min="11270" max="11270" width="7.7109375" style="678"/>
    <col min="11271" max="11271" width="11.42578125" style="678" customWidth="1"/>
    <col min="11272" max="11272" width="5.85546875" style="678" customWidth="1"/>
    <col min="11273" max="11273" width="13.42578125" style="678" customWidth="1"/>
    <col min="11274" max="11274" width="10.42578125" style="678" customWidth="1"/>
    <col min="11275" max="11277" width="7.7109375" style="678" customWidth="1"/>
    <col min="11278" max="11279" width="10.42578125" style="678" customWidth="1"/>
    <col min="11280" max="11519" width="7.7109375" style="678"/>
    <col min="11520" max="11520" width="7.42578125" style="678" customWidth="1"/>
    <col min="11521" max="11521" width="25.7109375" style="678" customWidth="1"/>
    <col min="11522" max="11522" width="5.42578125" style="678" customWidth="1"/>
    <col min="11523" max="11523" width="5.28515625" style="678" customWidth="1"/>
    <col min="11524" max="11524" width="20.42578125" style="678" customWidth="1"/>
    <col min="11525" max="11525" width="5.28515625" style="678" customWidth="1"/>
    <col min="11526" max="11526" width="7.7109375" style="678"/>
    <col min="11527" max="11527" width="11.42578125" style="678" customWidth="1"/>
    <col min="11528" max="11528" width="5.85546875" style="678" customWidth="1"/>
    <col min="11529" max="11529" width="13.42578125" style="678" customWidth="1"/>
    <col min="11530" max="11530" width="10.42578125" style="678" customWidth="1"/>
    <col min="11531" max="11533" width="7.7109375" style="678" customWidth="1"/>
    <col min="11534" max="11535" width="10.42578125" style="678" customWidth="1"/>
    <col min="11536" max="11775" width="7.7109375" style="678"/>
    <col min="11776" max="11776" width="7.42578125" style="678" customWidth="1"/>
    <col min="11777" max="11777" width="25.7109375" style="678" customWidth="1"/>
    <col min="11778" max="11778" width="5.42578125" style="678" customWidth="1"/>
    <col min="11779" max="11779" width="5.28515625" style="678" customWidth="1"/>
    <col min="11780" max="11780" width="20.42578125" style="678" customWidth="1"/>
    <col min="11781" max="11781" width="5.28515625" style="678" customWidth="1"/>
    <col min="11782" max="11782" width="7.7109375" style="678"/>
    <col min="11783" max="11783" width="11.42578125" style="678" customWidth="1"/>
    <col min="11784" max="11784" width="5.85546875" style="678" customWidth="1"/>
    <col min="11785" max="11785" width="13.42578125" style="678" customWidth="1"/>
    <col min="11786" max="11786" width="10.42578125" style="678" customWidth="1"/>
    <col min="11787" max="11789" width="7.7109375" style="678" customWidth="1"/>
    <col min="11790" max="11791" width="10.42578125" style="678" customWidth="1"/>
    <col min="11792" max="12031" width="7.7109375" style="678"/>
    <col min="12032" max="12032" width="7.42578125" style="678" customWidth="1"/>
    <col min="12033" max="12033" width="25.7109375" style="678" customWidth="1"/>
    <col min="12034" max="12034" width="5.42578125" style="678" customWidth="1"/>
    <col min="12035" max="12035" width="5.28515625" style="678" customWidth="1"/>
    <col min="12036" max="12036" width="20.42578125" style="678" customWidth="1"/>
    <col min="12037" max="12037" width="5.28515625" style="678" customWidth="1"/>
    <col min="12038" max="12038" width="7.7109375" style="678"/>
    <col min="12039" max="12039" width="11.42578125" style="678" customWidth="1"/>
    <col min="12040" max="12040" width="5.85546875" style="678" customWidth="1"/>
    <col min="12041" max="12041" width="13.42578125" style="678" customWidth="1"/>
    <col min="12042" max="12042" width="10.42578125" style="678" customWidth="1"/>
    <col min="12043" max="12045" width="7.7109375" style="678" customWidth="1"/>
    <col min="12046" max="12047" width="10.42578125" style="678" customWidth="1"/>
    <col min="12048" max="12287" width="7.7109375" style="678"/>
    <col min="12288" max="12288" width="7.42578125" style="678" customWidth="1"/>
    <col min="12289" max="12289" width="25.7109375" style="678" customWidth="1"/>
    <col min="12290" max="12290" width="5.42578125" style="678" customWidth="1"/>
    <col min="12291" max="12291" width="5.28515625" style="678" customWidth="1"/>
    <col min="12292" max="12292" width="20.42578125" style="678" customWidth="1"/>
    <col min="12293" max="12293" width="5.28515625" style="678" customWidth="1"/>
    <col min="12294" max="12294" width="7.7109375" style="678"/>
    <col min="12295" max="12295" width="11.42578125" style="678" customWidth="1"/>
    <col min="12296" max="12296" width="5.85546875" style="678" customWidth="1"/>
    <col min="12297" max="12297" width="13.42578125" style="678" customWidth="1"/>
    <col min="12298" max="12298" width="10.42578125" style="678" customWidth="1"/>
    <col min="12299" max="12301" width="7.7109375" style="678" customWidth="1"/>
    <col min="12302" max="12303" width="10.42578125" style="678" customWidth="1"/>
    <col min="12304" max="12543" width="7.7109375" style="678"/>
    <col min="12544" max="12544" width="7.42578125" style="678" customWidth="1"/>
    <col min="12545" max="12545" width="25.7109375" style="678" customWidth="1"/>
    <col min="12546" max="12546" width="5.42578125" style="678" customWidth="1"/>
    <col min="12547" max="12547" width="5.28515625" style="678" customWidth="1"/>
    <col min="12548" max="12548" width="20.42578125" style="678" customWidth="1"/>
    <col min="12549" max="12549" width="5.28515625" style="678" customWidth="1"/>
    <col min="12550" max="12550" width="7.7109375" style="678"/>
    <col min="12551" max="12551" width="11.42578125" style="678" customWidth="1"/>
    <col min="12552" max="12552" width="5.85546875" style="678" customWidth="1"/>
    <col min="12553" max="12553" width="13.42578125" style="678" customWidth="1"/>
    <col min="12554" max="12554" width="10.42578125" style="678" customWidth="1"/>
    <col min="12555" max="12557" width="7.7109375" style="678" customWidth="1"/>
    <col min="12558" max="12559" width="10.42578125" style="678" customWidth="1"/>
    <col min="12560" max="12799" width="7.7109375" style="678"/>
    <col min="12800" max="12800" width="7.42578125" style="678" customWidth="1"/>
    <col min="12801" max="12801" width="25.7109375" style="678" customWidth="1"/>
    <col min="12802" max="12802" width="5.42578125" style="678" customWidth="1"/>
    <col min="12803" max="12803" width="5.28515625" style="678" customWidth="1"/>
    <col min="12804" max="12804" width="20.42578125" style="678" customWidth="1"/>
    <col min="12805" max="12805" width="5.28515625" style="678" customWidth="1"/>
    <col min="12806" max="12806" width="7.7109375" style="678"/>
    <col min="12807" max="12807" width="11.42578125" style="678" customWidth="1"/>
    <col min="12808" max="12808" width="5.85546875" style="678" customWidth="1"/>
    <col min="12809" max="12809" width="13.42578125" style="678" customWidth="1"/>
    <col min="12810" max="12810" width="10.42578125" style="678" customWidth="1"/>
    <col min="12811" max="12813" width="7.7109375" style="678" customWidth="1"/>
    <col min="12814" max="12815" width="10.42578125" style="678" customWidth="1"/>
    <col min="12816" max="13055" width="7.7109375" style="678"/>
    <col min="13056" max="13056" width="7.42578125" style="678" customWidth="1"/>
    <col min="13057" max="13057" width="25.7109375" style="678" customWidth="1"/>
    <col min="13058" max="13058" width="5.42578125" style="678" customWidth="1"/>
    <col min="13059" max="13059" width="5.28515625" style="678" customWidth="1"/>
    <col min="13060" max="13060" width="20.42578125" style="678" customWidth="1"/>
    <col min="13061" max="13061" width="5.28515625" style="678" customWidth="1"/>
    <col min="13062" max="13062" width="7.7109375" style="678"/>
    <col min="13063" max="13063" width="11.42578125" style="678" customWidth="1"/>
    <col min="13064" max="13064" width="5.85546875" style="678" customWidth="1"/>
    <col min="13065" max="13065" width="13.42578125" style="678" customWidth="1"/>
    <col min="13066" max="13066" width="10.42578125" style="678" customWidth="1"/>
    <col min="13067" max="13069" width="7.7109375" style="678" customWidth="1"/>
    <col min="13070" max="13071" width="10.42578125" style="678" customWidth="1"/>
    <col min="13072" max="13311" width="7.7109375" style="678"/>
    <col min="13312" max="13312" width="7.42578125" style="678" customWidth="1"/>
    <col min="13313" max="13313" width="25.7109375" style="678" customWidth="1"/>
    <col min="13314" max="13314" width="5.42578125" style="678" customWidth="1"/>
    <col min="13315" max="13315" width="5.28515625" style="678" customWidth="1"/>
    <col min="13316" max="13316" width="20.42578125" style="678" customWidth="1"/>
    <col min="13317" max="13317" width="5.28515625" style="678" customWidth="1"/>
    <col min="13318" max="13318" width="7.7109375" style="678"/>
    <col min="13319" max="13319" width="11.42578125" style="678" customWidth="1"/>
    <col min="13320" max="13320" width="5.85546875" style="678" customWidth="1"/>
    <col min="13321" max="13321" width="13.42578125" style="678" customWidth="1"/>
    <col min="13322" max="13322" width="10.42578125" style="678" customWidth="1"/>
    <col min="13323" max="13325" width="7.7109375" style="678" customWidth="1"/>
    <col min="13326" max="13327" width="10.42578125" style="678" customWidth="1"/>
    <col min="13328" max="13567" width="7.7109375" style="678"/>
    <col min="13568" max="13568" width="7.42578125" style="678" customWidth="1"/>
    <col min="13569" max="13569" width="25.7109375" style="678" customWidth="1"/>
    <col min="13570" max="13570" width="5.42578125" style="678" customWidth="1"/>
    <col min="13571" max="13571" width="5.28515625" style="678" customWidth="1"/>
    <col min="13572" max="13572" width="20.42578125" style="678" customWidth="1"/>
    <col min="13573" max="13573" width="5.28515625" style="678" customWidth="1"/>
    <col min="13574" max="13574" width="7.7109375" style="678"/>
    <col min="13575" max="13575" width="11.42578125" style="678" customWidth="1"/>
    <col min="13576" max="13576" width="5.85546875" style="678" customWidth="1"/>
    <col min="13577" max="13577" width="13.42578125" style="678" customWidth="1"/>
    <col min="13578" max="13578" width="10.42578125" style="678" customWidth="1"/>
    <col min="13579" max="13581" width="7.7109375" style="678" customWidth="1"/>
    <col min="13582" max="13583" width="10.42578125" style="678" customWidth="1"/>
    <col min="13584" max="13823" width="7.7109375" style="678"/>
    <col min="13824" max="13824" width="7.42578125" style="678" customWidth="1"/>
    <col min="13825" max="13825" width="25.7109375" style="678" customWidth="1"/>
    <col min="13826" max="13826" width="5.42578125" style="678" customWidth="1"/>
    <col min="13827" max="13827" width="5.28515625" style="678" customWidth="1"/>
    <col min="13828" max="13828" width="20.42578125" style="678" customWidth="1"/>
    <col min="13829" max="13829" width="5.28515625" style="678" customWidth="1"/>
    <col min="13830" max="13830" width="7.7109375" style="678"/>
    <col min="13831" max="13831" width="11.42578125" style="678" customWidth="1"/>
    <col min="13832" max="13832" width="5.85546875" style="678" customWidth="1"/>
    <col min="13833" max="13833" width="13.42578125" style="678" customWidth="1"/>
    <col min="13834" max="13834" width="10.42578125" style="678" customWidth="1"/>
    <col min="13835" max="13837" width="7.7109375" style="678" customWidth="1"/>
    <col min="13838" max="13839" width="10.42578125" style="678" customWidth="1"/>
    <col min="13840" max="14079" width="7.7109375" style="678"/>
    <col min="14080" max="14080" width="7.42578125" style="678" customWidth="1"/>
    <col min="14081" max="14081" width="25.7109375" style="678" customWidth="1"/>
    <col min="14082" max="14082" width="5.42578125" style="678" customWidth="1"/>
    <col min="14083" max="14083" width="5.28515625" style="678" customWidth="1"/>
    <col min="14084" max="14084" width="20.42578125" style="678" customWidth="1"/>
    <col min="14085" max="14085" width="5.28515625" style="678" customWidth="1"/>
    <col min="14086" max="14086" width="7.7109375" style="678"/>
    <col min="14087" max="14087" width="11.42578125" style="678" customWidth="1"/>
    <col min="14088" max="14088" width="5.85546875" style="678" customWidth="1"/>
    <col min="14089" max="14089" width="13.42578125" style="678" customWidth="1"/>
    <col min="14090" max="14090" width="10.42578125" style="678" customWidth="1"/>
    <col min="14091" max="14093" width="7.7109375" style="678" customWidth="1"/>
    <col min="14094" max="14095" width="10.42578125" style="678" customWidth="1"/>
    <col min="14096" max="14335" width="7.7109375" style="678"/>
    <col min="14336" max="14336" width="7.42578125" style="678" customWidth="1"/>
    <col min="14337" max="14337" width="25.7109375" style="678" customWidth="1"/>
    <col min="14338" max="14338" width="5.42578125" style="678" customWidth="1"/>
    <col min="14339" max="14339" width="5.28515625" style="678" customWidth="1"/>
    <col min="14340" max="14340" width="20.42578125" style="678" customWidth="1"/>
    <col min="14341" max="14341" width="5.28515625" style="678" customWidth="1"/>
    <col min="14342" max="14342" width="7.7109375" style="678"/>
    <col min="14343" max="14343" width="11.42578125" style="678" customWidth="1"/>
    <col min="14344" max="14344" width="5.85546875" style="678" customWidth="1"/>
    <col min="14345" max="14345" width="13.42578125" style="678" customWidth="1"/>
    <col min="14346" max="14346" width="10.42578125" style="678" customWidth="1"/>
    <col min="14347" max="14349" width="7.7109375" style="678" customWidth="1"/>
    <col min="14350" max="14351" width="10.42578125" style="678" customWidth="1"/>
    <col min="14352" max="14591" width="7.7109375" style="678"/>
    <col min="14592" max="14592" width="7.42578125" style="678" customWidth="1"/>
    <col min="14593" max="14593" width="25.7109375" style="678" customWidth="1"/>
    <col min="14594" max="14594" width="5.42578125" style="678" customWidth="1"/>
    <col min="14595" max="14595" width="5.28515625" style="678" customWidth="1"/>
    <col min="14596" max="14596" width="20.42578125" style="678" customWidth="1"/>
    <col min="14597" max="14597" width="5.28515625" style="678" customWidth="1"/>
    <col min="14598" max="14598" width="7.7109375" style="678"/>
    <col min="14599" max="14599" width="11.42578125" style="678" customWidth="1"/>
    <col min="14600" max="14600" width="5.85546875" style="678" customWidth="1"/>
    <col min="14601" max="14601" width="13.42578125" style="678" customWidth="1"/>
    <col min="14602" max="14602" width="10.42578125" style="678" customWidth="1"/>
    <col min="14603" max="14605" width="7.7109375" style="678" customWidth="1"/>
    <col min="14606" max="14607" width="10.42578125" style="678" customWidth="1"/>
    <col min="14608" max="14847" width="7.7109375" style="678"/>
    <col min="14848" max="14848" width="7.42578125" style="678" customWidth="1"/>
    <col min="14849" max="14849" width="25.7109375" style="678" customWidth="1"/>
    <col min="14850" max="14850" width="5.42578125" style="678" customWidth="1"/>
    <col min="14851" max="14851" width="5.28515625" style="678" customWidth="1"/>
    <col min="14852" max="14852" width="20.42578125" style="678" customWidth="1"/>
    <col min="14853" max="14853" width="5.28515625" style="678" customWidth="1"/>
    <col min="14854" max="14854" width="7.7109375" style="678"/>
    <col min="14855" max="14855" width="11.42578125" style="678" customWidth="1"/>
    <col min="14856" max="14856" width="5.85546875" style="678" customWidth="1"/>
    <col min="14857" max="14857" width="13.42578125" style="678" customWidth="1"/>
    <col min="14858" max="14858" width="10.42578125" style="678" customWidth="1"/>
    <col min="14859" max="14861" width="7.7109375" style="678" customWidth="1"/>
    <col min="14862" max="14863" width="10.42578125" style="678" customWidth="1"/>
    <col min="14864" max="15103" width="7.7109375" style="678"/>
    <col min="15104" max="15104" width="7.42578125" style="678" customWidth="1"/>
    <col min="15105" max="15105" width="25.7109375" style="678" customWidth="1"/>
    <col min="15106" max="15106" width="5.42578125" style="678" customWidth="1"/>
    <col min="15107" max="15107" width="5.28515625" style="678" customWidth="1"/>
    <col min="15108" max="15108" width="20.42578125" style="678" customWidth="1"/>
    <col min="15109" max="15109" width="5.28515625" style="678" customWidth="1"/>
    <col min="15110" max="15110" width="7.7109375" style="678"/>
    <col min="15111" max="15111" width="11.42578125" style="678" customWidth="1"/>
    <col min="15112" max="15112" width="5.85546875" style="678" customWidth="1"/>
    <col min="15113" max="15113" width="13.42578125" style="678" customWidth="1"/>
    <col min="15114" max="15114" width="10.42578125" style="678" customWidth="1"/>
    <col min="15115" max="15117" width="7.7109375" style="678" customWidth="1"/>
    <col min="15118" max="15119" width="10.42578125" style="678" customWidth="1"/>
    <col min="15120" max="15359" width="7.7109375" style="678"/>
    <col min="15360" max="15360" width="7.42578125" style="678" customWidth="1"/>
    <col min="15361" max="15361" width="25.7109375" style="678" customWidth="1"/>
    <col min="15362" max="15362" width="5.42578125" style="678" customWidth="1"/>
    <col min="15363" max="15363" width="5.28515625" style="678" customWidth="1"/>
    <col min="15364" max="15364" width="20.42578125" style="678" customWidth="1"/>
    <col min="15365" max="15365" width="5.28515625" style="678" customWidth="1"/>
    <col min="15366" max="15366" width="7.7109375" style="678"/>
    <col min="15367" max="15367" width="11.42578125" style="678" customWidth="1"/>
    <col min="15368" max="15368" width="5.85546875" style="678" customWidth="1"/>
    <col min="15369" max="15369" width="13.42578125" style="678" customWidth="1"/>
    <col min="15370" max="15370" width="10.42578125" style="678" customWidth="1"/>
    <col min="15371" max="15373" width="7.7109375" style="678" customWidth="1"/>
    <col min="15374" max="15375" width="10.42578125" style="678" customWidth="1"/>
    <col min="15376" max="15615" width="7.7109375" style="678"/>
    <col min="15616" max="15616" width="7.42578125" style="678" customWidth="1"/>
    <col min="15617" max="15617" width="25.7109375" style="678" customWidth="1"/>
    <col min="15618" max="15618" width="5.42578125" style="678" customWidth="1"/>
    <col min="15619" max="15619" width="5.28515625" style="678" customWidth="1"/>
    <col min="15620" max="15620" width="20.42578125" style="678" customWidth="1"/>
    <col min="15621" max="15621" width="5.28515625" style="678" customWidth="1"/>
    <col min="15622" max="15622" width="7.7109375" style="678"/>
    <col min="15623" max="15623" width="11.42578125" style="678" customWidth="1"/>
    <col min="15624" max="15624" width="5.85546875" style="678" customWidth="1"/>
    <col min="15625" max="15625" width="13.42578125" style="678" customWidth="1"/>
    <col min="15626" max="15626" width="10.42578125" style="678" customWidth="1"/>
    <col min="15627" max="15629" width="7.7109375" style="678" customWidth="1"/>
    <col min="15630" max="15631" width="10.42578125" style="678" customWidth="1"/>
    <col min="15632" max="15871" width="7.7109375" style="678"/>
    <col min="15872" max="15872" width="7.42578125" style="678" customWidth="1"/>
    <col min="15873" max="15873" width="25.7109375" style="678" customWidth="1"/>
    <col min="15874" max="15874" width="5.42578125" style="678" customWidth="1"/>
    <col min="15875" max="15875" width="5.28515625" style="678" customWidth="1"/>
    <col min="15876" max="15876" width="20.42578125" style="678" customWidth="1"/>
    <col min="15877" max="15877" width="5.28515625" style="678" customWidth="1"/>
    <col min="15878" max="15878" width="7.7109375" style="678"/>
    <col min="15879" max="15879" width="11.42578125" style="678" customWidth="1"/>
    <col min="15880" max="15880" width="5.85546875" style="678" customWidth="1"/>
    <col min="15881" max="15881" width="13.42578125" style="678" customWidth="1"/>
    <col min="15882" max="15882" width="10.42578125" style="678" customWidth="1"/>
    <col min="15883" max="15885" width="7.7109375" style="678" customWidth="1"/>
    <col min="15886" max="15887" width="10.42578125" style="678" customWidth="1"/>
    <col min="15888" max="16127" width="7.7109375" style="678"/>
    <col min="16128" max="16128" width="7.42578125" style="678" customWidth="1"/>
    <col min="16129" max="16129" width="25.7109375" style="678" customWidth="1"/>
    <col min="16130" max="16130" width="5.42578125" style="678" customWidth="1"/>
    <col min="16131" max="16131" width="5.28515625" style="678" customWidth="1"/>
    <col min="16132" max="16132" width="20.42578125" style="678" customWidth="1"/>
    <col min="16133" max="16133" width="5.28515625" style="678" customWidth="1"/>
    <col min="16134" max="16134" width="7.7109375" style="678"/>
    <col min="16135" max="16135" width="11.42578125" style="678" customWidth="1"/>
    <col min="16136" max="16136" width="5.85546875" style="678" customWidth="1"/>
    <col min="16137" max="16137" width="13.42578125" style="678" customWidth="1"/>
    <col min="16138" max="16138" width="10.42578125" style="678" customWidth="1"/>
    <col min="16139" max="16141" width="7.7109375" style="678" customWidth="1"/>
    <col min="16142" max="16143" width="10.42578125" style="678" customWidth="1"/>
    <col min="16144" max="16384" width="9.140625" style="678"/>
  </cols>
  <sheetData>
    <row r="1" spans="1:19" ht="5.0999999999999996" customHeight="1">
      <c r="A1" s="1053"/>
      <c r="B1" s="1054"/>
      <c r="C1" s="1054"/>
      <c r="D1" s="1054"/>
      <c r="E1" s="1054"/>
      <c r="F1" s="1054"/>
      <c r="G1" s="1054"/>
      <c r="H1" s="1054"/>
      <c r="I1" s="1054"/>
      <c r="J1" s="1055"/>
    </row>
    <row r="2" ht="18" customHeight="1">
      <c r="A2" s="679" t="s">
        <v>663</v>
      </c>
      <c r="B2" s="680"/>
      <c r="C2" s="681" t="s">
        <v>0</v>
      </c>
      <c r="D2" s="1071"/>
      <c r="E2" s="1071"/>
      <c r="F2" s="1071"/>
      <c r="G2" s="1071"/>
      <c r="H2" s="682"/>
      <c r="I2" s="682"/>
      <c r="J2" s="683"/>
      <c r="L2" s="682"/>
      <c r="M2" s="682"/>
      <c r="N2" s="682"/>
    </row>
    <row r="3" ht="18" customHeight="1">
      <c r="A3" s="679" t="s">
        <v>1018</v>
      </c>
      <c r="B3" s="680"/>
      <c r="C3" s="681" t="s">
        <v>0</v>
      </c>
      <c r="D3" s="974"/>
      <c r="E3" s="868"/>
      <c r="F3" s="868"/>
      <c r="G3" s="868"/>
      <c r="H3" s="684"/>
      <c r="I3" s="682"/>
      <c r="J3" s="683"/>
      <c r="L3" s="682"/>
      <c r="M3" s="682"/>
      <c r="N3" s="682"/>
    </row>
    <row r="4" ht="18" customHeight="1">
      <c r="A4" s="679" t="s">
        <v>1019</v>
      </c>
      <c r="B4" s="680"/>
      <c r="C4" s="681" t="s">
        <v>0</v>
      </c>
      <c r="D4" s="974"/>
      <c r="E4" s="868"/>
      <c r="F4" s="868"/>
      <c r="G4" s="868"/>
      <c r="H4" s="684"/>
      <c r="I4" s="682"/>
      <c r="J4" s="683"/>
      <c r="L4" s="682"/>
      <c r="M4" s="682"/>
      <c r="N4" s="682"/>
    </row>
    <row r="5" ht="18" customHeight="1">
      <c r="A5" s="679" t="s">
        <v>857</v>
      </c>
      <c r="B5" s="680"/>
      <c r="C5" s="681" t="s">
        <v>0</v>
      </c>
      <c r="D5" s="1072"/>
      <c r="E5" s="1072"/>
      <c r="F5" s="1072"/>
      <c r="G5" s="1072"/>
      <c r="H5" s="682"/>
      <c r="I5" s="682"/>
      <c r="J5" s="683"/>
      <c r="M5" s="678">
        <f>"            /BPRS-AU/"&amp;M8&amp;"/"&amp;L6</f>
        <v xml:space="preserve">            /BPRS-AU/V/2025</v>
      </c>
      <c r="S5" s="685"/>
    </row>
    <row r="6" ht="18" customHeight="1">
      <c r="A6" s="679" t="s">
        <v>664</v>
      </c>
      <c r="B6" s="680"/>
      <c r="C6" s="681" t="s">
        <v>0</v>
      </c>
      <c r="D6" s="1073"/>
      <c r="E6" s="1073"/>
      <c r="F6" s="1073"/>
      <c r="G6" s="1073"/>
      <c r="H6" s="682"/>
      <c r="I6" s="682"/>
      <c r="J6" s="683"/>
      <c r="L6" s="686">
        <f>YEAR(D6)</f>
      </c>
      <c r="M6" s="687"/>
    </row>
    <row r="7" spans="1:19" ht="4.5" customHeight="1">
      <c r="A7" s="688"/>
      <c r="B7" s="682"/>
      <c r="C7" s="682"/>
      <c r="D7" s="682"/>
      <c r="E7" s="682"/>
      <c r="F7" s="682"/>
      <c r="G7" s="682"/>
      <c r="H7" s="682"/>
      <c r="I7" s="682"/>
      <c r="J7" s="683"/>
      <c r="L7" s="687"/>
      <c r="M7" s="687"/>
    </row>
    <row r="8" spans="1:19" ht="18" customHeight="1">
      <c r="A8" s="1074" t="s">
        <v>53</v>
      </c>
      <c r="B8" s="1075"/>
      <c r="C8" s="1075"/>
      <c r="D8" s="1075"/>
      <c r="E8" s="1075"/>
      <c r="F8" s="1075"/>
      <c r="G8" s="1075"/>
      <c r="H8" s="1075"/>
      <c r="I8" s="1075"/>
      <c r="J8" s="1076"/>
      <c r="L8" s="689">
        <f>MONTH(D6)</f>
      </c>
      <c r="M8" s="687">
        <f>VLOOKUP(L8,L11:M24,2,0)</f>
      </c>
    </row>
    <row r="9" spans="1:19" ht="4.5" customHeight="1">
      <c r="A9" s="690"/>
      <c r="B9" s="691"/>
      <c r="C9" s="681"/>
      <c r="D9" s="868"/>
      <c r="E9" s="692"/>
      <c r="F9" s="692"/>
      <c r="G9" s="692"/>
      <c r="H9" s="692"/>
      <c r="I9" s="692"/>
      <c r="J9" s="693"/>
    </row>
    <row r="10" ht="18" customHeight="1">
      <c r="A10" s="694">
        <v>1</v>
      </c>
      <c r="B10" s="695" t="s">
        <v>858</v>
      </c>
      <c r="C10" s="681"/>
      <c r="D10" s="1077"/>
      <c r="E10" s="1078"/>
      <c r="F10" s="1072">
        <f>IF(D10="Referral","Nama :","")</f>
      </c>
      <c r="G10" s="1072"/>
      <c r="H10" s="1041"/>
      <c r="I10" s="1041"/>
      <c r="J10" s="1042"/>
    </row>
    <row r="11" ht="18" customHeight="1">
      <c r="A11" s="694">
        <f>A10+1</f>
      </c>
      <c r="B11" s="695" t="s">
        <v>648</v>
      </c>
      <c r="C11" s="681" t="s">
        <v>0</v>
      </c>
      <c r="D11" s="1040"/>
      <c r="E11" s="1041"/>
      <c r="F11" s="1041"/>
      <c r="G11" s="1041"/>
      <c r="H11" s="1041"/>
      <c r="I11" s="1041"/>
      <c r="J11" s="1042"/>
      <c r="L11" s="696">
        <v>1</v>
      </c>
      <c r="M11" s="678" t="s">
        <v>629</v>
      </c>
    </row>
    <row r="12" ht="18" customHeight="1">
      <c r="A12" s="694">
        <v>3</v>
      </c>
      <c r="B12" s="695" t="s">
        <v>394</v>
      </c>
      <c r="C12" s="681" t="s">
        <v>0</v>
      </c>
      <c r="D12" s="1030"/>
      <c r="E12" s="1085"/>
      <c r="F12" s="740"/>
      <c r="G12" s="740"/>
      <c r="H12" s="740"/>
      <c r="I12" s="740"/>
      <c r="J12" s="741"/>
      <c r="L12" s="696"/>
    </row>
    <row r="13" ht="18" customHeight="1">
      <c r="A13" s="694">
        <v>4</v>
      </c>
      <c r="B13" s="695" t="s">
        <v>649</v>
      </c>
      <c r="C13" s="681" t="s">
        <v>0</v>
      </c>
      <c r="D13" s="1068"/>
      <c r="E13" s="1034"/>
      <c r="F13" s="1035"/>
      <c r="G13" s="1036" t="s">
        <v>55</v>
      </c>
      <c r="H13" s="1037"/>
      <c r="I13" s="1069"/>
      <c r="J13" s="1070"/>
      <c r="L13" s="696">
        <v>2</v>
      </c>
      <c r="M13" s="678" t="s">
        <v>699</v>
      </c>
    </row>
    <row r="14" ht="18" customHeight="1">
      <c r="A14" s="694">
        <f t="shared" ref="A14:A41" si="0">A13+1</f>
      </c>
      <c r="B14" s="695" t="s">
        <v>650</v>
      </c>
      <c r="C14" s="681" t="s">
        <v>0</v>
      </c>
      <c r="D14" s="1033"/>
      <c r="E14" s="1034"/>
      <c r="F14" s="1035"/>
      <c r="G14" s="1036" t="s">
        <v>599</v>
      </c>
      <c r="H14" s="1037"/>
      <c r="I14" s="1058">
        <f>IF(Parameter!G32&lt;=2,Parameter!E253,Parameter!E254)</f>
      </c>
      <c r="J14" s="1059"/>
      <c r="L14" s="696">
        <v>3</v>
      </c>
      <c r="M14" s="678" t="s">
        <v>700</v>
      </c>
      <c r="N14" s="697" t="s">
        <v>361</v>
      </c>
      <c r="O14" s="697" t="s">
        <v>361</v>
      </c>
    </row>
    <row r="15" ht="18" customHeight="1">
      <c r="A15" s="694">
        <f t="shared" si="0"/>
      </c>
      <c r="B15" s="695" t="s">
        <v>651</v>
      </c>
      <c r="C15" s="681" t="s">
        <v>0</v>
      </c>
      <c r="D15" s="1079"/>
      <c r="E15" s="1080"/>
      <c r="F15" s="1080"/>
      <c r="G15" s="1080"/>
      <c r="H15" s="1080"/>
      <c r="I15" s="1080"/>
      <c r="J15" s="1081"/>
      <c r="L15" s="696">
        <v>4</v>
      </c>
      <c r="M15" s="678" t="s">
        <v>701</v>
      </c>
      <c r="N15" s="697" t="s">
        <v>362</v>
      </c>
      <c r="O15" s="697" t="s">
        <v>362</v>
      </c>
    </row>
    <row r="16" spans="1:19" ht="18" customHeight="1">
      <c r="A16" s="694"/>
      <c r="B16" s="695"/>
      <c r="C16" s="682"/>
      <c r="D16" s="1082"/>
      <c r="E16" s="1083"/>
      <c r="F16" s="1083"/>
      <c r="G16" s="1083"/>
      <c r="H16" s="1083"/>
      <c r="I16" s="1083"/>
      <c r="J16" s="1084"/>
      <c r="L16" s="696">
        <v>5</v>
      </c>
      <c r="M16" s="678" t="s">
        <v>702</v>
      </c>
      <c r="N16" s="697" t="s">
        <v>680</v>
      </c>
      <c r="O16" s="697" t="s">
        <v>680</v>
      </c>
    </row>
    <row r="17" ht="18" customHeight="1">
      <c r="A17" s="694"/>
      <c r="B17" s="695"/>
      <c r="C17" s="682"/>
      <c r="D17" s="698" t="s">
        <v>570</v>
      </c>
      <c r="E17" s="699"/>
      <c r="F17" s="1043"/>
      <c r="G17" s="1044"/>
      <c r="H17" s="699" t="s">
        <v>56</v>
      </c>
      <c r="I17" s="1045"/>
      <c r="J17" s="1046"/>
      <c r="L17" s="696">
        <v>6</v>
      </c>
      <c r="M17" s="678" t="s">
        <v>703</v>
      </c>
      <c r="N17" s="697" t="s">
        <v>756</v>
      </c>
      <c r="O17" s="697" t="s">
        <v>774</v>
      </c>
    </row>
    <row r="18" ht="18" customHeight="1">
      <c r="A18" s="694"/>
      <c r="B18" s="695"/>
      <c r="C18" s="682"/>
      <c r="D18" s="698" t="s">
        <v>57</v>
      </c>
      <c r="E18" s="699"/>
      <c r="F18" s="1043"/>
      <c r="G18" s="1044"/>
      <c r="H18" s="699" t="s">
        <v>58</v>
      </c>
      <c r="I18" s="1045"/>
      <c r="J18" s="1046"/>
      <c r="L18" s="696">
        <v>7</v>
      </c>
      <c r="M18" s="678" t="s">
        <v>704</v>
      </c>
    </row>
    <row r="19" ht="18" hidden="1" customHeight="1">
      <c r="A19" s="694">
        <f t="shared" si="0"/>
      </c>
      <c r="B19" s="695" t="s">
        <v>60</v>
      </c>
      <c r="C19" s="681" t="s">
        <v>0</v>
      </c>
      <c r="D19" s="1060"/>
      <c r="E19" s="1061"/>
      <c r="F19" s="1061"/>
      <c r="G19" s="1061"/>
      <c r="H19" s="1061"/>
      <c r="I19" s="1061"/>
      <c r="J19" s="1062"/>
      <c r="L19" s="696"/>
    </row>
    <row r="20" ht="18" customHeight="1">
      <c r="A20" s="694">
        <f>A15+1</f>
      </c>
      <c r="B20" s="695" t="s">
        <v>652</v>
      </c>
      <c r="C20" s="681" t="s">
        <v>0</v>
      </c>
      <c r="D20" s="1033"/>
      <c r="E20" s="1063"/>
      <c r="F20" s="1063"/>
      <c r="G20" s="1064"/>
      <c r="H20" s="684"/>
      <c r="I20" s="684"/>
      <c r="J20" s="700"/>
      <c r="L20" s="696">
        <v>8</v>
      </c>
      <c r="M20" s="678" t="s">
        <v>705</v>
      </c>
    </row>
    <row r="21" ht="18" customHeight="1">
      <c r="A21" s="694">
        <f t="shared" si="0"/>
      </c>
      <c r="B21" s="695" t="s">
        <v>719</v>
      </c>
      <c r="C21" s="681" t="s">
        <v>0</v>
      </c>
      <c r="D21" s="1047"/>
      <c r="E21" s="1048"/>
      <c r="F21" s="1048"/>
      <c r="G21" s="1049"/>
      <c r="H21" s="684"/>
      <c r="I21" s="701"/>
      <c r="J21" s="700"/>
      <c r="L21" s="696">
        <v>9</v>
      </c>
      <c r="M21" s="678" t="s">
        <v>706</v>
      </c>
    </row>
    <row r="22" ht="18" customHeight="1">
      <c r="A22" s="694">
        <f t="shared" si="0"/>
      </c>
      <c r="B22" s="695" t="s">
        <v>653</v>
      </c>
      <c r="C22" s="681" t="s">
        <v>0</v>
      </c>
      <c r="D22" s="1047"/>
      <c r="E22" s="1048"/>
      <c r="F22" s="1048"/>
      <c r="G22" s="1049"/>
      <c r="H22" s="684"/>
      <c r="I22" s="684"/>
      <c r="J22" s="700"/>
      <c r="L22" s="696">
        <v>10</v>
      </c>
      <c r="M22" s="678" t="s">
        <v>28</v>
      </c>
    </row>
    <row r="23" s="682" customFormat="1" ht="18" customHeight="1">
      <c r="A23" s="694">
        <f t="shared" si="0"/>
      </c>
      <c r="B23" s="695" t="s">
        <v>654</v>
      </c>
      <c r="C23" s="681" t="s">
        <v>0</v>
      </c>
      <c r="D23" s="1030"/>
      <c r="E23" s="1031"/>
      <c r="F23" s="1031"/>
      <c r="G23" s="1032"/>
      <c r="H23" s="684"/>
      <c r="I23" s="684"/>
      <c r="J23" s="700"/>
      <c r="L23" s="696">
        <v>11</v>
      </c>
      <c r="M23" s="678" t="s">
        <v>707</v>
      </c>
      <c r="N23" s="678"/>
    </row>
    <row r="24" s="682" customFormat="1" ht="18" customHeight="1">
      <c r="A24" s="694">
        <f t="shared" si="0"/>
      </c>
      <c r="B24" s="695" t="s">
        <v>859</v>
      </c>
      <c r="C24" s="681" t="s">
        <v>0</v>
      </c>
      <c r="D24" s="1030"/>
      <c r="E24" s="1031"/>
      <c r="F24" s="1031"/>
      <c r="G24" s="1032"/>
      <c r="H24" s="684"/>
      <c r="I24" s="684"/>
      <c r="J24" s="700"/>
      <c r="L24" s="696">
        <v>12</v>
      </c>
      <c r="M24" s="678" t="s">
        <v>708</v>
      </c>
      <c r="N24" s="678"/>
    </row>
    <row r="25" s="682" customFormat="1" ht="18" customHeight="1">
      <c r="A25" s="694">
        <f t="shared" si="0"/>
      </c>
      <c r="B25" s="695" t="s">
        <v>860</v>
      </c>
      <c r="C25" s="681" t="s">
        <v>0</v>
      </c>
      <c r="D25" s="1030"/>
      <c r="E25" s="1031"/>
      <c r="F25" s="1031"/>
      <c r="G25" s="1032"/>
      <c r="H25" s="684"/>
      <c r="I25" s="684"/>
      <c r="J25" s="700"/>
      <c r="L25" s="696"/>
      <c r="M25" s="678"/>
      <c r="N25" s="678"/>
    </row>
    <row r="26" s="682" customFormat="1" ht="18" customHeight="1">
      <c r="A26" s="694">
        <f t="shared" si="0"/>
      </c>
      <c r="B26" s="695" t="s">
        <v>861</v>
      </c>
      <c r="C26" s="681" t="s">
        <v>0</v>
      </c>
      <c r="D26" s="1030"/>
      <c r="E26" s="1031"/>
      <c r="F26" s="1031"/>
      <c r="G26" s="1032"/>
      <c r="H26" s="684"/>
      <c r="I26" s="684"/>
      <c r="J26" s="700"/>
      <c r="L26" s="696"/>
      <c r="M26" s="678"/>
      <c r="N26" s="678"/>
    </row>
    <row r="27" s="682" customFormat="1" ht="18" customHeight="1">
      <c r="A27" s="694">
        <f t="shared" si="0"/>
      </c>
      <c r="B27" s="695" t="s">
        <v>862</v>
      </c>
      <c r="C27" s="681" t="s">
        <v>0</v>
      </c>
      <c r="D27" s="1030"/>
      <c r="E27" s="1031"/>
      <c r="F27" s="1031"/>
      <c r="G27" s="1032"/>
      <c r="H27" s="684"/>
      <c r="I27" s="684"/>
      <c r="J27" s="700"/>
      <c r="L27" s="678"/>
      <c r="M27" s="678"/>
      <c r="N27" s="678"/>
    </row>
    <row r="28" spans="1:15" s="682" customFormat="1" ht="18" customHeight="1">
      <c r="A28" s="694">
        <f t="shared" si="0"/>
      </c>
      <c r="B28" s="695" t="s">
        <v>863</v>
      </c>
      <c r="C28" s="681" t="s">
        <v>0</v>
      </c>
      <c r="D28" s="702">
        <f>IF(Parameter!G32&lt;=2,Parameter!H253,Parameter!H254)</f>
      </c>
      <c r="E28" s="703" t="s">
        <v>784</v>
      </c>
      <c r="F28" s="703"/>
      <c r="G28" s="704"/>
      <c r="H28" s="684"/>
      <c r="I28" s="684"/>
      <c r="J28" s="700"/>
      <c r="L28" s="678"/>
      <c r="M28" s="678"/>
      <c r="N28" s="678"/>
    </row>
    <row r="29" s="682" customFormat="1" ht="18" customHeight="1">
      <c r="A29" s="694">
        <f t="shared" si="0"/>
      </c>
      <c r="B29" s="695" t="s">
        <v>864</v>
      </c>
      <c r="C29" s="681" t="s">
        <v>0</v>
      </c>
      <c r="D29" s="1027"/>
      <c r="E29" s="1028"/>
      <c r="F29" s="1028"/>
      <c r="G29" s="1029"/>
      <c r="H29" s="684"/>
      <c r="I29" s="684"/>
      <c r="J29" s="700"/>
      <c r="L29" s="678"/>
      <c r="M29" s="678"/>
      <c r="N29" s="678"/>
    </row>
    <row r="30" s="682" customFormat="1" ht="18" customHeight="1">
      <c r="A30" s="694">
        <f t="shared" si="0"/>
      </c>
      <c r="B30" s="695" t="s">
        <v>865</v>
      </c>
      <c r="C30" s="681" t="s">
        <v>0</v>
      </c>
      <c r="D30" s="1027"/>
      <c r="E30" s="1028"/>
      <c r="F30" s="1028"/>
      <c r="G30" s="1029"/>
      <c r="H30" s="684"/>
      <c r="I30" s="684"/>
      <c r="J30" s="700"/>
      <c r="L30" s="678"/>
      <c r="M30" s="678"/>
      <c r="N30" s="678"/>
    </row>
    <row r="31" s="682" customFormat="1" ht="18" customHeight="1">
      <c r="A31" s="694">
        <f t="shared" si="0"/>
      </c>
      <c r="B31" s="695" t="s">
        <v>866</v>
      </c>
      <c r="C31" s="681" t="s">
        <v>0</v>
      </c>
      <c r="D31" s="1027"/>
      <c r="E31" s="1028"/>
      <c r="F31" s="1028"/>
      <c r="G31" s="1029"/>
      <c r="H31" s="684"/>
      <c r="I31" s="684"/>
      <c r="J31" s="700"/>
      <c r="L31" s="678"/>
      <c r="M31" s="678"/>
      <c r="N31" s="678"/>
    </row>
    <row r="32" s="682" customFormat="1" ht="18" hidden="1" customHeight="1">
      <c r="A32" s="694">
        <f t="shared" si="0"/>
      </c>
      <c r="B32" s="695" t="s">
        <v>764</v>
      </c>
      <c r="C32" s="681"/>
      <c r="D32" s="1027"/>
      <c r="E32" s="1028"/>
      <c r="F32" s="1028"/>
      <c r="G32" s="1029"/>
      <c r="H32" s="684"/>
      <c r="I32" s="684"/>
      <c r="J32" s="700"/>
      <c r="L32" s="678"/>
      <c r="M32" s="678"/>
      <c r="N32" s="678"/>
    </row>
    <row r="33" s="682" customFormat="1" ht="18" hidden="1" customHeight="1">
      <c r="A33" s="694">
        <f t="shared" si="0"/>
      </c>
      <c r="B33" s="695" t="s">
        <v>765</v>
      </c>
      <c r="C33" s="681"/>
      <c r="D33" s="1027"/>
      <c r="E33" s="1028"/>
      <c r="F33" s="1028"/>
      <c r="G33" s="1029"/>
      <c r="H33" s="684"/>
      <c r="I33" s="684"/>
      <c r="J33" s="700"/>
      <c r="L33" s="678"/>
      <c r="M33" s="678"/>
      <c r="N33" s="678"/>
    </row>
    <row r="34" s="682" customFormat="1" ht="32.25" customHeight="1">
      <c r="A34" s="694">
        <f t="shared" si="0"/>
      </c>
      <c r="B34" s="705" t="s">
        <v>867</v>
      </c>
      <c r="C34" s="681" t="s">
        <v>0</v>
      </c>
      <c r="D34" s="1027"/>
      <c r="E34" s="1028"/>
      <c r="F34" s="1028"/>
      <c r="G34" s="1029"/>
      <c r="H34" s="684"/>
      <c r="I34" s="684"/>
      <c r="J34" s="700"/>
      <c r="L34" s="678"/>
      <c r="M34" s="678"/>
      <c r="N34" s="678"/>
    </row>
    <row r="35" s="682" customFormat="1" ht="48" customHeight="1">
      <c r="A35" s="694">
        <f t="shared" si="0"/>
      </c>
      <c r="B35" s="705" t="s">
        <v>868</v>
      </c>
      <c r="C35" s="681" t="s">
        <v>0</v>
      </c>
      <c r="D35" s="1065"/>
      <c r="E35" s="1066"/>
      <c r="F35" s="1066"/>
      <c r="G35" s="1066"/>
      <c r="H35" s="1066"/>
      <c r="I35" s="1066"/>
      <c r="J35" s="1067"/>
      <c r="L35" s="678"/>
      <c r="M35" s="678"/>
      <c r="N35" s="678"/>
    </row>
    <row r="36" ht="18" customHeight="1">
      <c r="A36" s="694">
        <f t="shared" si="0"/>
      </c>
      <c r="B36" s="695" t="s">
        <v>658</v>
      </c>
      <c r="C36" s="681" t="s">
        <v>0</v>
      </c>
      <c r="D36" s="1040"/>
      <c r="E36" s="1041"/>
      <c r="F36" s="1041"/>
      <c r="G36" s="1041"/>
      <c r="H36" s="1041"/>
      <c r="I36" s="1041"/>
      <c r="J36" s="1042"/>
      <c r="L36" s="678" t="s">
        <v>65</v>
      </c>
      <c r="M36" s="678" t="s">
        <v>66</v>
      </c>
    </row>
    <row r="37" ht="18" customHeight="1">
      <c r="A37" s="694">
        <f t="shared" si="0"/>
      </c>
      <c r="B37" s="695" t="s">
        <v>659</v>
      </c>
      <c r="C37" s="681" t="s">
        <v>0</v>
      </c>
      <c r="D37" s="1040"/>
      <c r="E37" s="1041"/>
      <c r="F37" s="1041"/>
      <c r="G37" s="1041"/>
      <c r="H37" s="1041"/>
      <c r="I37" s="1041"/>
      <c r="J37" s="1042"/>
    </row>
    <row r="38" ht="18" customHeight="1">
      <c r="A38" s="694">
        <f t="shared" si="0"/>
      </c>
      <c r="B38" s="695" t="s">
        <v>660</v>
      </c>
      <c r="C38" s="681" t="s">
        <v>0</v>
      </c>
      <c r="D38" s="1040"/>
      <c r="E38" s="1041"/>
      <c r="F38" s="1041"/>
      <c r="G38" s="1041"/>
      <c r="H38" s="1041"/>
      <c r="I38" s="1041"/>
      <c r="J38" s="1042"/>
    </row>
    <row r="39" ht="18" customHeight="1">
      <c r="A39" s="694">
        <f t="shared" si="0"/>
      </c>
      <c r="B39" s="695" t="s">
        <v>655</v>
      </c>
      <c r="C39" s="681" t="s">
        <v>0</v>
      </c>
      <c r="D39" s="1050"/>
      <c r="E39" s="1051"/>
      <c r="F39" s="1051"/>
      <c r="G39" s="1051"/>
      <c r="H39" s="1051"/>
      <c r="I39" s="1051"/>
      <c r="J39" s="1052"/>
    </row>
    <row r="40" ht="18" customHeight="1">
      <c r="A40" s="694">
        <f t="shared" si="0"/>
      </c>
      <c r="B40" s="695" t="s">
        <v>661</v>
      </c>
      <c r="C40" s="681" t="s">
        <v>0</v>
      </c>
      <c r="D40" s="1040"/>
      <c r="E40" s="1041"/>
      <c r="F40" s="1041"/>
      <c r="G40" s="1041"/>
      <c r="H40" s="1041"/>
      <c r="I40" s="1041"/>
      <c r="J40" s="1042"/>
    </row>
    <row r="41" ht="18" customHeight="1">
      <c r="A41" s="694">
        <f t="shared" si="0"/>
      </c>
      <c r="B41" s="695" t="s">
        <v>1022</v>
      </c>
      <c r="C41" s="1103" t="s">
        <v>0</v>
      </c>
      <c r="D41" s="1038"/>
      <c r="E41" s="1038"/>
      <c r="F41" s="1038"/>
      <c r="G41" s="1038"/>
      <c r="H41" s="1038"/>
      <c r="I41" s="1038"/>
      <c r="J41" s="1039"/>
      <c r="M41" s="678" t="s">
        <v>67</v>
      </c>
    </row>
    <row r="42" spans="1:14" ht="18" customHeight="1">
      <c r="A42" s="694"/>
      <c r="B42" s="695" t="s">
        <v>662</v>
      </c>
      <c r="C42" s="1103"/>
      <c r="D42" s="1038"/>
      <c r="E42" s="1038"/>
      <c r="F42" s="1038"/>
      <c r="G42" s="1038"/>
      <c r="H42" s="1038"/>
      <c r="I42" s="1038"/>
      <c r="J42" s="1039"/>
      <c r="M42" s="678" t="s">
        <v>6</v>
      </c>
    </row>
    <row r="43" ht="18" customHeight="1">
      <c r="A43" s="694">
        <f>A41+1</f>
      </c>
      <c r="B43" s="695" t="s">
        <v>652</v>
      </c>
      <c r="C43" s="681" t="s">
        <v>0</v>
      </c>
      <c r="D43" s="1068"/>
      <c r="E43" s="1063"/>
      <c r="F43" s="1063"/>
      <c r="G43" s="1064"/>
      <c r="H43" s="682"/>
      <c r="I43" s="682"/>
      <c r="J43" s="683"/>
      <c r="M43" s="687" t="s">
        <v>4</v>
      </c>
    </row>
    <row r="44" spans="1:14" ht="3.75" customHeight="1">
      <c r="A44" s="688"/>
      <c r="B44" s="682"/>
      <c r="C44" s="682"/>
      <c r="D44" s="682"/>
      <c r="E44" s="682"/>
      <c r="F44" s="682"/>
      <c r="G44" s="682"/>
      <c r="H44" s="682"/>
      <c r="I44" s="682"/>
      <c r="J44" s="683"/>
    </row>
    <row r="45" spans="1:14" ht="2.25" customHeight="1">
      <c r="A45" s="688"/>
      <c r="B45" s="682"/>
      <c r="C45" s="682"/>
      <c r="D45" s="682"/>
      <c r="E45" s="682"/>
      <c r="F45" s="682"/>
      <c r="G45" s="682"/>
      <c r="H45" s="682"/>
      <c r="I45" s="682"/>
      <c r="J45" s="683"/>
      <c r="L45" s="687"/>
      <c r="M45" s="706" t="s">
        <v>71</v>
      </c>
    </row>
    <row r="46" spans="1:14" ht="18" customHeight="1">
      <c r="A46" s="1074" t="s">
        <v>779</v>
      </c>
      <c r="B46" s="1075"/>
      <c r="C46" s="1075"/>
      <c r="D46" s="1075"/>
      <c r="E46" s="1075"/>
      <c r="F46" s="1075"/>
      <c r="G46" s="1075"/>
      <c r="H46" s="1075"/>
      <c r="I46" s="1075"/>
      <c r="J46" s="1076"/>
      <c r="L46" s="687"/>
      <c r="M46" s="706" t="s">
        <v>72</v>
      </c>
    </row>
    <row r="47" spans="1:14" ht="3" customHeight="1">
      <c r="A47" s="688"/>
      <c r="B47" s="682"/>
      <c r="C47" s="682"/>
      <c r="D47" s="682"/>
      <c r="E47" s="682"/>
      <c r="F47" s="682"/>
      <c r="G47" s="682"/>
      <c r="H47" s="682"/>
      <c r="I47" s="682"/>
      <c r="J47" s="683"/>
      <c r="M47" s="707" t="s">
        <v>73</v>
      </c>
      <c r="N47" s="707"/>
    </row>
    <row r="48">
      <c r="A48" s="694">
        <v>1</v>
      </c>
      <c r="B48" s="695">
        <f>Parameter!B81</f>
      </c>
      <c r="C48" s="681" t="s">
        <v>0</v>
      </c>
      <c r="D48" s="1030"/>
      <c r="E48" s="1085"/>
      <c r="F48" s="1085"/>
      <c r="G48" s="1085"/>
      <c r="H48" s="1108"/>
      <c r="I48" s="682"/>
      <c r="J48" s="683"/>
      <c r="M48" s="707" t="s">
        <v>74</v>
      </c>
      <c r="N48" s="707"/>
    </row>
    <row r="49" ht="18" customHeight="1">
      <c r="A49" s="694">
        <v>2</v>
      </c>
      <c r="B49" s="695">
        <f>Parameter!B86</f>
      </c>
      <c r="C49" s="681" t="s">
        <v>0</v>
      </c>
      <c r="D49" s="1030"/>
      <c r="E49" s="1085"/>
      <c r="F49" s="1085"/>
      <c r="G49" s="1085"/>
      <c r="H49" s="1108"/>
      <c r="I49" s="682"/>
      <c r="J49" s="683"/>
      <c r="M49" s="707" t="s">
        <v>75</v>
      </c>
    </row>
    <row r="50" spans="1:13" ht="3" customHeight="1">
      <c r="A50" s="688"/>
      <c r="B50" s="682"/>
      <c r="C50" s="682"/>
      <c r="D50" s="682"/>
      <c r="E50" s="682"/>
      <c r="F50" s="682"/>
      <c r="G50" s="682"/>
      <c r="H50" s="682"/>
      <c r="I50" s="682"/>
      <c r="J50" s="683"/>
      <c r="K50" s="685"/>
      <c r="M50" s="707" t="s">
        <v>76</v>
      </c>
    </row>
    <row r="51" spans="1:13" ht="18.75">
      <c r="A51" s="1106" t="s">
        <v>780</v>
      </c>
      <c r="B51" s="1075"/>
      <c r="C51" s="1075"/>
      <c r="D51" s="1075"/>
      <c r="E51" s="1075"/>
      <c r="F51" s="1075"/>
      <c r="G51" s="1075"/>
      <c r="H51" s="1075"/>
      <c r="I51" s="1075"/>
      <c r="J51" s="1107"/>
      <c r="M51" s="707" t="s">
        <v>77</v>
      </c>
    </row>
    <row r="52" spans="1:13" ht="3" customHeight="1">
      <c r="A52" s="708"/>
      <c r="B52" s="709"/>
      <c r="C52" s="709"/>
      <c r="D52" s="709"/>
      <c r="E52" s="709"/>
      <c r="F52" s="709"/>
      <c r="G52" s="709"/>
      <c r="H52" s="682"/>
      <c r="I52" s="682"/>
      <c r="J52" s="683"/>
      <c r="M52" s="707" t="s">
        <v>78</v>
      </c>
    </row>
    <row r="53" ht="18" customHeight="1">
      <c r="A53" s="710">
        <v>1</v>
      </c>
      <c r="B53" s="680" t="s">
        <v>709</v>
      </c>
      <c r="C53" s="681" t="s">
        <v>0</v>
      </c>
      <c r="D53" s="711"/>
      <c r="E53" s="729">
        <f>IF(D53="",0,Parameter!T114)</f>
      </c>
      <c r="F53" s="682"/>
      <c r="G53" s="682"/>
      <c r="H53" s="682"/>
      <c r="I53" s="682"/>
      <c r="J53" s="683"/>
      <c r="M53" s="707" t="s">
        <v>79</v>
      </c>
    </row>
    <row r="54" ht="28.5" customHeight="1">
      <c r="A54" s="710">
        <v>2</v>
      </c>
      <c r="B54" s="712" t="s">
        <v>845</v>
      </c>
      <c r="C54" s="681" t="s">
        <v>0</v>
      </c>
      <c r="D54" s="1101"/>
      <c r="E54" s="1102"/>
      <c r="F54" s="682"/>
      <c r="G54" s="682"/>
      <c r="H54" s="682"/>
      <c r="I54" s="682"/>
      <c r="J54" s="683"/>
      <c r="M54" s="707"/>
    </row>
    <row r="55" ht="18" customHeight="1">
      <c r="A55" s="710">
        <v>3</v>
      </c>
      <c r="B55" s="680" t="s">
        <v>897</v>
      </c>
      <c r="C55" s="681" t="s">
        <v>0</v>
      </c>
      <c r="D55" s="1097"/>
      <c r="E55" s="1098"/>
      <c r="F55" s="682"/>
      <c r="G55" s="682"/>
      <c r="H55" s="682"/>
      <c r="I55" s="682"/>
      <c r="J55" s="683"/>
      <c r="M55" s="707" t="s">
        <v>79</v>
      </c>
    </row>
    <row r="56" ht="18" customHeight="1">
      <c r="A56" s="710">
        <v>4</v>
      </c>
      <c r="B56" s="680" t="s">
        <v>887</v>
      </c>
      <c r="C56" s="681" t="s">
        <v>0</v>
      </c>
      <c r="D56" s="715"/>
      <c r="E56" s="716" t="s">
        <v>3</v>
      </c>
      <c r="F56" s="713"/>
      <c r="G56" s="714"/>
      <c r="H56" s="682"/>
      <c r="I56" s="682"/>
      <c r="J56" s="683"/>
      <c r="M56" s="707" t="s">
        <v>80</v>
      </c>
    </row>
    <row r="57" ht="25.5" customHeight="1">
      <c r="A57" s="710">
        <v>5</v>
      </c>
      <c r="B57" s="712">
        <f>"Penawaran Setara "&amp;'[4]Usulan Pembiayaan'!AD20&amp;"/Bulan"</f>
      </c>
      <c r="C57" s="681" t="s">
        <v>0</v>
      </c>
      <c r="D57" s="727"/>
      <c r="E57" s="728"/>
      <c r="F57" s="713"/>
      <c r="G57" s="714"/>
      <c r="H57" s="682"/>
      <c r="I57" s="682"/>
      <c r="J57" s="683"/>
      <c r="M57" s="707"/>
    </row>
    <row r="58" ht="18" customHeight="1">
      <c r="A58" s="710">
        <v>6</v>
      </c>
      <c r="B58" s="680" t="s">
        <v>843</v>
      </c>
      <c r="C58" s="681" t="s">
        <v>0</v>
      </c>
      <c r="D58" s="1104"/>
      <c r="E58" s="1105"/>
      <c r="F58" s="717"/>
      <c r="G58" s="717"/>
      <c r="H58" s="682"/>
      <c r="I58" s="682"/>
      <c r="J58" s="683"/>
      <c r="M58" s="707" t="s">
        <v>81</v>
      </c>
    </row>
    <row r="59" ht="18" customHeight="1">
      <c r="A59" s="710">
        <v>7</v>
      </c>
      <c r="B59" s="680" t="s">
        <v>656</v>
      </c>
      <c r="C59" s="681" t="s">
        <v>0</v>
      </c>
      <c r="D59" s="1099"/>
      <c r="E59" s="1100"/>
      <c r="F59" s="717"/>
      <c r="G59" s="717"/>
      <c r="H59" s="682"/>
      <c r="I59" s="682"/>
      <c r="J59" s="683"/>
      <c r="M59" s="707"/>
    </row>
    <row r="60" ht="17.25" customHeight="1">
      <c r="A60" s="710">
        <v>8</v>
      </c>
      <c r="B60" s="680" t="s">
        <v>657</v>
      </c>
      <c r="C60" s="681" t="s">
        <v>0</v>
      </c>
      <c r="D60" s="1056"/>
      <c r="E60" s="1057"/>
      <c r="F60" s="682"/>
      <c r="G60" s="682"/>
      <c r="H60" s="682"/>
      <c r="I60" s="682"/>
      <c r="J60" s="683"/>
    </row>
    <row r="61" ht="18.75" customHeight="1">
      <c r="A61" s="710">
        <v>9</v>
      </c>
      <c r="B61" s="680" t="s">
        <v>901</v>
      </c>
      <c r="C61" s="681" t="s">
        <v>0</v>
      </c>
      <c r="D61" s="1095"/>
      <c r="E61" s="1096"/>
      <c r="F61" s="682"/>
      <c r="G61" s="682"/>
      <c r="H61" s="682"/>
      <c r="I61" s="682"/>
      <c r="J61" s="683"/>
    </row>
    <row r="62" ht="18.75" customHeight="1">
      <c r="A62" s="710">
        <v>10</v>
      </c>
      <c r="B62" s="680" t="s">
        <v>667</v>
      </c>
      <c r="C62" s="681" t="s">
        <v>0</v>
      </c>
      <c r="D62" s="1095"/>
      <c r="E62" s="1096"/>
      <c r="F62" s="682"/>
      <c r="G62" s="682"/>
      <c r="H62" s="682"/>
      <c r="I62" s="682"/>
      <c r="J62" s="683"/>
    </row>
    <row r="63" spans="1:13" ht="15.75" customHeight="1">
      <c r="A63" s="688"/>
      <c r="B63" s="682"/>
      <c r="C63" s="682"/>
      <c r="D63" s="1090"/>
      <c r="E63" s="1090"/>
      <c r="F63" s="1090"/>
      <c r="G63" s="682"/>
      <c r="H63" s="1093" t="s">
        <v>559</v>
      </c>
      <c r="I63" s="1093"/>
      <c r="J63" s="1094"/>
    </row>
    <row r="64" spans="1:13">
      <c r="A64" s="688"/>
      <c r="B64" s="682"/>
      <c r="C64" s="682"/>
      <c r="D64" s="718"/>
      <c r="E64" s="718"/>
      <c r="F64" s="682"/>
      <c r="G64" s="682"/>
      <c r="H64" s="682"/>
      <c r="I64" s="682"/>
      <c r="J64" s="683"/>
    </row>
    <row r="65" spans="1:10">
      <c r="A65" s="688"/>
      <c r="B65" s="682"/>
      <c r="C65" s="682"/>
      <c r="D65" s="718"/>
      <c r="E65" s="718"/>
      <c r="F65" s="682"/>
      <c r="G65" s="682"/>
      <c r="H65" s="719"/>
      <c r="I65" s="719"/>
      <c r="J65" s="683"/>
    </row>
    <row r="66" spans="1:10">
      <c r="A66" s="688"/>
      <c r="B66" s="682"/>
      <c r="C66" s="682"/>
      <c r="D66" s="1091"/>
      <c r="E66" s="1091"/>
      <c r="F66" s="1091"/>
      <c r="G66" s="682"/>
      <c r="H66" s="1086">
        <f>D5</f>
      </c>
      <c r="I66" s="1086"/>
      <c r="J66" s="1087"/>
    </row>
    <row r="67" spans="1:10" ht="23.1" customHeight="1" thickBot="1">
      <c r="A67" s="720"/>
      <c r="B67" s="721"/>
      <c r="C67" s="721"/>
      <c r="D67" s="1092"/>
      <c r="E67" s="1092"/>
      <c r="F67" s="1092"/>
      <c r="G67" s="721"/>
      <c r="H67" s="1088" t="s">
        <v>506</v>
      </c>
      <c r="I67" s="1088"/>
      <c r="J67" s="1089"/>
    </row>
    <row r="69" spans="1:10" ht="18">
      <c r="B69" s="723" t="s">
        <v>669</v>
      </c>
    </row>
    <row r="70" spans="1:10">
      <c r="B70" s="724" t="s">
        <v>885</v>
      </c>
    </row>
    <row r="71" spans="1:10">
      <c r="B71" s="724" t="s">
        <v>884</v>
      </c>
    </row>
    <row r="72" spans="1:10">
      <c r="B72" s="724" t="s">
        <v>886</v>
      </c>
    </row>
    <row r="73" spans="1:10">
      <c r="B73" s="724" t="s">
        <v>670</v>
      </c>
    </row>
    <row r="74" spans="1:10">
      <c r="B74" s="724" t="s">
        <v>671</v>
      </c>
    </row>
    <row r="299">
      <c r="C299" s="725"/>
      <c r="M299" s="726"/>
    </row>
    <row r="300">
      <c r="C300" s="725"/>
      <c r="M300" s="726"/>
    </row>
    <row r="301">
      <c r="C301" s="725"/>
      <c r="M301" s="726"/>
    </row>
    <row r="302">
      <c r="C302" s="725"/>
      <c r="M302" s="726"/>
    </row>
    <row r="303">
      <c r="C303" s="725"/>
      <c r="M303" s="678"/>
    </row>
    <row r="304">
      <c r="C304" s="725"/>
      <c r="M304" s="726"/>
    </row>
    <row r="305">
      <c r="C305" s="725"/>
      <c r="M305" s="726"/>
    </row>
    <row r="306">
      <c r="C306" s="725"/>
      <c r="M306" s="726"/>
    </row>
    <row r="307">
      <c r="C307" s="725"/>
      <c r="M307" s="726"/>
    </row>
    <row r="308">
      <c r="C308" s="725"/>
      <c r="M308" s="726"/>
    </row>
    <row r="309">
      <c r="C309" s="725"/>
      <c r="M309" s="726"/>
    </row>
    <row r="310">
      <c r="C310" s="725"/>
      <c r="M310" s="726"/>
    </row>
    <row r="349" spans="13:13">
      <c r="M349" s="678" t="s">
        <v>519</v>
      </c>
    </row>
    <row r="350" spans="13:13">
      <c r="M350" s="678" t="s">
        <v>520</v>
      </c>
    </row>
    <row r="351" spans="13:13">
      <c r="M351" s="678" t="s">
        <v>521</v>
      </c>
    </row>
    <row r="352" spans="13:13">
      <c r="M352" s="678" t="s">
        <v>522</v>
      </c>
    </row>
    <row r="353" spans="13:13">
      <c r="M353" s="678" t="s">
        <v>523</v>
      </c>
    </row>
    <row r="354" spans="13:13">
      <c r="M354" s="678" t="s">
        <v>524</v>
      </c>
    </row>
    <row r="355" spans="13:13">
      <c r="M355" s="678" t="s">
        <v>525</v>
      </c>
    </row>
    <row r="356" spans="13:13">
      <c r="M356" s="678" t="s">
        <v>518</v>
      </c>
    </row>
    <row r="357" spans="13:13">
      <c r="M357" s="678" t="s">
        <v>526</v>
      </c>
    </row>
    <row r="358" spans="13:13">
      <c r="M358" s="678" t="s">
        <v>528</v>
      </c>
    </row>
    <row r="359" spans="13:13">
      <c r="M359" s="678" t="s">
        <v>527</v>
      </c>
    </row>
    <row r="399" spans="13:13">
      <c r="M399" s="678" t="s">
        <v>530</v>
      </c>
    </row>
    <row r="400" spans="13:13">
      <c r="M400" s="678" t="s">
        <v>531</v>
      </c>
    </row>
    <row r="401" spans="13:13">
      <c r="M401" s="678" t="s">
        <v>532</v>
      </c>
    </row>
  </sheetData>
  <dataConsolidate topLabels="1">
    <dataRefs count="2">
      <dataRef ref="K11:K12" sheet="Informasi Pokok"/>
      <dataRef ref="E6:E9" sheet="Parameter"/>
    </dataRefs>
  </dataConsolidate>
  <mergeCells count="62">
    <mergeCell ref="C41:C42"/>
    <mergeCell ref="D43:G43"/>
    <mergeCell ref="D58:E58"/>
    <mergeCell ref="A51:J51"/>
    <mergeCell ref="A46:J46"/>
    <mergeCell ref="D48:H48"/>
    <mergeCell ref="D49:H49"/>
    <mergeCell ref="D11:J11"/>
    <mergeCell ref="D15:J16"/>
    <mergeCell ref="D12:E12"/>
    <mergeCell ref="H66:J66"/>
    <mergeCell ref="H67:J67"/>
    <mergeCell ref="D63:F63"/>
    <mergeCell ref="D66:F66"/>
    <mergeCell ref="D67:F67"/>
    <mergeCell ref="H63:J63"/>
    <mergeCell ref="D61:E61"/>
    <mergeCell ref="D55:E55"/>
    <mergeCell ref="D59:E59"/>
    <mergeCell ref="D62:E62"/>
    <mergeCell ref="D33:G33"/>
    <mergeCell ref="D54:E54"/>
    <mergeCell ref="D38:J38"/>
    <mergeCell ref="D2:G2"/>
    <mergeCell ref="D5:G5"/>
    <mergeCell ref="D6:G6"/>
    <mergeCell ref="A8:J8"/>
    <mergeCell ref="D10:E10"/>
    <mergeCell ref="F10:G10"/>
    <mergeCell ref="H10:J10"/>
    <mergeCell ref="A1:J1"/>
    <mergeCell ref="D60:E60"/>
    <mergeCell ref="I14:J14"/>
    <mergeCell ref="D19:J19"/>
    <mergeCell ref="D20:G20"/>
    <mergeCell ref="D22:G22"/>
    <mergeCell ref="D36:J36"/>
    <mergeCell ref="D24:G24"/>
    <mergeCell ref="D25:G25"/>
    <mergeCell ref="D34:G34"/>
    <mergeCell ref="D35:J35"/>
    <mergeCell ref="D29:G29"/>
    <mergeCell ref="I18:J18"/>
    <mergeCell ref="D13:F13"/>
    <mergeCell ref="G13:H13"/>
    <mergeCell ref="I13:J13"/>
    <mergeCell ref="D32:G32"/>
    <mergeCell ref="D27:G27"/>
    <mergeCell ref="D14:F14"/>
    <mergeCell ref="G14:H14"/>
    <mergeCell ref="D41:J42"/>
    <mergeCell ref="D37:J37"/>
    <mergeCell ref="D26:G26"/>
    <mergeCell ref="D30:G30"/>
    <mergeCell ref="D31:G31"/>
    <mergeCell ref="F17:G17"/>
    <mergeCell ref="I17:J17"/>
    <mergeCell ref="F18:G18"/>
    <mergeCell ref="D23:G23"/>
    <mergeCell ref="D21:G21"/>
    <mergeCell ref="D39:J39"/>
    <mergeCell ref="D40:J40"/>
  </mergeCells>
  <conditionalFormatting sqref="F10:G10">
    <cfRule type="expression" dxfId="2" priority="1">
      <formula>$F$10="Nama :"</formula>
    </cfRule>
  </conditionalFormatting>
  <dataValidations xWindow="761" yWindow="541" count="43">
    <dataValidation type="list" allowBlank="1" showInputMessage="1" showErrorMessage="1" promptTitle="Tujuan Penggunaan" prompt="Diisi Tujuan Penggunaan dari Fasilitas Kredit yang dimohonkan." sqref="IY65593:JC65593 SU65593:SY65593 ACQ65593:ACU65593 AMM65593:AMQ65593 AWI65593:AWM65593 BGE65593:BGI65593 BQA65593:BQE65593 BZW65593:CAA65593 CJS65593:CJW65593 CTO65593:CTS65593 DDK65593:DDO65593 DNG65593:DNK65593 DXC65593:DXG65593 EGY65593:EHC65593 EQU65593:EQY65593 FAQ65593:FAU65593 FKM65593:FKQ65593 FUI65593:FUM65593 GEE65593:GEI65593 GOA65593:GOE65593 GXW65593:GYA65593 HHS65593:HHW65593 HRO65593:HRS65593 IBK65593:IBO65593 ILG65593:ILK65593 IVC65593:IVG65593 JEY65593:JFC65593 JOU65593:JOY65593 JYQ65593:JYU65593 KIM65593:KIQ65593 KSI65593:KSM65593 LCE65593:LCI65593 LMA65593:LME65593 LVW65593:LWA65593 MFS65593:MFW65593 MPO65593:MPS65593 MZK65593:MZO65593 NJG65593:NJK65593 NTC65593:NTG65593 OCY65593:ODC65593 OMU65593:OMY65593 OWQ65593:OWU65593 PGM65593:PGQ65593 PQI65593:PQM65593 QAE65593:QAI65593 QKA65593:QKE65593 QTW65593:QUA65593 RDS65593:RDW65593 RNO65593:RNS65593 RXK65593:RXO65593 SHG65593:SHK65593 SRC65593:SRG65593 TAY65593:TBC65593 TKU65593:TKY65593 TUQ65593:TUU65593 UEM65593:UEQ65593 UOI65593:UOM65593 UYE65593:UYI65593 VIA65593:VIE65593 VRW65593:VSA65593 WBS65593:WBW65593 WLO65593:WLS65593 WVK65593:WVO65593 IY131129:JC131129 SU131129:SY131129 ACQ131129:ACU131129 AMM131129:AMQ131129 AWI131129:AWM131129 BGE131129:BGI131129 BQA131129:BQE131129 BZW131129:CAA131129 CJS131129:CJW131129 CTO131129:CTS131129 DDK131129:DDO131129 DNG131129:DNK131129 DXC131129:DXG131129 EGY131129:EHC131129 EQU131129:EQY131129 FAQ131129:FAU131129 FKM131129:FKQ131129 FUI131129:FUM131129 GEE131129:GEI131129 GOA131129:GOE131129 GXW131129:GYA131129 HHS131129:HHW131129 HRO131129:HRS131129 IBK131129:IBO131129 ILG131129:ILK131129 IVC131129:IVG131129 JEY131129:JFC131129 JOU131129:JOY131129 JYQ131129:JYU131129 KIM131129:KIQ131129 KSI131129:KSM131129 LCE131129:LCI131129 LMA131129:LME131129 LVW131129:LWA131129 MFS131129:MFW131129 MPO131129:MPS131129 MZK131129:MZO131129 NJG131129:NJK131129 NTC131129:NTG131129 OCY131129:ODC131129 OMU131129:OMY131129 OWQ131129:OWU131129 PGM131129:PGQ131129 PQI131129:PQM131129 QAE131129:QAI131129 QKA131129:QKE131129 QTW131129:QUA131129 RDS131129:RDW131129 RNO131129:RNS131129 RXK131129:RXO131129 SHG131129:SHK131129 SRC131129:SRG131129 TAY131129:TBC131129 TKU131129:TKY131129 TUQ131129:TUU131129 UEM131129:UEQ131129 UOI131129:UOM131129 UYE131129:UYI131129 VIA131129:VIE131129 VRW131129:VSA131129 WBS131129:WBW131129 WLO131129:WLS131129 WVK131129:WVO131129 IY196665:JC196665 SU196665:SY196665 ACQ196665:ACU196665 AMM196665:AMQ196665 AWI196665:AWM196665 BGE196665:BGI196665 BQA196665:BQE196665 BZW196665:CAA196665 CJS196665:CJW196665 CTO196665:CTS196665 DDK196665:DDO196665 DNG196665:DNK196665 DXC196665:DXG196665 EGY196665:EHC196665 EQU196665:EQY196665 FAQ196665:FAU196665 FKM196665:FKQ196665 FUI196665:FUM196665 GEE196665:GEI196665 GOA196665:GOE196665 GXW196665:GYA196665 HHS196665:HHW196665 HRO196665:HRS196665 IBK196665:IBO196665 ILG196665:ILK196665 IVC196665:IVG196665 JEY196665:JFC196665 JOU196665:JOY196665 JYQ196665:JYU196665 KIM196665:KIQ196665 KSI196665:KSM196665 LCE196665:LCI196665 LMA196665:LME196665 LVW196665:LWA196665 MFS196665:MFW196665 MPO196665:MPS196665 MZK196665:MZO196665 NJG196665:NJK196665 NTC196665:NTG196665 OCY196665:ODC196665 OMU196665:OMY196665 OWQ196665:OWU196665 PGM196665:PGQ196665 PQI196665:PQM196665 QAE196665:QAI196665 QKA196665:QKE196665 QTW196665:QUA196665 RDS196665:RDW196665 RNO196665:RNS196665 RXK196665:RXO196665 SHG196665:SHK196665 SRC196665:SRG196665 TAY196665:TBC196665 TKU196665:TKY196665 TUQ196665:TUU196665 UEM196665:UEQ196665 UOI196665:UOM196665 UYE196665:UYI196665 VIA196665:VIE196665 VRW196665:VSA196665 WBS196665:WBW196665 WLO196665:WLS196665 WVK196665:WVO196665 IY262201:JC262201 SU262201:SY262201 ACQ262201:ACU262201 AMM262201:AMQ262201 AWI262201:AWM262201 BGE262201:BGI262201 BQA262201:BQE262201 BZW262201:CAA262201 CJS262201:CJW262201 CTO262201:CTS262201 DDK262201:DDO262201 DNG262201:DNK262201 DXC262201:DXG262201 EGY262201:EHC262201 EQU262201:EQY262201 FAQ262201:FAU262201 FKM262201:FKQ262201 FUI262201:FUM262201 GEE262201:GEI262201 GOA262201:GOE262201 GXW262201:GYA262201 HHS262201:HHW262201 HRO262201:HRS262201 IBK262201:IBO262201 ILG262201:ILK262201 IVC262201:IVG262201 JEY262201:JFC262201 JOU262201:JOY262201 JYQ262201:JYU262201 KIM262201:KIQ262201 KSI262201:KSM262201 LCE262201:LCI262201 LMA262201:LME262201 LVW262201:LWA262201 MFS262201:MFW262201 MPO262201:MPS262201 MZK262201:MZO262201 NJG262201:NJK262201 NTC262201:NTG262201 OCY262201:ODC262201 OMU262201:OMY262201 OWQ262201:OWU262201 PGM262201:PGQ262201 PQI262201:PQM262201 QAE262201:QAI262201 QKA262201:QKE262201 QTW262201:QUA262201 RDS262201:RDW262201 RNO262201:RNS262201 RXK262201:RXO262201 SHG262201:SHK262201 SRC262201:SRG262201 TAY262201:TBC262201 TKU262201:TKY262201 TUQ262201:TUU262201 UEM262201:UEQ262201 UOI262201:UOM262201 UYE262201:UYI262201 VIA262201:VIE262201 VRW262201:VSA262201 WBS262201:WBW262201 WLO262201:WLS262201 WVK262201:WVO262201 IY327737:JC327737 SU327737:SY327737 ACQ327737:ACU327737 AMM327737:AMQ327737 AWI327737:AWM327737 BGE327737:BGI327737 BQA327737:BQE327737 BZW327737:CAA327737 CJS327737:CJW327737 CTO327737:CTS327737 DDK327737:DDO327737 DNG327737:DNK327737 DXC327737:DXG327737 EGY327737:EHC327737 EQU327737:EQY327737 FAQ327737:FAU327737 FKM327737:FKQ327737 FUI327737:FUM327737 GEE327737:GEI327737 GOA327737:GOE327737 GXW327737:GYA327737 HHS327737:HHW327737 HRO327737:HRS327737 IBK327737:IBO327737 ILG327737:ILK327737 IVC327737:IVG327737 JEY327737:JFC327737 JOU327737:JOY327737 JYQ327737:JYU327737 KIM327737:KIQ327737 KSI327737:KSM327737 LCE327737:LCI327737 LMA327737:LME327737 LVW327737:LWA327737 MFS327737:MFW327737 MPO327737:MPS327737 MZK327737:MZO327737 NJG327737:NJK327737 NTC327737:NTG327737 OCY327737:ODC327737 OMU327737:OMY327737 OWQ327737:OWU327737 PGM327737:PGQ327737 PQI327737:PQM327737 QAE327737:QAI327737 QKA327737:QKE327737 QTW327737:QUA327737 RDS327737:RDW327737 RNO327737:RNS327737 RXK327737:RXO327737 SHG327737:SHK327737 SRC327737:SRG327737 TAY327737:TBC327737 TKU327737:TKY327737 TUQ327737:TUU327737 UEM327737:UEQ327737 UOI327737:UOM327737 UYE327737:UYI327737 VIA327737:VIE327737 VRW327737:VSA327737 WBS327737:WBW327737 WLO327737:WLS327737 WVK327737:WVO327737 IY393273:JC393273 SU393273:SY393273 ACQ393273:ACU393273 AMM393273:AMQ393273 AWI393273:AWM393273 BGE393273:BGI393273 BQA393273:BQE393273 BZW393273:CAA393273 CJS393273:CJW393273 CTO393273:CTS393273 DDK393273:DDO393273 DNG393273:DNK393273 DXC393273:DXG393273 EGY393273:EHC393273 EQU393273:EQY393273 FAQ393273:FAU393273 FKM393273:FKQ393273 FUI393273:FUM393273 GEE393273:GEI393273 GOA393273:GOE393273 GXW393273:GYA393273 HHS393273:HHW393273 HRO393273:HRS393273 IBK393273:IBO393273 ILG393273:ILK393273 IVC393273:IVG393273 JEY393273:JFC393273 JOU393273:JOY393273 JYQ393273:JYU393273 KIM393273:KIQ393273 KSI393273:KSM393273 LCE393273:LCI393273 LMA393273:LME393273 LVW393273:LWA393273 MFS393273:MFW393273 MPO393273:MPS393273 MZK393273:MZO393273 NJG393273:NJK393273 NTC393273:NTG393273 OCY393273:ODC393273 OMU393273:OMY393273 OWQ393273:OWU393273 PGM393273:PGQ393273 PQI393273:PQM393273 QAE393273:QAI393273 QKA393273:QKE393273 QTW393273:QUA393273 RDS393273:RDW393273 RNO393273:RNS393273 RXK393273:RXO393273 SHG393273:SHK393273 SRC393273:SRG393273 TAY393273:TBC393273 TKU393273:TKY393273 TUQ393273:TUU393273 UEM393273:UEQ393273 UOI393273:UOM393273 UYE393273:UYI393273 VIA393273:VIE393273 VRW393273:VSA393273 WBS393273:WBW393273 WLO393273:WLS393273 WVK393273:WVO393273 IY458809:JC458809 SU458809:SY458809 ACQ458809:ACU458809 AMM458809:AMQ458809 AWI458809:AWM458809 BGE458809:BGI458809 BQA458809:BQE458809 BZW458809:CAA458809 CJS458809:CJW458809 CTO458809:CTS458809 DDK458809:DDO458809 DNG458809:DNK458809 DXC458809:DXG458809 EGY458809:EHC458809 EQU458809:EQY458809 FAQ458809:FAU458809 FKM458809:FKQ458809 FUI458809:FUM458809 GEE458809:GEI458809 GOA458809:GOE458809 GXW458809:GYA458809 HHS458809:HHW458809 HRO458809:HRS458809 IBK458809:IBO458809 ILG458809:ILK458809 IVC458809:IVG458809 JEY458809:JFC458809 JOU458809:JOY458809 JYQ458809:JYU458809 KIM458809:KIQ458809 KSI458809:KSM458809 LCE458809:LCI458809 LMA458809:LME458809 LVW458809:LWA458809 MFS458809:MFW458809 MPO458809:MPS458809 MZK458809:MZO458809 NJG458809:NJK458809 NTC458809:NTG458809 OCY458809:ODC458809 OMU458809:OMY458809 OWQ458809:OWU458809 PGM458809:PGQ458809 PQI458809:PQM458809 QAE458809:QAI458809 QKA458809:QKE458809 QTW458809:QUA458809 RDS458809:RDW458809 RNO458809:RNS458809 RXK458809:RXO458809 SHG458809:SHK458809 SRC458809:SRG458809 TAY458809:TBC458809 TKU458809:TKY458809 TUQ458809:TUU458809 UEM458809:UEQ458809 UOI458809:UOM458809 UYE458809:UYI458809 VIA458809:VIE458809 VRW458809:VSA458809 WBS458809:WBW458809 WLO458809:WLS458809 WVK458809:WVO458809 IY524345:JC524345 SU524345:SY524345 ACQ524345:ACU524345 AMM524345:AMQ524345 AWI524345:AWM524345 BGE524345:BGI524345 BQA524345:BQE524345 BZW524345:CAA524345 CJS524345:CJW524345 CTO524345:CTS524345 DDK524345:DDO524345 DNG524345:DNK524345 DXC524345:DXG524345 EGY524345:EHC524345 EQU524345:EQY524345 FAQ524345:FAU524345 FKM524345:FKQ524345 FUI524345:FUM524345 GEE524345:GEI524345 GOA524345:GOE524345 GXW524345:GYA524345 HHS524345:HHW524345 HRO524345:HRS524345 IBK524345:IBO524345 ILG524345:ILK524345 IVC524345:IVG524345 JEY524345:JFC524345 JOU524345:JOY524345 JYQ524345:JYU524345 KIM524345:KIQ524345 KSI524345:KSM524345 LCE524345:LCI524345 LMA524345:LME524345 LVW524345:LWA524345 MFS524345:MFW524345 MPO524345:MPS524345 MZK524345:MZO524345 NJG524345:NJK524345 NTC524345:NTG524345 OCY524345:ODC524345 OMU524345:OMY524345 OWQ524345:OWU524345 PGM524345:PGQ524345 PQI524345:PQM524345 QAE524345:QAI524345 QKA524345:QKE524345 QTW524345:QUA524345 RDS524345:RDW524345 RNO524345:RNS524345 RXK524345:RXO524345 SHG524345:SHK524345 SRC524345:SRG524345 TAY524345:TBC524345 TKU524345:TKY524345 TUQ524345:TUU524345 UEM524345:UEQ524345 UOI524345:UOM524345 UYE524345:UYI524345 VIA524345:VIE524345 VRW524345:VSA524345 WBS524345:WBW524345 WLO524345:WLS524345 WVK524345:WVO524345 IY589881:JC589881 SU589881:SY589881 ACQ589881:ACU589881 AMM589881:AMQ589881 AWI589881:AWM589881 BGE589881:BGI589881 BQA589881:BQE589881 BZW589881:CAA589881 CJS589881:CJW589881 CTO589881:CTS589881 DDK589881:DDO589881 DNG589881:DNK589881 DXC589881:DXG589881 EGY589881:EHC589881 EQU589881:EQY589881 FAQ589881:FAU589881 FKM589881:FKQ589881 FUI589881:FUM589881 GEE589881:GEI589881 GOA589881:GOE589881 GXW589881:GYA589881 HHS589881:HHW589881 HRO589881:HRS589881 IBK589881:IBO589881 ILG589881:ILK589881 IVC589881:IVG589881 JEY589881:JFC589881 JOU589881:JOY589881 JYQ589881:JYU589881 KIM589881:KIQ589881 KSI589881:KSM589881 LCE589881:LCI589881 LMA589881:LME589881 LVW589881:LWA589881 MFS589881:MFW589881 MPO589881:MPS589881 MZK589881:MZO589881 NJG589881:NJK589881 NTC589881:NTG589881 OCY589881:ODC589881 OMU589881:OMY589881 OWQ589881:OWU589881 PGM589881:PGQ589881 PQI589881:PQM589881 QAE589881:QAI589881 QKA589881:QKE589881 QTW589881:QUA589881 RDS589881:RDW589881 RNO589881:RNS589881 RXK589881:RXO589881 SHG589881:SHK589881 SRC589881:SRG589881 TAY589881:TBC589881 TKU589881:TKY589881 TUQ589881:TUU589881 UEM589881:UEQ589881 UOI589881:UOM589881 UYE589881:UYI589881 VIA589881:VIE589881 VRW589881:VSA589881 WBS589881:WBW589881 WLO589881:WLS589881 WVK589881:WVO589881 IY655417:JC655417 SU655417:SY655417 ACQ655417:ACU655417 AMM655417:AMQ655417 AWI655417:AWM655417 BGE655417:BGI655417 BQA655417:BQE655417 BZW655417:CAA655417 CJS655417:CJW655417 CTO655417:CTS655417 DDK655417:DDO655417 DNG655417:DNK655417 DXC655417:DXG655417 EGY655417:EHC655417 EQU655417:EQY655417 FAQ655417:FAU655417 FKM655417:FKQ655417 FUI655417:FUM655417 GEE655417:GEI655417 GOA655417:GOE655417 GXW655417:GYA655417 HHS655417:HHW655417 HRO655417:HRS655417 IBK655417:IBO655417 ILG655417:ILK655417 IVC655417:IVG655417 JEY655417:JFC655417 JOU655417:JOY655417 JYQ655417:JYU655417 KIM655417:KIQ655417 KSI655417:KSM655417 LCE655417:LCI655417 LMA655417:LME655417 LVW655417:LWA655417 MFS655417:MFW655417 MPO655417:MPS655417 MZK655417:MZO655417 NJG655417:NJK655417 NTC655417:NTG655417 OCY655417:ODC655417 OMU655417:OMY655417 OWQ655417:OWU655417 PGM655417:PGQ655417 PQI655417:PQM655417 QAE655417:QAI655417 QKA655417:QKE655417 QTW655417:QUA655417 RDS655417:RDW655417 RNO655417:RNS655417 RXK655417:RXO655417 SHG655417:SHK655417 SRC655417:SRG655417 TAY655417:TBC655417 TKU655417:TKY655417 TUQ655417:TUU655417 UEM655417:UEQ655417 UOI655417:UOM655417 UYE655417:UYI655417 VIA655417:VIE655417 VRW655417:VSA655417 WBS655417:WBW655417 WLO655417:WLS655417 WVK655417:WVO655417 IY720953:JC720953 SU720953:SY720953 ACQ720953:ACU720953 AMM720953:AMQ720953 AWI720953:AWM720953 BGE720953:BGI720953 BQA720953:BQE720953 BZW720953:CAA720953 CJS720953:CJW720953 CTO720953:CTS720953 DDK720953:DDO720953 DNG720953:DNK720953 DXC720953:DXG720953 EGY720953:EHC720953 EQU720953:EQY720953 FAQ720953:FAU720953 FKM720953:FKQ720953 FUI720953:FUM720953 GEE720953:GEI720953 GOA720953:GOE720953 GXW720953:GYA720953 HHS720953:HHW720953 HRO720953:HRS720953 IBK720953:IBO720953 ILG720953:ILK720953 IVC720953:IVG720953 JEY720953:JFC720953 JOU720953:JOY720953 JYQ720953:JYU720953 KIM720953:KIQ720953 KSI720953:KSM720953 LCE720953:LCI720953 LMA720953:LME720953 LVW720953:LWA720953 MFS720953:MFW720953 MPO720953:MPS720953 MZK720953:MZO720953 NJG720953:NJK720953 NTC720953:NTG720953 OCY720953:ODC720953 OMU720953:OMY720953 OWQ720953:OWU720953 PGM720953:PGQ720953 PQI720953:PQM720953 QAE720953:QAI720953 QKA720953:QKE720953 QTW720953:QUA720953 RDS720953:RDW720953 RNO720953:RNS720953 RXK720953:RXO720953 SHG720953:SHK720953 SRC720953:SRG720953 TAY720953:TBC720953 TKU720953:TKY720953 TUQ720953:TUU720953 UEM720953:UEQ720953 UOI720953:UOM720953 UYE720953:UYI720953 VIA720953:VIE720953 VRW720953:VSA720953 WBS720953:WBW720953 WLO720953:WLS720953 WVK720953:WVO720953 IY786489:JC786489 SU786489:SY786489 ACQ786489:ACU786489 AMM786489:AMQ786489 AWI786489:AWM786489 BGE786489:BGI786489 BQA786489:BQE786489 BZW786489:CAA786489 CJS786489:CJW786489 CTO786489:CTS786489 DDK786489:DDO786489 DNG786489:DNK786489 DXC786489:DXG786489 EGY786489:EHC786489 EQU786489:EQY786489 FAQ786489:FAU786489 FKM786489:FKQ786489 FUI786489:FUM786489 GEE786489:GEI786489 GOA786489:GOE786489 GXW786489:GYA786489 HHS786489:HHW786489 HRO786489:HRS786489 IBK786489:IBO786489 ILG786489:ILK786489 IVC786489:IVG786489 JEY786489:JFC786489 JOU786489:JOY786489 JYQ786489:JYU786489 KIM786489:KIQ786489 KSI786489:KSM786489 LCE786489:LCI786489 LMA786489:LME786489 LVW786489:LWA786489 MFS786489:MFW786489 MPO786489:MPS786489 MZK786489:MZO786489 NJG786489:NJK786489 NTC786489:NTG786489 OCY786489:ODC786489 OMU786489:OMY786489 OWQ786489:OWU786489 PGM786489:PGQ786489 PQI786489:PQM786489 QAE786489:QAI786489 QKA786489:QKE786489 QTW786489:QUA786489 RDS786489:RDW786489 RNO786489:RNS786489 RXK786489:RXO786489 SHG786489:SHK786489 SRC786489:SRG786489 TAY786489:TBC786489 TKU786489:TKY786489 TUQ786489:TUU786489 UEM786489:UEQ786489 UOI786489:UOM786489 UYE786489:UYI786489 VIA786489:VIE786489 VRW786489:VSA786489 WBS786489:WBW786489 WLO786489:WLS786489 WVK786489:WVO786489 IY852025:JC852025 SU852025:SY852025 ACQ852025:ACU852025 AMM852025:AMQ852025 AWI852025:AWM852025 BGE852025:BGI852025 BQA852025:BQE852025 BZW852025:CAA852025 CJS852025:CJW852025 CTO852025:CTS852025 DDK852025:DDO852025 DNG852025:DNK852025 DXC852025:DXG852025 EGY852025:EHC852025 EQU852025:EQY852025 FAQ852025:FAU852025 FKM852025:FKQ852025 FUI852025:FUM852025 GEE852025:GEI852025 GOA852025:GOE852025 GXW852025:GYA852025 HHS852025:HHW852025 HRO852025:HRS852025 IBK852025:IBO852025 ILG852025:ILK852025 IVC852025:IVG852025 JEY852025:JFC852025 JOU852025:JOY852025 JYQ852025:JYU852025 KIM852025:KIQ852025 KSI852025:KSM852025 LCE852025:LCI852025 LMA852025:LME852025 LVW852025:LWA852025 MFS852025:MFW852025 MPO852025:MPS852025 MZK852025:MZO852025 NJG852025:NJK852025 NTC852025:NTG852025 OCY852025:ODC852025 OMU852025:OMY852025 OWQ852025:OWU852025 PGM852025:PGQ852025 PQI852025:PQM852025 QAE852025:QAI852025 QKA852025:QKE852025 QTW852025:QUA852025 RDS852025:RDW852025 RNO852025:RNS852025 RXK852025:RXO852025 SHG852025:SHK852025 SRC852025:SRG852025 TAY852025:TBC852025 TKU852025:TKY852025 TUQ852025:TUU852025 UEM852025:UEQ852025 UOI852025:UOM852025 UYE852025:UYI852025 VIA852025:VIE852025 VRW852025:VSA852025 WBS852025:WBW852025 WLO852025:WLS852025 WVK852025:WVO852025 IY917561:JC917561 SU917561:SY917561 ACQ917561:ACU917561 AMM917561:AMQ917561 AWI917561:AWM917561 BGE917561:BGI917561 BQA917561:BQE917561 BZW917561:CAA917561 CJS917561:CJW917561 CTO917561:CTS917561 DDK917561:DDO917561 DNG917561:DNK917561 DXC917561:DXG917561 EGY917561:EHC917561 EQU917561:EQY917561 FAQ917561:FAU917561 FKM917561:FKQ917561 FUI917561:FUM917561 GEE917561:GEI917561 GOA917561:GOE917561 GXW917561:GYA917561 HHS917561:HHW917561 HRO917561:HRS917561 IBK917561:IBO917561 ILG917561:ILK917561 IVC917561:IVG917561 JEY917561:JFC917561 JOU917561:JOY917561 JYQ917561:JYU917561 KIM917561:KIQ917561 KSI917561:KSM917561 LCE917561:LCI917561 LMA917561:LME917561 LVW917561:LWA917561 MFS917561:MFW917561 MPO917561:MPS917561 MZK917561:MZO917561 NJG917561:NJK917561 NTC917561:NTG917561 OCY917561:ODC917561 OMU917561:OMY917561 OWQ917561:OWU917561 PGM917561:PGQ917561 PQI917561:PQM917561 QAE917561:QAI917561 QKA917561:QKE917561 QTW917561:QUA917561 RDS917561:RDW917561 RNO917561:RNS917561 RXK917561:RXO917561 SHG917561:SHK917561 SRC917561:SRG917561 TAY917561:TBC917561 TKU917561:TKY917561 TUQ917561:TUU917561 UEM917561:UEQ917561 UOI917561:UOM917561 UYE917561:UYI917561 VIA917561:VIE917561 VRW917561:VSA917561 WBS917561:WBW917561 WLO917561:WLS917561 WVK917561:WVO917561 IY983097:JC983097 SU983097:SY983097 ACQ983097:ACU983097 AMM983097:AMQ983097 AWI983097:AWM983097 BGE983097:BGI983097 BQA983097:BQE983097 BZW983097:CAA983097 CJS983097:CJW983097 CTO983097:CTS983097 DDK983097:DDO983097 DNG983097:DNK983097 DXC983097:DXG983097 EGY983097:EHC983097 EQU983097:EQY983097 FAQ983097:FAU983097 FKM983097:FKQ983097 FUI983097:FUM983097 GEE983097:GEI983097 GOA983097:GOE983097 GXW983097:GYA983097 HHS983097:HHW983097 HRO983097:HRS983097 IBK983097:IBO983097 ILG983097:ILK983097 IVC983097:IVG983097 JEY983097:JFC983097 JOU983097:JOY983097 JYQ983097:JYU983097 KIM983097:KIQ983097 KSI983097:KSM983097 LCE983097:LCI983097 LMA983097:LME983097 LVW983097:LWA983097 MFS983097:MFW983097 MPO983097:MPS983097 MZK983097:MZO983097 NJG983097:NJK983097 NTC983097:NTG983097 OCY983097:ODC983097 OMU983097:OMY983097 OWQ983097:OWU983097 PGM983097:PGQ983097 PQI983097:PQM983097 QAE983097:QAI983097 QKA983097:QKE983097 QTW983097:QUA983097 RDS983097:RDW983097 RNO983097:RNS983097 RXK983097:RXO983097 SHG983097:SHK983097 SRC983097:SRG983097 TAY983097:TBC983097 TKU983097:TKY983097 TUQ983097:TUU983097 UEM983097:UEQ983097 UOI983097:UOM983097 UYE983097:UYI983097 VIA983097:VIE983097 VRW983097:VSA983097 WBS983097:WBW983097 WLO983097:WLS983097 WVK983097:WVO983097 D983097:H983097 D917561:H917561 D852025:H852025 D786489:H786489 D720953:H720953 D655417:H655417 D589881:H589881 D524345:H524345 D458809:H458809 D393273:H393273 D327737:H327737 D262201:H262201 D196665:H196665 D131129:H131129 D65593:H65593">
      <formula1>#REF!</formula1>
    </dataValidation>
    <dataValidation allowBlank="1" showInputMessage="1" showErrorMessage="1" promptTitle="Tanggal Permohonan" prompt="Diisi tanggal permohonan sebagaimana yang tertera dalam Formulir Permohonan KMU atau tanggal lain saat persyaratan administrasi untuk keperluan pemrosesan permohonan kredit dinyatakan lengkap._x000a_Format Penulisan : DD/MM/YYYY" sqref="IY49 SU49 ACQ49 AMM49 AWI49 BGE49 BQA49 BZW49 CJS49 CTO49 DDK49 DNG49 DXC49 EGY49 EQU49 FAQ49 FKM49 FUI49 GEE49 GOA49 GXW49 HHS49 HRO49 IBK49 ILG49 IVC49 JEY49 JOU49 JYQ49 KIM49 KSI49 LCE49 LMA49 LVW49 MFS49 MPO49 MZK49 NJG49 NTC49 OCY49 OMU49 OWQ49 PGM49 PQI49 QAE49 QKA49 QTW49 RDS49 RNO49 RXK49 SHG49 SRC49 TAY49 TKU49 TUQ49 UEM49 UOI49 UYE49 VIA49 VRW49 WBS49 WLO49 WVK49 D65594 IY65594 SU65594 ACQ65594 AMM65594 AWI65594 BGE65594 BQA65594 BZW65594 CJS65594 CTO65594 DDK65594 DNG65594 DXC65594 EGY65594 EQU65594 FAQ65594 FKM65594 FUI65594 GEE65594 GOA65594 GXW65594 HHS65594 HRO65594 IBK65594 ILG65594 IVC65594 JEY65594 JOU65594 JYQ65594 KIM65594 KSI65594 LCE65594 LMA65594 LVW65594 MFS65594 MPO65594 MZK65594 NJG65594 NTC65594 OCY65594 OMU65594 OWQ65594 PGM65594 PQI65594 QAE65594 QKA65594 QTW65594 RDS65594 RNO65594 RXK65594 SHG65594 SRC65594 TAY65594 TKU65594 TUQ65594 UEM65594 UOI65594 UYE65594 VIA65594 VRW65594 WBS65594 WLO65594 WVK65594 D131130 IY131130 SU131130 ACQ131130 AMM131130 AWI131130 BGE131130 BQA131130 BZW131130 CJS131130 CTO131130 DDK131130 DNG131130 DXC131130 EGY131130 EQU131130 FAQ131130 FKM131130 FUI131130 GEE131130 GOA131130 GXW131130 HHS131130 HRO131130 IBK131130 ILG131130 IVC131130 JEY131130 JOU131130 JYQ131130 KIM131130 KSI131130 LCE131130 LMA131130 LVW131130 MFS131130 MPO131130 MZK131130 NJG131130 NTC131130 OCY131130 OMU131130 OWQ131130 PGM131130 PQI131130 QAE131130 QKA131130 QTW131130 RDS131130 RNO131130 RXK131130 SHG131130 SRC131130 TAY131130 TKU131130 TUQ131130 UEM131130 UOI131130 UYE131130 VIA131130 VRW131130 WBS131130 WLO131130 WVK131130 D196666 IY196666 SU196666 ACQ196666 AMM196666 AWI196666 BGE196666 BQA196666 BZW196666 CJS196666 CTO196666 DDK196666 DNG196666 DXC196666 EGY196666 EQU196666 FAQ196666 FKM196666 FUI196666 GEE196666 GOA196666 GXW196666 HHS196666 HRO196666 IBK196666 ILG196666 IVC196666 JEY196666 JOU196666 JYQ196666 KIM196666 KSI196666 LCE196666 LMA196666 LVW196666 MFS196666 MPO196666 MZK196666 NJG196666 NTC196666 OCY196666 OMU196666 OWQ196666 PGM196666 PQI196666 QAE196666 QKA196666 QTW196666 RDS196666 RNO196666 RXK196666 SHG196666 SRC196666 TAY196666 TKU196666 TUQ196666 UEM196666 UOI196666 UYE196666 VIA196666 VRW196666 WBS196666 WLO196666 WVK196666 D262202 IY262202 SU262202 ACQ262202 AMM262202 AWI262202 BGE262202 BQA262202 BZW262202 CJS262202 CTO262202 DDK262202 DNG262202 DXC262202 EGY262202 EQU262202 FAQ262202 FKM262202 FUI262202 GEE262202 GOA262202 GXW262202 HHS262202 HRO262202 IBK262202 ILG262202 IVC262202 JEY262202 JOU262202 JYQ262202 KIM262202 KSI262202 LCE262202 LMA262202 LVW262202 MFS262202 MPO262202 MZK262202 NJG262202 NTC262202 OCY262202 OMU262202 OWQ262202 PGM262202 PQI262202 QAE262202 QKA262202 QTW262202 RDS262202 RNO262202 RXK262202 SHG262202 SRC262202 TAY262202 TKU262202 TUQ262202 UEM262202 UOI262202 UYE262202 VIA262202 VRW262202 WBS262202 WLO262202 WVK262202 D327738 IY327738 SU327738 ACQ327738 AMM327738 AWI327738 BGE327738 BQA327738 BZW327738 CJS327738 CTO327738 DDK327738 DNG327738 DXC327738 EGY327738 EQU327738 FAQ327738 FKM327738 FUI327738 GEE327738 GOA327738 GXW327738 HHS327738 HRO327738 IBK327738 ILG327738 IVC327738 JEY327738 JOU327738 JYQ327738 KIM327738 KSI327738 LCE327738 LMA327738 LVW327738 MFS327738 MPO327738 MZK327738 NJG327738 NTC327738 OCY327738 OMU327738 OWQ327738 PGM327738 PQI327738 QAE327738 QKA327738 QTW327738 RDS327738 RNO327738 RXK327738 SHG327738 SRC327738 TAY327738 TKU327738 TUQ327738 UEM327738 UOI327738 UYE327738 VIA327738 VRW327738 WBS327738 WLO327738 WVK327738 D393274 IY393274 SU393274 ACQ393274 AMM393274 AWI393274 BGE393274 BQA393274 BZW393274 CJS393274 CTO393274 DDK393274 DNG393274 DXC393274 EGY393274 EQU393274 FAQ393274 FKM393274 FUI393274 GEE393274 GOA393274 GXW393274 HHS393274 HRO393274 IBK393274 ILG393274 IVC393274 JEY393274 JOU393274 JYQ393274 KIM393274 KSI393274 LCE393274 LMA393274 LVW393274 MFS393274 MPO393274 MZK393274 NJG393274 NTC393274 OCY393274 OMU393274 OWQ393274 PGM393274 PQI393274 QAE393274 QKA393274 QTW393274 RDS393274 RNO393274 RXK393274 SHG393274 SRC393274 TAY393274 TKU393274 TUQ393274 UEM393274 UOI393274 UYE393274 VIA393274 VRW393274 WBS393274 WLO393274 WVK393274 D458810 IY458810 SU458810 ACQ458810 AMM458810 AWI458810 BGE458810 BQA458810 BZW458810 CJS458810 CTO458810 DDK458810 DNG458810 DXC458810 EGY458810 EQU458810 FAQ458810 FKM458810 FUI458810 GEE458810 GOA458810 GXW458810 HHS458810 HRO458810 IBK458810 ILG458810 IVC458810 JEY458810 JOU458810 JYQ458810 KIM458810 KSI458810 LCE458810 LMA458810 LVW458810 MFS458810 MPO458810 MZK458810 NJG458810 NTC458810 OCY458810 OMU458810 OWQ458810 PGM458810 PQI458810 QAE458810 QKA458810 QTW458810 RDS458810 RNO458810 RXK458810 SHG458810 SRC458810 TAY458810 TKU458810 TUQ458810 UEM458810 UOI458810 UYE458810 VIA458810 VRW458810 WBS458810 WLO458810 WVK458810 D524346 IY524346 SU524346 ACQ524346 AMM524346 AWI524346 BGE524346 BQA524346 BZW524346 CJS524346 CTO524346 DDK524346 DNG524346 DXC524346 EGY524346 EQU524346 FAQ524346 FKM524346 FUI524346 GEE524346 GOA524346 GXW524346 HHS524346 HRO524346 IBK524346 ILG524346 IVC524346 JEY524346 JOU524346 JYQ524346 KIM524346 KSI524346 LCE524346 LMA524346 LVW524346 MFS524346 MPO524346 MZK524346 NJG524346 NTC524346 OCY524346 OMU524346 OWQ524346 PGM524346 PQI524346 QAE524346 QKA524346 QTW524346 RDS524346 RNO524346 RXK524346 SHG524346 SRC524346 TAY524346 TKU524346 TUQ524346 UEM524346 UOI524346 UYE524346 VIA524346 VRW524346 WBS524346 WLO524346 WVK524346 D589882 IY589882 SU589882 ACQ589882 AMM589882 AWI589882 BGE589882 BQA589882 BZW589882 CJS589882 CTO589882 DDK589882 DNG589882 DXC589882 EGY589882 EQU589882 FAQ589882 FKM589882 FUI589882 GEE589882 GOA589882 GXW589882 HHS589882 HRO589882 IBK589882 ILG589882 IVC589882 JEY589882 JOU589882 JYQ589882 KIM589882 KSI589882 LCE589882 LMA589882 LVW589882 MFS589882 MPO589882 MZK589882 NJG589882 NTC589882 OCY589882 OMU589882 OWQ589882 PGM589882 PQI589882 QAE589882 QKA589882 QTW589882 RDS589882 RNO589882 RXK589882 SHG589882 SRC589882 TAY589882 TKU589882 TUQ589882 UEM589882 UOI589882 UYE589882 VIA589882 VRW589882 WBS589882 WLO589882 WVK589882 D655418 IY655418 SU655418 ACQ655418 AMM655418 AWI655418 BGE655418 BQA655418 BZW655418 CJS655418 CTO655418 DDK655418 DNG655418 DXC655418 EGY655418 EQU655418 FAQ655418 FKM655418 FUI655418 GEE655418 GOA655418 GXW655418 HHS655418 HRO655418 IBK655418 ILG655418 IVC655418 JEY655418 JOU655418 JYQ655418 KIM655418 KSI655418 LCE655418 LMA655418 LVW655418 MFS655418 MPO655418 MZK655418 NJG655418 NTC655418 OCY655418 OMU655418 OWQ655418 PGM655418 PQI655418 QAE655418 QKA655418 QTW655418 RDS655418 RNO655418 RXK655418 SHG655418 SRC655418 TAY655418 TKU655418 TUQ655418 UEM655418 UOI655418 UYE655418 VIA655418 VRW655418 WBS655418 WLO655418 WVK655418 D720954 IY720954 SU720954 ACQ720954 AMM720954 AWI720954 BGE720954 BQA720954 BZW720954 CJS720954 CTO720954 DDK720954 DNG720954 DXC720954 EGY720954 EQU720954 FAQ720954 FKM720954 FUI720954 GEE720954 GOA720954 GXW720954 HHS720954 HRO720954 IBK720954 ILG720954 IVC720954 JEY720954 JOU720954 JYQ720954 KIM720954 KSI720954 LCE720954 LMA720954 LVW720954 MFS720954 MPO720954 MZK720954 NJG720954 NTC720954 OCY720954 OMU720954 OWQ720954 PGM720954 PQI720954 QAE720954 QKA720954 QTW720954 RDS720954 RNO720954 RXK720954 SHG720954 SRC720954 TAY720954 TKU720954 TUQ720954 UEM720954 UOI720954 UYE720954 VIA720954 VRW720954 WBS720954 WLO720954 WVK720954 D786490 IY786490 SU786490 ACQ786490 AMM786490 AWI786490 BGE786490 BQA786490 BZW786490 CJS786490 CTO786490 DDK786490 DNG786490 DXC786490 EGY786490 EQU786490 FAQ786490 FKM786490 FUI786490 GEE786490 GOA786490 GXW786490 HHS786490 HRO786490 IBK786490 ILG786490 IVC786490 JEY786490 JOU786490 JYQ786490 KIM786490 KSI786490 LCE786490 LMA786490 LVW786490 MFS786490 MPO786490 MZK786490 NJG786490 NTC786490 OCY786490 OMU786490 OWQ786490 PGM786490 PQI786490 QAE786490 QKA786490 QTW786490 RDS786490 RNO786490 RXK786490 SHG786490 SRC786490 TAY786490 TKU786490 TUQ786490 UEM786490 UOI786490 UYE786490 VIA786490 VRW786490 WBS786490 WLO786490 WVK786490 D852026 IY852026 SU852026 ACQ852026 AMM852026 AWI852026 BGE852026 BQA852026 BZW852026 CJS852026 CTO852026 DDK852026 DNG852026 DXC852026 EGY852026 EQU852026 FAQ852026 FKM852026 FUI852026 GEE852026 GOA852026 GXW852026 HHS852026 HRO852026 IBK852026 ILG852026 IVC852026 JEY852026 JOU852026 JYQ852026 KIM852026 KSI852026 LCE852026 LMA852026 LVW852026 MFS852026 MPO852026 MZK852026 NJG852026 NTC852026 OCY852026 OMU852026 OWQ852026 PGM852026 PQI852026 QAE852026 QKA852026 QTW852026 RDS852026 RNO852026 RXK852026 SHG852026 SRC852026 TAY852026 TKU852026 TUQ852026 UEM852026 UOI852026 UYE852026 VIA852026 VRW852026 WBS852026 WLO852026 WVK852026 D917562 IY917562 SU917562 ACQ917562 AMM917562 AWI917562 BGE917562 BQA917562 BZW917562 CJS917562 CTO917562 DDK917562 DNG917562 DXC917562 EGY917562 EQU917562 FAQ917562 FKM917562 FUI917562 GEE917562 GOA917562 GXW917562 HHS917562 HRO917562 IBK917562 ILG917562 IVC917562 JEY917562 JOU917562 JYQ917562 KIM917562 KSI917562 LCE917562 LMA917562 LVW917562 MFS917562 MPO917562 MZK917562 NJG917562 NTC917562 OCY917562 OMU917562 OWQ917562 PGM917562 PQI917562 QAE917562 QKA917562 QTW917562 RDS917562 RNO917562 RXK917562 SHG917562 SRC917562 TAY917562 TKU917562 TUQ917562 UEM917562 UOI917562 UYE917562 VIA917562 VRW917562 WBS917562 WLO917562 WVK917562 D983098 IY983098 SU983098 ACQ983098 AMM983098 AWI983098 BGE983098 BQA983098 BZW983098 CJS983098 CTO983098 DDK983098 DNG983098 DXC983098 EGY983098 EQU983098 FAQ983098 FKM983098 FUI983098 GEE983098 GOA983098 GXW983098 HHS983098 HRO983098 IBK983098 ILG983098 IVC983098 JEY983098 JOU983098 JYQ983098 KIM983098 KSI983098 LCE983098 LMA983098 LVW983098 MFS983098 MPO983098 MZK983098 NJG983098 NTC983098 OCY983098 OMU983098 OWQ983098 PGM983098 PQI983098 QAE983098 QKA983098 QTW983098 RDS983098 RNO983098 RXK983098 SHG983098 SRC983098 TAY983098 TKU983098 TUQ983098 UEM983098 UOI983098 UYE983098 VIA983098 VRW983098 WBS983098 WLO983098 WVK983098"/>
    <dataValidation allowBlank="1" showInputMessage="1" showErrorMessage="1" promptTitle="Tempat Lahir" prompt="Ketik Tempat Lahir Pemohon sesuai KTP yang masih berlaku" sqref="D13:F13 IY13:JA13 SU13:SW13 ACQ13:ACS13 AMM13:AMO13 AWI13:AWK13 BGE13:BGG13 BQA13:BQC13 BZW13:BZY13 CJS13:CJU13 CTO13:CTQ13 DDK13:DDM13 DNG13:DNI13 DXC13:DXE13 EGY13:EHA13 EQU13:EQW13 FAQ13:FAS13 FKM13:FKO13 FUI13:FUK13 GEE13:GEG13 GOA13:GOC13 GXW13:GXY13 HHS13:HHU13 HRO13:HRQ13 IBK13:IBM13 ILG13:ILI13 IVC13:IVE13 JEY13:JFA13 JOU13:JOW13 JYQ13:JYS13 KIM13:KIO13 KSI13:KSK13 LCE13:LCG13 LMA13:LMC13 LVW13:LVY13 MFS13:MFU13 MPO13:MPQ13 MZK13:MZM13 NJG13:NJI13 NTC13:NTE13 OCY13:ODA13 OMU13:OMW13 OWQ13:OWS13 PGM13:PGO13 PQI13:PQK13 QAE13:QAG13 QKA13:QKC13 QTW13:QTY13 RDS13:RDU13 RNO13:RNQ13 RXK13:RXM13 SHG13:SHI13 SRC13:SRE13 TAY13:TBA13 TKU13:TKW13 TUQ13:TUS13 UEM13:UEO13 UOI13:UOK13 UYE13:UYG13 VIA13:VIC13 VRW13:VRY13 WBS13:WBU13 WLO13:WLQ13 WVK13:WVM13 D65529:F65529 IY65529:JA65529 SU65529:SW65529 ACQ65529:ACS65529 AMM65529:AMO65529 AWI65529:AWK65529 BGE65529:BGG65529 BQA65529:BQC65529 BZW65529:BZY65529 CJS65529:CJU65529 CTO65529:CTQ65529 DDK65529:DDM65529 DNG65529:DNI65529 DXC65529:DXE65529 EGY65529:EHA65529 EQU65529:EQW65529 FAQ65529:FAS65529 FKM65529:FKO65529 FUI65529:FUK65529 GEE65529:GEG65529 GOA65529:GOC65529 GXW65529:GXY65529 HHS65529:HHU65529 HRO65529:HRQ65529 IBK65529:IBM65529 ILG65529:ILI65529 IVC65529:IVE65529 JEY65529:JFA65529 JOU65529:JOW65529 JYQ65529:JYS65529 KIM65529:KIO65529 KSI65529:KSK65529 LCE65529:LCG65529 LMA65529:LMC65529 LVW65529:LVY65529 MFS65529:MFU65529 MPO65529:MPQ65529 MZK65529:MZM65529 NJG65529:NJI65529 NTC65529:NTE65529 OCY65529:ODA65529 OMU65529:OMW65529 OWQ65529:OWS65529 PGM65529:PGO65529 PQI65529:PQK65529 QAE65529:QAG65529 QKA65529:QKC65529 QTW65529:QTY65529 RDS65529:RDU65529 RNO65529:RNQ65529 RXK65529:RXM65529 SHG65529:SHI65529 SRC65529:SRE65529 TAY65529:TBA65529 TKU65529:TKW65529 TUQ65529:TUS65529 UEM65529:UEO65529 UOI65529:UOK65529 UYE65529:UYG65529 VIA65529:VIC65529 VRW65529:VRY65529 WBS65529:WBU65529 WLO65529:WLQ65529 WVK65529:WVM65529 D131065:F131065 IY131065:JA131065 SU131065:SW131065 ACQ131065:ACS131065 AMM131065:AMO131065 AWI131065:AWK131065 BGE131065:BGG131065 BQA131065:BQC131065 BZW131065:BZY131065 CJS131065:CJU131065 CTO131065:CTQ131065 DDK131065:DDM131065 DNG131065:DNI131065 DXC131065:DXE131065 EGY131065:EHA131065 EQU131065:EQW131065 FAQ131065:FAS131065 FKM131065:FKO131065 FUI131065:FUK131065 GEE131065:GEG131065 GOA131065:GOC131065 GXW131065:GXY131065 HHS131065:HHU131065 HRO131065:HRQ131065 IBK131065:IBM131065 ILG131065:ILI131065 IVC131065:IVE131065 JEY131065:JFA131065 JOU131065:JOW131065 JYQ131065:JYS131065 KIM131065:KIO131065 KSI131065:KSK131065 LCE131065:LCG131065 LMA131065:LMC131065 LVW131065:LVY131065 MFS131065:MFU131065 MPO131065:MPQ131065 MZK131065:MZM131065 NJG131065:NJI131065 NTC131065:NTE131065 OCY131065:ODA131065 OMU131065:OMW131065 OWQ131065:OWS131065 PGM131065:PGO131065 PQI131065:PQK131065 QAE131065:QAG131065 QKA131065:QKC131065 QTW131065:QTY131065 RDS131065:RDU131065 RNO131065:RNQ131065 RXK131065:RXM131065 SHG131065:SHI131065 SRC131065:SRE131065 TAY131065:TBA131065 TKU131065:TKW131065 TUQ131065:TUS131065 UEM131065:UEO131065 UOI131065:UOK131065 UYE131065:UYG131065 VIA131065:VIC131065 VRW131065:VRY131065 WBS131065:WBU131065 WLO131065:WLQ131065 WVK131065:WVM131065 D196601:F196601 IY196601:JA196601 SU196601:SW196601 ACQ196601:ACS196601 AMM196601:AMO196601 AWI196601:AWK196601 BGE196601:BGG196601 BQA196601:BQC196601 BZW196601:BZY196601 CJS196601:CJU196601 CTO196601:CTQ196601 DDK196601:DDM196601 DNG196601:DNI196601 DXC196601:DXE196601 EGY196601:EHA196601 EQU196601:EQW196601 FAQ196601:FAS196601 FKM196601:FKO196601 FUI196601:FUK196601 GEE196601:GEG196601 GOA196601:GOC196601 GXW196601:GXY196601 HHS196601:HHU196601 HRO196601:HRQ196601 IBK196601:IBM196601 ILG196601:ILI196601 IVC196601:IVE196601 JEY196601:JFA196601 JOU196601:JOW196601 JYQ196601:JYS196601 KIM196601:KIO196601 KSI196601:KSK196601 LCE196601:LCG196601 LMA196601:LMC196601 LVW196601:LVY196601 MFS196601:MFU196601 MPO196601:MPQ196601 MZK196601:MZM196601 NJG196601:NJI196601 NTC196601:NTE196601 OCY196601:ODA196601 OMU196601:OMW196601 OWQ196601:OWS196601 PGM196601:PGO196601 PQI196601:PQK196601 QAE196601:QAG196601 QKA196601:QKC196601 QTW196601:QTY196601 RDS196601:RDU196601 RNO196601:RNQ196601 RXK196601:RXM196601 SHG196601:SHI196601 SRC196601:SRE196601 TAY196601:TBA196601 TKU196601:TKW196601 TUQ196601:TUS196601 UEM196601:UEO196601 UOI196601:UOK196601 UYE196601:UYG196601 VIA196601:VIC196601 VRW196601:VRY196601 WBS196601:WBU196601 WLO196601:WLQ196601 WVK196601:WVM196601 D262137:F262137 IY262137:JA262137 SU262137:SW262137 ACQ262137:ACS262137 AMM262137:AMO262137 AWI262137:AWK262137 BGE262137:BGG262137 BQA262137:BQC262137 BZW262137:BZY262137 CJS262137:CJU262137 CTO262137:CTQ262137 DDK262137:DDM262137 DNG262137:DNI262137 DXC262137:DXE262137 EGY262137:EHA262137 EQU262137:EQW262137 FAQ262137:FAS262137 FKM262137:FKO262137 FUI262137:FUK262137 GEE262137:GEG262137 GOA262137:GOC262137 GXW262137:GXY262137 HHS262137:HHU262137 HRO262137:HRQ262137 IBK262137:IBM262137 ILG262137:ILI262137 IVC262137:IVE262137 JEY262137:JFA262137 JOU262137:JOW262137 JYQ262137:JYS262137 KIM262137:KIO262137 KSI262137:KSK262137 LCE262137:LCG262137 LMA262137:LMC262137 LVW262137:LVY262137 MFS262137:MFU262137 MPO262137:MPQ262137 MZK262137:MZM262137 NJG262137:NJI262137 NTC262137:NTE262137 OCY262137:ODA262137 OMU262137:OMW262137 OWQ262137:OWS262137 PGM262137:PGO262137 PQI262137:PQK262137 QAE262137:QAG262137 QKA262137:QKC262137 QTW262137:QTY262137 RDS262137:RDU262137 RNO262137:RNQ262137 RXK262137:RXM262137 SHG262137:SHI262137 SRC262137:SRE262137 TAY262137:TBA262137 TKU262137:TKW262137 TUQ262137:TUS262137 UEM262137:UEO262137 UOI262137:UOK262137 UYE262137:UYG262137 VIA262137:VIC262137 VRW262137:VRY262137 WBS262137:WBU262137 WLO262137:WLQ262137 WVK262137:WVM262137 D327673:F327673 IY327673:JA327673 SU327673:SW327673 ACQ327673:ACS327673 AMM327673:AMO327673 AWI327673:AWK327673 BGE327673:BGG327673 BQA327673:BQC327673 BZW327673:BZY327673 CJS327673:CJU327673 CTO327673:CTQ327673 DDK327673:DDM327673 DNG327673:DNI327673 DXC327673:DXE327673 EGY327673:EHA327673 EQU327673:EQW327673 FAQ327673:FAS327673 FKM327673:FKO327673 FUI327673:FUK327673 GEE327673:GEG327673 GOA327673:GOC327673 GXW327673:GXY327673 HHS327673:HHU327673 HRO327673:HRQ327673 IBK327673:IBM327673 ILG327673:ILI327673 IVC327673:IVE327673 JEY327673:JFA327673 JOU327673:JOW327673 JYQ327673:JYS327673 KIM327673:KIO327673 KSI327673:KSK327673 LCE327673:LCG327673 LMA327673:LMC327673 LVW327673:LVY327673 MFS327673:MFU327673 MPO327673:MPQ327673 MZK327673:MZM327673 NJG327673:NJI327673 NTC327673:NTE327673 OCY327673:ODA327673 OMU327673:OMW327673 OWQ327673:OWS327673 PGM327673:PGO327673 PQI327673:PQK327673 QAE327673:QAG327673 QKA327673:QKC327673 QTW327673:QTY327673 RDS327673:RDU327673 RNO327673:RNQ327673 RXK327673:RXM327673 SHG327673:SHI327673 SRC327673:SRE327673 TAY327673:TBA327673 TKU327673:TKW327673 TUQ327673:TUS327673 UEM327673:UEO327673 UOI327673:UOK327673 UYE327673:UYG327673 VIA327673:VIC327673 VRW327673:VRY327673 WBS327673:WBU327673 WLO327673:WLQ327673 WVK327673:WVM327673 D393209:F393209 IY393209:JA393209 SU393209:SW393209 ACQ393209:ACS393209 AMM393209:AMO393209 AWI393209:AWK393209 BGE393209:BGG393209 BQA393209:BQC393209 BZW393209:BZY393209 CJS393209:CJU393209 CTO393209:CTQ393209 DDK393209:DDM393209 DNG393209:DNI393209 DXC393209:DXE393209 EGY393209:EHA393209 EQU393209:EQW393209 FAQ393209:FAS393209 FKM393209:FKO393209 FUI393209:FUK393209 GEE393209:GEG393209 GOA393209:GOC393209 GXW393209:GXY393209 HHS393209:HHU393209 HRO393209:HRQ393209 IBK393209:IBM393209 ILG393209:ILI393209 IVC393209:IVE393209 JEY393209:JFA393209 JOU393209:JOW393209 JYQ393209:JYS393209 KIM393209:KIO393209 KSI393209:KSK393209 LCE393209:LCG393209 LMA393209:LMC393209 LVW393209:LVY393209 MFS393209:MFU393209 MPO393209:MPQ393209 MZK393209:MZM393209 NJG393209:NJI393209 NTC393209:NTE393209 OCY393209:ODA393209 OMU393209:OMW393209 OWQ393209:OWS393209 PGM393209:PGO393209 PQI393209:PQK393209 QAE393209:QAG393209 QKA393209:QKC393209 QTW393209:QTY393209 RDS393209:RDU393209 RNO393209:RNQ393209 RXK393209:RXM393209 SHG393209:SHI393209 SRC393209:SRE393209 TAY393209:TBA393209 TKU393209:TKW393209 TUQ393209:TUS393209 UEM393209:UEO393209 UOI393209:UOK393209 UYE393209:UYG393209 VIA393209:VIC393209 VRW393209:VRY393209 WBS393209:WBU393209 WLO393209:WLQ393209 WVK393209:WVM393209 D458745:F458745 IY458745:JA458745 SU458745:SW458745 ACQ458745:ACS458745 AMM458745:AMO458745 AWI458745:AWK458745 BGE458745:BGG458745 BQA458745:BQC458745 BZW458745:BZY458745 CJS458745:CJU458745 CTO458745:CTQ458745 DDK458745:DDM458745 DNG458745:DNI458745 DXC458745:DXE458745 EGY458745:EHA458745 EQU458745:EQW458745 FAQ458745:FAS458745 FKM458745:FKO458745 FUI458745:FUK458745 GEE458745:GEG458745 GOA458745:GOC458745 GXW458745:GXY458745 HHS458745:HHU458745 HRO458745:HRQ458745 IBK458745:IBM458745 ILG458745:ILI458745 IVC458745:IVE458745 JEY458745:JFA458745 JOU458745:JOW458745 JYQ458745:JYS458745 KIM458745:KIO458745 KSI458745:KSK458745 LCE458745:LCG458745 LMA458745:LMC458745 LVW458745:LVY458745 MFS458745:MFU458745 MPO458745:MPQ458745 MZK458745:MZM458745 NJG458745:NJI458745 NTC458745:NTE458745 OCY458745:ODA458745 OMU458745:OMW458745 OWQ458745:OWS458745 PGM458745:PGO458745 PQI458745:PQK458745 QAE458745:QAG458745 QKA458745:QKC458745 QTW458745:QTY458745 RDS458745:RDU458745 RNO458745:RNQ458745 RXK458745:RXM458745 SHG458745:SHI458745 SRC458745:SRE458745 TAY458745:TBA458745 TKU458745:TKW458745 TUQ458745:TUS458745 UEM458745:UEO458745 UOI458745:UOK458745 UYE458745:UYG458745 VIA458745:VIC458745 VRW458745:VRY458745 WBS458745:WBU458745 WLO458745:WLQ458745 WVK458745:WVM458745 D524281:F524281 IY524281:JA524281 SU524281:SW524281 ACQ524281:ACS524281 AMM524281:AMO524281 AWI524281:AWK524281 BGE524281:BGG524281 BQA524281:BQC524281 BZW524281:BZY524281 CJS524281:CJU524281 CTO524281:CTQ524281 DDK524281:DDM524281 DNG524281:DNI524281 DXC524281:DXE524281 EGY524281:EHA524281 EQU524281:EQW524281 FAQ524281:FAS524281 FKM524281:FKO524281 FUI524281:FUK524281 GEE524281:GEG524281 GOA524281:GOC524281 GXW524281:GXY524281 HHS524281:HHU524281 HRO524281:HRQ524281 IBK524281:IBM524281 ILG524281:ILI524281 IVC524281:IVE524281 JEY524281:JFA524281 JOU524281:JOW524281 JYQ524281:JYS524281 KIM524281:KIO524281 KSI524281:KSK524281 LCE524281:LCG524281 LMA524281:LMC524281 LVW524281:LVY524281 MFS524281:MFU524281 MPO524281:MPQ524281 MZK524281:MZM524281 NJG524281:NJI524281 NTC524281:NTE524281 OCY524281:ODA524281 OMU524281:OMW524281 OWQ524281:OWS524281 PGM524281:PGO524281 PQI524281:PQK524281 QAE524281:QAG524281 QKA524281:QKC524281 QTW524281:QTY524281 RDS524281:RDU524281 RNO524281:RNQ524281 RXK524281:RXM524281 SHG524281:SHI524281 SRC524281:SRE524281 TAY524281:TBA524281 TKU524281:TKW524281 TUQ524281:TUS524281 UEM524281:UEO524281 UOI524281:UOK524281 UYE524281:UYG524281 VIA524281:VIC524281 VRW524281:VRY524281 WBS524281:WBU524281 WLO524281:WLQ524281 WVK524281:WVM524281 D589817:F589817 IY589817:JA589817 SU589817:SW589817 ACQ589817:ACS589817 AMM589817:AMO589817 AWI589817:AWK589817 BGE589817:BGG589817 BQA589817:BQC589817 BZW589817:BZY589817 CJS589817:CJU589817 CTO589817:CTQ589817 DDK589817:DDM589817 DNG589817:DNI589817 DXC589817:DXE589817 EGY589817:EHA589817 EQU589817:EQW589817 FAQ589817:FAS589817 FKM589817:FKO589817 FUI589817:FUK589817 GEE589817:GEG589817 GOA589817:GOC589817 GXW589817:GXY589817 HHS589817:HHU589817 HRO589817:HRQ589817 IBK589817:IBM589817 ILG589817:ILI589817 IVC589817:IVE589817 JEY589817:JFA589817 JOU589817:JOW589817 JYQ589817:JYS589817 KIM589817:KIO589817 KSI589817:KSK589817 LCE589817:LCG589817 LMA589817:LMC589817 LVW589817:LVY589817 MFS589817:MFU589817 MPO589817:MPQ589817 MZK589817:MZM589817 NJG589817:NJI589817 NTC589817:NTE589817 OCY589817:ODA589817 OMU589817:OMW589817 OWQ589817:OWS589817 PGM589817:PGO589817 PQI589817:PQK589817 QAE589817:QAG589817 QKA589817:QKC589817 QTW589817:QTY589817 RDS589817:RDU589817 RNO589817:RNQ589817 RXK589817:RXM589817 SHG589817:SHI589817 SRC589817:SRE589817 TAY589817:TBA589817 TKU589817:TKW589817 TUQ589817:TUS589817 UEM589817:UEO589817 UOI589817:UOK589817 UYE589817:UYG589817 VIA589817:VIC589817 VRW589817:VRY589817 WBS589817:WBU589817 WLO589817:WLQ589817 WVK589817:WVM589817 D655353:F655353 IY655353:JA655353 SU655353:SW655353 ACQ655353:ACS655353 AMM655353:AMO655353 AWI655353:AWK655353 BGE655353:BGG655353 BQA655353:BQC655353 BZW655353:BZY655353 CJS655353:CJU655353 CTO655353:CTQ655353 DDK655353:DDM655353 DNG655353:DNI655353 DXC655353:DXE655353 EGY655353:EHA655353 EQU655353:EQW655353 FAQ655353:FAS655353 FKM655353:FKO655353 FUI655353:FUK655353 GEE655353:GEG655353 GOA655353:GOC655353 GXW655353:GXY655353 HHS655353:HHU655353 HRO655353:HRQ655353 IBK655353:IBM655353 ILG655353:ILI655353 IVC655353:IVE655353 JEY655353:JFA655353 JOU655353:JOW655353 JYQ655353:JYS655353 KIM655353:KIO655353 KSI655353:KSK655353 LCE655353:LCG655353 LMA655353:LMC655353 LVW655353:LVY655353 MFS655353:MFU655353 MPO655353:MPQ655353 MZK655353:MZM655353 NJG655353:NJI655353 NTC655353:NTE655353 OCY655353:ODA655353 OMU655353:OMW655353 OWQ655353:OWS655353 PGM655353:PGO655353 PQI655353:PQK655353 QAE655353:QAG655353 QKA655353:QKC655353 QTW655353:QTY655353 RDS655353:RDU655353 RNO655353:RNQ655353 RXK655353:RXM655353 SHG655353:SHI655353 SRC655353:SRE655353 TAY655353:TBA655353 TKU655353:TKW655353 TUQ655353:TUS655353 UEM655353:UEO655353 UOI655353:UOK655353 UYE655353:UYG655353 VIA655353:VIC655353 VRW655353:VRY655353 WBS655353:WBU655353 WLO655353:WLQ655353 WVK655353:WVM655353 D720889:F720889 IY720889:JA720889 SU720889:SW720889 ACQ720889:ACS720889 AMM720889:AMO720889 AWI720889:AWK720889 BGE720889:BGG720889 BQA720889:BQC720889 BZW720889:BZY720889 CJS720889:CJU720889 CTO720889:CTQ720889 DDK720889:DDM720889 DNG720889:DNI720889 DXC720889:DXE720889 EGY720889:EHA720889 EQU720889:EQW720889 FAQ720889:FAS720889 FKM720889:FKO720889 FUI720889:FUK720889 GEE720889:GEG720889 GOA720889:GOC720889 GXW720889:GXY720889 HHS720889:HHU720889 HRO720889:HRQ720889 IBK720889:IBM720889 ILG720889:ILI720889 IVC720889:IVE720889 JEY720889:JFA720889 JOU720889:JOW720889 JYQ720889:JYS720889 KIM720889:KIO720889 KSI720889:KSK720889 LCE720889:LCG720889 LMA720889:LMC720889 LVW720889:LVY720889 MFS720889:MFU720889 MPO720889:MPQ720889 MZK720889:MZM720889 NJG720889:NJI720889 NTC720889:NTE720889 OCY720889:ODA720889 OMU720889:OMW720889 OWQ720889:OWS720889 PGM720889:PGO720889 PQI720889:PQK720889 QAE720889:QAG720889 QKA720889:QKC720889 QTW720889:QTY720889 RDS720889:RDU720889 RNO720889:RNQ720889 RXK720889:RXM720889 SHG720889:SHI720889 SRC720889:SRE720889 TAY720889:TBA720889 TKU720889:TKW720889 TUQ720889:TUS720889 UEM720889:UEO720889 UOI720889:UOK720889 UYE720889:UYG720889 VIA720889:VIC720889 VRW720889:VRY720889 WBS720889:WBU720889 WLO720889:WLQ720889 WVK720889:WVM720889 D786425:F786425 IY786425:JA786425 SU786425:SW786425 ACQ786425:ACS786425 AMM786425:AMO786425 AWI786425:AWK786425 BGE786425:BGG786425 BQA786425:BQC786425 BZW786425:BZY786425 CJS786425:CJU786425 CTO786425:CTQ786425 DDK786425:DDM786425 DNG786425:DNI786425 DXC786425:DXE786425 EGY786425:EHA786425 EQU786425:EQW786425 FAQ786425:FAS786425 FKM786425:FKO786425 FUI786425:FUK786425 GEE786425:GEG786425 GOA786425:GOC786425 GXW786425:GXY786425 HHS786425:HHU786425 HRO786425:HRQ786425 IBK786425:IBM786425 ILG786425:ILI786425 IVC786425:IVE786425 JEY786425:JFA786425 JOU786425:JOW786425 JYQ786425:JYS786425 KIM786425:KIO786425 KSI786425:KSK786425 LCE786425:LCG786425 LMA786425:LMC786425 LVW786425:LVY786425 MFS786425:MFU786425 MPO786425:MPQ786425 MZK786425:MZM786425 NJG786425:NJI786425 NTC786425:NTE786425 OCY786425:ODA786425 OMU786425:OMW786425 OWQ786425:OWS786425 PGM786425:PGO786425 PQI786425:PQK786425 QAE786425:QAG786425 QKA786425:QKC786425 QTW786425:QTY786425 RDS786425:RDU786425 RNO786425:RNQ786425 RXK786425:RXM786425 SHG786425:SHI786425 SRC786425:SRE786425 TAY786425:TBA786425 TKU786425:TKW786425 TUQ786425:TUS786425 UEM786425:UEO786425 UOI786425:UOK786425 UYE786425:UYG786425 VIA786425:VIC786425 VRW786425:VRY786425 WBS786425:WBU786425 WLO786425:WLQ786425 WVK786425:WVM786425 D851961:F851961 IY851961:JA851961 SU851961:SW851961 ACQ851961:ACS851961 AMM851961:AMO851961 AWI851961:AWK851961 BGE851961:BGG851961 BQA851961:BQC851961 BZW851961:BZY851961 CJS851961:CJU851961 CTO851961:CTQ851961 DDK851961:DDM851961 DNG851961:DNI851961 DXC851961:DXE851961 EGY851961:EHA851961 EQU851961:EQW851961 FAQ851961:FAS851961 FKM851961:FKO851961 FUI851961:FUK851961 GEE851961:GEG851961 GOA851961:GOC851961 GXW851961:GXY851961 HHS851961:HHU851961 HRO851961:HRQ851961 IBK851961:IBM851961 ILG851961:ILI851961 IVC851961:IVE851961 JEY851961:JFA851961 JOU851961:JOW851961 JYQ851961:JYS851961 KIM851961:KIO851961 KSI851961:KSK851961 LCE851961:LCG851961 LMA851961:LMC851961 LVW851961:LVY851961 MFS851961:MFU851961 MPO851961:MPQ851961 MZK851961:MZM851961 NJG851961:NJI851961 NTC851961:NTE851961 OCY851961:ODA851961 OMU851961:OMW851961 OWQ851961:OWS851961 PGM851961:PGO851961 PQI851961:PQK851961 QAE851961:QAG851961 QKA851961:QKC851961 QTW851961:QTY851961 RDS851961:RDU851961 RNO851961:RNQ851961 RXK851961:RXM851961 SHG851961:SHI851961 SRC851961:SRE851961 TAY851961:TBA851961 TKU851961:TKW851961 TUQ851961:TUS851961 UEM851961:UEO851961 UOI851961:UOK851961 UYE851961:UYG851961 VIA851961:VIC851961 VRW851961:VRY851961 WBS851961:WBU851961 WLO851961:WLQ851961 WVK851961:WVM851961 D917497:F917497 IY917497:JA917497 SU917497:SW917497 ACQ917497:ACS917497 AMM917497:AMO917497 AWI917497:AWK917497 BGE917497:BGG917497 BQA917497:BQC917497 BZW917497:BZY917497 CJS917497:CJU917497 CTO917497:CTQ917497 DDK917497:DDM917497 DNG917497:DNI917497 DXC917497:DXE917497 EGY917497:EHA917497 EQU917497:EQW917497 FAQ917497:FAS917497 FKM917497:FKO917497 FUI917497:FUK917497 GEE917497:GEG917497 GOA917497:GOC917497 GXW917497:GXY917497 HHS917497:HHU917497 HRO917497:HRQ917497 IBK917497:IBM917497 ILG917497:ILI917497 IVC917497:IVE917497 JEY917497:JFA917497 JOU917497:JOW917497 JYQ917497:JYS917497 KIM917497:KIO917497 KSI917497:KSK917497 LCE917497:LCG917497 LMA917497:LMC917497 LVW917497:LVY917497 MFS917497:MFU917497 MPO917497:MPQ917497 MZK917497:MZM917497 NJG917497:NJI917497 NTC917497:NTE917497 OCY917497:ODA917497 OMU917497:OMW917497 OWQ917497:OWS917497 PGM917497:PGO917497 PQI917497:PQK917497 QAE917497:QAG917497 QKA917497:QKC917497 QTW917497:QTY917497 RDS917497:RDU917497 RNO917497:RNQ917497 RXK917497:RXM917497 SHG917497:SHI917497 SRC917497:SRE917497 TAY917497:TBA917497 TKU917497:TKW917497 TUQ917497:TUS917497 UEM917497:UEO917497 UOI917497:UOK917497 UYE917497:UYG917497 VIA917497:VIC917497 VRW917497:VRY917497 WBS917497:WBU917497 WLO917497:WLQ917497 WVK917497:WVM917497 D983033:F983033 IY983033:JA983033 SU983033:SW983033 ACQ983033:ACS983033 AMM983033:AMO983033 AWI983033:AWK983033 BGE983033:BGG983033 BQA983033:BQC983033 BZW983033:BZY983033 CJS983033:CJU983033 CTO983033:CTQ983033 DDK983033:DDM983033 DNG983033:DNI983033 DXC983033:DXE983033 EGY983033:EHA983033 EQU983033:EQW983033 FAQ983033:FAS983033 FKM983033:FKO983033 FUI983033:FUK983033 GEE983033:GEG983033 GOA983033:GOC983033 GXW983033:GXY983033 HHS983033:HHU983033 HRO983033:HRQ983033 IBK983033:IBM983033 ILG983033:ILI983033 IVC983033:IVE983033 JEY983033:JFA983033 JOU983033:JOW983033 JYQ983033:JYS983033 KIM983033:KIO983033 KSI983033:KSK983033 LCE983033:LCG983033 LMA983033:LMC983033 LVW983033:LVY983033 MFS983033:MFU983033 MPO983033:MPQ983033 MZK983033:MZM983033 NJG983033:NJI983033 NTC983033:NTE983033 OCY983033:ODA983033 OMU983033:OMW983033 OWQ983033:OWS983033 PGM983033:PGO983033 PQI983033:PQK983033 QAE983033:QAG983033 QKA983033:QKC983033 QTW983033:QTY983033 RDS983033:RDU983033 RNO983033:RNQ983033 RXK983033:RXM983033 SHG983033:SHI983033 SRC983033:SRE983033 TAY983033:TBA983033 TKU983033:TKW983033 TUQ983033:TUS983033 UEM983033:UEO983033 UOI983033:UOK983033 UYE983033:UYG983033 VIA983033:VIC983033 VRW983033:VRY983033 WBS983033:WBU983033 WLO983033:WLQ983033 WVK983033:WVM983033"/>
    <dataValidation allowBlank="1" showInputMessage="1" showErrorMessage="1" promptTitle="Tanggal Lahir" prompt="Ketik Tanggal Lahir Pemohon sesuai KTP yang masih berlaku" sqref="I13:J13 JD13:JE13 SZ13:TA13 ACV13:ACW13 AMR13:AMS13 AWN13:AWO13 BGJ13:BGK13 BQF13:BQG13 CAB13:CAC13 CJX13:CJY13 CTT13:CTU13 DDP13:DDQ13 DNL13:DNM13 DXH13:DXI13 EHD13:EHE13 EQZ13:ERA13 FAV13:FAW13 FKR13:FKS13 FUN13:FUO13 GEJ13:GEK13 GOF13:GOG13 GYB13:GYC13 HHX13:HHY13 HRT13:HRU13 IBP13:IBQ13 ILL13:ILM13 IVH13:IVI13 JFD13:JFE13 JOZ13:JPA13 JYV13:JYW13 KIR13:KIS13 KSN13:KSO13 LCJ13:LCK13 LMF13:LMG13 LWB13:LWC13 MFX13:MFY13 MPT13:MPU13 MZP13:MZQ13 NJL13:NJM13 NTH13:NTI13 ODD13:ODE13 OMZ13:ONA13 OWV13:OWW13 PGR13:PGS13 PQN13:PQO13 QAJ13:QAK13 QKF13:QKG13 QUB13:QUC13 RDX13:RDY13 RNT13:RNU13 RXP13:RXQ13 SHL13:SHM13 SRH13:SRI13 TBD13:TBE13 TKZ13:TLA13 TUV13:TUW13 UER13:UES13 UON13:UOO13 UYJ13:UYK13 VIF13:VIG13 VSB13:VSC13 WBX13:WBY13 WLT13:WLU13 WVP13:WVQ13 I65529:J65529 JD65529:JE65529 SZ65529:TA65529 ACV65529:ACW65529 AMR65529:AMS65529 AWN65529:AWO65529 BGJ65529:BGK65529 BQF65529:BQG65529 CAB65529:CAC65529 CJX65529:CJY65529 CTT65529:CTU65529 DDP65529:DDQ65529 DNL65529:DNM65529 DXH65529:DXI65529 EHD65529:EHE65529 EQZ65529:ERA65529 FAV65529:FAW65529 FKR65529:FKS65529 FUN65529:FUO65529 GEJ65529:GEK65529 GOF65529:GOG65529 GYB65529:GYC65529 HHX65529:HHY65529 HRT65529:HRU65529 IBP65529:IBQ65529 ILL65529:ILM65529 IVH65529:IVI65529 JFD65529:JFE65529 JOZ65529:JPA65529 JYV65529:JYW65529 KIR65529:KIS65529 KSN65529:KSO65529 LCJ65529:LCK65529 LMF65529:LMG65529 LWB65529:LWC65529 MFX65529:MFY65529 MPT65529:MPU65529 MZP65529:MZQ65529 NJL65529:NJM65529 NTH65529:NTI65529 ODD65529:ODE65529 OMZ65529:ONA65529 OWV65529:OWW65529 PGR65529:PGS65529 PQN65529:PQO65529 QAJ65529:QAK65529 QKF65529:QKG65529 QUB65529:QUC65529 RDX65529:RDY65529 RNT65529:RNU65529 RXP65529:RXQ65529 SHL65529:SHM65529 SRH65529:SRI65529 TBD65529:TBE65529 TKZ65529:TLA65529 TUV65529:TUW65529 UER65529:UES65529 UON65529:UOO65529 UYJ65529:UYK65529 VIF65529:VIG65529 VSB65529:VSC65529 WBX65529:WBY65529 WLT65529:WLU65529 WVP65529:WVQ65529 I131065:J131065 JD131065:JE131065 SZ131065:TA131065 ACV131065:ACW131065 AMR131065:AMS131065 AWN131065:AWO131065 BGJ131065:BGK131065 BQF131065:BQG131065 CAB131065:CAC131065 CJX131065:CJY131065 CTT131065:CTU131065 DDP131065:DDQ131065 DNL131065:DNM131065 DXH131065:DXI131065 EHD131065:EHE131065 EQZ131065:ERA131065 FAV131065:FAW131065 FKR131065:FKS131065 FUN131065:FUO131065 GEJ131065:GEK131065 GOF131065:GOG131065 GYB131065:GYC131065 HHX131065:HHY131065 HRT131065:HRU131065 IBP131065:IBQ131065 ILL131065:ILM131065 IVH131065:IVI131065 JFD131065:JFE131065 JOZ131065:JPA131065 JYV131065:JYW131065 KIR131065:KIS131065 KSN131065:KSO131065 LCJ131065:LCK131065 LMF131065:LMG131065 LWB131065:LWC131065 MFX131065:MFY131065 MPT131065:MPU131065 MZP131065:MZQ131065 NJL131065:NJM131065 NTH131065:NTI131065 ODD131065:ODE131065 OMZ131065:ONA131065 OWV131065:OWW131065 PGR131065:PGS131065 PQN131065:PQO131065 QAJ131065:QAK131065 QKF131065:QKG131065 QUB131065:QUC131065 RDX131065:RDY131065 RNT131065:RNU131065 RXP131065:RXQ131065 SHL131065:SHM131065 SRH131065:SRI131065 TBD131065:TBE131065 TKZ131065:TLA131065 TUV131065:TUW131065 UER131065:UES131065 UON131065:UOO131065 UYJ131065:UYK131065 VIF131065:VIG131065 VSB131065:VSC131065 WBX131065:WBY131065 WLT131065:WLU131065 WVP131065:WVQ131065 I196601:J196601 JD196601:JE196601 SZ196601:TA196601 ACV196601:ACW196601 AMR196601:AMS196601 AWN196601:AWO196601 BGJ196601:BGK196601 BQF196601:BQG196601 CAB196601:CAC196601 CJX196601:CJY196601 CTT196601:CTU196601 DDP196601:DDQ196601 DNL196601:DNM196601 DXH196601:DXI196601 EHD196601:EHE196601 EQZ196601:ERA196601 FAV196601:FAW196601 FKR196601:FKS196601 FUN196601:FUO196601 GEJ196601:GEK196601 GOF196601:GOG196601 GYB196601:GYC196601 HHX196601:HHY196601 HRT196601:HRU196601 IBP196601:IBQ196601 ILL196601:ILM196601 IVH196601:IVI196601 JFD196601:JFE196601 JOZ196601:JPA196601 JYV196601:JYW196601 KIR196601:KIS196601 KSN196601:KSO196601 LCJ196601:LCK196601 LMF196601:LMG196601 LWB196601:LWC196601 MFX196601:MFY196601 MPT196601:MPU196601 MZP196601:MZQ196601 NJL196601:NJM196601 NTH196601:NTI196601 ODD196601:ODE196601 OMZ196601:ONA196601 OWV196601:OWW196601 PGR196601:PGS196601 PQN196601:PQO196601 QAJ196601:QAK196601 QKF196601:QKG196601 QUB196601:QUC196601 RDX196601:RDY196601 RNT196601:RNU196601 RXP196601:RXQ196601 SHL196601:SHM196601 SRH196601:SRI196601 TBD196601:TBE196601 TKZ196601:TLA196601 TUV196601:TUW196601 UER196601:UES196601 UON196601:UOO196601 UYJ196601:UYK196601 VIF196601:VIG196601 VSB196601:VSC196601 WBX196601:WBY196601 WLT196601:WLU196601 WVP196601:WVQ196601 I262137:J262137 JD262137:JE262137 SZ262137:TA262137 ACV262137:ACW262137 AMR262137:AMS262137 AWN262137:AWO262137 BGJ262137:BGK262137 BQF262137:BQG262137 CAB262137:CAC262137 CJX262137:CJY262137 CTT262137:CTU262137 DDP262137:DDQ262137 DNL262137:DNM262137 DXH262137:DXI262137 EHD262137:EHE262137 EQZ262137:ERA262137 FAV262137:FAW262137 FKR262137:FKS262137 FUN262137:FUO262137 GEJ262137:GEK262137 GOF262137:GOG262137 GYB262137:GYC262137 HHX262137:HHY262137 HRT262137:HRU262137 IBP262137:IBQ262137 ILL262137:ILM262137 IVH262137:IVI262137 JFD262137:JFE262137 JOZ262137:JPA262137 JYV262137:JYW262137 KIR262137:KIS262137 KSN262137:KSO262137 LCJ262137:LCK262137 LMF262137:LMG262137 LWB262137:LWC262137 MFX262137:MFY262137 MPT262137:MPU262137 MZP262137:MZQ262137 NJL262137:NJM262137 NTH262137:NTI262137 ODD262137:ODE262137 OMZ262137:ONA262137 OWV262137:OWW262137 PGR262137:PGS262137 PQN262137:PQO262137 QAJ262137:QAK262137 QKF262137:QKG262137 QUB262137:QUC262137 RDX262137:RDY262137 RNT262137:RNU262137 RXP262137:RXQ262137 SHL262137:SHM262137 SRH262137:SRI262137 TBD262137:TBE262137 TKZ262137:TLA262137 TUV262137:TUW262137 UER262137:UES262137 UON262137:UOO262137 UYJ262137:UYK262137 VIF262137:VIG262137 VSB262137:VSC262137 WBX262137:WBY262137 WLT262137:WLU262137 WVP262137:WVQ262137 I327673:J327673 JD327673:JE327673 SZ327673:TA327673 ACV327673:ACW327673 AMR327673:AMS327673 AWN327673:AWO327673 BGJ327673:BGK327673 BQF327673:BQG327673 CAB327673:CAC327673 CJX327673:CJY327673 CTT327673:CTU327673 DDP327673:DDQ327673 DNL327673:DNM327673 DXH327673:DXI327673 EHD327673:EHE327673 EQZ327673:ERA327673 FAV327673:FAW327673 FKR327673:FKS327673 FUN327673:FUO327673 GEJ327673:GEK327673 GOF327673:GOG327673 GYB327673:GYC327673 HHX327673:HHY327673 HRT327673:HRU327673 IBP327673:IBQ327673 ILL327673:ILM327673 IVH327673:IVI327673 JFD327673:JFE327673 JOZ327673:JPA327673 JYV327673:JYW327673 KIR327673:KIS327673 KSN327673:KSO327673 LCJ327673:LCK327673 LMF327673:LMG327673 LWB327673:LWC327673 MFX327673:MFY327673 MPT327673:MPU327673 MZP327673:MZQ327673 NJL327673:NJM327673 NTH327673:NTI327673 ODD327673:ODE327673 OMZ327673:ONA327673 OWV327673:OWW327673 PGR327673:PGS327673 PQN327673:PQO327673 QAJ327673:QAK327673 QKF327673:QKG327673 QUB327673:QUC327673 RDX327673:RDY327673 RNT327673:RNU327673 RXP327673:RXQ327673 SHL327673:SHM327673 SRH327673:SRI327673 TBD327673:TBE327673 TKZ327673:TLA327673 TUV327673:TUW327673 UER327673:UES327673 UON327673:UOO327673 UYJ327673:UYK327673 VIF327673:VIG327673 VSB327673:VSC327673 WBX327673:WBY327673 WLT327673:WLU327673 WVP327673:WVQ327673 I393209:J393209 JD393209:JE393209 SZ393209:TA393209 ACV393209:ACW393209 AMR393209:AMS393209 AWN393209:AWO393209 BGJ393209:BGK393209 BQF393209:BQG393209 CAB393209:CAC393209 CJX393209:CJY393209 CTT393209:CTU393209 DDP393209:DDQ393209 DNL393209:DNM393209 DXH393209:DXI393209 EHD393209:EHE393209 EQZ393209:ERA393209 FAV393209:FAW393209 FKR393209:FKS393209 FUN393209:FUO393209 GEJ393209:GEK393209 GOF393209:GOG393209 GYB393209:GYC393209 HHX393209:HHY393209 HRT393209:HRU393209 IBP393209:IBQ393209 ILL393209:ILM393209 IVH393209:IVI393209 JFD393209:JFE393209 JOZ393209:JPA393209 JYV393209:JYW393209 KIR393209:KIS393209 KSN393209:KSO393209 LCJ393209:LCK393209 LMF393209:LMG393209 LWB393209:LWC393209 MFX393209:MFY393209 MPT393209:MPU393209 MZP393209:MZQ393209 NJL393209:NJM393209 NTH393209:NTI393209 ODD393209:ODE393209 OMZ393209:ONA393209 OWV393209:OWW393209 PGR393209:PGS393209 PQN393209:PQO393209 QAJ393209:QAK393209 QKF393209:QKG393209 QUB393209:QUC393209 RDX393209:RDY393209 RNT393209:RNU393209 RXP393209:RXQ393209 SHL393209:SHM393209 SRH393209:SRI393209 TBD393209:TBE393209 TKZ393209:TLA393209 TUV393209:TUW393209 UER393209:UES393209 UON393209:UOO393209 UYJ393209:UYK393209 VIF393209:VIG393209 VSB393209:VSC393209 WBX393209:WBY393209 WLT393209:WLU393209 WVP393209:WVQ393209 I458745:J458745 JD458745:JE458745 SZ458745:TA458745 ACV458745:ACW458745 AMR458745:AMS458745 AWN458745:AWO458745 BGJ458745:BGK458745 BQF458745:BQG458745 CAB458745:CAC458745 CJX458745:CJY458745 CTT458745:CTU458745 DDP458745:DDQ458745 DNL458745:DNM458745 DXH458745:DXI458745 EHD458745:EHE458745 EQZ458745:ERA458745 FAV458745:FAW458745 FKR458745:FKS458745 FUN458745:FUO458745 GEJ458745:GEK458745 GOF458745:GOG458745 GYB458745:GYC458745 HHX458745:HHY458745 HRT458745:HRU458745 IBP458745:IBQ458745 ILL458745:ILM458745 IVH458745:IVI458745 JFD458745:JFE458745 JOZ458745:JPA458745 JYV458745:JYW458745 KIR458745:KIS458745 KSN458745:KSO458745 LCJ458745:LCK458745 LMF458745:LMG458745 LWB458745:LWC458745 MFX458745:MFY458745 MPT458745:MPU458745 MZP458745:MZQ458745 NJL458745:NJM458745 NTH458745:NTI458745 ODD458745:ODE458745 OMZ458745:ONA458745 OWV458745:OWW458745 PGR458745:PGS458745 PQN458745:PQO458745 QAJ458745:QAK458745 QKF458745:QKG458745 QUB458745:QUC458745 RDX458745:RDY458745 RNT458745:RNU458745 RXP458745:RXQ458745 SHL458745:SHM458745 SRH458745:SRI458745 TBD458745:TBE458745 TKZ458745:TLA458745 TUV458745:TUW458745 UER458745:UES458745 UON458745:UOO458745 UYJ458745:UYK458745 VIF458745:VIG458745 VSB458745:VSC458745 WBX458745:WBY458745 WLT458745:WLU458745 WVP458745:WVQ458745 I524281:J524281 JD524281:JE524281 SZ524281:TA524281 ACV524281:ACW524281 AMR524281:AMS524281 AWN524281:AWO524281 BGJ524281:BGK524281 BQF524281:BQG524281 CAB524281:CAC524281 CJX524281:CJY524281 CTT524281:CTU524281 DDP524281:DDQ524281 DNL524281:DNM524281 DXH524281:DXI524281 EHD524281:EHE524281 EQZ524281:ERA524281 FAV524281:FAW524281 FKR524281:FKS524281 FUN524281:FUO524281 GEJ524281:GEK524281 GOF524281:GOG524281 GYB524281:GYC524281 HHX524281:HHY524281 HRT524281:HRU524281 IBP524281:IBQ524281 ILL524281:ILM524281 IVH524281:IVI524281 JFD524281:JFE524281 JOZ524281:JPA524281 JYV524281:JYW524281 KIR524281:KIS524281 KSN524281:KSO524281 LCJ524281:LCK524281 LMF524281:LMG524281 LWB524281:LWC524281 MFX524281:MFY524281 MPT524281:MPU524281 MZP524281:MZQ524281 NJL524281:NJM524281 NTH524281:NTI524281 ODD524281:ODE524281 OMZ524281:ONA524281 OWV524281:OWW524281 PGR524281:PGS524281 PQN524281:PQO524281 QAJ524281:QAK524281 QKF524281:QKG524281 QUB524281:QUC524281 RDX524281:RDY524281 RNT524281:RNU524281 RXP524281:RXQ524281 SHL524281:SHM524281 SRH524281:SRI524281 TBD524281:TBE524281 TKZ524281:TLA524281 TUV524281:TUW524281 UER524281:UES524281 UON524281:UOO524281 UYJ524281:UYK524281 VIF524281:VIG524281 VSB524281:VSC524281 WBX524281:WBY524281 WLT524281:WLU524281 WVP524281:WVQ524281 I589817:J589817 JD589817:JE589817 SZ589817:TA589817 ACV589817:ACW589817 AMR589817:AMS589817 AWN589817:AWO589817 BGJ589817:BGK589817 BQF589817:BQG589817 CAB589817:CAC589817 CJX589817:CJY589817 CTT589817:CTU589817 DDP589817:DDQ589817 DNL589817:DNM589817 DXH589817:DXI589817 EHD589817:EHE589817 EQZ589817:ERA589817 FAV589817:FAW589817 FKR589817:FKS589817 FUN589817:FUO589817 GEJ589817:GEK589817 GOF589817:GOG589817 GYB589817:GYC589817 HHX589817:HHY589817 HRT589817:HRU589817 IBP589817:IBQ589817 ILL589817:ILM589817 IVH589817:IVI589817 JFD589817:JFE589817 JOZ589817:JPA589817 JYV589817:JYW589817 KIR589817:KIS589817 KSN589817:KSO589817 LCJ589817:LCK589817 LMF589817:LMG589817 LWB589817:LWC589817 MFX589817:MFY589817 MPT589817:MPU589817 MZP589817:MZQ589817 NJL589817:NJM589817 NTH589817:NTI589817 ODD589817:ODE589817 OMZ589817:ONA589817 OWV589817:OWW589817 PGR589817:PGS589817 PQN589817:PQO589817 QAJ589817:QAK589817 QKF589817:QKG589817 QUB589817:QUC589817 RDX589817:RDY589817 RNT589817:RNU589817 RXP589817:RXQ589817 SHL589817:SHM589817 SRH589817:SRI589817 TBD589817:TBE589817 TKZ589817:TLA589817 TUV589817:TUW589817 UER589817:UES589817 UON589817:UOO589817 UYJ589817:UYK589817 VIF589817:VIG589817 VSB589817:VSC589817 WBX589817:WBY589817 WLT589817:WLU589817 WVP589817:WVQ589817 I655353:J655353 JD655353:JE655353 SZ655353:TA655353 ACV655353:ACW655353 AMR655353:AMS655353 AWN655353:AWO655353 BGJ655353:BGK655353 BQF655353:BQG655353 CAB655353:CAC655353 CJX655353:CJY655353 CTT655353:CTU655353 DDP655353:DDQ655353 DNL655353:DNM655353 DXH655353:DXI655353 EHD655353:EHE655353 EQZ655353:ERA655353 FAV655353:FAW655353 FKR655353:FKS655353 FUN655353:FUO655353 GEJ655353:GEK655353 GOF655353:GOG655353 GYB655353:GYC655353 HHX655353:HHY655353 HRT655353:HRU655353 IBP655353:IBQ655353 ILL655353:ILM655353 IVH655353:IVI655353 JFD655353:JFE655353 JOZ655353:JPA655353 JYV655353:JYW655353 KIR655353:KIS655353 KSN655353:KSO655353 LCJ655353:LCK655353 LMF655353:LMG655353 LWB655353:LWC655353 MFX655353:MFY655353 MPT655353:MPU655353 MZP655353:MZQ655353 NJL655353:NJM655353 NTH655353:NTI655353 ODD655353:ODE655353 OMZ655353:ONA655353 OWV655353:OWW655353 PGR655353:PGS655353 PQN655353:PQO655353 QAJ655353:QAK655353 QKF655353:QKG655353 QUB655353:QUC655353 RDX655353:RDY655353 RNT655353:RNU655353 RXP655353:RXQ655353 SHL655353:SHM655353 SRH655353:SRI655353 TBD655353:TBE655353 TKZ655353:TLA655353 TUV655353:TUW655353 UER655353:UES655353 UON655353:UOO655353 UYJ655353:UYK655353 VIF655353:VIG655353 VSB655353:VSC655353 WBX655353:WBY655353 WLT655353:WLU655353 WVP655353:WVQ655353 I720889:J720889 JD720889:JE720889 SZ720889:TA720889 ACV720889:ACW720889 AMR720889:AMS720889 AWN720889:AWO720889 BGJ720889:BGK720889 BQF720889:BQG720889 CAB720889:CAC720889 CJX720889:CJY720889 CTT720889:CTU720889 DDP720889:DDQ720889 DNL720889:DNM720889 DXH720889:DXI720889 EHD720889:EHE720889 EQZ720889:ERA720889 FAV720889:FAW720889 FKR720889:FKS720889 FUN720889:FUO720889 GEJ720889:GEK720889 GOF720889:GOG720889 GYB720889:GYC720889 HHX720889:HHY720889 HRT720889:HRU720889 IBP720889:IBQ720889 ILL720889:ILM720889 IVH720889:IVI720889 JFD720889:JFE720889 JOZ720889:JPA720889 JYV720889:JYW720889 KIR720889:KIS720889 KSN720889:KSO720889 LCJ720889:LCK720889 LMF720889:LMG720889 LWB720889:LWC720889 MFX720889:MFY720889 MPT720889:MPU720889 MZP720889:MZQ720889 NJL720889:NJM720889 NTH720889:NTI720889 ODD720889:ODE720889 OMZ720889:ONA720889 OWV720889:OWW720889 PGR720889:PGS720889 PQN720889:PQO720889 QAJ720889:QAK720889 QKF720889:QKG720889 QUB720889:QUC720889 RDX720889:RDY720889 RNT720889:RNU720889 RXP720889:RXQ720889 SHL720889:SHM720889 SRH720889:SRI720889 TBD720889:TBE720889 TKZ720889:TLA720889 TUV720889:TUW720889 UER720889:UES720889 UON720889:UOO720889 UYJ720889:UYK720889 VIF720889:VIG720889 VSB720889:VSC720889 WBX720889:WBY720889 WLT720889:WLU720889 WVP720889:WVQ720889 I786425:J786425 JD786425:JE786425 SZ786425:TA786425 ACV786425:ACW786425 AMR786425:AMS786425 AWN786425:AWO786425 BGJ786425:BGK786425 BQF786425:BQG786425 CAB786425:CAC786425 CJX786425:CJY786425 CTT786425:CTU786425 DDP786425:DDQ786425 DNL786425:DNM786425 DXH786425:DXI786425 EHD786425:EHE786425 EQZ786425:ERA786425 FAV786425:FAW786425 FKR786425:FKS786425 FUN786425:FUO786425 GEJ786425:GEK786425 GOF786425:GOG786425 GYB786425:GYC786425 HHX786425:HHY786425 HRT786425:HRU786425 IBP786425:IBQ786425 ILL786425:ILM786425 IVH786425:IVI786425 JFD786425:JFE786425 JOZ786425:JPA786425 JYV786425:JYW786425 KIR786425:KIS786425 KSN786425:KSO786425 LCJ786425:LCK786425 LMF786425:LMG786425 LWB786425:LWC786425 MFX786425:MFY786425 MPT786425:MPU786425 MZP786425:MZQ786425 NJL786425:NJM786425 NTH786425:NTI786425 ODD786425:ODE786425 OMZ786425:ONA786425 OWV786425:OWW786425 PGR786425:PGS786425 PQN786425:PQO786425 QAJ786425:QAK786425 QKF786425:QKG786425 QUB786425:QUC786425 RDX786425:RDY786425 RNT786425:RNU786425 RXP786425:RXQ786425 SHL786425:SHM786425 SRH786425:SRI786425 TBD786425:TBE786425 TKZ786425:TLA786425 TUV786425:TUW786425 UER786425:UES786425 UON786425:UOO786425 UYJ786425:UYK786425 VIF786425:VIG786425 VSB786425:VSC786425 WBX786425:WBY786425 WLT786425:WLU786425 WVP786425:WVQ786425 I851961:J851961 JD851961:JE851961 SZ851961:TA851961 ACV851961:ACW851961 AMR851961:AMS851961 AWN851961:AWO851961 BGJ851961:BGK851961 BQF851961:BQG851961 CAB851961:CAC851961 CJX851961:CJY851961 CTT851961:CTU851961 DDP851961:DDQ851961 DNL851961:DNM851961 DXH851961:DXI851961 EHD851961:EHE851961 EQZ851961:ERA851961 FAV851961:FAW851961 FKR851961:FKS851961 FUN851961:FUO851961 GEJ851961:GEK851961 GOF851961:GOG851961 GYB851961:GYC851961 HHX851961:HHY851961 HRT851961:HRU851961 IBP851961:IBQ851961 ILL851961:ILM851961 IVH851961:IVI851961 JFD851961:JFE851961 JOZ851961:JPA851961 JYV851961:JYW851961 KIR851961:KIS851961 KSN851961:KSO851961 LCJ851961:LCK851961 LMF851961:LMG851961 LWB851961:LWC851961 MFX851961:MFY851961 MPT851961:MPU851961 MZP851961:MZQ851961 NJL851961:NJM851961 NTH851961:NTI851961 ODD851961:ODE851961 OMZ851961:ONA851961 OWV851961:OWW851961 PGR851961:PGS851961 PQN851961:PQO851961 QAJ851961:QAK851961 QKF851961:QKG851961 QUB851961:QUC851961 RDX851961:RDY851961 RNT851961:RNU851961 RXP851961:RXQ851961 SHL851961:SHM851961 SRH851961:SRI851961 TBD851961:TBE851961 TKZ851961:TLA851961 TUV851961:TUW851961 UER851961:UES851961 UON851961:UOO851961 UYJ851961:UYK851961 VIF851961:VIG851961 VSB851961:VSC851961 WBX851961:WBY851961 WLT851961:WLU851961 WVP851961:WVQ851961 I917497:J917497 JD917497:JE917497 SZ917497:TA917497 ACV917497:ACW917497 AMR917497:AMS917497 AWN917497:AWO917497 BGJ917497:BGK917497 BQF917497:BQG917497 CAB917497:CAC917497 CJX917497:CJY917497 CTT917497:CTU917497 DDP917497:DDQ917497 DNL917497:DNM917497 DXH917497:DXI917497 EHD917497:EHE917497 EQZ917497:ERA917497 FAV917497:FAW917497 FKR917497:FKS917497 FUN917497:FUO917497 GEJ917497:GEK917497 GOF917497:GOG917497 GYB917497:GYC917497 HHX917497:HHY917497 HRT917497:HRU917497 IBP917497:IBQ917497 ILL917497:ILM917497 IVH917497:IVI917497 JFD917497:JFE917497 JOZ917497:JPA917497 JYV917497:JYW917497 KIR917497:KIS917497 KSN917497:KSO917497 LCJ917497:LCK917497 LMF917497:LMG917497 LWB917497:LWC917497 MFX917497:MFY917497 MPT917497:MPU917497 MZP917497:MZQ917497 NJL917497:NJM917497 NTH917497:NTI917497 ODD917497:ODE917497 OMZ917497:ONA917497 OWV917497:OWW917497 PGR917497:PGS917497 PQN917497:PQO917497 QAJ917497:QAK917497 QKF917497:QKG917497 QUB917497:QUC917497 RDX917497:RDY917497 RNT917497:RNU917497 RXP917497:RXQ917497 SHL917497:SHM917497 SRH917497:SRI917497 TBD917497:TBE917497 TKZ917497:TLA917497 TUV917497:TUW917497 UER917497:UES917497 UON917497:UOO917497 UYJ917497:UYK917497 VIF917497:VIG917497 VSB917497:VSC917497 WBX917497:WBY917497 WLT917497:WLU917497 WVP917497:WVQ917497 I983033:J983033 JD983033:JE983033 SZ983033:TA983033 ACV983033:ACW983033 AMR983033:AMS983033 AWN983033:AWO983033 BGJ983033:BGK983033 BQF983033:BQG983033 CAB983033:CAC983033 CJX983033:CJY983033 CTT983033:CTU983033 DDP983033:DDQ983033 DNL983033:DNM983033 DXH983033:DXI983033 EHD983033:EHE983033 EQZ983033:ERA983033 FAV983033:FAW983033 FKR983033:FKS983033 FUN983033:FUO983033 GEJ983033:GEK983033 GOF983033:GOG983033 GYB983033:GYC983033 HHX983033:HHY983033 HRT983033:HRU983033 IBP983033:IBQ983033 ILL983033:ILM983033 IVH983033:IVI983033 JFD983033:JFE983033 JOZ983033:JPA983033 JYV983033:JYW983033 KIR983033:KIS983033 KSN983033:KSO983033 LCJ983033:LCK983033 LMF983033:LMG983033 LWB983033:LWC983033 MFX983033:MFY983033 MPT983033:MPU983033 MZP983033:MZQ983033 NJL983033:NJM983033 NTH983033:NTI983033 ODD983033:ODE983033 OMZ983033:ONA983033 OWV983033:OWW983033 PGR983033:PGS983033 PQN983033:PQO983033 QAJ983033:QAK983033 QKF983033:QKG983033 QUB983033:QUC983033 RDX983033:RDY983033 RNT983033:RNU983033 RXP983033:RXQ983033 SHL983033:SHM983033 SRH983033:SRI983033 TBD983033:TBE983033 TKZ983033:TLA983033 TUV983033:TUW983033 UER983033:UES983033 UON983033:UOO983033 UYJ983033:UYK983033 VIF983033:VIG983033 VSB983033:VSC983033 WBX983033:WBY983033 WLT983033:WLU983033 WVP983033:WVQ983033"/>
    <dataValidation allowBlank="1" showInputMessage="1" showErrorMessage="1" promptTitle="Masa Berlaku KTP" prompt="Ketik masa berlaku KTP pemohon" sqref="WVP983034:WVQ983034 JD14:JE14 SZ14:TA14 ACV14:ACW14 AMR14:AMS14 AWN14:AWO14 BGJ14:BGK14 BQF14:BQG14 CAB14:CAC14 CJX14:CJY14 CTT14:CTU14 DDP14:DDQ14 DNL14:DNM14 DXH14:DXI14 EHD14:EHE14 EQZ14:ERA14 FAV14:FAW14 FKR14:FKS14 FUN14:FUO14 GEJ14:GEK14 GOF14:GOG14 GYB14:GYC14 HHX14:HHY14 HRT14:HRU14 IBP14:IBQ14 ILL14:ILM14 IVH14:IVI14 JFD14:JFE14 JOZ14:JPA14 JYV14:JYW14 KIR14:KIS14 KSN14:KSO14 LCJ14:LCK14 LMF14:LMG14 LWB14:LWC14 MFX14:MFY14 MPT14:MPU14 MZP14:MZQ14 NJL14:NJM14 NTH14:NTI14 ODD14:ODE14 OMZ14:ONA14 OWV14:OWW14 PGR14:PGS14 PQN14:PQO14 QAJ14:QAK14 QKF14:QKG14 QUB14:QUC14 RDX14:RDY14 RNT14:RNU14 RXP14:RXQ14 SHL14:SHM14 SRH14:SRI14 TBD14:TBE14 TKZ14:TLA14 TUV14:TUW14 UER14:UES14 UON14:UOO14 UYJ14:UYK14 VIF14:VIG14 VSB14:VSC14 WBX14:WBY14 WLT14:WLU14 WVP14:WVQ14 I65530:J65530 JD65530:JE65530 SZ65530:TA65530 ACV65530:ACW65530 AMR65530:AMS65530 AWN65530:AWO65530 BGJ65530:BGK65530 BQF65530:BQG65530 CAB65530:CAC65530 CJX65530:CJY65530 CTT65530:CTU65530 DDP65530:DDQ65530 DNL65530:DNM65530 DXH65530:DXI65530 EHD65530:EHE65530 EQZ65530:ERA65530 FAV65530:FAW65530 FKR65530:FKS65530 FUN65530:FUO65530 GEJ65530:GEK65530 GOF65530:GOG65530 GYB65530:GYC65530 HHX65530:HHY65530 HRT65530:HRU65530 IBP65530:IBQ65530 ILL65530:ILM65530 IVH65530:IVI65530 JFD65530:JFE65530 JOZ65530:JPA65530 JYV65530:JYW65530 KIR65530:KIS65530 KSN65530:KSO65530 LCJ65530:LCK65530 LMF65530:LMG65530 LWB65530:LWC65530 MFX65530:MFY65530 MPT65530:MPU65530 MZP65530:MZQ65530 NJL65530:NJM65530 NTH65530:NTI65530 ODD65530:ODE65530 OMZ65530:ONA65530 OWV65530:OWW65530 PGR65530:PGS65530 PQN65530:PQO65530 QAJ65530:QAK65530 QKF65530:QKG65530 QUB65530:QUC65530 RDX65530:RDY65530 RNT65530:RNU65530 RXP65530:RXQ65530 SHL65530:SHM65530 SRH65530:SRI65530 TBD65530:TBE65530 TKZ65530:TLA65530 TUV65530:TUW65530 UER65530:UES65530 UON65530:UOO65530 UYJ65530:UYK65530 VIF65530:VIG65530 VSB65530:VSC65530 WBX65530:WBY65530 WLT65530:WLU65530 WVP65530:WVQ65530 I131066:J131066 JD131066:JE131066 SZ131066:TA131066 ACV131066:ACW131066 AMR131066:AMS131066 AWN131066:AWO131066 BGJ131066:BGK131066 BQF131066:BQG131066 CAB131066:CAC131066 CJX131066:CJY131066 CTT131066:CTU131066 DDP131066:DDQ131066 DNL131066:DNM131066 DXH131066:DXI131066 EHD131066:EHE131066 EQZ131066:ERA131066 FAV131066:FAW131066 FKR131066:FKS131066 FUN131066:FUO131066 GEJ131066:GEK131066 GOF131066:GOG131066 GYB131066:GYC131066 HHX131066:HHY131066 HRT131066:HRU131066 IBP131066:IBQ131066 ILL131066:ILM131066 IVH131066:IVI131066 JFD131066:JFE131066 JOZ131066:JPA131066 JYV131066:JYW131066 KIR131066:KIS131066 KSN131066:KSO131066 LCJ131066:LCK131066 LMF131066:LMG131066 LWB131066:LWC131066 MFX131066:MFY131066 MPT131066:MPU131066 MZP131066:MZQ131066 NJL131066:NJM131066 NTH131066:NTI131066 ODD131066:ODE131066 OMZ131066:ONA131066 OWV131066:OWW131066 PGR131066:PGS131066 PQN131066:PQO131066 QAJ131066:QAK131066 QKF131066:QKG131066 QUB131066:QUC131066 RDX131066:RDY131066 RNT131066:RNU131066 RXP131066:RXQ131066 SHL131066:SHM131066 SRH131066:SRI131066 TBD131066:TBE131066 TKZ131066:TLA131066 TUV131066:TUW131066 UER131066:UES131066 UON131066:UOO131066 UYJ131066:UYK131066 VIF131066:VIG131066 VSB131066:VSC131066 WBX131066:WBY131066 WLT131066:WLU131066 WVP131066:WVQ131066 I196602:J196602 JD196602:JE196602 SZ196602:TA196602 ACV196602:ACW196602 AMR196602:AMS196602 AWN196602:AWO196602 BGJ196602:BGK196602 BQF196602:BQG196602 CAB196602:CAC196602 CJX196602:CJY196602 CTT196602:CTU196602 DDP196602:DDQ196602 DNL196602:DNM196602 DXH196602:DXI196602 EHD196602:EHE196602 EQZ196602:ERA196602 FAV196602:FAW196602 FKR196602:FKS196602 FUN196602:FUO196602 GEJ196602:GEK196602 GOF196602:GOG196602 GYB196602:GYC196602 HHX196602:HHY196602 HRT196602:HRU196602 IBP196602:IBQ196602 ILL196602:ILM196602 IVH196602:IVI196602 JFD196602:JFE196602 JOZ196602:JPA196602 JYV196602:JYW196602 KIR196602:KIS196602 KSN196602:KSO196602 LCJ196602:LCK196602 LMF196602:LMG196602 LWB196602:LWC196602 MFX196602:MFY196602 MPT196602:MPU196602 MZP196602:MZQ196602 NJL196602:NJM196602 NTH196602:NTI196602 ODD196602:ODE196602 OMZ196602:ONA196602 OWV196602:OWW196602 PGR196602:PGS196602 PQN196602:PQO196602 QAJ196602:QAK196602 QKF196602:QKG196602 QUB196602:QUC196602 RDX196602:RDY196602 RNT196602:RNU196602 RXP196602:RXQ196602 SHL196602:SHM196602 SRH196602:SRI196602 TBD196602:TBE196602 TKZ196602:TLA196602 TUV196602:TUW196602 UER196602:UES196602 UON196602:UOO196602 UYJ196602:UYK196602 VIF196602:VIG196602 VSB196602:VSC196602 WBX196602:WBY196602 WLT196602:WLU196602 WVP196602:WVQ196602 I262138:J262138 JD262138:JE262138 SZ262138:TA262138 ACV262138:ACW262138 AMR262138:AMS262138 AWN262138:AWO262138 BGJ262138:BGK262138 BQF262138:BQG262138 CAB262138:CAC262138 CJX262138:CJY262138 CTT262138:CTU262138 DDP262138:DDQ262138 DNL262138:DNM262138 DXH262138:DXI262138 EHD262138:EHE262138 EQZ262138:ERA262138 FAV262138:FAW262138 FKR262138:FKS262138 FUN262138:FUO262138 GEJ262138:GEK262138 GOF262138:GOG262138 GYB262138:GYC262138 HHX262138:HHY262138 HRT262138:HRU262138 IBP262138:IBQ262138 ILL262138:ILM262138 IVH262138:IVI262138 JFD262138:JFE262138 JOZ262138:JPA262138 JYV262138:JYW262138 KIR262138:KIS262138 KSN262138:KSO262138 LCJ262138:LCK262138 LMF262138:LMG262138 LWB262138:LWC262138 MFX262138:MFY262138 MPT262138:MPU262138 MZP262138:MZQ262138 NJL262138:NJM262138 NTH262138:NTI262138 ODD262138:ODE262138 OMZ262138:ONA262138 OWV262138:OWW262138 PGR262138:PGS262138 PQN262138:PQO262138 QAJ262138:QAK262138 QKF262138:QKG262138 QUB262138:QUC262138 RDX262138:RDY262138 RNT262138:RNU262138 RXP262138:RXQ262138 SHL262138:SHM262138 SRH262138:SRI262138 TBD262138:TBE262138 TKZ262138:TLA262138 TUV262138:TUW262138 UER262138:UES262138 UON262138:UOO262138 UYJ262138:UYK262138 VIF262138:VIG262138 VSB262138:VSC262138 WBX262138:WBY262138 WLT262138:WLU262138 WVP262138:WVQ262138 I327674:J327674 JD327674:JE327674 SZ327674:TA327674 ACV327674:ACW327674 AMR327674:AMS327674 AWN327674:AWO327674 BGJ327674:BGK327674 BQF327674:BQG327674 CAB327674:CAC327674 CJX327674:CJY327674 CTT327674:CTU327674 DDP327674:DDQ327674 DNL327674:DNM327674 DXH327674:DXI327674 EHD327674:EHE327674 EQZ327674:ERA327674 FAV327674:FAW327674 FKR327674:FKS327674 FUN327674:FUO327674 GEJ327674:GEK327674 GOF327674:GOG327674 GYB327674:GYC327674 HHX327674:HHY327674 HRT327674:HRU327674 IBP327674:IBQ327674 ILL327674:ILM327674 IVH327674:IVI327674 JFD327674:JFE327674 JOZ327674:JPA327674 JYV327674:JYW327674 KIR327674:KIS327674 KSN327674:KSO327674 LCJ327674:LCK327674 LMF327674:LMG327674 LWB327674:LWC327674 MFX327674:MFY327674 MPT327674:MPU327674 MZP327674:MZQ327674 NJL327674:NJM327674 NTH327674:NTI327674 ODD327674:ODE327674 OMZ327674:ONA327674 OWV327674:OWW327674 PGR327674:PGS327674 PQN327674:PQO327674 QAJ327674:QAK327674 QKF327674:QKG327674 QUB327674:QUC327674 RDX327674:RDY327674 RNT327674:RNU327674 RXP327674:RXQ327674 SHL327674:SHM327674 SRH327674:SRI327674 TBD327674:TBE327674 TKZ327674:TLA327674 TUV327674:TUW327674 UER327674:UES327674 UON327674:UOO327674 UYJ327674:UYK327674 VIF327674:VIG327674 VSB327674:VSC327674 WBX327674:WBY327674 WLT327674:WLU327674 WVP327674:WVQ327674 I393210:J393210 JD393210:JE393210 SZ393210:TA393210 ACV393210:ACW393210 AMR393210:AMS393210 AWN393210:AWO393210 BGJ393210:BGK393210 BQF393210:BQG393210 CAB393210:CAC393210 CJX393210:CJY393210 CTT393210:CTU393210 DDP393210:DDQ393210 DNL393210:DNM393210 DXH393210:DXI393210 EHD393210:EHE393210 EQZ393210:ERA393210 FAV393210:FAW393210 FKR393210:FKS393210 FUN393210:FUO393210 GEJ393210:GEK393210 GOF393210:GOG393210 GYB393210:GYC393210 HHX393210:HHY393210 HRT393210:HRU393210 IBP393210:IBQ393210 ILL393210:ILM393210 IVH393210:IVI393210 JFD393210:JFE393210 JOZ393210:JPA393210 JYV393210:JYW393210 KIR393210:KIS393210 KSN393210:KSO393210 LCJ393210:LCK393210 LMF393210:LMG393210 LWB393210:LWC393210 MFX393210:MFY393210 MPT393210:MPU393210 MZP393210:MZQ393210 NJL393210:NJM393210 NTH393210:NTI393210 ODD393210:ODE393210 OMZ393210:ONA393210 OWV393210:OWW393210 PGR393210:PGS393210 PQN393210:PQO393210 QAJ393210:QAK393210 QKF393210:QKG393210 QUB393210:QUC393210 RDX393210:RDY393210 RNT393210:RNU393210 RXP393210:RXQ393210 SHL393210:SHM393210 SRH393210:SRI393210 TBD393210:TBE393210 TKZ393210:TLA393210 TUV393210:TUW393210 UER393210:UES393210 UON393210:UOO393210 UYJ393210:UYK393210 VIF393210:VIG393210 VSB393210:VSC393210 WBX393210:WBY393210 WLT393210:WLU393210 WVP393210:WVQ393210 I458746:J458746 JD458746:JE458746 SZ458746:TA458746 ACV458746:ACW458746 AMR458746:AMS458746 AWN458746:AWO458746 BGJ458746:BGK458746 BQF458746:BQG458746 CAB458746:CAC458746 CJX458746:CJY458746 CTT458746:CTU458746 DDP458746:DDQ458746 DNL458746:DNM458746 DXH458746:DXI458746 EHD458746:EHE458746 EQZ458746:ERA458746 FAV458746:FAW458746 FKR458746:FKS458746 FUN458746:FUO458746 GEJ458746:GEK458746 GOF458746:GOG458746 GYB458746:GYC458746 HHX458746:HHY458746 HRT458746:HRU458746 IBP458746:IBQ458746 ILL458746:ILM458746 IVH458746:IVI458746 JFD458746:JFE458746 JOZ458746:JPA458746 JYV458746:JYW458746 KIR458746:KIS458746 KSN458746:KSO458746 LCJ458746:LCK458746 LMF458746:LMG458746 LWB458746:LWC458746 MFX458746:MFY458746 MPT458746:MPU458746 MZP458746:MZQ458746 NJL458746:NJM458746 NTH458746:NTI458746 ODD458746:ODE458746 OMZ458746:ONA458746 OWV458746:OWW458746 PGR458746:PGS458746 PQN458746:PQO458746 QAJ458746:QAK458746 QKF458746:QKG458746 QUB458746:QUC458746 RDX458746:RDY458746 RNT458746:RNU458746 RXP458746:RXQ458746 SHL458746:SHM458746 SRH458746:SRI458746 TBD458746:TBE458746 TKZ458746:TLA458746 TUV458746:TUW458746 UER458746:UES458746 UON458746:UOO458746 UYJ458746:UYK458746 VIF458746:VIG458746 VSB458746:VSC458746 WBX458746:WBY458746 WLT458746:WLU458746 WVP458746:WVQ458746 I524282:J524282 JD524282:JE524282 SZ524282:TA524282 ACV524282:ACW524282 AMR524282:AMS524282 AWN524282:AWO524282 BGJ524282:BGK524282 BQF524282:BQG524282 CAB524282:CAC524282 CJX524282:CJY524282 CTT524282:CTU524282 DDP524282:DDQ524282 DNL524282:DNM524282 DXH524282:DXI524282 EHD524282:EHE524282 EQZ524282:ERA524282 FAV524282:FAW524282 FKR524282:FKS524282 FUN524282:FUO524282 GEJ524282:GEK524282 GOF524282:GOG524282 GYB524282:GYC524282 HHX524282:HHY524282 HRT524282:HRU524282 IBP524282:IBQ524282 ILL524282:ILM524282 IVH524282:IVI524282 JFD524282:JFE524282 JOZ524282:JPA524282 JYV524282:JYW524282 KIR524282:KIS524282 KSN524282:KSO524282 LCJ524282:LCK524282 LMF524282:LMG524282 LWB524282:LWC524282 MFX524282:MFY524282 MPT524282:MPU524282 MZP524282:MZQ524282 NJL524282:NJM524282 NTH524282:NTI524282 ODD524282:ODE524282 OMZ524282:ONA524282 OWV524282:OWW524282 PGR524282:PGS524282 PQN524282:PQO524282 QAJ524282:QAK524282 QKF524282:QKG524282 QUB524282:QUC524282 RDX524282:RDY524282 RNT524282:RNU524282 RXP524282:RXQ524282 SHL524282:SHM524282 SRH524282:SRI524282 TBD524282:TBE524282 TKZ524282:TLA524282 TUV524282:TUW524282 UER524282:UES524282 UON524282:UOO524282 UYJ524282:UYK524282 VIF524282:VIG524282 VSB524282:VSC524282 WBX524282:WBY524282 WLT524282:WLU524282 WVP524282:WVQ524282 I589818:J589818 JD589818:JE589818 SZ589818:TA589818 ACV589818:ACW589818 AMR589818:AMS589818 AWN589818:AWO589818 BGJ589818:BGK589818 BQF589818:BQG589818 CAB589818:CAC589818 CJX589818:CJY589818 CTT589818:CTU589818 DDP589818:DDQ589818 DNL589818:DNM589818 DXH589818:DXI589818 EHD589818:EHE589818 EQZ589818:ERA589818 FAV589818:FAW589818 FKR589818:FKS589818 FUN589818:FUO589818 GEJ589818:GEK589818 GOF589818:GOG589818 GYB589818:GYC589818 HHX589818:HHY589818 HRT589818:HRU589818 IBP589818:IBQ589818 ILL589818:ILM589818 IVH589818:IVI589818 JFD589818:JFE589818 JOZ589818:JPA589818 JYV589818:JYW589818 KIR589818:KIS589818 KSN589818:KSO589818 LCJ589818:LCK589818 LMF589818:LMG589818 LWB589818:LWC589818 MFX589818:MFY589818 MPT589818:MPU589818 MZP589818:MZQ589818 NJL589818:NJM589818 NTH589818:NTI589818 ODD589818:ODE589818 OMZ589818:ONA589818 OWV589818:OWW589818 PGR589818:PGS589818 PQN589818:PQO589818 QAJ589818:QAK589818 QKF589818:QKG589818 QUB589818:QUC589818 RDX589818:RDY589818 RNT589818:RNU589818 RXP589818:RXQ589818 SHL589818:SHM589818 SRH589818:SRI589818 TBD589818:TBE589818 TKZ589818:TLA589818 TUV589818:TUW589818 UER589818:UES589818 UON589818:UOO589818 UYJ589818:UYK589818 VIF589818:VIG589818 VSB589818:VSC589818 WBX589818:WBY589818 WLT589818:WLU589818 WVP589818:WVQ589818 I655354:J655354 JD655354:JE655354 SZ655354:TA655354 ACV655354:ACW655354 AMR655354:AMS655354 AWN655354:AWO655354 BGJ655354:BGK655354 BQF655354:BQG655354 CAB655354:CAC655354 CJX655354:CJY655354 CTT655354:CTU655354 DDP655354:DDQ655354 DNL655354:DNM655354 DXH655354:DXI655354 EHD655354:EHE655354 EQZ655354:ERA655354 FAV655354:FAW655354 FKR655354:FKS655354 FUN655354:FUO655354 GEJ655354:GEK655354 GOF655354:GOG655354 GYB655354:GYC655354 HHX655354:HHY655354 HRT655354:HRU655354 IBP655354:IBQ655354 ILL655354:ILM655354 IVH655354:IVI655354 JFD655354:JFE655354 JOZ655354:JPA655354 JYV655354:JYW655354 KIR655354:KIS655354 KSN655354:KSO655354 LCJ655354:LCK655354 LMF655354:LMG655354 LWB655354:LWC655354 MFX655354:MFY655354 MPT655354:MPU655354 MZP655354:MZQ655354 NJL655354:NJM655354 NTH655354:NTI655354 ODD655354:ODE655354 OMZ655354:ONA655354 OWV655354:OWW655354 PGR655354:PGS655354 PQN655354:PQO655354 QAJ655354:QAK655354 QKF655354:QKG655354 QUB655354:QUC655354 RDX655354:RDY655354 RNT655354:RNU655354 RXP655354:RXQ655354 SHL655354:SHM655354 SRH655354:SRI655354 TBD655354:TBE655354 TKZ655354:TLA655354 TUV655354:TUW655354 UER655354:UES655354 UON655354:UOO655354 UYJ655354:UYK655354 VIF655354:VIG655354 VSB655354:VSC655354 WBX655354:WBY655354 WLT655354:WLU655354 WVP655354:WVQ655354 I720890:J720890 JD720890:JE720890 SZ720890:TA720890 ACV720890:ACW720890 AMR720890:AMS720890 AWN720890:AWO720890 BGJ720890:BGK720890 BQF720890:BQG720890 CAB720890:CAC720890 CJX720890:CJY720890 CTT720890:CTU720890 DDP720890:DDQ720890 DNL720890:DNM720890 DXH720890:DXI720890 EHD720890:EHE720890 EQZ720890:ERA720890 FAV720890:FAW720890 FKR720890:FKS720890 FUN720890:FUO720890 GEJ720890:GEK720890 GOF720890:GOG720890 GYB720890:GYC720890 HHX720890:HHY720890 HRT720890:HRU720890 IBP720890:IBQ720890 ILL720890:ILM720890 IVH720890:IVI720890 JFD720890:JFE720890 JOZ720890:JPA720890 JYV720890:JYW720890 KIR720890:KIS720890 KSN720890:KSO720890 LCJ720890:LCK720890 LMF720890:LMG720890 LWB720890:LWC720890 MFX720890:MFY720890 MPT720890:MPU720890 MZP720890:MZQ720890 NJL720890:NJM720890 NTH720890:NTI720890 ODD720890:ODE720890 OMZ720890:ONA720890 OWV720890:OWW720890 PGR720890:PGS720890 PQN720890:PQO720890 QAJ720890:QAK720890 QKF720890:QKG720890 QUB720890:QUC720890 RDX720890:RDY720890 RNT720890:RNU720890 RXP720890:RXQ720890 SHL720890:SHM720890 SRH720890:SRI720890 TBD720890:TBE720890 TKZ720890:TLA720890 TUV720890:TUW720890 UER720890:UES720890 UON720890:UOO720890 UYJ720890:UYK720890 VIF720890:VIG720890 VSB720890:VSC720890 WBX720890:WBY720890 WLT720890:WLU720890 WVP720890:WVQ720890 I786426:J786426 JD786426:JE786426 SZ786426:TA786426 ACV786426:ACW786426 AMR786426:AMS786426 AWN786426:AWO786426 BGJ786426:BGK786426 BQF786426:BQG786426 CAB786426:CAC786426 CJX786426:CJY786426 CTT786426:CTU786426 DDP786426:DDQ786426 DNL786426:DNM786426 DXH786426:DXI786426 EHD786426:EHE786426 EQZ786426:ERA786426 FAV786426:FAW786426 FKR786426:FKS786426 FUN786426:FUO786426 GEJ786426:GEK786426 GOF786426:GOG786426 GYB786426:GYC786426 HHX786426:HHY786426 HRT786426:HRU786426 IBP786426:IBQ786426 ILL786426:ILM786426 IVH786426:IVI786426 JFD786426:JFE786426 JOZ786426:JPA786426 JYV786426:JYW786426 KIR786426:KIS786426 KSN786426:KSO786426 LCJ786426:LCK786426 LMF786426:LMG786426 LWB786426:LWC786426 MFX786426:MFY786426 MPT786426:MPU786426 MZP786426:MZQ786426 NJL786426:NJM786426 NTH786426:NTI786426 ODD786426:ODE786426 OMZ786426:ONA786426 OWV786426:OWW786426 PGR786426:PGS786426 PQN786426:PQO786426 QAJ786426:QAK786426 QKF786426:QKG786426 QUB786426:QUC786426 RDX786426:RDY786426 RNT786426:RNU786426 RXP786426:RXQ786426 SHL786426:SHM786426 SRH786426:SRI786426 TBD786426:TBE786426 TKZ786426:TLA786426 TUV786426:TUW786426 UER786426:UES786426 UON786426:UOO786426 UYJ786426:UYK786426 VIF786426:VIG786426 VSB786426:VSC786426 WBX786426:WBY786426 WLT786426:WLU786426 WVP786426:WVQ786426 I851962:J851962 JD851962:JE851962 SZ851962:TA851962 ACV851962:ACW851962 AMR851962:AMS851962 AWN851962:AWO851962 BGJ851962:BGK851962 BQF851962:BQG851962 CAB851962:CAC851962 CJX851962:CJY851962 CTT851962:CTU851962 DDP851962:DDQ851962 DNL851962:DNM851962 DXH851962:DXI851962 EHD851962:EHE851962 EQZ851962:ERA851962 FAV851962:FAW851962 FKR851962:FKS851962 FUN851962:FUO851962 GEJ851962:GEK851962 GOF851962:GOG851962 GYB851962:GYC851962 HHX851962:HHY851962 HRT851962:HRU851962 IBP851962:IBQ851962 ILL851962:ILM851962 IVH851962:IVI851962 JFD851962:JFE851962 JOZ851962:JPA851962 JYV851962:JYW851962 KIR851962:KIS851962 KSN851962:KSO851962 LCJ851962:LCK851962 LMF851962:LMG851962 LWB851962:LWC851962 MFX851962:MFY851962 MPT851962:MPU851962 MZP851962:MZQ851962 NJL851962:NJM851962 NTH851962:NTI851962 ODD851962:ODE851962 OMZ851962:ONA851962 OWV851962:OWW851962 PGR851962:PGS851962 PQN851962:PQO851962 QAJ851962:QAK851962 QKF851962:QKG851962 QUB851962:QUC851962 RDX851962:RDY851962 RNT851962:RNU851962 RXP851962:RXQ851962 SHL851962:SHM851962 SRH851962:SRI851962 TBD851962:TBE851962 TKZ851962:TLA851962 TUV851962:TUW851962 UER851962:UES851962 UON851962:UOO851962 UYJ851962:UYK851962 VIF851962:VIG851962 VSB851962:VSC851962 WBX851962:WBY851962 WLT851962:WLU851962 WVP851962:WVQ851962 I917498:J917498 JD917498:JE917498 SZ917498:TA917498 ACV917498:ACW917498 AMR917498:AMS917498 AWN917498:AWO917498 BGJ917498:BGK917498 BQF917498:BQG917498 CAB917498:CAC917498 CJX917498:CJY917498 CTT917498:CTU917498 DDP917498:DDQ917498 DNL917498:DNM917498 DXH917498:DXI917498 EHD917498:EHE917498 EQZ917498:ERA917498 FAV917498:FAW917498 FKR917498:FKS917498 FUN917498:FUO917498 GEJ917498:GEK917498 GOF917498:GOG917498 GYB917498:GYC917498 HHX917498:HHY917498 HRT917498:HRU917498 IBP917498:IBQ917498 ILL917498:ILM917498 IVH917498:IVI917498 JFD917498:JFE917498 JOZ917498:JPA917498 JYV917498:JYW917498 KIR917498:KIS917498 KSN917498:KSO917498 LCJ917498:LCK917498 LMF917498:LMG917498 LWB917498:LWC917498 MFX917498:MFY917498 MPT917498:MPU917498 MZP917498:MZQ917498 NJL917498:NJM917498 NTH917498:NTI917498 ODD917498:ODE917498 OMZ917498:ONA917498 OWV917498:OWW917498 PGR917498:PGS917498 PQN917498:PQO917498 QAJ917498:QAK917498 QKF917498:QKG917498 QUB917498:QUC917498 RDX917498:RDY917498 RNT917498:RNU917498 RXP917498:RXQ917498 SHL917498:SHM917498 SRH917498:SRI917498 TBD917498:TBE917498 TKZ917498:TLA917498 TUV917498:TUW917498 UER917498:UES917498 UON917498:UOO917498 UYJ917498:UYK917498 VIF917498:VIG917498 VSB917498:VSC917498 WBX917498:WBY917498 WLT917498:WLU917498 WVP917498:WVQ917498 I983034:J983034 JD983034:JE983034 SZ983034:TA983034 ACV983034:ACW983034 AMR983034:AMS983034 AWN983034:AWO983034 BGJ983034:BGK983034 BQF983034:BQG983034 CAB983034:CAC983034 CJX983034:CJY983034 CTT983034:CTU983034 DDP983034:DDQ983034 DNL983034:DNM983034 DXH983034:DXI983034 EHD983034:EHE983034 EQZ983034:ERA983034 FAV983034:FAW983034 FKR983034:FKS983034 FUN983034:FUO983034 GEJ983034:GEK983034 GOF983034:GOG983034 GYB983034:GYC983034 HHX983034:HHY983034 HRT983034:HRU983034 IBP983034:IBQ983034 ILL983034:ILM983034 IVH983034:IVI983034 JFD983034:JFE983034 JOZ983034:JPA983034 JYV983034:JYW983034 KIR983034:KIS983034 KSN983034:KSO983034 LCJ983034:LCK983034 LMF983034:LMG983034 LWB983034:LWC983034 MFX983034:MFY983034 MPT983034:MPU983034 MZP983034:MZQ983034 NJL983034:NJM983034 NTH983034:NTI983034 ODD983034:ODE983034 OMZ983034:ONA983034 OWV983034:OWW983034 PGR983034:PGS983034 PQN983034:PQO983034 QAJ983034:QAK983034 QKF983034:QKG983034 QUB983034:QUC983034 RDX983034:RDY983034 RNT983034:RNU983034 RXP983034:RXQ983034 SHL983034:SHM983034 SRH983034:SRI983034 TBD983034:TBE983034 TKZ983034:TLA983034 TUV983034:TUW983034 UER983034:UES983034 UON983034:UOO983034 UYJ983034:UYK983034 VIF983034:VIG983034 VSB983034:VSC983034 WBX983034:WBY983034 WLT983034:WLU983034"/>
    <dataValidation allowBlank="1" showInputMessage="1" showErrorMessage="1" promptTitle="Nomor KTP" prompt="Ketik Nomor KTP yang tertera dalam KTP Pemohon yang masih berlaku" sqref="D1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D65530 IY65530 SU65530 ACQ65530 AMM65530 AWI65530 BGE65530 BQA65530 BZW65530 CJS65530 CTO65530 DDK65530 DNG65530 DXC65530 EGY65530 EQU65530 FAQ65530 FKM65530 FUI65530 GEE65530 GOA65530 GXW65530 HHS65530 HRO65530 IBK65530 ILG65530 IVC65530 JEY65530 JOU65530 JYQ65530 KIM65530 KSI65530 LCE65530 LMA65530 LVW65530 MFS65530 MPO65530 MZK65530 NJG65530 NTC65530 OCY65530 OMU65530 OWQ65530 PGM65530 PQI65530 QAE65530 QKA65530 QTW65530 RDS65530 RNO65530 RXK65530 SHG65530 SRC65530 TAY65530 TKU65530 TUQ65530 UEM65530 UOI65530 UYE65530 VIA65530 VRW65530 WBS65530 WLO65530 WVK65530 D131066 IY131066 SU131066 ACQ131066 AMM131066 AWI131066 BGE131066 BQA131066 BZW131066 CJS131066 CTO131066 DDK131066 DNG131066 DXC131066 EGY131066 EQU131066 FAQ131066 FKM131066 FUI131066 GEE131066 GOA131066 GXW131066 HHS131066 HRO131066 IBK131066 ILG131066 IVC131066 JEY131066 JOU131066 JYQ131066 KIM131066 KSI131066 LCE131066 LMA131066 LVW131066 MFS131066 MPO131066 MZK131066 NJG131066 NTC131066 OCY131066 OMU131066 OWQ131066 PGM131066 PQI131066 QAE131066 QKA131066 QTW131066 RDS131066 RNO131066 RXK131066 SHG131066 SRC131066 TAY131066 TKU131066 TUQ131066 UEM131066 UOI131066 UYE131066 VIA131066 VRW131066 WBS131066 WLO131066 WVK131066 D196602 IY196602 SU196602 ACQ196602 AMM196602 AWI196602 BGE196602 BQA196602 BZW196602 CJS196602 CTO196602 DDK196602 DNG196602 DXC196602 EGY196602 EQU196602 FAQ196602 FKM196602 FUI196602 GEE196602 GOA196602 GXW196602 HHS196602 HRO196602 IBK196602 ILG196602 IVC196602 JEY196602 JOU196602 JYQ196602 KIM196602 KSI196602 LCE196602 LMA196602 LVW196602 MFS196602 MPO196602 MZK196602 NJG196602 NTC196602 OCY196602 OMU196602 OWQ196602 PGM196602 PQI196602 QAE196602 QKA196602 QTW196602 RDS196602 RNO196602 RXK196602 SHG196602 SRC196602 TAY196602 TKU196602 TUQ196602 UEM196602 UOI196602 UYE196602 VIA196602 VRW196602 WBS196602 WLO196602 WVK196602 D262138 IY262138 SU262138 ACQ262138 AMM262138 AWI262138 BGE262138 BQA262138 BZW262138 CJS262138 CTO262138 DDK262138 DNG262138 DXC262138 EGY262138 EQU262138 FAQ262138 FKM262138 FUI262138 GEE262138 GOA262138 GXW262138 HHS262138 HRO262138 IBK262138 ILG262138 IVC262138 JEY262138 JOU262138 JYQ262138 KIM262138 KSI262138 LCE262138 LMA262138 LVW262138 MFS262138 MPO262138 MZK262138 NJG262138 NTC262138 OCY262138 OMU262138 OWQ262138 PGM262138 PQI262138 QAE262138 QKA262138 QTW262138 RDS262138 RNO262138 RXK262138 SHG262138 SRC262138 TAY262138 TKU262138 TUQ262138 UEM262138 UOI262138 UYE262138 VIA262138 VRW262138 WBS262138 WLO262138 WVK262138 D327674 IY327674 SU327674 ACQ327674 AMM327674 AWI327674 BGE327674 BQA327674 BZW327674 CJS327674 CTO327674 DDK327674 DNG327674 DXC327674 EGY327674 EQU327674 FAQ327674 FKM327674 FUI327674 GEE327674 GOA327674 GXW327674 HHS327674 HRO327674 IBK327674 ILG327674 IVC327674 JEY327674 JOU327674 JYQ327674 KIM327674 KSI327674 LCE327674 LMA327674 LVW327674 MFS327674 MPO327674 MZK327674 NJG327674 NTC327674 OCY327674 OMU327674 OWQ327674 PGM327674 PQI327674 QAE327674 QKA327674 QTW327674 RDS327674 RNO327674 RXK327674 SHG327674 SRC327674 TAY327674 TKU327674 TUQ327674 UEM327674 UOI327674 UYE327674 VIA327674 VRW327674 WBS327674 WLO327674 WVK327674 D393210 IY393210 SU393210 ACQ393210 AMM393210 AWI393210 BGE393210 BQA393210 BZW393210 CJS393210 CTO393210 DDK393210 DNG393210 DXC393210 EGY393210 EQU393210 FAQ393210 FKM393210 FUI393210 GEE393210 GOA393210 GXW393210 HHS393210 HRO393210 IBK393210 ILG393210 IVC393210 JEY393210 JOU393210 JYQ393210 KIM393210 KSI393210 LCE393210 LMA393210 LVW393210 MFS393210 MPO393210 MZK393210 NJG393210 NTC393210 OCY393210 OMU393210 OWQ393210 PGM393210 PQI393210 QAE393210 QKA393210 QTW393210 RDS393210 RNO393210 RXK393210 SHG393210 SRC393210 TAY393210 TKU393210 TUQ393210 UEM393210 UOI393210 UYE393210 VIA393210 VRW393210 WBS393210 WLO393210 WVK393210 D458746 IY458746 SU458746 ACQ458746 AMM458746 AWI458746 BGE458746 BQA458746 BZW458746 CJS458746 CTO458746 DDK458746 DNG458746 DXC458746 EGY458746 EQU458746 FAQ458746 FKM458746 FUI458746 GEE458746 GOA458746 GXW458746 HHS458746 HRO458746 IBK458746 ILG458746 IVC458746 JEY458746 JOU458746 JYQ458746 KIM458746 KSI458746 LCE458746 LMA458746 LVW458746 MFS458746 MPO458746 MZK458746 NJG458746 NTC458746 OCY458746 OMU458746 OWQ458746 PGM458746 PQI458746 QAE458746 QKA458746 QTW458746 RDS458746 RNO458746 RXK458746 SHG458746 SRC458746 TAY458746 TKU458746 TUQ458746 UEM458746 UOI458746 UYE458746 VIA458746 VRW458746 WBS458746 WLO458746 WVK458746 D524282 IY524282 SU524282 ACQ524282 AMM524282 AWI524282 BGE524282 BQA524282 BZW524282 CJS524282 CTO524282 DDK524282 DNG524282 DXC524282 EGY524282 EQU524282 FAQ524282 FKM524282 FUI524282 GEE524282 GOA524282 GXW524282 HHS524282 HRO524282 IBK524282 ILG524282 IVC524282 JEY524282 JOU524282 JYQ524282 KIM524282 KSI524282 LCE524282 LMA524282 LVW524282 MFS524282 MPO524282 MZK524282 NJG524282 NTC524282 OCY524282 OMU524282 OWQ524282 PGM524282 PQI524282 QAE524282 QKA524282 QTW524282 RDS524282 RNO524282 RXK524282 SHG524282 SRC524282 TAY524282 TKU524282 TUQ524282 UEM524282 UOI524282 UYE524282 VIA524282 VRW524282 WBS524282 WLO524282 WVK524282 D589818 IY589818 SU589818 ACQ589818 AMM589818 AWI589818 BGE589818 BQA589818 BZW589818 CJS589818 CTO589818 DDK589818 DNG589818 DXC589818 EGY589818 EQU589818 FAQ589818 FKM589818 FUI589818 GEE589818 GOA589818 GXW589818 HHS589818 HRO589818 IBK589818 ILG589818 IVC589818 JEY589818 JOU589818 JYQ589818 KIM589818 KSI589818 LCE589818 LMA589818 LVW589818 MFS589818 MPO589818 MZK589818 NJG589818 NTC589818 OCY589818 OMU589818 OWQ589818 PGM589818 PQI589818 QAE589818 QKA589818 QTW589818 RDS589818 RNO589818 RXK589818 SHG589818 SRC589818 TAY589818 TKU589818 TUQ589818 UEM589818 UOI589818 UYE589818 VIA589818 VRW589818 WBS589818 WLO589818 WVK589818 D655354 IY655354 SU655354 ACQ655354 AMM655354 AWI655354 BGE655354 BQA655354 BZW655354 CJS655354 CTO655354 DDK655354 DNG655354 DXC655354 EGY655354 EQU655354 FAQ655354 FKM655354 FUI655354 GEE655354 GOA655354 GXW655354 HHS655354 HRO655354 IBK655354 ILG655354 IVC655354 JEY655354 JOU655354 JYQ655354 KIM655354 KSI655354 LCE655354 LMA655354 LVW655354 MFS655354 MPO655354 MZK655354 NJG655354 NTC655354 OCY655354 OMU655354 OWQ655354 PGM655354 PQI655354 QAE655354 QKA655354 QTW655354 RDS655354 RNO655354 RXK655354 SHG655354 SRC655354 TAY655354 TKU655354 TUQ655354 UEM655354 UOI655354 UYE655354 VIA655354 VRW655354 WBS655354 WLO655354 WVK655354 D720890 IY720890 SU720890 ACQ720890 AMM720890 AWI720890 BGE720890 BQA720890 BZW720890 CJS720890 CTO720890 DDK720890 DNG720890 DXC720890 EGY720890 EQU720890 FAQ720890 FKM720890 FUI720890 GEE720890 GOA720890 GXW720890 HHS720890 HRO720890 IBK720890 ILG720890 IVC720890 JEY720890 JOU720890 JYQ720890 KIM720890 KSI720890 LCE720890 LMA720890 LVW720890 MFS720890 MPO720890 MZK720890 NJG720890 NTC720890 OCY720890 OMU720890 OWQ720890 PGM720890 PQI720890 QAE720890 QKA720890 QTW720890 RDS720890 RNO720890 RXK720890 SHG720890 SRC720890 TAY720890 TKU720890 TUQ720890 UEM720890 UOI720890 UYE720890 VIA720890 VRW720890 WBS720890 WLO720890 WVK720890 D786426 IY786426 SU786426 ACQ786426 AMM786426 AWI786426 BGE786426 BQA786426 BZW786426 CJS786426 CTO786426 DDK786426 DNG786426 DXC786426 EGY786426 EQU786426 FAQ786426 FKM786426 FUI786426 GEE786426 GOA786426 GXW786426 HHS786426 HRO786426 IBK786426 ILG786426 IVC786426 JEY786426 JOU786426 JYQ786426 KIM786426 KSI786426 LCE786426 LMA786426 LVW786426 MFS786426 MPO786426 MZK786426 NJG786426 NTC786426 OCY786426 OMU786426 OWQ786426 PGM786426 PQI786426 QAE786426 QKA786426 QTW786426 RDS786426 RNO786426 RXK786426 SHG786426 SRC786426 TAY786426 TKU786426 TUQ786426 UEM786426 UOI786426 UYE786426 VIA786426 VRW786426 WBS786426 WLO786426 WVK786426 D851962 IY851962 SU851962 ACQ851962 AMM851962 AWI851962 BGE851962 BQA851962 BZW851962 CJS851962 CTO851962 DDK851962 DNG851962 DXC851962 EGY851962 EQU851962 FAQ851962 FKM851962 FUI851962 GEE851962 GOA851962 GXW851962 HHS851962 HRO851962 IBK851962 ILG851962 IVC851962 JEY851962 JOU851962 JYQ851962 KIM851962 KSI851962 LCE851962 LMA851962 LVW851962 MFS851962 MPO851962 MZK851962 NJG851962 NTC851962 OCY851962 OMU851962 OWQ851962 PGM851962 PQI851962 QAE851962 QKA851962 QTW851962 RDS851962 RNO851962 RXK851962 SHG851962 SRC851962 TAY851962 TKU851962 TUQ851962 UEM851962 UOI851962 UYE851962 VIA851962 VRW851962 WBS851962 WLO851962 WVK851962 D917498 IY917498 SU917498 ACQ917498 AMM917498 AWI917498 BGE917498 BQA917498 BZW917498 CJS917498 CTO917498 DDK917498 DNG917498 DXC917498 EGY917498 EQU917498 FAQ917498 FKM917498 FUI917498 GEE917498 GOA917498 GXW917498 HHS917498 HRO917498 IBK917498 ILG917498 IVC917498 JEY917498 JOU917498 JYQ917498 KIM917498 KSI917498 LCE917498 LMA917498 LVW917498 MFS917498 MPO917498 MZK917498 NJG917498 NTC917498 OCY917498 OMU917498 OWQ917498 PGM917498 PQI917498 QAE917498 QKA917498 QTW917498 RDS917498 RNO917498 RXK917498 SHG917498 SRC917498 TAY917498 TKU917498 TUQ917498 UEM917498 UOI917498 UYE917498 VIA917498 VRW917498 WBS917498 WLO917498 WVK917498 D983034 IY983034 SU983034 ACQ983034 AMM983034 AWI983034 BGE983034 BQA983034 BZW983034 CJS983034 CTO983034 DDK983034 DNG983034 DXC983034 EGY983034 EQU983034 FAQ983034 FKM983034 FUI983034 GEE983034 GOA983034 GXW983034 HHS983034 HRO983034 IBK983034 ILG983034 IVC983034 JEY983034 JOU983034 JYQ983034 KIM983034 KSI983034 LCE983034 LMA983034 LVW983034 MFS983034 MPO983034 MZK983034 NJG983034 NTC983034 OCY983034 OMU983034 OWQ983034 PGM983034 PQI983034 QAE983034 QKA983034 QTW983034 RDS983034 RNO983034 RXK983034 SHG983034 SRC983034 TAY983034 TKU983034 TUQ983034 UEM983034 UOI983034 UYE983034 VIA983034 VRW983034 WBS983034 WLO983034 WVK983034 G13:H14 JB13:JC14 SX13:SY14 ACT13:ACU14 AMP13:AMQ14 AWL13:AWM14 BGH13:BGI14 BQD13:BQE14 BZZ13:CAA14 CJV13:CJW14 CTR13:CTS14 DDN13:DDO14 DNJ13:DNK14 DXF13:DXG14 EHB13:EHC14 EQX13:EQY14 FAT13:FAU14 FKP13:FKQ14 FUL13:FUM14 GEH13:GEI14 GOD13:GOE14 GXZ13:GYA14 HHV13:HHW14 HRR13:HRS14 IBN13:IBO14 ILJ13:ILK14 IVF13:IVG14 JFB13:JFC14 JOX13:JOY14 JYT13:JYU14 KIP13:KIQ14 KSL13:KSM14 LCH13:LCI14 LMD13:LME14 LVZ13:LWA14 MFV13:MFW14 MPR13:MPS14 MZN13:MZO14 NJJ13:NJK14 NTF13:NTG14 ODB13:ODC14 OMX13:OMY14 OWT13:OWU14 PGP13:PGQ14 PQL13:PQM14 QAH13:QAI14 QKD13:QKE14 QTZ13:QUA14 RDV13:RDW14 RNR13:RNS14 RXN13:RXO14 SHJ13:SHK14 SRF13:SRG14 TBB13:TBC14 TKX13:TKY14 TUT13:TUU14 UEP13:UEQ14 UOL13:UOM14 UYH13:UYI14 VID13:VIE14 VRZ13:VSA14 WBV13:WBW14 WLR13:WLS14 WVN13:WVO14 JB65529:JC65530 SX65529:SY65530 ACT65529:ACU65530 AMP65529:AMQ65530 AWL65529:AWM65530 BGH65529:BGI65530 BQD65529:BQE65530 BZZ65529:CAA65530 CJV65529:CJW65530 CTR65529:CTS65530 DDN65529:DDO65530 DNJ65529:DNK65530 DXF65529:DXG65530 EHB65529:EHC65530 EQX65529:EQY65530 FAT65529:FAU65530 FKP65529:FKQ65530 FUL65529:FUM65530 GEH65529:GEI65530 GOD65529:GOE65530 GXZ65529:GYA65530 HHV65529:HHW65530 HRR65529:HRS65530 IBN65529:IBO65530 ILJ65529:ILK65530 IVF65529:IVG65530 JFB65529:JFC65530 JOX65529:JOY65530 JYT65529:JYU65530 KIP65529:KIQ65530 KSL65529:KSM65530 LCH65529:LCI65530 LMD65529:LME65530 LVZ65529:LWA65530 MFV65529:MFW65530 MPR65529:MPS65530 MZN65529:MZO65530 NJJ65529:NJK65530 NTF65529:NTG65530 ODB65529:ODC65530 OMX65529:OMY65530 OWT65529:OWU65530 PGP65529:PGQ65530 PQL65529:PQM65530 QAH65529:QAI65530 QKD65529:QKE65530 QTZ65529:QUA65530 RDV65529:RDW65530 RNR65529:RNS65530 RXN65529:RXO65530 SHJ65529:SHK65530 SRF65529:SRG65530 TBB65529:TBC65530 TKX65529:TKY65530 TUT65529:TUU65530 UEP65529:UEQ65530 UOL65529:UOM65530 UYH65529:UYI65530 VID65529:VIE65530 VRZ65529:VSA65530 WBV65529:WBW65530 WLR65529:WLS65530 WVN65529:WVO65530 JB131065:JC131066 SX131065:SY131066 ACT131065:ACU131066 AMP131065:AMQ131066 AWL131065:AWM131066 BGH131065:BGI131066 BQD131065:BQE131066 BZZ131065:CAA131066 CJV131065:CJW131066 CTR131065:CTS131066 DDN131065:DDO131066 DNJ131065:DNK131066 DXF131065:DXG131066 EHB131065:EHC131066 EQX131065:EQY131066 FAT131065:FAU131066 FKP131065:FKQ131066 FUL131065:FUM131066 GEH131065:GEI131066 GOD131065:GOE131066 GXZ131065:GYA131066 HHV131065:HHW131066 HRR131065:HRS131066 IBN131065:IBO131066 ILJ131065:ILK131066 IVF131065:IVG131066 JFB131065:JFC131066 JOX131065:JOY131066 JYT131065:JYU131066 KIP131065:KIQ131066 KSL131065:KSM131066 LCH131065:LCI131066 LMD131065:LME131066 LVZ131065:LWA131066 MFV131065:MFW131066 MPR131065:MPS131066 MZN131065:MZO131066 NJJ131065:NJK131066 NTF131065:NTG131066 ODB131065:ODC131066 OMX131065:OMY131066 OWT131065:OWU131066 PGP131065:PGQ131066 PQL131065:PQM131066 QAH131065:QAI131066 QKD131065:QKE131066 QTZ131065:QUA131066 RDV131065:RDW131066 RNR131065:RNS131066 RXN131065:RXO131066 SHJ131065:SHK131066 SRF131065:SRG131066 TBB131065:TBC131066 TKX131065:TKY131066 TUT131065:TUU131066 UEP131065:UEQ131066 UOL131065:UOM131066 UYH131065:UYI131066 VID131065:VIE131066 VRZ131065:VSA131066 WBV131065:WBW131066 WLR131065:WLS131066 WVN131065:WVO131066 JB196601:JC196602 SX196601:SY196602 ACT196601:ACU196602 AMP196601:AMQ196602 AWL196601:AWM196602 BGH196601:BGI196602 BQD196601:BQE196602 BZZ196601:CAA196602 CJV196601:CJW196602 CTR196601:CTS196602 DDN196601:DDO196602 DNJ196601:DNK196602 DXF196601:DXG196602 EHB196601:EHC196602 EQX196601:EQY196602 FAT196601:FAU196602 FKP196601:FKQ196602 FUL196601:FUM196602 GEH196601:GEI196602 GOD196601:GOE196602 GXZ196601:GYA196602 HHV196601:HHW196602 HRR196601:HRS196602 IBN196601:IBO196602 ILJ196601:ILK196602 IVF196601:IVG196602 JFB196601:JFC196602 JOX196601:JOY196602 JYT196601:JYU196602 KIP196601:KIQ196602 KSL196601:KSM196602 LCH196601:LCI196602 LMD196601:LME196602 LVZ196601:LWA196602 MFV196601:MFW196602 MPR196601:MPS196602 MZN196601:MZO196602 NJJ196601:NJK196602 NTF196601:NTG196602 ODB196601:ODC196602 OMX196601:OMY196602 OWT196601:OWU196602 PGP196601:PGQ196602 PQL196601:PQM196602 QAH196601:QAI196602 QKD196601:QKE196602 QTZ196601:QUA196602 RDV196601:RDW196602 RNR196601:RNS196602 RXN196601:RXO196602 SHJ196601:SHK196602 SRF196601:SRG196602 TBB196601:TBC196602 TKX196601:TKY196602 TUT196601:TUU196602 UEP196601:UEQ196602 UOL196601:UOM196602 UYH196601:UYI196602 VID196601:VIE196602 VRZ196601:VSA196602 WBV196601:WBW196602 WLR196601:WLS196602 WVN196601:WVO196602 JB262137:JC262138 SX262137:SY262138 ACT262137:ACU262138 AMP262137:AMQ262138 AWL262137:AWM262138 BGH262137:BGI262138 BQD262137:BQE262138 BZZ262137:CAA262138 CJV262137:CJW262138 CTR262137:CTS262138 DDN262137:DDO262138 DNJ262137:DNK262138 DXF262137:DXG262138 EHB262137:EHC262138 EQX262137:EQY262138 FAT262137:FAU262138 FKP262137:FKQ262138 FUL262137:FUM262138 GEH262137:GEI262138 GOD262137:GOE262138 GXZ262137:GYA262138 HHV262137:HHW262138 HRR262137:HRS262138 IBN262137:IBO262138 ILJ262137:ILK262138 IVF262137:IVG262138 JFB262137:JFC262138 JOX262137:JOY262138 JYT262137:JYU262138 KIP262137:KIQ262138 KSL262137:KSM262138 LCH262137:LCI262138 LMD262137:LME262138 LVZ262137:LWA262138 MFV262137:MFW262138 MPR262137:MPS262138 MZN262137:MZO262138 NJJ262137:NJK262138 NTF262137:NTG262138 ODB262137:ODC262138 OMX262137:OMY262138 OWT262137:OWU262138 PGP262137:PGQ262138 PQL262137:PQM262138 QAH262137:QAI262138 QKD262137:QKE262138 QTZ262137:QUA262138 RDV262137:RDW262138 RNR262137:RNS262138 RXN262137:RXO262138 SHJ262137:SHK262138 SRF262137:SRG262138 TBB262137:TBC262138 TKX262137:TKY262138 TUT262137:TUU262138 UEP262137:UEQ262138 UOL262137:UOM262138 UYH262137:UYI262138 VID262137:VIE262138 VRZ262137:VSA262138 WBV262137:WBW262138 WLR262137:WLS262138 WVN262137:WVO262138 JB327673:JC327674 SX327673:SY327674 ACT327673:ACU327674 AMP327673:AMQ327674 AWL327673:AWM327674 BGH327673:BGI327674 BQD327673:BQE327674 BZZ327673:CAA327674 CJV327673:CJW327674 CTR327673:CTS327674 DDN327673:DDO327674 DNJ327673:DNK327674 DXF327673:DXG327674 EHB327673:EHC327674 EQX327673:EQY327674 FAT327673:FAU327674 FKP327673:FKQ327674 FUL327673:FUM327674 GEH327673:GEI327674 GOD327673:GOE327674 GXZ327673:GYA327674 HHV327673:HHW327674 HRR327673:HRS327674 IBN327673:IBO327674 ILJ327673:ILK327674 IVF327673:IVG327674 JFB327673:JFC327674 JOX327673:JOY327674 JYT327673:JYU327674 KIP327673:KIQ327674 KSL327673:KSM327674 LCH327673:LCI327674 LMD327673:LME327674 LVZ327673:LWA327674 MFV327673:MFW327674 MPR327673:MPS327674 MZN327673:MZO327674 NJJ327673:NJK327674 NTF327673:NTG327674 ODB327673:ODC327674 OMX327673:OMY327674 OWT327673:OWU327674 PGP327673:PGQ327674 PQL327673:PQM327674 QAH327673:QAI327674 QKD327673:QKE327674 QTZ327673:QUA327674 RDV327673:RDW327674 RNR327673:RNS327674 RXN327673:RXO327674 SHJ327673:SHK327674 SRF327673:SRG327674 TBB327673:TBC327674 TKX327673:TKY327674 TUT327673:TUU327674 UEP327673:UEQ327674 UOL327673:UOM327674 UYH327673:UYI327674 VID327673:VIE327674 VRZ327673:VSA327674 WBV327673:WBW327674 WLR327673:WLS327674 WVN327673:WVO327674 JB393209:JC393210 SX393209:SY393210 ACT393209:ACU393210 AMP393209:AMQ393210 AWL393209:AWM393210 BGH393209:BGI393210 BQD393209:BQE393210 BZZ393209:CAA393210 CJV393209:CJW393210 CTR393209:CTS393210 DDN393209:DDO393210 DNJ393209:DNK393210 DXF393209:DXG393210 EHB393209:EHC393210 EQX393209:EQY393210 FAT393209:FAU393210 FKP393209:FKQ393210 FUL393209:FUM393210 GEH393209:GEI393210 GOD393209:GOE393210 GXZ393209:GYA393210 HHV393209:HHW393210 HRR393209:HRS393210 IBN393209:IBO393210 ILJ393209:ILK393210 IVF393209:IVG393210 JFB393209:JFC393210 JOX393209:JOY393210 JYT393209:JYU393210 KIP393209:KIQ393210 KSL393209:KSM393210 LCH393209:LCI393210 LMD393209:LME393210 LVZ393209:LWA393210 MFV393209:MFW393210 MPR393209:MPS393210 MZN393209:MZO393210 NJJ393209:NJK393210 NTF393209:NTG393210 ODB393209:ODC393210 OMX393209:OMY393210 OWT393209:OWU393210 PGP393209:PGQ393210 PQL393209:PQM393210 QAH393209:QAI393210 QKD393209:QKE393210 QTZ393209:QUA393210 RDV393209:RDW393210 RNR393209:RNS393210 RXN393209:RXO393210 SHJ393209:SHK393210 SRF393209:SRG393210 TBB393209:TBC393210 TKX393209:TKY393210 TUT393209:TUU393210 UEP393209:UEQ393210 UOL393209:UOM393210 UYH393209:UYI393210 VID393209:VIE393210 VRZ393209:VSA393210 WBV393209:WBW393210 WLR393209:WLS393210 WVN393209:WVO393210 JB458745:JC458746 SX458745:SY458746 ACT458745:ACU458746 AMP458745:AMQ458746 AWL458745:AWM458746 BGH458745:BGI458746 BQD458745:BQE458746 BZZ458745:CAA458746 CJV458745:CJW458746 CTR458745:CTS458746 DDN458745:DDO458746 DNJ458745:DNK458746 DXF458745:DXG458746 EHB458745:EHC458746 EQX458745:EQY458746 FAT458745:FAU458746 FKP458745:FKQ458746 FUL458745:FUM458746 GEH458745:GEI458746 GOD458745:GOE458746 GXZ458745:GYA458746 HHV458745:HHW458746 HRR458745:HRS458746 IBN458745:IBO458746 ILJ458745:ILK458746 IVF458745:IVG458746 JFB458745:JFC458746 JOX458745:JOY458746 JYT458745:JYU458746 KIP458745:KIQ458746 KSL458745:KSM458746 LCH458745:LCI458746 LMD458745:LME458746 LVZ458745:LWA458746 MFV458745:MFW458746 MPR458745:MPS458746 MZN458745:MZO458746 NJJ458745:NJK458746 NTF458745:NTG458746 ODB458745:ODC458746 OMX458745:OMY458746 OWT458745:OWU458746 PGP458745:PGQ458746 PQL458745:PQM458746 QAH458745:QAI458746 QKD458745:QKE458746 QTZ458745:QUA458746 RDV458745:RDW458746 RNR458745:RNS458746 RXN458745:RXO458746 SHJ458745:SHK458746 SRF458745:SRG458746 TBB458745:TBC458746 TKX458745:TKY458746 TUT458745:TUU458746 UEP458745:UEQ458746 UOL458745:UOM458746 UYH458745:UYI458746 VID458745:VIE458746 VRZ458745:VSA458746 WBV458745:WBW458746 WLR458745:WLS458746 WVN458745:WVO458746 JB524281:JC524282 SX524281:SY524282 ACT524281:ACU524282 AMP524281:AMQ524282 AWL524281:AWM524282 BGH524281:BGI524282 BQD524281:BQE524282 BZZ524281:CAA524282 CJV524281:CJW524282 CTR524281:CTS524282 DDN524281:DDO524282 DNJ524281:DNK524282 DXF524281:DXG524282 EHB524281:EHC524282 EQX524281:EQY524282 FAT524281:FAU524282 FKP524281:FKQ524282 FUL524281:FUM524282 GEH524281:GEI524282 GOD524281:GOE524282 GXZ524281:GYA524282 HHV524281:HHW524282 HRR524281:HRS524282 IBN524281:IBO524282 ILJ524281:ILK524282 IVF524281:IVG524282 JFB524281:JFC524282 JOX524281:JOY524282 JYT524281:JYU524282 KIP524281:KIQ524282 KSL524281:KSM524282 LCH524281:LCI524282 LMD524281:LME524282 LVZ524281:LWA524282 MFV524281:MFW524282 MPR524281:MPS524282 MZN524281:MZO524282 NJJ524281:NJK524282 NTF524281:NTG524282 ODB524281:ODC524282 OMX524281:OMY524282 OWT524281:OWU524282 PGP524281:PGQ524282 PQL524281:PQM524282 QAH524281:QAI524282 QKD524281:QKE524282 QTZ524281:QUA524282 RDV524281:RDW524282 RNR524281:RNS524282 RXN524281:RXO524282 SHJ524281:SHK524282 SRF524281:SRG524282 TBB524281:TBC524282 TKX524281:TKY524282 TUT524281:TUU524282 UEP524281:UEQ524282 UOL524281:UOM524282 UYH524281:UYI524282 VID524281:VIE524282 VRZ524281:VSA524282 WBV524281:WBW524282 WLR524281:WLS524282 WVN524281:WVO524282 JB589817:JC589818 SX589817:SY589818 ACT589817:ACU589818 AMP589817:AMQ589818 AWL589817:AWM589818 BGH589817:BGI589818 BQD589817:BQE589818 BZZ589817:CAA589818 CJV589817:CJW589818 CTR589817:CTS589818 DDN589817:DDO589818 DNJ589817:DNK589818 DXF589817:DXG589818 EHB589817:EHC589818 EQX589817:EQY589818 FAT589817:FAU589818 FKP589817:FKQ589818 FUL589817:FUM589818 GEH589817:GEI589818 GOD589817:GOE589818 GXZ589817:GYA589818 HHV589817:HHW589818 HRR589817:HRS589818 IBN589817:IBO589818 ILJ589817:ILK589818 IVF589817:IVG589818 JFB589817:JFC589818 JOX589817:JOY589818 JYT589817:JYU589818 KIP589817:KIQ589818 KSL589817:KSM589818 LCH589817:LCI589818 LMD589817:LME589818 LVZ589817:LWA589818 MFV589817:MFW589818 MPR589817:MPS589818 MZN589817:MZO589818 NJJ589817:NJK589818 NTF589817:NTG589818 ODB589817:ODC589818 OMX589817:OMY589818 OWT589817:OWU589818 PGP589817:PGQ589818 PQL589817:PQM589818 QAH589817:QAI589818 QKD589817:QKE589818 QTZ589817:QUA589818 RDV589817:RDW589818 RNR589817:RNS589818 RXN589817:RXO589818 SHJ589817:SHK589818 SRF589817:SRG589818 TBB589817:TBC589818 TKX589817:TKY589818 TUT589817:TUU589818 UEP589817:UEQ589818 UOL589817:UOM589818 UYH589817:UYI589818 VID589817:VIE589818 VRZ589817:VSA589818 WBV589817:WBW589818 WLR589817:WLS589818 WVN589817:WVO589818 JB655353:JC655354 SX655353:SY655354 ACT655353:ACU655354 AMP655353:AMQ655354 AWL655353:AWM655354 BGH655353:BGI655354 BQD655353:BQE655354 BZZ655353:CAA655354 CJV655353:CJW655354 CTR655353:CTS655354 DDN655353:DDO655354 DNJ655353:DNK655354 DXF655353:DXG655354 EHB655353:EHC655354 EQX655353:EQY655354 FAT655353:FAU655354 FKP655353:FKQ655354 FUL655353:FUM655354 GEH655353:GEI655354 GOD655353:GOE655354 GXZ655353:GYA655354 HHV655353:HHW655354 HRR655353:HRS655354 IBN655353:IBO655354 ILJ655353:ILK655354 IVF655353:IVG655354 JFB655353:JFC655354 JOX655353:JOY655354 JYT655353:JYU655354 KIP655353:KIQ655354 KSL655353:KSM655354 LCH655353:LCI655354 LMD655353:LME655354 LVZ655353:LWA655354 MFV655353:MFW655354 MPR655353:MPS655354 MZN655353:MZO655354 NJJ655353:NJK655354 NTF655353:NTG655354 ODB655353:ODC655354 OMX655353:OMY655354 OWT655353:OWU655354 PGP655353:PGQ655354 PQL655353:PQM655354 QAH655353:QAI655354 QKD655353:QKE655354 QTZ655353:QUA655354 RDV655353:RDW655354 RNR655353:RNS655354 RXN655353:RXO655354 SHJ655353:SHK655354 SRF655353:SRG655354 TBB655353:TBC655354 TKX655353:TKY655354 TUT655353:TUU655354 UEP655353:UEQ655354 UOL655353:UOM655354 UYH655353:UYI655354 VID655353:VIE655354 VRZ655353:VSA655354 WBV655353:WBW655354 WLR655353:WLS655354 WVN655353:WVO655354 JB720889:JC720890 SX720889:SY720890 ACT720889:ACU720890 AMP720889:AMQ720890 AWL720889:AWM720890 BGH720889:BGI720890 BQD720889:BQE720890 BZZ720889:CAA720890 CJV720889:CJW720890 CTR720889:CTS720890 DDN720889:DDO720890 DNJ720889:DNK720890 DXF720889:DXG720890 EHB720889:EHC720890 EQX720889:EQY720890 FAT720889:FAU720890 FKP720889:FKQ720890 FUL720889:FUM720890 GEH720889:GEI720890 GOD720889:GOE720890 GXZ720889:GYA720890 HHV720889:HHW720890 HRR720889:HRS720890 IBN720889:IBO720890 ILJ720889:ILK720890 IVF720889:IVG720890 JFB720889:JFC720890 JOX720889:JOY720890 JYT720889:JYU720890 KIP720889:KIQ720890 KSL720889:KSM720890 LCH720889:LCI720890 LMD720889:LME720890 LVZ720889:LWA720890 MFV720889:MFW720890 MPR720889:MPS720890 MZN720889:MZO720890 NJJ720889:NJK720890 NTF720889:NTG720890 ODB720889:ODC720890 OMX720889:OMY720890 OWT720889:OWU720890 PGP720889:PGQ720890 PQL720889:PQM720890 QAH720889:QAI720890 QKD720889:QKE720890 QTZ720889:QUA720890 RDV720889:RDW720890 RNR720889:RNS720890 RXN720889:RXO720890 SHJ720889:SHK720890 SRF720889:SRG720890 TBB720889:TBC720890 TKX720889:TKY720890 TUT720889:TUU720890 UEP720889:UEQ720890 UOL720889:UOM720890 UYH720889:UYI720890 VID720889:VIE720890 VRZ720889:VSA720890 WBV720889:WBW720890 WLR720889:WLS720890 WVN720889:WVO720890 JB786425:JC786426 SX786425:SY786426 ACT786425:ACU786426 AMP786425:AMQ786426 AWL786425:AWM786426 BGH786425:BGI786426 BQD786425:BQE786426 BZZ786425:CAA786426 CJV786425:CJW786426 CTR786425:CTS786426 DDN786425:DDO786426 DNJ786425:DNK786426 DXF786425:DXG786426 EHB786425:EHC786426 EQX786425:EQY786426 FAT786425:FAU786426 FKP786425:FKQ786426 FUL786425:FUM786426 GEH786425:GEI786426 GOD786425:GOE786426 GXZ786425:GYA786426 HHV786425:HHW786426 HRR786425:HRS786426 IBN786425:IBO786426 ILJ786425:ILK786426 IVF786425:IVG786426 JFB786425:JFC786426 JOX786425:JOY786426 JYT786425:JYU786426 KIP786425:KIQ786426 KSL786425:KSM786426 LCH786425:LCI786426 LMD786425:LME786426 LVZ786425:LWA786426 MFV786425:MFW786426 MPR786425:MPS786426 MZN786425:MZO786426 NJJ786425:NJK786426 NTF786425:NTG786426 ODB786425:ODC786426 OMX786425:OMY786426 OWT786425:OWU786426 PGP786425:PGQ786426 PQL786425:PQM786426 QAH786425:QAI786426 QKD786425:QKE786426 QTZ786425:QUA786426 RDV786425:RDW786426 RNR786425:RNS786426 RXN786425:RXO786426 SHJ786425:SHK786426 SRF786425:SRG786426 TBB786425:TBC786426 TKX786425:TKY786426 TUT786425:TUU786426 UEP786425:UEQ786426 UOL786425:UOM786426 UYH786425:UYI786426 VID786425:VIE786426 VRZ786425:VSA786426 WBV786425:WBW786426 WLR786425:WLS786426 WVN786425:WVO786426 JB851961:JC851962 SX851961:SY851962 ACT851961:ACU851962 AMP851961:AMQ851962 AWL851961:AWM851962 BGH851961:BGI851962 BQD851961:BQE851962 BZZ851961:CAA851962 CJV851961:CJW851962 CTR851961:CTS851962 DDN851961:DDO851962 DNJ851961:DNK851962 DXF851961:DXG851962 EHB851961:EHC851962 EQX851961:EQY851962 FAT851961:FAU851962 FKP851961:FKQ851962 FUL851961:FUM851962 GEH851961:GEI851962 GOD851961:GOE851962 GXZ851961:GYA851962 HHV851961:HHW851962 HRR851961:HRS851962 IBN851961:IBO851962 ILJ851961:ILK851962 IVF851961:IVG851962 JFB851961:JFC851962 JOX851961:JOY851962 JYT851961:JYU851962 KIP851961:KIQ851962 KSL851961:KSM851962 LCH851961:LCI851962 LMD851961:LME851962 LVZ851961:LWA851962 MFV851961:MFW851962 MPR851961:MPS851962 MZN851961:MZO851962 NJJ851961:NJK851962 NTF851961:NTG851962 ODB851961:ODC851962 OMX851961:OMY851962 OWT851961:OWU851962 PGP851961:PGQ851962 PQL851961:PQM851962 QAH851961:QAI851962 QKD851961:QKE851962 QTZ851961:QUA851962 RDV851961:RDW851962 RNR851961:RNS851962 RXN851961:RXO851962 SHJ851961:SHK851962 SRF851961:SRG851962 TBB851961:TBC851962 TKX851961:TKY851962 TUT851961:TUU851962 UEP851961:UEQ851962 UOL851961:UOM851962 UYH851961:UYI851962 VID851961:VIE851962 VRZ851961:VSA851962 WBV851961:WBW851962 WLR851961:WLS851962 WVN851961:WVO851962 JB917497:JC917498 SX917497:SY917498 ACT917497:ACU917498 AMP917497:AMQ917498 AWL917497:AWM917498 BGH917497:BGI917498 BQD917497:BQE917498 BZZ917497:CAA917498 CJV917497:CJW917498 CTR917497:CTS917498 DDN917497:DDO917498 DNJ917497:DNK917498 DXF917497:DXG917498 EHB917497:EHC917498 EQX917497:EQY917498 FAT917497:FAU917498 FKP917497:FKQ917498 FUL917497:FUM917498 GEH917497:GEI917498 GOD917497:GOE917498 GXZ917497:GYA917498 HHV917497:HHW917498 HRR917497:HRS917498 IBN917497:IBO917498 ILJ917497:ILK917498 IVF917497:IVG917498 JFB917497:JFC917498 JOX917497:JOY917498 JYT917497:JYU917498 KIP917497:KIQ917498 KSL917497:KSM917498 LCH917497:LCI917498 LMD917497:LME917498 LVZ917497:LWA917498 MFV917497:MFW917498 MPR917497:MPS917498 MZN917497:MZO917498 NJJ917497:NJK917498 NTF917497:NTG917498 ODB917497:ODC917498 OMX917497:OMY917498 OWT917497:OWU917498 PGP917497:PGQ917498 PQL917497:PQM917498 QAH917497:QAI917498 QKD917497:QKE917498 QTZ917497:QUA917498 RDV917497:RDW917498 RNR917497:RNS917498 RXN917497:RXO917498 SHJ917497:SHK917498 SRF917497:SRG917498 TBB917497:TBC917498 TKX917497:TKY917498 TUT917497:TUU917498 UEP917497:UEQ917498 UOL917497:UOM917498 UYH917497:UYI917498 VID917497:VIE917498 VRZ917497:VSA917498 WBV917497:WBW917498 WLR917497:WLS917498 WVN917497:WVO917498 JB983033:JC983034 SX983033:SY983034 ACT983033:ACU983034 AMP983033:AMQ983034 AWL983033:AWM983034 BGH983033:BGI983034 BQD983033:BQE983034 BZZ983033:CAA983034 CJV983033:CJW983034 CTR983033:CTS983034 DDN983033:DDO983034 DNJ983033:DNK983034 DXF983033:DXG983034 EHB983033:EHC983034 EQX983033:EQY983034 FAT983033:FAU983034 FKP983033:FKQ983034 FUL983033:FUM983034 GEH983033:GEI983034 GOD983033:GOE983034 GXZ983033:GYA983034 HHV983033:HHW983034 HRR983033:HRS983034 IBN983033:IBO983034 ILJ983033:ILK983034 IVF983033:IVG983034 JFB983033:JFC983034 JOX983033:JOY983034 JYT983033:JYU983034 KIP983033:KIQ983034 KSL983033:KSM983034 LCH983033:LCI983034 LMD983033:LME983034 LVZ983033:LWA983034 MFV983033:MFW983034 MPR983033:MPS983034 MZN983033:MZO983034 NJJ983033:NJK983034 NTF983033:NTG983034 ODB983033:ODC983034 OMX983033:OMY983034 OWT983033:OWU983034 PGP983033:PGQ983034 PQL983033:PQM983034 QAH983033:QAI983034 QKD983033:QKE983034 QTZ983033:QUA983034 RDV983033:RDW983034 RNR983033:RNS983034 RXN983033:RXO983034 SHJ983033:SHK983034 SRF983033:SRG983034 TBB983033:TBC983034 TKX983033:TKY983034 TUT983033:TUU983034 UEP983033:UEQ983034 UOL983033:UOM983034 UYH983033:UYI983034 VID983033:VIE983034 VRZ983033:VSA983034 WBV983033:WBW983034 WLR983033:WLS983034 WVN983033:WVO983034 G983033:H983034 G917497:H917498 G851961:H851962 G786425:H786426 G720889:H720890 G655353:H655354 G589817:H589818 G524281:H524282 G458745:H458746 G393209:H393210 G327673:H327674 G262137:H262138 G196601:H196602 G131065:H131066 G65529:H65530"/>
    <dataValidation allowBlank="1" showInputMessage="1" showErrorMessage="1" promptTitle="Nama" prompt="Ketik Nama Lengkap Pemohon sesuai dengan KTP yang masih berlaku" sqref="IY11:JE12 SU11:TA12 ACQ11:ACW12 AMM11:AMS12 AWI11:AWO12 BGE11:BGK12 BQA11:BQG12 BZW11:CAC12 CJS11:CJY12 CTO11:CTU12 DDK11:DDQ12 DNG11:DNM12 DXC11:DXI12 EGY11:EHE12 EQU11:ERA12 FAQ11:FAW12 FKM11:FKS12 FUI11:FUO12 GEE11:GEK12 GOA11:GOG12 GXW11:GYC12 HHS11:HHY12 HRO11:HRU12 IBK11:IBQ12 ILG11:ILM12 IVC11:IVI12 JEY11:JFE12 JOU11:JPA12 JYQ11:JYW12 KIM11:KIS12 KSI11:KSO12 LCE11:LCK12 LMA11:LMG12 LVW11:LWC12 MFS11:MFY12 MPO11:MPU12 MZK11:MZQ12 NJG11:NJM12 NTC11:NTI12 OCY11:ODE12 OMU11:ONA12 OWQ11:OWW12 PGM11:PGS12 PQI11:PQO12 QAE11:QAK12 QKA11:QKG12 QTW11:QUC12 RDS11:RDY12 RNO11:RNU12 RXK11:RXQ12 SHG11:SHM12 SRC11:SRI12 TAY11:TBE12 TKU11:TLA12 TUQ11:TUW12 UEM11:UES12 UOI11:UOO12 UYE11:UYK12 VIA11:VIG12 VRW11:VSC12 WBS11:WBY12 WLO11:WLU12 WVK11:WVQ12 IY65528:JE65528 SU65528:TA65528 ACQ65528:ACW65528 AMM65528:AMS65528 AWI65528:AWO65528 BGE65528:BGK65528 BQA65528:BQG65528 BZW65528:CAC65528 CJS65528:CJY65528 CTO65528:CTU65528 DDK65528:DDQ65528 DNG65528:DNM65528 DXC65528:DXI65528 EGY65528:EHE65528 EQU65528:ERA65528 FAQ65528:FAW65528 FKM65528:FKS65528 FUI65528:FUO65528 GEE65528:GEK65528 GOA65528:GOG65528 GXW65528:GYC65528 HHS65528:HHY65528 HRO65528:HRU65528 IBK65528:IBQ65528 ILG65528:ILM65528 IVC65528:IVI65528 JEY65528:JFE65528 JOU65528:JPA65528 JYQ65528:JYW65528 KIM65528:KIS65528 KSI65528:KSO65528 LCE65528:LCK65528 LMA65528:LMG65528 LVW65528:LWC65528 MFS65528:MFY65528 MPO65528:MPU65528 MZK65528:MZQ65528 NJG65528:NJM65528 NTC65528:NTI65528 OCY65528:ODE65528 OMU65528:ONA65528 OWQ65528:OWW65528 PGM65528:PGS65528 PQI65528:PQO65528 QAE65528:QAK65528 QKA65528:QKG65528 QTW65528:QUC65528 RDS65528:RDY65528 RNO65528:RNU65528 RXK65528:RXQ65528 SHG65528:SHM65528 SRC65528:SRI65528 TAY65528:TBE65528 TKU65528:TLA65528 TUQ65528:TUW65528 UEM65528:UES65528 UOI65528:UOO65528 UYE65528:UYK65528 VIA65528:VIG65528 VRW65528:VSC65528 WBS65528:WBY65528 WLO65528:WLU65528 WVK65528:WVQ65528 IY131064:JE131064 SU131064:TA131064 ACQ131064:ACW131064 AMM131064:AMS131064 AWI131064:AWO131064 BGE131064:BGK131064 BQA131064:BQG131064 BZW131064:CAC131064 CJS131064:CJY131064 CTO131064:CTU131064 DDK131064:DDQ131064 DNG131064:DNM131064 DXC131064:DXI131064 EGY131064:EHE131064 EQU131064:ERA131064 FAQ131064:FAW131064 FKM131064:FKS131064 FUI131064:FUO131064 GEE131064:GEK131064 GOA131064:GOG131064 GXW131064:GYC131064 HHS131064:HHY131064 HRO131064:HRU131064 IBK131064:IBQ131064 ILG131064:ILM131064 IVC131064:IVI131064 JEY131064:JFE131064 JOU131064:JPA131064 JYQ131064:JYW131064 KIM131064:KIS131064 KSI131064:KSO131064 LCE131064:LCK131064 LMA131064:LMG131064 LVW131064:LWC131064 MFS131064:MFY131064 MPO131064:MPU131064 MZK131064:MZQ131064 NJG131064:NJM131064 NTC131064:NTI131064 OCY131064:ODE131064 OMU131064:ONA131064 OWQ131064:OWW131064 PGM131064:PGS131064 PQI131064:PQO131064 QAE131064:QAK131064 QKA131064:QKG131064 QTW131064:QUC131064 RDS131064:RDY131064 RNO131064:RNU131064 RXK131064:RXQ131064 SHG131064:SHM131064 SRC131064:SRI131064 TAY131064:TBE131064 TKU131064:TLA131064 TUQ131064:TUW131064 UEM131064:UES131064 UOI131064:UOO131064 UYE131064:UYK131064 VIA131064:VIG131064 VRW131064:VSC131064 WBS131064:WBY131064 WLO131064:WLU131064 WVK131064:WVQ131064 IY196600:JE196600 SU196600:TA196600 ACQ196600:ACW196600 AMM196600:AMS196600 AWI196600:AWO196600 BGE196600:BGK196600 BQA196600:BQG196600 BZW196600:CAC196600 CJS196600:CJY196600 CTO196600:CTU196600 DDK196600:DDQ196600 DNG196600:DNM196600 DXC196600:DXI196600 EGY196600:EHE196600 EQU196600:ERA196600 FAQ196600:FAW196600 FKM196600:FKS196600 FUI196600:FUO196600 GEE196600:GEK196600 GOA196600:GOG196600 GXW196600:GYC196600 HHS196600:HHY196600 HRO196600:HRU196600 IBK196600:IBQ196600 ILG196600:ILM196600 IVC196600:IVI196600 JEY196600:JFE196600 JOU196600:JPA196600 JYQ196600:JYW196600 KIM196600:KIS196600 KSI196600:KSO196600 LCE196600:LCK196600 LMA196600:LMG196600 LVW196600:LWC196600 MFS196600:MFY196600 MPO196600:MPU196600 MZK196600:MZQ196600 NJG196600:NJM196600 NTC196600:NTI196600 OCY196600:ODE196600 OMU196600:ONA196600 OWQ196600:OWW196600 PGM196600:PGS196600 PQI196600:PQO196600 QAE196600:QAK196600 QKA196600:QKG196600 QTW196600:QUC196600 RDS196600:RDY196600 RNO196600:RNU196600 RXK196600:RXQ196600 SHG196600:SHM196600 SRC196600:SRI196600 TAY196600:TBE196600 TKU196600:TLA196600 TUQ196600:TUW196600 UEM196600:UES196600 UOI196600:UOO196600 UYE196600:UYK196600 VIA196600:VIG196600 VRW196600:VSC196600 WBS196600:WBY196600 WLO196600:WLU196600 WVK196600:WVQ196600 IY262136:JE262136 SU262136:TA262136 ACQ262136:ACW262136 AMM262136:AMS262136 AWI262136:AWO262136 BGE262136:BGK262136 BQA262136:BQG262136 BZW262136:CAC262136 CJS262136:CJY262136 CTO262136:CTU262136 DDK262136:DDQ262136 DNG262136:DNM262136 DXC262136:DXI262136 EGY262136:EHE262136 EQU262136:ERA262136 FAQ262136:FAW262136 FKM262136:FKS262136 FUI262136:FUO262136 GEE262136:GEK262136 GOA262136:GOG262136 GXW262136:GYC262136 HHS262136:HHY262136 HRO262136:HRU262136 IBK262136:IBQ262136 ILG262136:ILM262136 IVC262136:IVI262136 JEY262136:JFE262136 JOU262136:JPA262136 JYQ262136:JYW262136 KIM262136:KIS262136 KSI262136:KSO262136 LCE262136:LCK262136 LMA262136:LMG262136 LVW262136:LWC262136 MFS262136:MFY262136 MPO262136:MPU262136 MZK262136:MZQ262136 NJG262136:NJM262136 NTC262136:NTI262136 OCY262136:ODE262136 OMU262136:ONA262136 OWQ262136:OWW262136 PGM262136:PGS262136 PQI262136:PQO262136 QAE262136:QAK262136 QKA262136:QKG262136 QTW262136:QUC262136 RDS262136:RDY262136 RNO262136:RNU262136 RXK262136:RXQ262136 SHG262136:SHM262136 SRC262136:SRI262136 TAY262136:TBE262136 TKU262136:TLA262136 TUQ262136:TUW262136 UEM262136:UES262136 UOI262136:UOO262136 UYE262136:UYK262136 VIA262136:VIG262136 VRW262136:VSC262136 WBS262136:WBY262136 WLO262136:WLU262136 WVK262136:WVQ262136 IY327672:JE327672 SU327672:TA327672 ACQ327672:ACW327672 AMM327672:AMS327672 AWI327672:AWO327672 BGE327672:BGK327672 BQA327672:BQG327672 BZW327672:CAC327672 CJS327672:CJY327672 CTO327672:CTU327672 DDK327672:DDQ327672 DNG327672:DNM327672 DXC327672:DXI327672 EGY327672:EHE327672 EQU327672:ERA327672 FAQ327672:FAW327672 FKM327672:FKS327672 FUI327672:FUO327672 GEE327672:GEK327672 GOA327672:GOG327672 GXW327672:GYC327672 HHS327672:HHY327672 HRO327672:HRU327672 IBK327672:IBQ327672 ILG327672:ILM327672 IVC327672:IVI327672 JEY327672:JFE327672 JOU327672:JPA327672 JYQ327672:JYW327672 KIM327672:KIS327672 KSI327672:KSO327672 LCE327672:LCK327672 LMA327672:LMG327672 LVW327672:LWC327672 MFS327672:MFY327672 MPO327672:MPU327672 MZK327672:MZQ327672 NJG327672:NJM327672 NTC327672:NTI327672 OCY327672:ODE327672 OMU327672:ONA327672 OWQ327672:OWW327672 PGM327672:PGS327672 PQI327672:PQO327672 QAE327672:QAK327672 QKA327672:QKG327672 QTW327672:QUC327672 RDS327672:RDY327672 RNO327672:RNU327672 RXK327672:RXQ327672 SHG327672:SHM327672 SRC327672:SRI327672 TAY327672:TBE327672 TKU327672:TLA327672 TUQ327672:TUW327672 UEM327672:UES327672 UOI327672:UOO327672 UYE327672:UYK327672 VIA327672:VIG327672 VRW327672:VSC327672 WBS327672:WBY327672 WLO327672:WLU327672 WVK327672:WVQ327672 IY393208:JE393208 SU393208:TA393208 ACQ393208:ACW393208 AMM393208:AMS393208 AWI393208:AWO393208 BGE393208:BGK393208 BQA393208:BQG393208 BZW393208:CAC393208 CJS393208:CJY393208 CTO393208:CTU393208 DDK393208:DDQ393208 DNG393208:DNM393208 DXC393208:DXI393208 EGY393208:EHE393208 EQU393208:ERA393208 FAQ393208:FAW393208 FKM393208:FKS393208 FUI393208:FUO393208 GEE393208:GEK393208 GOA393208:GOG393208 GXW393208:GYC393208 HHS393208:HHY393208 HRO393208:HRU393208 IBK393208:IBQ393208 ILG393208:ILM393208 IVC393208:IVI393208 JEY393208:JFE393208 JOU393208:JPA393208 JYQ393208:JYW393208 KIM393208:KIS393208 KSI393208:KSO393208 LCE393208:LCK393208 LMA393208:LMG393208 LVW393208:LWC393208 MFS393208:MFY393208 MPO393208:MPU393208 MZK393208:MZQ393208 NJG393208:NJM393208 NTC393208:NTI393208 OCY393208:ODE393208 OMU393208:ONA393208 OWQ393208:OWW393208 PGM393208:PGS393208 PQI393208:PQO393208 QAE393208:QAK393208 QKA393208:QKG393208 QTW393208:QUC393208 RDS393208:RDY393208 RNO393208:RNU393208 RXK393208:RXQ393208 SHG393208:SHM393208 SRC393208:SRI393208 TAY393208:TBE393208 TKU393208:TLA393208 TUQ393208:TUW393208 UEM393208:UES393208 UOI393208:UOO393208 UYE393208:UYK393208 VIA393208:VIG393208 VRW393208:VSC393208 WBS393208:WBY393208 WLO393208:WLU393208 WVK393208:WVQ393208 IY458744:JE458744 SU458744:TA458744 ACQ458744:ACW458744 AMM458744:AMS458744 AWI458744:AWO458744 BGE458744:BGK458744 BQA458744:BQG458744 BZW458744:CAC458744 CJS458744:CJY458744 CTO458744:CTU458744 DDK458744:DDQ458744 DNG458744:DNM458744 DXC458744:DXI458744 EGY458744:EHE458744 EQU458744:ERA458744 FAQ458744:FAW458744 FKM458744:FKS458744 FUI458744:FUO458744 GEE458744:GEK458744 GOA458744:GOG458744 GXW458744:GYC458744 HHS458744:HHY458744 HRO458744:HRU458744 IBK458744:IBQ458744 ILG458744:ILM458744 IVC458744:IVI458744 JEY458744:JFE458744 JOU458744:JPA458744 JYQ458744:JYW458744 KIM458744:KIS458744 KSI458744:KSO458744 LCE458744:LCK458744 LMA458744:LMG458744 LVW458744:LWC458744 MFS458744:MFY458744 MPO458744:MPU458744 MZK458744:MZQ458744 NJG458744:NJM458744 NTC458744:NTI458744 OCY458744:ODE458744 OMU458744:ONA458744 OWQ458744:OWW458744 PGM458744:PGS458744 PQI458744:PQO458744 QAE458744:QAK458744 QKA458744:QKG458744 QTW458744:QUC458744 RDS458744:RDY458744 RNO458744:RNU458744 RXK458744:RXQ458744 SHG458744:SHM458744 SRC458744:SRI458744 TAY458744:TBE458744 TKU458744:TLA458744 TUQ458744:TUW458744 UEM458744:UES458744 UOI458744:UOO458744 UYE458744:UYK458744 VIA458744:VIG458744 VRW458744:VSC458744 WBS458744:WBY458744 WLO458744:WLU458744 WVK458744:WVQ458744 IY524280:JE524280 SU524280:TA524280 ACQ524280:ACW524280 AMM524280:AMS524280 AWI524280:AWO524280 BGE524280:BGK524280 BQA524280:BQG524280 BZW524280:CAC524280 CJS524280:CJY524280 CTO524280:CTU524280 DDK524280:DDQ524280 DNG524280:DNM524280 DXC524280:DXI524280 EGY524280:EHE524280 EQU524280:ERA524280 FAQ524280:FAW524280 FKM524280:FKS524280 FUI524280:FUO524280 GEE524280:GEK524280 GOA524280:GOG524280 GXW524280:GYC524280 HHS524280:HHY524280 HRO524280:HRU524280 IBK524280:IBQ524280 ILG524280:ILM524280 IVC524280:IVI524280 JEY524280:JFE524280 JOU524280:JPA524280 JYQ524280:JYW524280 KIM524280:KIS524280 KSI524280:KSO524280 LCE524280:LCK524280 LMA524280:LMG524280 LVW524280:LWC524280 MFS524280:MFY524280 MPO524280:MPU524280 MZK524280:MZQ524280 NJG524280:NJM524280 NTC524280:NTI524280 OCY524280:ODE524280 OMU524280:ONA524280 OWQ524280:OWW524280 PGM524280:PGS524280 PQI524280:PQO524280 QAE524280:QAK524280 QKA524280:QKG524280 QTW524280:QUC524280 RDS524280:RDY524280 RNO524280:RNU524280 RXK524280:RXQ524280 SHG524280:SHM524280 SRC524280:SRI524280 TAY524280:TBE524280 TKU524280:TLA524280 TUQ524280:TUW524280 UEM524280:UES524280 UOI524280:UOO524280 UYE524280:UYK524280 VIA524280:VIG524280 VRW524280:VSC524280 WBS524280:WBY524280 WLO524280:WLU524280 WVK524280:WVQ524280 IY589816:JE589816 SU589816:TA589816 ACQ589816:ACW589816 AMM589816:AMS589816 AWI589816:AWO589816 BGE589816:BGK589816 BQA589816:BQG589816 BZW589816:CAC589816 CJS589816:CJY589816 CTO589816:CTU589816 DDK589816:DDQ589816 DNG589816:DNM589816 DXC589816:DXI589816 EGY589816:EHE589816 EQU589816:ERA589816 FAQ589816:FAW589816 FKM589816:FKS589816 FUI589816:FUO589816 GEE589816:GEK589816 GOA589816:GOG589816 GXW589816:GYC589816 HHS589816:HHY589816 HRO589816:HRU589816 IBK589816:IBQ589816 ILG589816:ILM589816 IVC589816:IVI589816 JEY589816:JFE589816 JOU589816:JPA589816 JYQ589816:JYW589816 KIM589816:KIS589816 KSI589816:KSO589816 LCE589816:LCK589816 LMA589816:LMG589816 LVW589816:LWC589816 MFS589816:MFY589816 MPO589816:MPU589816 MZK589816:MZQ589816 NJG589816:NJM589816 NTC589816:NTI589816 OCY589816:ODE589816 OMU589816:ONA589816 OWQ589816:OWW589816 PGM589816:PGS589816 PQI589816:PQO589816 QAE589816:QAK589816 QKA589816:QKG589816 QTW589816:QUC589816 RDS589816:RDY589816 RNO589816:RNU589816 RXK589816:RXQ589816 SHG589816:SHM589816 SRC589816:SRI589816 TAY589816:TBE589816 TKU589816:TLA589816 TUQ589816:TUW589816 UEM589816:UES589816 UOI589816:UOO589816 UYE589816:UYK589816 VIA589816:VIG589816 VRW589816:VSC589816 WBS589816:WBY589816 WLO589816:WLU589816 WVK589816:WVQ589816 IY655352:JE655352 SU655352:TA655352 ACQ655352:ACW655352 AMM655352:AMS655352 AWI655352:AWO655352 BGE655352:BGK655352 BQA655352:BQG655352 BZW655352:CAC655352 CJS655352:CJY655352 CTO655352:CTU655352 DDK655352:DDQ655352 DNG655352:DNM655352 DXC655352:DXI655352 EGY655352:EHE655352 EQU655352:ERA655352 FAQ655352:FAW655352 FKM655352:FKS655352 FUI655352:FUO655352 GEE655352:GEK655352 GOA655352:GOG655352 GXW655352:GYC655352 HHS655352:HHY655352 HRO655352:HRU655352 IBK655352:IBQ655352 ILG655352:ILM655352 IVC655352:IVI655352 JEY655352:JFE655352 JOU655352:JPA655352 JYQ655352:JYW655352 KIM655352:KIS655352 KSI655352:KSO655352 LCE655352:LCK655352 LMA655352:LMG655352 LVW655352:LWC655352 MFS655352:MFY655352 MPO655352:MPU655352 MZK655352:MZQ655352 NJG655352:NJM655352 NTC655352:NTI655352 OCY655352:ODE655352 OMU655352:ONA655352 OWQ655352:OWW655352 PGM655352:PGS655352 PQI655352:PQO655352 QAE655352:QAK655352 QKA655352:QKG655352 QTW655352:QUC655352 RDS655352:RDY655352 RNO655352:RNU655352 RXK655352:RXQ655352 SHG655352:SHM655352 SRC655352:SRI655352 TAY655352:TBE655352 TKU655352:TLA655352 TUQ655352:TUW655352 UEM655352:UES655352 UOI655352:UOO655352 UYE655352:UYK655352 VIA655352:VIG655352 VRW655352:VSC655352 WBS655352:WBY655352 WLO655352:WLU655352 WVK655352:WVQ655352 IY720888:JE720888 SU720888:TA720888 ACQ720888:ACW720888 AMM720888:AMS720888 AWI720888:AWO720888 BGE720888:BGK720888 BQA720888:BQG720888 BZW720888:CAC720888 CJS720888:CJY720888 CTO720888:CTU720888 DDK720888:DDQ720888 DNG720888:DNM720888 DXC720888:DXI720888 EGY720888:EHE720888 EQU720888:ERA720888 FAQ720888:FAW720888 FKM720888:FKS720888 FUI720888:FUO720888 GEE720888:GEK720888 GOA720888:GOG720888 GXW720888:GYC720888 HHS720888:HHY720888 HRO720888:HRU720888 IBK720888:IBQ720888 ILG720888:ILM720888 IVC720888:IVI720888 JEY720888:JFE720888 JOU720888:JPA720888 JYQ720888:JYW720888 KIM720888:KIS720888 KSI720888:KSO720888 LCE720888:LCK720888 LMA720888:LMG720888 LVW720888:LWC720888 MFS720888:MFY720888 MPO720888:MPU720888 MZK720888:MZQ720888 NJG720888:NJM720888 NTC720888:NTI720888 OCY720888:ODE720888 OMU720888:ONA720888 OWQ720888:OWW720888 PGM720888:PGS720888 PQI720888:PQO720888 QAE720888:QAK720888 QKA720888:QKG720888 QTW720888:QUC720888 RDS720888:RDY720888 RNO720888:RNU720888 RXK720888:RXQ720888 SHG720888:SHM720888 SRC720888:SRI720888 TAY720888:TBE720888 TKU720888:TLA720888 TUQ720888:TUW720888 UEM720888:UES720888 UOI720888:UOO720888 UYE720888:UYK720888 VIA720888:VIG720888 VRW720888:VSC720888 WBS720888:WBY720888 WLO720888:WLU720888 WVK720888:WVQ720888 IY786424:JE786424 SU786424:TA786424 ACQ786424:ACW786424 AMM786424:AMS786424 AWI786424:AWO786424 BGE786424:BGK786424 BQA786424:BQG786424 BZW786424:CAC786424 CJS786424:CJY786424 CTO786424:CTU786424 DDK786424:DDQ786424 DNG786424:DNM786424 DXC786424:DXI786424 EGY786424:EHE786424 EQU786424:ERA786424 FAQ786424:FAW786424 FKM786424:FKS786424 FUI786424:FUO786424 GEE786424:GEK786424 GOA786424:GOG786424 GXW786424:GYC786424 HHS786424:HHY786424 HRO786424:HRU786424 IBK786424:IBQ786424 ILG786424:ILM786424 IVC786424:IVI786424 JEY786424:JFE786424 JOU786424:JPA786424 JYQ786424:JYW786424 KIM786424:KIS786424 KSI786424:KSO786424 LCE786424:LCK786424 LMA786424:LMG786424 LVW786424:LWC786424 MFS786424:MFY786424 MPO786424:MPU786424 MZK786424:MZQ786424 NJG786424:NJM786424 NTC786424:NTI786424 OCY786424:ODE786424 OMU786424:ONA786424 OWQ786424:OWW786424 PGM786424:PGS786424 PQI786424:PQO786424 QAE786424:QAK786424 QKA786424:QKG786424 QTW786424:QUC786424 RDS786424:RDY786424 RNO786424:RNU786424 RXK786424:RXQ786424 SHG786424:SHM786424 SRC786424:SRI786424 TAY786424:TBE786424 TKU786424:TLA786424 TUQ786424:TUW786424 UEM786424:UES786424 UOI786424:UOO786424 UYE786424:UYK786424 VIA786424:VIG786424 VRW786424:VSC786424 WBS786424:WBY786424 WLO786424:WLU786424 WVK786424:WVQ786424 IY851960:JE851960 SU851960:TA851960 ACQ851960:ACW851960 AMM851960:AMS851960 AWI851960:AWO851960 BGE851960:BGK851960 BQA851960:BQG851960 BZW851960:CAC851960 CJS851960:CJY851960 CTO851960:CTU851960 DDK851960:DDQ851960 DNG851960:DNM851960 DXC851960:DXI851960 EGY851960:EHE851960 EQU851960:ERA851960 FAQ851960:FAW851960 FKM851960:FKS851960 FUI851960:FUO851960 GEE851960:GEK851960 GOA851960:GOG851960 GXW851960:GYC851960 HHS851960:HHY851960 HRO851960:HRU851960 IBK851960:IBQ851960 ILG851960:ILM851960 IVC851960:IVI851960 JEY851960:JFE851960 JOU851960:JPA851960 JYQ851960:JYW851960 KIM851960:KIS851960 KSI851960:KSO851960 LCE851960:LCK851960 LMA851960:LMG851960 LVW851960:LWC851960 MFS851960:MFY851960 MPO851960:MPU851960 MZK851960:MZQ851960 NJG851960:NJM851960 NTC851960:NTI851960 OCY851960:ODE851960 OMU851960:ONA851960 OWQ851960:OWW851960 PGM851960:PGS851960 PQI851960:PQO851960 QAE851960:QAK851960 QKA851960:QKG851960 QTW851960:QUC851960 RDS851960:RDY851960 RNO851960:RNU851960 RXK851960:RXQ851960 SHG851960:SHM851960 SRC851960:SRI851960 TAY851960:TBE851960 TKU851960:TLA851960 TUQ851960:TUW851960 UEM851960:UES851960 UOI851960:UOO851960 UYE851960:UYK851960 VIA851960:VIG851960 VRW851960:VSC851960 WBS851960:WBY851960 WLO851960:WLU851960 WVK851960:WVQ851960 IY917496:JE917496 SU917496:TA917496 ACQ917496:ACW917496 AMM917496:AMS917496 AWI917496:AWO917496 BGE917496:BGK917496 BQA917496:BQG917496 BZW917496:CAC917496 CJS917496:CJY917496 CTO917496:CTU917496 DDK917496:DDQ917496 DNG917496:DNM917496 DXC917496:DXI917496 EGY917496:EHE917496 EQU917496:ERA917496 FAQ917496:FAW917496 FKM917496:FKS917496 FUI917496:FUO917496 GEE917496:GEK917496 GOA917496:GOG917496 GXW917496:GYC917496 HHS917496:HHY917496 HRO917496:HRU917496 IBK917496:IBQ917496 ILG917496:ILM917496 IVC917496:IVI917496 JEY917496:JFE917496 JOU917496:JPA917496 JYQ917496:JYW917496 KIM917496:KIS917496 KSI917496:KSO917496 LCE917496:LCK917496 LMA917496:LMG917496 LVW917496:LWC917496 MFS917496:MFY917496 MPO917496:MPU917496 MZK917496:MZQ917496 NJG917496:NJM917496 NTC917496:NTI917496 OCY917496:ODE917496 OMU917496:ONA917496 OWQ917496:OWW917496 PGM917496:PGS917496 PQI917496:PQO917496 QAE917496:QAK917496 QKA917496:QKG917496 QTW917496:QUC917496 RDS917496:RDY917496 RNO917496:RNU917496 RXK917496:RXQ917496 SHG917496:SHM917496 SRC917496:SRI917496 TAY917496:TBE917496 TKU917496:TLA917496 TUQ917496:TUW917496 UEM917496:UES917496 UOI917496:UOO917496 UYE917496:UYK917496 VIA917496:VIG917496 VRW917496:VSC917496 WBS917496:WBY917496 WLO917496:WLU917496 WVK917496:WVQ917496 IY983032:JE983032 SU983032:TA983032 ACQ983032:ACW983032 AMM983032:AMS983032 AWI983032:AWO983032 BGE983032:BGK983032 BQA983032:BQG983032 BZW983032:CAC983032 CJS983032:CJY983032 CTO983032:CTU983032 DDK983032:DDQ983032 DNG983032:DNM983032 DXC983032:DXI983032 EGY983032:EHE983032 EQU983032:ERA983032 FAQ983032:FAW983032 FKM983032:FKS983032 FUI983032:FUO983032 GEE983032:GEK983032 GOA983032:GOG983032 GXW983032:GYC983032 HHS983032:HHY983032 HRO983032:HRU983032 IBK983032:IBQ983032 ILG983032:ILM983032 IVC983032:IVI983032 JEY983032:JFE983032 JOU983032:JPA983032 JYQ983032:JYW983032 KIM983032:KIS983032 KSI983032:KSO983032 LCE983032:LCK983032 LMA983032:LMG983032 LVW983032:LWC983032 MFS983032:MFY983032 MPO983032:MPU983032 MZK983032:MZQ983032 NJG983032:NJM983032 NTC983032:NTI983032 OCY983032:ODE983032 OMU983032:ONA983032 OWQ983032:OWW983032 PGM983032:PGS983032 PQI983032:PQO983032 QAE983032:QAK983032 QKA983032:QKG983032 QTW983032:QUC983032 RDS983032:RDY983032 RNO983032:RNU983032 RXK983032:RXQ983032 SHG983032:SHM983032 SRC983032:SRI983032 TAY983032:TBE983032 TKU983032:TLA983032 TUQ983032:TUW983032 UEM983032:UES983032 UOI983032:UOO983032 UYE983032:UYK983032 VIA983032:VIG983032 VRW983032:VSC983032 WBS983032:WBY983032 WLO983032:WLU983032 WVK983032:WVQ983032 D65528:J65528 D983032:J983032 D917496:J917496 D851960:J851960 D786424:J786424 D720888:J720888 D655352:J655352 D589816:J589816 D524280:J524280 D458744:J458744 D393208:J393208 D327672:J327672 D262136:J262136 D196600:J196600 D131064:J131064 D9"/>
    <dataValidation allowBlank="1" showInputMessage="1" showErrorMessage="1" promptTitle="Alamat" prompt="Ketik Alamat Lengkap Pemohon sesuai KTP atau Kartu Keluarga atau Bukti Identitas lain yang telah diverifikasi dan masih berlaku" sqref="IY15:JE16 SU15:TA16 ACQ15:ACW16 AMM15:AMS16 AWI15:AWO16 BGE15:BGK16 BQA15:BQG16 BZW15:CAC16 CJS15:CJY16 CTO15:CTU16 DDK15:DDQ16 DNG15:DNM16 DXC15:DXI16 EGY15:EHE16 EQU15:ERA16 FAQ15:FAW16 FKM15:FKS16 FUI15:FUO16 GEE15:GEK16 GOA15:GOG16 GXW15:GYC16 HHS15:HHY16 HRO15:HRU16 IBK15:IBQ16 ILG15:ILM16 IVC15:IVI16 JEY15:JFE16 JOU15:JPA16 JYQ15:JYW16 KIM15:KIS16 KSI15:KSO16 LCE15:LCK16 LMA15:LMG16 LVW15:LWC16 MFS15:MFY16 MPO15:MPU16 MZK15:MZQ16 NJG15:NJM16 NTC15:NTI16 OCY15:ODE16 OMU15:ONA16 OWQ15:OWW16 PGM15:PGS16 PQI15:PQO16 QAE15:QAK16 QKA15:QKG16 QTW15:QUC16 RDS15:RDY16 RNO15:RNU16 RXK15:RXQ16 SHG15:SHM16 SRC15:SRI16 TAY15:TBE16 TKU15:TLA16 TUQ15:TUW16 UEM15:UES16 UOI15:UOO16 UYE15:UYK16 VIA15:VIG16 VRW15:VSC16 WBS15:WBY16 WLO15:WLU16 WVK15:WVQ16 IY65531:JE65532 SU65531:TA65532 ACQ65531:ACW65532 AMM65531:AMS65532 AWI65531:AWO65532 BGE65531:BGK65532 BQA65531:BQG65532 BZW65531:CAC65532 CJS65531:CJY65532 CTO65531:CTU65532 DDK65531:DDQ65532 DNG65531:DNM65532 DXC65531:DXI65532 EGY65531:EHE65532 EQU65531:ERA65532 FAQ65531:FAW65532 FKM65531:FKS65532 FUI65531:FUO65532 GEE65531:GEK65532 GOA65531:GOG65532 GXW65531:GYC65532 HHS65531:HHY65532 HRO65531:HRU65532 IBK65531:IBQ65532 ILG65531:ILM65532 IVC65531:IVI65532 JEY65531:JFE65532 JOU65531:JPA65532 JYQ65531:JYW65532 KIM65531:KIS65532 KSI65531:KSO65532 LCE65531:LCK65532 LMA65531:LMG65532 LVW65531:LWC65532 MFS65531:MFY65532 MPO65531:MPU65532 MZK65531:MZQ65532 NJG65531:NJM65532 NTC65531:NTI65532 OCY65531:ODE65532 OMU65531:ONA65532 OWQ65531:OWW65532 PGM65531:PGS65532 PQI65531:PQO65532 QAE65531:QAK65532 QKA65531:QKG65532 QTW65531:QUC65532 RDS65531:RDY65532 RNO65531:RNU65532 RXK65531:RXQ65532 SHG65531:SHM65532 SRC65531:SRI65532 TAY65531:TBE65532 TKU65531:TLA65532 TUQ65531:TUW65532 UEM65531:UES65532 UOI65531:UOO65532 UYE65531:UYK65532 VIA65531:VIG65532 VRW65531:VSC65532 WBS65531:WBY65532 WLO65531:WLU65532 WVK65531:WVQ65532 IY131067:JE131068 SU131067:TA131068 ACQ131067:ACW131068 AMM131067:AMS131068 AWI131067:AWO131068 BGE131067:BGK131068 BQA131067:BQG131068 BZW131067:CAC131068 CJS131067:CJY131068 CTO131067:CTU131068 DDK131067:DDQ131068 DNG131067:DNM131068 DXC131067:DXI131068 EGY131067:EHE131068 EQU131067:ERA131068 FAQ131067:FAW131068 FKM131067:FKS131068 FUI131067:FUO131068 GEE131067:GEK131068 GOA131067:GOG131068 GXW131067:GYC131068 HHS131067:HHY131068 HRO131067:HRU131068 IBK131067:IBQ131068 ILG131067:ILM131068 IVC131067:IVI131068 JEY131067:JFE131068 JOU131067:JPA131068 JYQ131067:JYW131068 KIM131067:KIS131068 KSI131067:KSO131068 LCE131067:LCK131068 LMA131067:LMG131068 LVW131067:LWC131068 MFS131067:MFY131068 MPO131067:MPU131068 MZK131067:MZQ131068 NJG131067:NJM131068 NTC131067:NTI131068 OCY131067:ODE131068 OMU131067:ONA131068 OWQ131067:OWW131068 PGM131067:PGS131068 PQI131067:PQO131068 QAE131067:QAK131068 QKA131067:QKG131068 QTW131067:QUC131068 RDS131067:RDY131068 RNO131067:RNU131068 RXK131067:RXQ131068 SHG131067:SHM131068 SRC131067:SRI131068 TAY131067:TBE131068 TKU131067:TLA131068 TUQ131067:TUW131068 UEM131067:UES131068 UOI131067:UOO131068 UYE131067:UYK131068 VIA131067:VIG131068 VRW131067:VSC131068 WBS131067:WBY131068 WLO131067:WLU131068 WVK131067:WVQ131068 IY196603:JE196604 SU196603:TA196604 ACQ196603:ACW196604 AMM196603:AMS196604 AWI196603:AWO196604 BGE196603:BGK196604 BQA196603:BQG196604 BZW196603:CAC196604 CJS196603:CJY196604 CTO196603:CTU196604 DDK196603:DDQ196604 DNG196603:DNM196604 DXC196603:DXI196604 EGY196603:EHE196604 EQU196603:ERA196604 FAQ196603:FAW196604 FKM196603:FKS196604 FUI196603:FUO196604 GEE196603:GEK196604 GOA196603:GOG196604 GXW196603:GYC196604 HHS196603:HHY196604 HRO196603:HRU196604 IBK196603:IBQ196604 ILG196603:ILM196604 IVC196603:IVI196604 JEY196603:JFE196604 JOU196603:JPA196604 JYQ196603:JYW196604 KIM196603:KIS196604 KSI196603:KSO196604 LCE196603:LCK196604 LMA196603:LMG196604 LVW196603:LWC196604 MFS196603:MFY196604 MPO196603:MPU196604 MZK196603:MZQ196604 NJG196603:NJM196604 NTC196603:NTI196604 OCY196603:ODE196604 OMU196603:ONA196604 OWQ196603:OWW196604 PGM196603:PGS196604 PQI196603:PQO196604 QAE196603:QAK196604 QKA196603:QKG196604 QTW196603:QUC196604 RDS196603:RDY196604 RNO196603:RNU196604 RXK196603:RXQ196604 SHG196603:SHM196604 SRC196603:SRI196604 TAY196603:TBE196604 TKU196603:TLA196604 TUQ196603:TUW196604 UEM196603:UES196604 UOI196603:UOO196604 UYE196603:UYK196604 VIA196603:VIG196604 VRW196603:VSC196604 WBS196603:WBY196604 WLO196603:WLU196604 WVK196603:WVQ196604 IY262139:JE262140 SU262139:TA262140 ACQ262139:ACW262140 AMM262139:AMS262140 AWI262139:AWO262140 BGE262139:BGK262140 BQA262139:BQG262140 BZW262139:CAC262140 CJS262139:CJY262140 CTO262139:CTU262140 DDK262139:DDQ262140 DNG262139:DNM262140 DXC262139:DXI262140 EGY262139:EHE262140 EQU262139:ERA262140 FAQ262139:FAW262140 FKM262139:FKS262140 FUI262139:FUO262140 GEE262139:GEK262140 GOA262139:GOG262140 GXW262139:GYC262140 HHS262139:HHY262140 HRO262139:HRU262140 IBK262139:IBQ262140 ILG262139:ILM262140 IVC262139:IVI262140 JEY262139:JFE262140 JOU262139:JPA262140 JYQ262139:JYW262140 KIM262139:KIS262140 KSI262139:KSO262140 LCE262139:LCK262140 LMA262139:LMG262140 LVW262139:LWC262140 MFS262139:MFY262140 MPO262139:MPU262140 MZK262139:MZQ262140 NJG262139:NJM262140 NTC262139:NTI262140 OCY262139:ODE262140 OMU262139:ONA262140 OWQ262139:OWW262140 PGM262139:PGS262140 PQI262139:PQO262140 QAE262139:QAK262140 QKA262139:QKG262140 QTW262139:QUC262140 RDS262139:RDY262140 RNO262139:RNU262140 RXK262139:RXQ262140 SHG262139:SHM262140 SRC262139:SRI262140 TAY262139:TBE262140 TKU262139:TLA262140 TUQ262139:TUW262140 UEM262139:UES262140 UOI262139:UOO262140 UYE262139:UYK262140 VIA262139:VIG262140 VRW262139:VSC262140 WBS262139:WBY262140 WLO262139:WLU262140 WVK262139:WVQ262140 IY327675:JE327676 SU327675:TA327676 ACQ327675:ACW327676 AMM327675:AMS327676 AWI327675:AWO327676 BGE327675:BGK327676 BQA327675:BQG327676 BZW327675:CAC327676 CJS327675:CJY327676 CTO327675:CTU327676 DDK327675:DDQ327676 DNG327675:DNM327676 DXC327675:DXI327676 EGY327675:EHE327676 EQU327675:ERA327676 FAQ327675:FAW327676 FKM327675:FKS327676 FUI327675:FUO327676 GEE327675:GEK327676 GOA327675:GOG327676 GXW327675:GYC327676 HHS327675:HHY327676 HRO327675:HRU327676 IBK327675:IBQ327676 ILG327675:ILM327676 IVC327675:IVI327676 JEY327675:JFE327676 JOU327675:JPA327676 JYQ327675:JYW327676 KIM327675:KIS327676 KSI327675:KSO327676 LCE327675:LCK327676 LMA327675:LMG327676 LVW327675:LWC327676 MFS327675:MFY327676 MPO327675:MPU327676 MZK327675:MZQ327676 NJG327675:NJM327676 NTC327675:NTI327676 OCY327675:ODE327676 OMU327675:ONA327676 OWQ327675:OWW327676 PGM327675:PGS327676 PQI327675:PQO327676 QAE327675:QAK327676 QKA327675:QKG327676 QTW327675:QUC327676 RDS327675:RDY327676 RNO327675:RNU327676 RXK327675:RXQ327676 SHG327675:SHM327676 SRC327675:SRI327676 TAY327675:TBE327676 TKU327675:TLA327676 TUQ327675:TUW327676 UEM327675:UES327676 UOI327675:UOO327676 UYE327675:UYK327676 VIA327675:VIG327676 VRW327675:VSC327676 WBS327675:WBY327676 WLO327675:WLU327676 WVK327675:WVQ327676 IY393211:JE393212 SU393211:TA393212 ACQ393211:ACW393212 AMM393211:AMS393212 AWI393211:AWO393212 BGE393211:BGK393212 BQA393211:BQG393212 BZW393211:CAC393212 CJS393211:CJY393212 CTO393211:CTU393212 DDK393211:DDQ393212 DNG393211:DNM393212 DXC393211:DXI393212 EGY393211:EHE393212 EQU393211:ERA393212 FAQ393211:FAW393212 FKM393211:FKS393212 FUI393211:FUO393212 GEE393211:GEK393212 GOA393211:GOG393212 GXW393211:GYC393212 HHS393211:HHY393212 HRO393211:HRU393212 IBK393211:IBQ393212 ILG393211:ILM393212 IVC393211:IVI393212 JEY393211:JFE393212 JOU393211:JPA393212 JYQ393211:JYW393212 KIM393211:KIS393212 KSI393211:KSO393212 LCE393211:LCK393212 LMA393211:LMG393212 LVW393211:LWC393212 MFS393211:MFY393212 MPO393211:MPU393212 MZK393211:MZQ393212 NJG393211:NJM393212 NTC393211:NTI393212 OCY393211:ODE393212 OMU393211:ONA393212 OWQ393211:OWW393212 PGM393211:PGS393212 PQI393211:PQO393212 QAE393211:QAK393212 QKA393211:QKG393212 QTW393211:QUC393212 RDS393211:RDY393212 RNO393211:RNU393212 RXK393211:RXQ393212 SHG393211:SHM393212 SRC393211:SRI393212 TAY393211:TBE393212 TKU393211:TLA393212 TUQ393211:TUW393212 UEM393211:UES393212 UOI393211:UOO393212 UYE393211:UYK393212 VIA393211:VIG393212 VRW393211:VSC393212 WBS393211:WBY393212 WLO393211:WLU393212 WVK393211:WVQ393212 IY458747:JE458748 SU458747:TA458748 ACQ458747:ACW458748 AMM458747:AMS458748 AWI458747:AWO458748 BGE458747:BGK458748 BQA458747:BQG458748 BZW458747:CAC458748 CJS458747:CJY458748 CTO458747:CTU458748 DDK458747:DDQ458748 DNG458747:DNM458748 DXC458747:DXI458748 EGY458747:EHE458748 EQU458747:ERA458748 FAQ458747:FAW458748 FKM458747:FKS458748 FUI458747:FUO458748 GEE458747:GEK458748 GOA458747:GOG458748 GXW458747:GYC458748 HHS458747:HHY458748 HRO458747:HRU458748 IBK458747:IBQ458748 ILG458747:ILM458748 IVC458747:IVI458748 JEY458747:JFE458748 JOU458747:JPA458748 JYQ458747:JYW458748 KIM458747:KIS458748 KSI458747:KSO458748 LCE458747:LCK458748 LMA458747:LMG458748 LVW458747:LWC458748 MFS458747:MFY458748 MPO458747:MPU458748 MZK458747:MZQ458748 NJG458747:NJM458748 NTC458747:NTI458748 OCY458747:ODE458748 OMU458747:ONA458748 OWQ458747:OWW458748 PGM458747:PGS458748 PQI458747:PQO458748 QAE458747:QAK458748 QKA458747:QKG458748 QTW458747:QUC458748 RDS458747:RDY458748 RNO458747:RNU458748 RXK458747:RXQ458748 SHG458747:SHM458748 SRC458747:SRI458748 TAY458747:TBE458748 TKU458747:TLA458748 TUQ458747:TUW458748 UEM458747:UES458748 UOI458747:UOO458748 UYE458747:UYK458748 VIA458747:VIG458748 VRW458747:VSC458748 WBS458747:WBY458748 WLO458747:WLU458748 WVK458747:WVQ458748 IY524283:JE524284 SU524283:TA524284 ACQ524283:ACW524284 AMM524283:AMS524284 AWI524283:AWO524284 BGE524283:BGK524284 BQA524283:BQG524284 BZW524283:CAC524284 CJS524283:CJY524284 CTO524283:CTU524284 DDK524283:DDQ524284 DNG524283:DNM524284 DXC524283:DXI524284 EGY524283:EHE524284 EQU524283:ERA524284 FAQ524283:FAW524284 FKM524283:FKS524284 FUI524283:FUO524284 GEE524283:GEK524284 GOA524283:GOG524284 GXW524283:GYC524284 HHS524283:HHY524284 HRO524283:HRU524284 IBK524283:IBQ524284 ILG524283:ILM524284 IVC524283:IVI524284 JEY524283:JFE524284 JOU524283:JPA524284 JYQ524283:JYW524284 KIM524283:KIS524284 KSI524283:KSO524284 LCE524283:LCK524284 LMA524283:LMG524284 LVW524283:LWC524284 MFS524283:MFY524284 MPO524283:MPU524284 MZK524283:MZQ524284 NJG524283:NJM524284 NTC524283:NTI524284 OCY524283:ODE524284 OMU524283:ONA524284 OWQ524283:OWW524284 PGM524283:PGS524284 PQI524283:PQO524284 QAE524283:QAK524284 QKA524283:QKG524284 QTW524283:QUC524284 RDS524283:RDY524284 RNO524283:RNU524284 RXK524283:RXQ524284 SHG524283:SHM524284 SRC524283:SRI524284 TAY524283:TBE524284 TKU524283:TLA524284 TUQ524283:TUW524284 UEM524283:UES524284 UOI524283:UOO524284 UYE524283:UYK524284 VIA524283:VIG524284 VRW524283:VSC524284 WBS524283:WBY524284 WLO524283:WLU524284 WVK524283:WVQ524284 IY589819:JE589820 SU589819:TA589820 ACQ589819:ACW589820 AMM589819:AMS589820 AWI589819:AWO589820 BGE589819:BGK589820 BQA589819:BQG589820 BZW589819:CAC589820 CJS589819:CJY589820 CTO589819:CTU589820 DDK589819:DDQ589820 DNG589819:DNM589820 DXC589819:DXI589820 EGY589819:EHE589820 EQU589819:ERA589820 FAQ589819:FAW589820 FKM589819:FKS589820 FUI589819:FUO589820 GEE589819:GEK589820 GOA589819:GOG589820 GXW589819:GYC589820 HHS589819:HHY589820 HRO589819:HRU589820 IBK589819:IBQ589820 ILG589819:ILM589820 IVC589819:IVI589820 JEY589819:JFE589820 JOU589819:JPA589820 JYQ589819:JYW589820 KIM589819:KIS589820 KSI589819:KSO589820 LCE589819:LCK589820 LMA589819:LMG589820 LVW589819:LWC589820 MFS589819:MFY589820 MPO589819:MPU589820 MZK589819:MZQ589820 NJG589819:NJM589820 NTC589819:NTI589820 OCY589819:ODE589820 OMU589819:ONA589820 OWQ589819:OWW589820 PGM589819:PGS589820 PQI589819:PQO589820 QAE589819:QAK589820 QKA589819:QKG589820 QTW589819:QUC589820 RDS589819:RDY589820 RNO589819:RNU589820 RXK589819:RXQ589820 SHG589819:SHM589820 SRC589819:SRI589820 TAY589819:TBE589820 TKU589819:TLA589820 TUQ589819:TUW589820 UEM589819:UES589820 UOI589819:UOO589820 UYE589819:UYK589820 VIA589819:VIG589820 VRW589819:VSC589820 WBS589819:WBY589820 WLO589819:WLU589820 WVK589819:WVQ589820 IY655355:JE655356 SU655355:TA655356 ACQ655355:ACW655356 AMM655355:AMS655356 AWI655355:AWO655356 BGE655355:BGK655356 BQA655355:BQG655356 BZW655355:CAC655356 CJS655355:CJY655356 CTO655355:CTU655356 DDK655355:DDQ655356 DNG655355:DNM655356 DXC655355:DXI655356 EGY655355:EHE655356 EQU655355:ERA655356 FAQ655355:FAW655356 FKM655355:FKS655356 FUI655355:FUO655356 GEE655355:GEK655356 GOA655355:GOG655356 GXW655355:GYC655356 HHS655355:HHY655356 HRO655355:HRU655356 IBK655355:IBQ655356 ILG655355:ILM655356 IVC655355:IVI655356 JEY655355:JFE655356 JOU655355:JPA655356 JYQ655355:JYW655356 KIM655355:KIS655356 KSI655355:KSO655356 LCE655355:LCK655356 LMA655355:LMG655356 LVW655355:LWC655356 MFS655355:MFY655356 MPO655355:MPU655356 MZK655355:MZQ655356 NJG655355:NJM655356 NTC655355:NTI655356 OCY655355:ODE655356 OMU655355:ONA655356 OWQ655355:OWW655356 PGM655355:PGS655356 PQI655355:PQO655356 QAE655355:QAK655356 QKA655355:QKG655356 QTW655355:QUC655356 RDS655355:RDY655356 RNO655355:RNU655356 RXK655355:RXQ655356 SHG655355:SHM655356 SRC655355:SRI655356 TAY655355:TBE655356 TKU655355:TLA655356 TUQ655355:TUW655356 UEM655355:UES655356 UOI655355:UOO655356 UYE655355:UYK655356 VIA655355:VIG655356 VRW655355:VSC655356 WBS655355:WBY655356 WLO655355:WLU655356 WVK655355:WVQ655356 IY720891:JE720892 SU720891:TA720892 ACQ720891:ACW720892 AMM720891:AMS720892 AWI720891:AWO720892 BGE720891:BGK720892 BQA720891:BQG720892 BZW720891:CAC720892 CJS720891:CJY720892 CTO720891:CTU720892 DDK720891:DDQ720892 DNG720891:DNM720892 DXC720891:DXI720892 EGY720891:EHE720892 EQU720891:ERA720892 FAQ720891:FAW720892 FKM720891:FKS720892 FUI720891:FUO720892 GEE720891:GEK720892 GOA720891:GOG720892 GXW720891:GYC720892 HHS720891:HHY720892 HRO720891:HRU720892 IBK720891:IBQ720892 ILG720891:ILM720892 IVC720891:IVI720892 JEY720891:JFE720892 JOU720891:JPA720892 JYQ720891:JYW720892 KIM720891:KIS720892 KSI720891:KSO720892 LCE720891:LCK720892 LMA720891:LMG720892 LVW720891:LWC720892 MFS720891:MFY720892 MPO720891:MPU720892 MZK720891:MZQ720892 NJG720891:NJM720892 NTC720891:NTI720892 OCY720891:ODE720892 OMU720891:ONA720892 OWQ720891:OWW720892 PGM720891:PGS720892 PQI720891:PQO720892 QAE720891:QAK720892 QKA720891:QKG720892 QTW720891:QUC720892 RDS720891:RDY720892 RNO720891:RNU720892 RXK720891:RXQ720892 SHG720891:SHM720892 SRC720891:SRI720892 TAY720891:TBE720892 TKU720891:TLA720892 TUQ720891:TUW720892 UEM720891:UES720892 UOI720891:UOO720892 UYE720891:UYK720892 VIA720891:VIG720892 VRW720891:VSC720892 WBS720891:WBY720892 WLO720891:WLU720892 WVK720891:WVQ720892 IY786427:JE786428 SU786427:TA786428 ACQ786427:ACW786428 AMM786427:AMS786428 AWI786427:AWO786428 BGE786427:BGK786428 BQA786427:BQG786428 BZW786427:CAC786428 CJS786427:CJY786428 CTO786427:CTU786428 DDK786427:DDQ786428 DNG786427:DNM786428 DXC786427:DXI786428 EGY786427:EHE786428 EQU786427:ERA786428 FAQ786427:FAW786428 FKM786427:FKS786428 FUI786427:FUO786428 GEE786427:GEK786428 GOA786427:GOG786428 GXW786427:GYC786428 HHS786427:HHY786428 HRO786427:HRU786428 IBK786427:IBQ786428 ILG786427:ILM786428 IVC786427:IVI786428 JEY786427:JFE786428 JOU786427:JPA786428 JYQ786427:JYW786428 KIM786427:KIS786428 KSI786427:KSO786428 LCE786427:LCK786428 LMA786427:LMG786428 LVW786427:LWC786428 MFS786427:MFY786428 MPO786427:MPU786428 MZK786427:MZQ786428 NJG786427:NJM786428 NTC786427:NTI786428 OCY786427:ODE786428 OMU786427:ONA786428 OWQ786427:OWW786428 PGM786427:PGS786428 PQI786427:PQO786428 QAE786427:QAK786428 QKA786427:QKG786428 QTW786427:QUC786428 RDS786427:RDY786428 RNO786427:RNU786428 RXK786427:RXQ786428 SHG786427:SHM786428 SRC786427:SRI786428 TAY786427:TBE786428 TKU786427:TLA786428 TUQ786427:TUW786428 UEM786427:UES786428 UOI786427:UOO786428 UYE786427:UYK786428 VIA786427:VIG786428 VRW786427:VSC786428 WBS786427:WBY786428 WLO786427:WLU786428 WVK786427:WVQ786428 IY851963:JE851964 SU851963:TA851964 ACQ851963:ACW851964 AMM851963:AMS851964 AWI851963:AWO851964 BGE851963:BGK851964 BQA851963:BQG851964 BZW851963:CAC851964 CJS851963:CJY851964 CTO851963:CTU851964 DDK851963:DDQ851964 DNG851963:DNM851964 DXC851963:DXI851964 EGY851963:EHE851964 EQU851963:ERA851964 FAQ851963:FAW851964 FKM851963:FKS851964 FUI851963:FUO851964 GEE851963:GEK851964 GOA851963:GOG851964 GXW851963:GYC851964 HHS851963:HHY851964 HRO851963:HRU851964 IBK851963:IBQ851964 ILG851963:ILM851964 IVC851963:IVI851964 JEY851963:JFE851964 JOU851963:JPA851964 JYQ851963:JYW851964 KIM851963:KIS851964 KSI851963:KSO851964 LCE851963:LCK851964 LMA851963:LMG851964 LVW851963:LWC851964 MFS851963:MFY851964 MPO851963:MPU851964 MZK851963:MZQ851964 NJG851963:NJM851964 NTC851963:NTI851964 OCY851963:ODE851964 OMU851963:ONA851964 OWQ851963:OWW851964 PGM851963:PGS851964 PQI851963:PQO851964 QAE851963:QAK851964 QKA851963:QKG851964 QTW851963:QUC851964 RDS851963:RDY851964 RNO851963:RNU851964 RXK851963:RXQ851964 SHG851963:SHM851964 SRC851963:SRI851964 TAY851963:TBE851964 TKU851963:TLA851964 TUQ851963:TUW851964 UEM851963:UES851964 UOI851963:UOO851964 UYE851963:UYK851964 VIA851963:VIG851964 VRW851963:VSC851964 WBS851963:WBY851964 WLO851963:WLU851964 WVK851963:WVQ851964 IY917499:JE917500 SU917499:TA917500 ACQ917499:ACW917500 AMM917499:AMS917500 AWI917499:AWO917500 BGE917499:BGK917500 BQA917499:BQG917500 BZW917499:CAC917500 CJS917499:CJY917500 CTO917499:CTU917500 DDK917499:DDQ917500 DNG917499:DNM917500 DXC917499:DXI917500 EGY917499:EHE917500 EQU917499:ERA917500 FAQ917499:FAW917500 FKM917499:FKS917500 FUI917499:FUO917500 GEE917499:GEK917500 GOA917499:GOG917500 GXW917499:GYC917500 HHS917499:HHY917500 HRO917499:HRU917500 IBK917499:IBQ917500 ILG917499:ILM917500 IVC917499:IVI917500 JEY917499:JFE917500 JOU917499:JPA917500 JYQ917499:JYW917500 KIM917499:KIS917500 KSI917499:KSO917500 LCE917499:LCK917500 LMA917499:LMG917500 LVW917499:LWC917500 MFS917499:MFY917500 MPO917499:MPU917500 MZK917499:MZQ917500 NJG917499:NJM917500 NTC917499:NTI917500 OCY917499:ODE917500 OMU917499:ONA917500 OWQ917499:OWW917500 PGM917499:PGS917500 PQI917499:PQO917500 QAE917499:QAK917500 QKA917499:QKG917500 QTW917499:QUC917500 RDS917499:RDY917500 RNO917499:RNU917500 RXK917499:RXQ917500 SHG917499:SHM917500 SRC917499:SRI917500 TAY917499:TBE917500 TKU917499:TLA917500 TUQ917499:TUW917500 UEM917499:UES917500 UOI917499:UOO917500 UYE917499:UYK917500 VIA917499:VIG917500 VRW917499:VSC917500 WBS917499:WBY917500 WLO917499:WLU917500 WVK917499:WVQ917500 IY983035:JE983036 SU983035:TA983036 ACQ983035:ACW983036 AMM983035:AMS983036 AWI983035:AWO983036 BGE983035:BGK983036 BQA983035:BQG983036 BZW983035:CAC983036 CJS983035:CJY983036 CTO983035:CTU983036 DDK983035:DDQ983036 DNG983035:DNM983036 DXC983035:DXI983036 EGY983035:EHE983036 EQU983035:ERA983036 FAQ983035:FAW983036 FKM983035:FKS983036 FUI983035:FUO983036 GEE983035:GEK983036 GOA983035:GOG983036 GXW983035:GYC983036 HHS983035:HHY983036 HRO983035:HRU983036 IBK983035:IBQ983036 ILG983035:ILM983036 IVC983035:IVI983036 JEY983035:JFE983036 JOU983035:JPA983036 JYQ983035:JYW983036 KIM983035:KIS983036 KSI983035:KSO983036 LCE983035:LCK983036 LMA983035:LMG983036 LVW983035:LWC983036 MFS983035:MFY983036 MPO983035:MPU983036 MZK983035:MZQ983036 NJG983035:NJM983036 NTC983035:NTI983036 OCY983035:ODE983036 OMU983035:ONA983036 OWQ983035:OWW983036 PGM983035:PGS983036 PQI983035:PQO983036 QAE983035:QAK983036 QKA983035:QKG983036 QTW983035:QUC983036 RDS983035:RDY983036 RNO983035:RNU983036 RXK983035:RXQ983036 SHG983035:SHM983036 SRC983035:SRI983036 TAY983035:TBE983036 TKU983035:TLA983036 TUQ983035:TUW983036 UEM983035:UES983036 UOI983035:UOO983036 UYE983035:UYK983036 VIA983035:VIG983036 VRW983035:VSC983036 WBS983035:WBY983036 WLO983035:WLU983036 WVK983035:WVQ983036 D983035:J983036 D917499:J917500 D851963:J851964 D786427:J786428 D720891:J720892 D655355:J655356 D589819:J589820 D524283:J524284 D458747:J458748 D393211:J393212 D327675:J327676 D262139:J262140 D196603:J196604 D131067:J131068 D65531:J65532 D15"/>
    <dataValidation allowBlank="1" showInputMessage="1" showErrorMessage="1" promptTitle="Handphone" prompt="Diisi Nomor Handphone Pemohon (apabila memiliki) dan diisi 'N/A' apabila tidak memiliki HP. Untuk Pemohon yang memiliki lebih dari 1 nomor HP agar diinput seluruhnya dengan format penulisan {HP1} / {HP2} / {HP3} / .....dst" sqref="WVK983040:WVN983040 IY20:JB20 SU20:SX20 ACQ20:ACT20 AMM20:AMP20 AWI20:AWL20 BGE20:BGH20 BQA20:BQD20 BZW20:BZZ20 CJS20:CJV20 CTO20:CTR20 DDK20:DDN20 DNG20:DNJ20 DXC20:DXF20 EGY20:EHB20 EQU20:EQX20 FAQ20:FAT20 FKM20:FKP20 FUI20:FUL20 GEE20:GEH20 GOA20:GOD20 GXW20:GXZ20 HHS20:HHV20 HRO20:HRR20 IBK20:IBN20 ILG20:ILJ20 IVC20:IVF20 JEY20:JFB20 JOU20:JOX20 JYQ20:JYT20 KIM20:KIP20 KSI20:KSL20 LCE20:LCH20 LMA20:LMD20 LVW20:LVZ20 MFS20:MFV20 MPO20:MPR20 MZK20:MZN20 NJG20:NJJ20 NTC20:NTF20 OCY20:ODB20 OMU20:OMX20 OWQ20:OWT20 PGM20:PGP20 PQI20:PQL20 QAE20:QAH20 QKA20:QKD20 QTW20:QTZ20 RDS20:RDV20 RNO20:RNR20 RXK20:RXN20 SHG20:SHJ20 SRC20:SRF20 TAY20:TBB20 TKU20:TKX20 TUQ20:TUT20 UEM20:UEP20 UOI20:UOL20 UYE20:UYH20 VIA20:VID20 VRW20:VRZ20 WBS20:WBV20 WLO20:WLR20 WVK20:WVN20 D65536:G65536 IY65536:JB65536 SU65536:SX65536 ACQ65536:ACT65536 AMM65536:AMP65536 AWI65536:AWL65536 BGE65536:BGH65536 BQA65536:BQD65536 BZW65536:BZZ65536 CJS65536:CJV65536 CTO65536:CTR65536 DDK65536:DDN65536 DNG65536:DNJ65536 DXC65536:DXF65536 EGY65536:EHB65536 EQU65536:EQX65536 FAQ65536:FAT65536 FKM65536:FKP65536 FUI65536:FUL65536 GEE65536:GEH65536 GOA65536:GOD65536 GXW65536:GXZ65536 HHS65536:HHV65536 HRO65536:HRR65536 IBK65536:IBN65536 ILG65536:ILJ65536 IVC65536:IVF65536 JEY65536:JFB65536 JOU65536:JOX65536 JYQ65536:JYT65536 KIM65536:KIP65536 KSI65536:KSL65536 LCE65536:LCH65536 LMA65536:LMD65536 LVW65536:LVZ65536 MFS65536:MFV65536 MPO65536:MPR65536 MZK65536:MZN65536 NJG65536:NJJ65536 NTC65536:NTF65536 OCY65536:ODB65536 OMU65536:OMX65536 OWQ65536:OWT65536 PGM65536:PGP65536 PQI65536:PQL65536 QAE65536:QAH65536 QKA65536:QKD65536 QTW65536:QTZ65536 RDS65536:RDV65536 RNO65536:RNR65536 RXK65536:RXN65536 SHG65536:SHJ65536 SRC65536:SRF65536 TAY65536:TBB65536 TKU65536:TKX65536 TUQ65536:TUT65536 UEM65536:UEP65536 UOI65536:UOL65536 UYE65536:UYH65536 VIA65536:VID65536 VRW65536:VRZ65536 WBS65536:WBV65536 WLO65536:WLR65536 WVK65536:WVN65536 D131072:G131072 IY131072:JB131072 SU131072:SX131072 ACQ131072:ACT131072 AMM131072:AMP131072 AWI131072:AWL131072 BGE131072:BGH131072 BQA131072:BQD131072 BZW131072:BZZ131072 CJS131072:CJV131072 CTO131072:CTR131072 DDK131072:DDN131072 DNG131072:DNJ131072 DXC131072:DXF131072 EGY131072:EHB131072 EQU131072:EQX131072 FAQ131072:FAT131072 FKM131072:FKP131072 FUI131072:FUL131072 GEE131072:GEH131072 GOA131072:GOD131072 GXW131072:GXZ131072 HHS131072:HHV131072 HRO131072:HRR131072 IBK131072:IBN131072 ILG131072:ILJ131072 IVC131072:IVF131072 JEY131072:JFB131072 JOU131072:JOX131072 JYQ131072:JYT131072 KIM131072:KIP131072 KSI131072:KSL131072 LCE131072:LCH131072 LMA131072:LMD131072 LVW131072:LVZ131072 MFS131072:MFV131072 MPO131072:MPR131072 MZK131072:MZN131072 NJG131072:NJJ131072 NTC131072:NTF131072 OCY131072:ODB131072 OMU131072:OMX131072 OWQ131072:OWT131072 PGM131072:PGP131072 PQI131072:PQL131072 QAE131072:QAH131072 QKA131072:QKD131072 QTW131072:QTZ131072 RDS131072:RDV131072 RNO131072:RNR131072 RXK131072:RXN131072 SHG131072:SHJ131072 SRC131072:SRF131072 TAY131072:TBB131072 TKU131072:TKX131072 TUQ131072:TUT131072 UEM131072:UEP131072 UOI131072:UOL131072 UYE131072:UYH131072 VIA131072:VID131072 VRW131072:VRZ131072 WBS131072:WBV131072 WLO131072:WLR131072 WVK131072:WVN131072 D196608:G196608 IY196608:JB196608 SU196608:SX196608 ACQ196608:ACT196608 AMM196608:AMP196608 AWI196608:AWL196608 BGE196608:BGH196608 BQA196608:BQD196608 BZW196608:BZZ196608 CJS196608:CJV196608 CTO196608:CTR196608 DDK196608:DDN196608 DNG196608:DNJ196608 DXC196608:DXF196608 EGY196608:EHB196608 EQU196608:EQX196608 FAQ196608:FAT196608 FKM196608:FKP196608 FUI196608:FUL196608 GEE196608:GEH196608 GOA196608:GOD196608 GXW196608:GXZ196608 HHS196608:HHV196608 HRO196608:HRR196608 IBK196608:IBN196608 ILG196608:ILJ196608 IVC196608:IVF196608 JEY196608:JFB196608 JOU196608:JOX196608 JYQ196608:JYT196608 KIM196608:KIP196608 KSI196608:KSL196608 LCE196608:LCH196608 LMA196608:LMD196608 LVW196608:LVZ196608 MFS196608:MFV196608 MPO196608:MPR196608 MZK196608:MZN196608 NJG196608:NJJ196608 NTC196608:NTF196608 OCY196608:ODB196608 OMU196608:OMX196608 OWQ196608:OWT196608 PGM196608:PGP196608 PQI196608:PQL196608 QAE196608:QAH196608 QKA196608:QKD196608 QTW196608:QTZ196608 RDS196608:RDV196608 RNO196608:RNR196608 RXK196608:RXN196608 SHG196608:SHJ196608 SRC196608:SRF196608 TAY196608:TBB196608 TKU196608:TKX196608 TUQ196608:TUT196608 UEM196608:UEP196608 UOI196608:UOL196608 UYE196608:UYH196608 VIA196608:VID196608 VRW196608:VRZ196608 WBS196608:WBV196608 WLO196608:WLR196608 WVK196608:WVN196608 D262144:G262144 IY262144:JB262144 SU262144:SX262144 ACQ262144:ACT262144 AMM262144:AMP262144 AWI262144:AWL262144 BGE262144:BGH262144 BQA262144:BQD262144 BZW262144:BZZ262144 CJS262144:CJV262144 CTO262144:CTR262144 DDK262144:DDN262144 DNG262144:DNJ262144 DXC262144:DXF262144 EGY262144:EHB262144 EQU262144:EQX262144 FAQ262144:FAT262144 FKM262144:FKP262144 FUI262144:FUL262144 GEE262144:GEH262144 GOA262144:GOD262144 GXW262144:GXZ262144 HHS262144:HHV262144 HRO262144:HRR262144 IBK262144:IBN262144 ILG262144:ILJ262144 IVC262144:IVF262144 JEY262144:JFB262144 JOU262144:JOX262144 JYQ262144:JYT262144 KIM262144:KIP262144 KSI262144:KSL262144 LCE262144:LCH262144 LMA262144:LMD262144 LVW262144:LVZ262144 MFS262144:MFV262144 MPO262144:MPR262144 MZK262144:MZN262144 NJG262144:NJJ262144 NTC262144:NTF262144 OCY262144:ODB262144 OMU262144:OMX262144 OWQ262144:OWT262144 PGM262144:PGP262144 PQI262144:PQL262144 QAE262144:QAH262144 QKA262144:QKD262144 QTW262144:QTZ262144 RDS262144:RDV262144 RNO262144:RNR262144 RXK262144:RXN262144 SHG262144:SHJ262144 SRC262144:SRF262144 TAY262144:TBB262144 TKU262144:TKX262144 TUQ262144:TUT262144 UEM262144:UEP262144 UOI262144:UOL262144 UYE262144:UYH262144 VIA262144:VID262144 VRW262144:VRZ262144 WBS262144:WBV262144 WLO262144:WLR262144 WVK262144:WVN262144 D327680:G327680 IY327680:JB327680 SU327680:SX327680 ACQ327680:ACT327680 AMM327680:AMP327680 AWI327680:AWL327680 BGE327680:BGH327680 BQA327680:BQD327680 BZW327680:BZZ327680 CJS327680:CJV327680 CTO327680:CTR327680 DDK327680:DDN327680 DNG327680:DNJ327680 DXC327680:DXF327680 EGY327680:EHB327680 EQU327680:EQX327680 FAQ327680:FAT327680 FKM327680:FKP327680 FUI327680:FUL327680 GEE327680:GEH327680 GOA327680:GOD327680 GXW327680:GXZ327680 HHS327680:HHV327680 HRO327680:HRR327680 IBK327680:IBN327680 ILG327680:ILJ327680 IVC327680:IVF327680 JEY327680:JFB327680 JOU327680:JOX327680 JYQ327680:JYT327680 KIM327680:KIP327680 KSI327680:KSL327680 LCE327680:LCH327680 LMA327680:LMD327680 LVW327680:LVZ327680 MFS327680:MFV327680 MPO327680:MPR327680 MZK327680:MZN327680 NJG327680:NJJ327680 NTC327680:NTF327680 OCY327680:ODB327680 OMU327680:OMX327680 OWQ327680:OWT327680 PGM327680:PGP327680 PQI327680:PQL327680 QAE327680:QAH327680 QKA327680:QKD327680 QTW327680:QTZ327680 RDS327680:RDV327680 RNO327680:RNR327680 RXK327680:RXN327680 SHG327680:SHJ327680 SRC327680:SRF327680 TAY327680:TBB327680 TKU327680:TKX327680 TUQ327680:TUT327680 UEM327680:UEP327680 UOI327680:UOL327680 UYE327680:UYH327680 VIA327680:VID327680 VRW327680:VRZ327680 WBS327680:WBV327680 WLO327680:WLR327680 WVK327680:WVN327680 D393216:G393216 IY393216:JB393216 SU393216:SX393216 ACQ393216:ACT393216 AMM393216:AMP393216 AWI393216:AWL393216 BGE393216:BGH393216 BQA393216:BQD393216 BZW393216:BZZ393216 CJS393216:CJV393216 CTO393216:CTR393216 DDK393216:DDN393216 DNG393216:DNJ393216 DXC393216:DXF393216 EGY393216:EHB393216 EQU393216:EQX393216 FAQ393216:FAT393216 FKM393216:FKP393216 FUI393216:FUL393216 GEE393216:GEH393216 GOA393216:GOD393216 GXW393216:GXZ393216 HHS393216:HHV393216 HRO393216:HRR393216 IBK393216:IBN393216 ILG393216:ILJ393216 IVC393216:IVF393216 JEY393216:JFB393216 JOU393216:JOX393216 JYQ393216:JYT393216 KIM393216:KIP393216 KSI393216:KSL393216 LCE393216:LCH393216 LMA393216:LMD393216 LVW393216:LVZ393216 MFS393216:MFV393216 MPO393216:MPR393216 MZK393216:MZN393216 NJG393216:NJJ393216 NTC393216:NTF393216 OCY393216:ODB393216 OMU393216:OMX393216 OWQ393216:OWT393216 PGM393216:PGP393216 PQI393216:PQL393216 QAE393216:QAH393216 QKA393216:QKD393216 QTW393216:QTZ393216 RDS393216:RDV393216 RNO393216:RNR393216 RXK393216:RXN393216 SHG393216:SHJ393216 SRC393216:SRF393216 TAY393216:TBB393216 TKU393216:TKX393216 TUQ393216:TUT393216 UEM393216:UEP393216 UOI393216:UOL393216 UYE393216:UYH393216 VIA393216:VID393216 VRW393216:VRZ393216 WBS393216:WBV393216 WLO393216:WLR393216 WVK393216:WVN393216 D458752:G458752 IY458752:JB458752 SU458752:SX458752 ACQ458752:ACT458752 AMM458752:AMP458752 AWI458752:AWL458752 BGE458752:BGH458752 BQA458752:BQD458752 BZW458752:BZZ458752 CJS458752:CJV458752 CTO458752:CTR458752 DDK458752:DDN458752 DNG458752:DNJ458752 DXC458752:DXF458752 EGY458752:EHB458752 EQU458752:EQX458752 FAQ458752:FAT458752 FKM458752:FKP458752 FUI458752:FUL458752 GEE458752:GEH458752 GOA458752:GOD458752 GXW458752:GXZ458752 HHS458752:HHV458752 HRO458752:HRR458752 IBK458752:IBN458752 ILG458752:ILJ458752 IVC458752:IVF458752 JEY458752:JFB458752 JOU458752:JOX458752 JYQ458752:JYT458752 KIM458752:KIP458752 KSI458752:KSL458752 LCE458752:LCH458752 LMA458752:LMD458752 LVW458752:LVZ458752 MFS458752:MFV458752 MPO458752:MPR458752 MZK458752:MZN458752 NJG458752:NJJ458752 NTC458752:NTF458752 OCY458752:ODB458752 OMU458752:OMX458752 OWQ458752:OWT458752 PGM458752:PGP458752 PQI458752:PQL458752 QAE458752:QAH458752 QKA458752:QKD458752 QTW458752:QTZ458752 RDS458752:RDV458752 RNO458752:RNR458752 RXK458752:RXN458752 SHG458752:SHJ458752 SRC458752:SRF458752 TAY458752:TBB458752 TKU458752:TKX458752 TUQ458752:TUT458752 UEM458752:UEP458752 UOI458752:UOL458752 UYE458752:UYH458752 VIA458752:VID458752 VRW458752:VRZ458752 WBS458752:WBV458752 WLO458752:WLR458752 WVK458752:WVN458752 D524288:G524288 IY524288:JB524288 SU524288:SX524288 ACQ524288:ACT524288 AMM524288:AMP524288 AWI524288:AWL524288 BGE524288:BGH524288 BQA524288:BQD524288 BZW524288:BZZ524288 CJS524288:CJV524288 CTO524288:CTR524288 DDK524288:DDN524288 DNG524288:DNJ524288 DXC524288:DXF524288 EGY524288:EHB524288 EQU524288:EQX524288 FAQ524288:FAT524288 FKM524288:FKP524288 FUI524288:FUL524288 GEE524288:GEH524288 GOA524288:GOD524288 GXW524288:GXZ524288 HHS524288:HHV524288 HRO524288:HRR524288 IBK524288:IBN524288 ILG524288:ILJ524288 IVC524288:IVF524288 JEY524288:JFB524288 JOU524288:JOX524288 JYQ524288:JYT524288 KIM524288:KIP524288 KSI524288:KSL524288 LCE524288:LCH524288 LMA524288:LMD524288 LVW524288:LVZ524288 MFS524288:MFV524288 MPO524288:MPR524288 MZK524288:MZN524288 NJG524288:NJJ524288 NTC524288:NTF524288 OCY524288:ODB524288 OMU524288:OMX524288 OWQ524288:OWT524288 PGM524288:PGP524288 PQI524288:PQL524288 QAE524288:QAH524288 QKA524288:QKD524288 QTW524288:QTZ524288 RDS524288:RDV524288 RNO524288:RNR524288 RXK524288:RXN524288 SHG524288:SHJ524288 SRC524288:SRF524288 TAY524288:TBB524288 TKU524288:TKX524288 TUQ524288:TUT524288 UEM524288:UEP524288 UOI524288:UOL524288 UYE524288:UYH524288 VIA524288:VID524288 VRW524288:VRZ524288 WBS524288:WBV524288 WLO524288:WLR524288 WVK524288:WVN524288 D589824:G589824 IY589824:JB589824 SU589824:SX589824 ACQ589824:ACT589824 AMM589824:AMP589824 AWI589824:AWL589824 BGE589824:BGH589824 BQA589824:BQD589824 BZW589824:BZZ589824 CJS589824:CJV589824 CTO589824:CTR589824 DDK589824:DDN589824 DNG589824:DNJ589824 DXC589824:DXF589824 EGY589824:EHB589824 EQU589824:EQX589824 FAQ589824:FAT589824 FKM589824:FKP589824 FUI589824:FUL589824 GEE589824:GEH589824 GOA589824:GOD589824 GXW589824:GXZ589824 HHS589824:HHV589824 HRO589824:HRR589824 IBK589824:IBN589824 ILG589824:ILJ589824 IVC589824:IVF589824 JEY589824:JFB589824 JOU589824:JOX589824 JYQ589824:JYT589824 KIM589824:KIP589824 KSI589824:KSL589824 LCE589824:LCH589824 LMA589824:LMD589824 LVW589824:LVZ589824 MFS589824:MFV589824 MPO589824:MPR589824 MZK589824:MZN589824 NJG589824:NJJ589824 NTC589824:NTF589824 OCY589824:ODB589824 OMU589824:OMX589824 OWQ589824:OWT589824 PGM589824:PGP589824 PQI589824:PQL589824 QAE589824:QAH589824 QKA589824:QKD589824 QTW589824:QTZ589824 RDS589824:RDV589824 RNO589824:RNR589824 RXK589824:RXN589824 SHG589824:SHJ589824 SRC589824:SRF589824 TAY589824:TBB589824 TKU589824:TKX589824 TUQ589824:TUT589824 UEM589824:UEP589824 UOI589824:UOL589824 UYE589824:UYH589824 VIA589824:VID589824 VRW589824:VRZ589824 WBS589824:WBV589824 WLO589824:WLR589824 WVK589824:WVN589824 D655360:G655360 IY655360:JB655360 SU655360:SX655360 ACQ655360:ACT655360 AMM655360:AMP655360 AWI655360:AWL655360 BGE655360:BGH655360 BQA655360:BQD655360 BZW655360:BZZ655360 CJS655360:CJV655360 CTO655360:CTR655360 DDK655360:DDN655360 DNG655360:DNJ655360 DXC655360:DXF655360 EGY655360:EHB655360 EQU655360:EQX655360 FAQ655360:FAT655360 FKM655360:FKP655360 FUI655360:FUL655360 GEE655360:GEH655360 GOA655360:GOD655360 GXW655360:GXZ655360 HHS655360:HHV655360 HRO655360:HRR655360 IBK655360:IBN655360 ILG655360:ILJ655360 IVC655360:IVF655360 JEY655360:JFB655360 JOU655360:JOX655360 JYQ655360:JYT655360 KIM655360:KIP655360 KSI655360:KSL655360 LCE655360:LCH655360 LMA655360:LMD655360 LVW655360:LVZ655360 MFS655360:MFV655360 MPO655360:MPR655360 MZK655360:MZN655360 NJG655360:NJJ655360 NTC655360:NTF655360 OCY655360:ODB655360 OMU655360:OMX655360 OWQ655360:OWT655360 PGM655360:PGP655360 PQI655360:PQL655360 QAE655360:QAH655360 QKA655360:QKD655360 QTW655360:QTZ655360 RDS655360:RDV655360 RNO655360:RNR655360 RXK655360:RXN655360 SHG655360:SHJ655360 SRC655360:SRF655360 TAY655360:TBB655360 TKU655360:TKX655360 TUQ655360:TUT655360 UEM655360:UEP655360 UOI655360:UOL655360 UYE655360:UYH655360 VIA655360:VID655360 VRW655360:VRZ655360 WBS655360:WBV655360 WLO655360:WLR655360 WVK655360:WVN655360 D720896:G720896 IY720896:JB720896 SU720896:SX720896 ACQ720896:ACT720896 AMM720896:AMP720896 AWI720896:AWL720896 BGE720896:BGH720896 BQA720896:BQD720896 BZW720896:BZZ720896 CJS720896:CJV720896 CTO720896:CTR720896 DDK720896:DDN720896 DNG720896:DNJ720896 DXC720896:DXF720896 EGY720896:EHB720896 EQU720896:EQX720896 FAQ720896:FAT720896 FKM720896:FKP720896 FUI720896:FUL720896 GEE720896:GEH720896 GOA720896:GOD720896 GXW720896:GXZ720896 HHS720896:HHV720896 HRO720896:HRR720896 IBK720896:IBN720896 ILG720896:ILJ720896 IVC720896:IVF720896 JEY720896:JFB720896 JOU720896:JOX720896 JYQ720896:JYT720896 KIM720896:KIP720896 KSI720896:KSL720896 LCE720896:LCH720896 LMA720896:LMD720896 LVW720896:LVZ720896 MFS720896:MFV720896 MPO720896:MPR720896 MZK720896:MZN720896 NJG720896:NJJ720896 NTC720896:NTF720896 OCY720896:ODB720896 OMU720896:OMX720896 OWQ720896:OWT720896 PGM720896:PGP720896 PQI720896:PQL720896 QAE720896:QAH720896 QKA720896:QKD720896 QTW720896:QTZ720896 RDS720896:RDV720896 RNO720896:RNR720896 RXK720896:RXN720896 SHG720896:SHJ720896 SRC720896:SRF720896 TAY720896:TBB720896 TKU720896:TKX720896 TUQ720896:TUT720896 UEM720896:UEP720896 UOI720896:UOL720896 UYE720896:UYH720896 VIA720896:VID720896 VRW720896:VRZ720896 WBS720896:WBV720896 WLO720896:WLR720896 WVK720896:WVN720896 D786432:G786432 IY786432:JB786432 SU786432:SX786432 ACQ786432:ACT786432 AMM786432:AMP786432 AWI786432:AWL786432 BGE786432:BGH786432 BQA786432:BQD786432 BZW786432:BZZ786432 CJS786432:CJV786432 CTO786432:CTR786432 DDK786432:DDN786432 DNG786432:DNJ786432 DXC786432:DXF786432 EGY786432:EHB786432 EQU786432:EQX786432 FAQ786432:FAT786432 FKM786432:FKP786432 FUI786432:FUL786432 GEE786432:GEH786432 GOA786432:GOD786432 GXW786432:GXZ786432 HHS786432:HHV786432 HRO786432:HRR786432 IBK786432:IBN786432 ILG786432:ILJ786432 IVC786432:IVF786432 JEY786432:JFB786432 JOU786432:JOX786432 JYQ786432:JYT786432 KIM786432:KIP786432 KSI786432:KSL786432 LCE786432:LCH786432 LMA786432:LMD786432 LVW786432:LVZ786432 MFS786432:MFV786432 MPO786432:MPR786432 MZK786432:MZN786432 NJG786432:NJJ786432 NTC786432:NTF786432 OCY786432:ODB786432 OMU786432:OMX786432 OWQ786432:OWT786432 PGM786432:PGP786432 PQI786432:PQL786432 QAE786432:QAH786432 QKA786432:QKD786432 QTW786432:QTZ786432 RDS786432:RDV786432 RNO786432:RNR786432 RXK786432:RXN786432 SHG786432:SHJ786432 SRC786432:SRF786432 TAY786432:TBB786432 TKU786432:TKX786432 TUQ786432:TUT786432 UEM786432:UEP786432 UOI786432:UOL786432 UYE786432:UYH786432 VIA786432:VID786432 VRW786432:VRZ786432 WBS786432:WBV786432 WLO786432:WLR786432 WVK786432:WVN786432 D851968:G851968 IY851968:JB851968 SU851968:SX851968 ACQ851968:ACT851968 AMM851968:AMP851968 AWI851968:AWL851968 BGE851968:BGH851968 BQA851968:BQD851968 BZW851968:BZZ851968 CJS851968:CJV851968 CTO851968:CTR851968 DDK851968:DDN851968 DNG851968:DNJ851968 DXC851968:DXF851968 EGY851968:EHB851968 EQU851968:EQX851968 FAQ851968:FAT851968 FKM851968:FKP851968 FUI851968:FUL851968 GEE851968:GEH851968 GOA851968:GOD851968 GXW851968:GXZ851968 HHS851968:HHV851968 HRO851968:HRR851968 IBK851968:IBN851968 ILG851968:ILJ851968 IVC851968:IVF851968 JEY851968:JFB851968 JOU851968:JOX851968 JYQ851968:JYT851968 KIM851968:KIP851968 KSI851968:KSL851968 LCE851968:LCH851968 LMA851968:LMD851968 LVW851968:LVZ851968 MFS851968:MFV851968 MPO851968:MPR851968 MZK851968:MZN851968 NJG851968:NJJ851968 NTC851968:NTF851968 OCY851968:ODB851968 OMU851968:OMX851968 OWQ851968:OWT851968 PGM851968:PGP851968 PQI851968:PQL851968 QAE851968:QAH851968 QKA851968:QKD851968 QTW851968:QTZ851968 RDS851968:RDV851968 RNO851968:RNR851968 RXK851968:RXN851968 SHG851968:SHJ851968 SRC851968:SRF851968 TAY851968:TBB851968 TKU851968:TKX851968 TUQ851968:TUT851968 UEM851968:UEP851968 UOI851968:UOL851968 UYE851968:UYH851968 VIA851968:VID851968 VRW851968:VRZ851968 WBS851968:WBV851968 WLO851968:WLR851968 WVK851968:WVN851968 D917504:G917504 IY917504:JB917504 SU917504:SX917504 ACQ917504:ACT917504 AMM917504:AMP917504 AWI917504:AWL917504 BGE917504:BGH917504 BQA917504:BQD917504 BZW917504:BZZ917504 CJS917504:CJV917504 CTO917504:CTR917504 DDK917504:DDN917504 DNG917504:DNJ917504 DXC917504:DXF917504 EGY917504:EHB917504 EQU917504:EQX917504 FAQ917504:FAT917504 FKM917504:FKP917504 FUI917504:FUL917504 GEE917504:GEH917504 GOA917504:GOD917504 GXW917504:GXZ917504 HHS917504:HHV917504 HRO917504:HRR917504 IBK917504:IBN917504 ILG917504:ILJ917504 IVC917504:IVF917504 JEY917504:JFB917504 JOU917504:JOX917504 JYQ917504:JYT917504 KIM917504:KIP917504 KSI917504:KSL917504 LCE917504:LCH917504 LMA917504:LMD917504 LVW917504:LVZ917504 MFS917504:MFV917504 MPO917504:MPR917504 MZK917504:MZN917504 NJG917504:NJJ917504 NTC917504:NTF917504 OCY917504:ODB917504 OMU917504:OMX917504 OWQ917504:OWT917504 PGM917504:PGP917504 PQI917504:PQL917504 QAE917504:QAH917504 QKA917504:QKD917504 QTW917504:QTZ917504 RDS917504:RDV917504 RNO917504:RNR917504 RXK917504:RXN917504 SHG917504:SHJ917504 SRC917504:SRF917504 TAY917504:TBB917504 TKU917504:TKX917504 TUQ917504:TUT917504 UEM917504:UEP917504 UOI917504:UOL917504 UYE917504:UYH917504 VIA917504:VID917504 VRW917504:VRZ917504 WBS917504:WBV917504 WLO917504:WLR917504 WVK917504:WVN917504 D983040:G983040 IY983040:JB983040 SU983040:SX983040 ACQ983040:ACT983040 AMM983040:AMP983040 AWI983040:AWL983040 BGE983040:BGH983040 BQA983040:BQD983040 BZW983040:BZZ983040 CJS983040:CJV983040 CTO983040:CTR983040 DDK983040:DDN983040 DNG983040:DNJ983040 DXC983040:DXF983040 EGY983040:EHB983040 EQU983040:EQX983040 FAQ983040:FAT983040 FKM983040:FKP983040 FUI983040:FUL983040 GEE983040:GEH983040 GOA983040:GOD983040 GXW983040:GXZ983040 HHS983040:HHV983040 HRO983040:HRR983040 IBK983040:IBN983040 ILG983040:ILJ983040 IVC983040:IVF983040 JEY983040:JFB983040 JOU983040:JOX983040 JYQ983040:JYT983040 KIM983040:KIP983040 KSI983040:KSL983040 LCE983040:LCH983040 LMA983040:LMD983040 LVW983040:LVZ983040 MFS983040:MFV983040 MPO983040:MPR983040 MZK983040:MZN983040 NJG983040:NJJ983040 NTC983040:NTF983040 OCY983040:ODB983040 OMU983040:OMX983040 OWQ983040:OWT983040 PGM983040:PGP983040 PQI983040:PQL983040 QAE983040:QAH983040 QKA983040:QKD983040 QTW983040:QTZ983040 RDS983040:RDV983040 RNO983040:RNR983040 RXK983040:RXN983040 SHG983040:SHJ983040 SRC983040:SRF983040 TAY983040:TBB983040 TKU983040:TKX983040 TUQ983040:TUT983040 UEM983040:UEP983040 UOI983040:UOL983040 UYE983040:UYH983040 VIA983040:VID983040 VRW983040:VRZ983040 WBS983040:WBV983040 WLO983040:WLR983040"/>
    <dataValidation allowBlank="1" showInputMessage="1" showErrorMessage="1" promptTitle="Telpon Rumah" prompt="Diisi Nomor Telpon Rumah Pemohon (apabila memiliki telpon) dan diisi dengan ' N/A' apabila tidak memiliki telpon rumah" sqref="D19:J19 IY19:JE19 SU19:TA19 ACQ19:ACW19 AMM19:AMS19 AWI19:AWO19 BGE19:BGK19 BQA19:BQG19 BZW19:CAC19 CJS19:CJY19 CTO19:CTU19 DDK19:DDQ19 DNG19:DNM19 DXC19:DXI19 EGY19:EHE19 EQU19:ERA19 FAQ19:FAW19 FKM19:FKS19 FUI19:FUO19 GEE19:GEK19 GOA19:GOG19 GXW19:GYC19 HHS19:HHY19 HRO19:HRU19 IBK19:IBQ19 ILG19:ILM19 IVC19:IVI19 JEY19:JFE19 JOU19:JPA19 JYQ19:JYW19 KIM19:KIS19 KSI19:KSO19 LCE19:LCK19 LMA19:LMG19 LVW19:LWC19 MFS19:MFY19 MPO19:MPU19 MZK19:MZQ19 NJG19:NJM19 NTC19:NTI19 OCY19:ODE19 OMU19:ONA19 OWQ19:OWW19 PGM19:PGS19 PQI19:PQO19 QAE19:QAK19 QKA19:QKG19 QTW19:QUC19 RDS19:RDY19 RNO19:RNU19 RXK19:RXQ19 SHG19:SHM19 SRC19:SRI19 TAY19:TBE19 TKU19:TLA19 TUQ19:TUW19 UEM19:UES19 UOI19:UOO19 UYE19:UYK19 VIA19:VIG19 VRW19:VSC19 WBS19:WBY19 WLO19:WLU19 WVK19:WVQ19 IY65535:JE65535 SU65535:TA65535 ACQ65535:ACW65535 AMM65535:AMS65535 AWI65535:AWO65535 BGE65535:BGK65535 BQA65535:BQG65535 BZW65535:CAC65535 CJS65535:CJY65535 CTO65535:CTU65535 DDK65535:DDQ65535 DNG65535:DNM65535 DXC65535:DXI65535 EGY65535:EHE65535 EQU65535:ERA65535 FAQ65535:FAW65535 FKM65535:FKS65535 FUI65535:FUO65535 GEE65535:GEK65535 GOA65535:GOG65535 GXW65535:GYC65535 HHS65535:HHY65535 HRO65535:HRU65535 IBK65535:IBQ65535 ILG65535:ILM65535 IVC65535:IVI65535 JEY65535:JFE65535 JOU65535:JPA65535 JYQ65535:JYW65535 KIM65535:KIS65535 KSI65535:KSO65535 LCE65535:LCK65535 LMA65535:LMG65535 LVW65535:LWC65535 MFS65535:MFY65535 MPO65535:MPU65535 MZK65535:MZQ65535 NJG65535:NJM65535 NTC65535:NTI65535 OCY65535:ODE65535 OMU65535:ONA65535 OWQ65535:OWW65535 PGM65535:PGS65535 PQI65535:PQO65535 QAE65535:QAK65535 QKA65535:QKG65535 QTW65535:QUC65535 RDS65535:RDY65535 RNO65535:RNU65535 RXK65535:RXQ65535 SHG65535:SHM65535 SRC65535:SRI65535 TAY65535:TBE65535 TKU65535:TLA65535 TUQ65535:TUW65535 UEM65535:UES65535 UOI65535:UOO65535 UYE65535:UYK65535 VIA65535:VIG65535 VRW65535:VSC65535 WBS65535:WBY65535 WLO65535:WLU65535 WVK65535:WVQ65535 IY131071:JE131071 SU131071:TA131071 ACQ131071:ACW131071 AMM131071:AMS131071 AWI131071:AWO131071 BGE131071:BGK131071 BQA131071:BQG131071 BZW131071:CAC131071 CJS131071:CJY131071 CTO131071:CTU131071 DDK131071:DDQ131071 DNG131071:DNM131071 DXC131071:DXI131071 EGY131071:EHE131071 EQU131071:ERA131071 FAQ131071:FAW131071 FKM131071:FKS131071 FUI131071:FUO131071 GEE131071:GEK131071 GOA131071:GOG131071 GXW131071:GYC131071 HHS131071:HHY131071 HRO131071:HRU131071 IBK131071:IBQ131071 ILG131071:ILM131071 IVC131071:IVI131071 JEY131071:JFE131071 JOU131071:JPA131071 JYQ131071:JYW131071 KIM131071:KIS131071 KSI131071:KSO131071 LCE131071:LCK131071 LMA131071:LMG131071 LVW131071:LWC131071 MFS131071:MFY131071 MPO131071:MPU131071 MZK131071:MZQ131071 NJG131071:NJM131071 NTC131071:NTI131071 OCY131071:ODE131071 OMU131071:ONA131071 OWQ131071:OWW131071 PGM131071:PGS131071 PQI131071:PQO131071 QAE131071:QAK131071 QKA131071:QKG131071 QTW131071:QUC131071 RDS131071:RDY131071 RNO131071:RNU131071 RXK131071:RXQ131071 SHG131071:SHM131071 SRC131071:SRI131071 TAY131071:TBE131071 TKU131071:TLA131071 TUQ131071:TUW131071 UEM131071:UES131071 UOI131071:UOO131071 UYE131071:UYK131071 VIA131071:VIG131071 VRW131071:VSC131071 WBS131071:WBY131071 WLO131071:WLU131071 WVK131071:WVQ131071 IY196607:JE196607 SU196607:TA196607 ACQ196607:ACW196607 AMM196607:AMS196607 AWI196607:AWO196607 BGE196607:BGK196607 BQA196607:BQG196607 BZW196607:CAC196607 CJS196607:CJY196607 CTO196607:CTU196607 DDK196607:DDQ196607 DNG196607:DNM196607 DXC196607:DXI196607 EGY196607:EHE196607 EQU196607:ERA196607 FAQ196607:FAW196607 FKM196607:FKS196607 FUI196607:FUO196607 GEE196607:GEK196607 GOA196607:GOG196607 GXW196607:GYC196607 HHS196607:HHY196607 HRO196607:HRU196607 IBK196607:IBQ196607 ILG196607:ILM196607 IVC196607:IVI196607 JEY196607:JFE196607 JOU196607:JPA196607 JYQ196607:JYW196607 KIM196607:KIS196607 KSI196607:KSO196607 LCE196607:LCK196607 LMA196607:LMG196607 LVW196607:LWC196607 MFS196607:MFY196607 MPO196607:MPU196607 MZK196607:MZQ196607 NJG196607:NJM196607 NTC196607:NTI196607 OCY196607:ODE196607 OMU196607:ONA196607 OWQ196607:OWW196607 PGM196607:PGS196607 PQI196607:PQO196607 QAE196607:QAK196607 QKA196607:QKG196607 QTW196607:QUC196607 RDS196607:RDY196607 RNO196607:RNU196607 RXK196607:RXQ196607 SHG196607:SHM196607 SRC196607:SRI196607 TAY196607:TBE196607 TKU196607:TLA196607 TUQ196607:TUW196607 UEM196607:UES196607 UOI196607:UOO196607 UYE196607:UYK196607 VIA196607:VIG196607 VRW196607:VSC196607 WBS196607:WBY196607 WLO196607:WLU196607 WVK196607:WVQ196607 IY262143:JE262143 SU262143:TA262143 ACQ262143:ACW262143 AMM262143:AMS262143 AWI262143:AWO262143 BGE262143:BGK262143 BQA262143:BQG262143 BZW262143:CAC262143 CJS262143:CJY262143 CTO262143:CTU262143 DDK262143:DDQ262143 DNG262143:DNM262143 DXC262143:DXI262143 EGY262143:EHE262143 EQU262143:ERA262143 FAQ262143:FAW262143 FKM262143:FKS262143 FUI262143:FUO262143 GEE262143:GEK262143 GOA262143:GOG262143 GXW262143:GYC262143 HHS262143:HHY262143 HRO262143:HRU262143 IBK262143:IBQ262143 ILG262143:ILM262143 IVC262143:IVI262143 JEY262143:JFE262143 JOU262143:JPA262143 JYQ262143:JYW262143 KIM262143:KIS262143 KSI262143:KSO262143 LCE262143:LCK262143 LMA262143:LMG262143 LVW262143:LWC262143 MFS262143:MFY262143 MPO262143:MPU262143 MZK262143:MZQ262143 NJG262143:NJM262143 NTC262143:NTI262143 OCY262143:ODE262143 OMU262143:ONA262143 OWQ262143:OWW262143 PGM262143:PGS262143 PQI262143:PQO262143 QAE262143:QAK262143 QKA262143:QKG262143 QTW262143:QUC262143 RDS262143:RDY262143 RNO262143:RNU262143 RXK262143:RXQ262143 SHG262143:SHM262143 SRC262143:SRI262143 TAY262143:TBE262143 TKU262143:TLA262143 TUQ262143:TUW262143 UEM262143:UES262143 UOI262143:UOO262143 UYE262143:UYK262143 VIA262143:VIG262143 VRW262143:VSC262143 WBS262143:WBY262143 WLO262143:WLU262143 WVK262143:WVQ262143 IY327679:JE327679 SU327679:TA327679 ACQ327679:ACW327679 AMM327679:AMS327679 AWI327679:AWO327679 BGE327679:BGK327679 BQA327679:BQG327679 BZW327679:CAC327679 CJS327679:CJY327679 CTO327679:CTU327679 DDK327679:DDQ327679 DNG327679:DNM327679 DXC327679:DXI327679 EGY327679:EHE327679 EQU327679:ERA327679 FAQ327679:FAW327679 FKM327679:FKS327679 FUI327679:FUO327679 GEE327679:GEK327679 GOA327679:GOG327679 GXW327679:GYC327679 HHS327679:HHY327679 HRO327679:HRU327679 IBK327679:IBQ327679 ILG327679:ILM327679 IVC327679:IVI327679 JEY327679:JFE327679 JOU327679:JPA327679 JYQ327679:JYW327679 KIM327679:KIS327679 KSI327679:KSO327679 LCE327679:LCK327679 LMA327679:LMG327679 LVW327679:LWC327679 MFS327679:MFY327679 MPO327679:MPU327679 MZK327679:MZQ327679 NJG327679:NJM327679 NTC327679:NTI327679 OCY327679:ODE327679 OMU327679:ONA327679 OWQ327679:OWW327679 PGM327679:PGS327679 PQI327679:PQO327679 QAE327679:QAK327679 QKA327679:QKG327679 QTW327679:QUC327679 RDS327679:RDY327679 RNO327679:RNU327679 RXK327679:RXQ327679 SHG327679:SHM327679 SRC327679:SRI327679 TAY327679:TBE327679 TKU327679:TLA327679 TUQ327679:TUW327679 UEM327679:UES327679 UOI327679:UOO327679 UYE327679:UYK327679 VIA327679:VIG327679 VRW327679:VSC327679 WBS327679:WBY327679 WLO327679:WLU327679 WVK327679:WVQ327679 IY393215:JE393215 SU393215:TA393215 ACQ393215:ACW393215 AMM393215:AMS393215 AWI393215:AWO393215 BGE393215:BGK393215 BQA393215:BQG393215 BZW393215:CAC393215 CJS393215:CJY393215 CTO393215:CTU393215 DDK393215:DDQ393215 DNG393215:DNM393215 DXC393215:DXI393215 EGY393215:EHE393215 EQU393215:ERA393215 FAQ393215:FAW393215 FKM393215:FKS393215 FUI393215:FUO393215 GEE393215:GEK393215 GOA393215:GOG393215 GXW393215:GYC393215 HHS393215:HHY393215 HRO393215:HRU393215 IBK393215:IBQ393215 ILG393215:ILM393215 IVC393215:IVI393215 JEY393215:JFE393215 JOU393215:JPA393215 JYQ393215:JYW393215 KIM393215:KIS393215 KSI393215:KSO393215 LCE393215:LCK393215 LMA393215:LMG393215 LVW393215:LWC393215 MFS393215:MFY393215 MPO393215:MPU393215 MZK393215:MZQ393215 NJG393215:NJM393215 NTC393215:NTI393215 OCY393215:ODE393215 OMU393215:ONA393215 OWQ393215:OWW393215 PGM393215:PGS393215 PQI393215:PQO393215 QAE393215:QAK393215 QKA393215:QKG393215 QTW393215:QUC393215 RDS393215:RDY393215 RNO393215:RNU393215 RXK393215:RXQ393215 SHG393215:SHM393215 SRC393215:SRI393215 TAY393215:TBE393215 TKU393215:TLA393215 TUQ393215:TUW393215 UEM393215:UES393215 UOI393215:UOO393215 UYE393215:UYK393215 VIA393215:VIG393215 VRW393215:VSC393215 WBS393215:WBY393215 WLO393215:WLU393215 WVK393215:WVQ393215 IY458751:JE458751 SU458751:TA458751 ACQ458751:ACW458751 AMM458751:AMS458751 AWI458751:AWO458751 BGE458751:BGK458751 BQA458751:BQG458751 BZW458751:CAC458751 CJS458751:CJY458751 CTO458751:CTU458751 DDK458751:DDQ458751 DNG458751:DNM458751 DXC458751:DXI458751 EGY458751:EHE458751 EQU458751:ERA458751 FAQ458751:FAW458751 FKM458751:FKS458751 FUI458751:FUO458751 GEE458751:GEK458751 GOA458751:GOG458751 GXW458751:GYC458751 HHS458751:HHY458751 HRO458751:HRU458751 IBK458751:IBQ458751 ILG458751:ILM458751 IVC458751:IVI458751 JEY458751:JFE458751 JOU458751:JPA458751 JYQ458751:JYW458751 KIM458751:KIS458751 KSI458751:KSO458751 LCE458751:LCK458751 LMA458751:LMG458751 LVW458751:LWC458751 MFS458751:MFY458751 MPO458751:MPU458751 MZK458751:MZQ458751 NJG458751:NJM458751 NTC458751:NTI458751 OCY458751:ODE458751 OMU458751:ONA458751 OWQ458751:OWW458751 PGM458751:PGS458751 PQI458751:PQO458751 QAE458751:QAK458751 QKA458751:QKG458751 QTW458751:QUC458751 RDS458751:RDY458751 RNO458751:RNU458751 RXK458751:RXQ458751 SHG458751:SHM458751 SRC458751:SRI458751 TAY458751:TBE458751 TKU458751:TLA458751 TUQ458751:TUW458751 UEM458751:UES458751 UOI458751:UOO458751 UYE458751:UYK458751 VIA458751:VIG458751 VRW458751:VSC458751 WBS458751:WBY458751 WLO458751:WLU458751 WVK458751:WVQ458751 IY524287:JE524287 SU524287:TA524287 ACQ524287:ACW524287 AMM524287:AMS524287 AWI524287:AWO524287 BGE524287:BGK524287 BQA524287:BQG524287 BZW524287:CAC524287 CJS524287:CJY524287 CTO524287:CTU524287 DDK524287:DDQ524287 DNG524287:DNM524287 DXC524287:DXI524287 EGY524287:EHE524287 EQU524287:ERA524287 FAQ524287:FAW524287 FKM524287:FKS524287 FUI524287:FUO524287 GEE524287:GEK524287 GOA524287:GOG524287 GXW524287:GYC524287 HHS524287:HHY524287 HRO524287:HRU524287 IBK524287:IBQ524287 ILG524287:ILM524287 IVC524287:IVI524287 JEY524287:JFE524287 JOU524287:JPA524287 JYQ524287:JYW524287 KIM524287:KIS524287 KSI524287:KSO524287 LCE524287:LCK524287 LMA524287:LMG524287 LVW524287:LWC524287 MFS524287:MFY524287 MPO524287:MPU524287 MZK524287:MZQ524287 NJG524287:NJM524287 NTC524287:NTI524287 OCY524287:ODE524287 OMU524287:ONA524287 OWQ524287:OWW524287 PGM524287:PGS524287 PQI524287:PQO524287 QAE524287:QAK524287 QKA524287:QKG524287 QTW524287:QUC524287 RDS524287:RDY524287 RNO524287:RNU524287 RXK524287:RXQ524287 SHG524287:SHM524287 SRC524287:SRI524287 TAY524287:TBE524287 TKU524287:TLA524287 TUQ524287:TUW524287 UEM524287:UES524287 UOI524287:UOO524287 UYE524287:UYK524287 VIA524287:VIG524287 VRW524287:VSC524287 WBS524287:WBY524287 WLO524287:WLU524287 WVK524287:WVQ524287 IY589823:JE589823 SU589823:TA589823 ACQ589823:ACW589823 AMM589823:AMS589823 AWI589823:AWO589823 BGE589823:BGK589823 BQA589823:BQG589823 BZW589823:CAC589823 CJS589823:CJY589823 CTO589823:CTU589823 DDK589823:DDQ589823 DNG589823:DNM589823 DXC589823:DXI589823 EGY589823:EHE589823 EQU589823:ERA589823 FAQ589823:FAW589823 FKM589823:FKS589823 FUI589823:FUO589823 GEE589823:GEK589823 GOA589823:GOG589823 GXW589823:GYC589823 HHS589823:HHY589823 HRO589823:HRU589823 IBK589823:IBQ589823 ILG589823:ILM589823 IVC589823:IVI589823 JEY589823:JFE589823 JOU589823:JPA589823 JYQ589823:JYW589823 KIM589823:KIS589823 KSI589823:KSO589823 LCE589823:LCK589823 LMA589823:LMG589823 LVW589823:LWC589823 MFS589823:MFY589823 MPO589823:MPU589823 MZK589823:MZQ589823 NJG589823:NJM589823 NTC589823:NTI589823 OCY589823:ODE589823 OMU589823:ONA589823 OWQ589823:OWW589823 PGM589823:PGS589823 PQI589823:PQO589823 QAE589823:QAK589823 QKA589823:QKG589823 QTW589823:QUC589823 RDS589823:RDY589823 RNO589823:RNU589823 RXK589823:RXQ589823 SHG589823:SHM589823 SRC589823:SRI589823 TAY589823:TBE589823 TKU589823:TLA589823 TUQ589823:TUW589823 UEM589823:UES589823 UOI589823:UOO589823 UYE589823:UYK589823 VIA589823:VIG589823 VRW589823:VSC589823 WBS589823:WBY589823 WLO589823:WLU589823 WVK589823:WVQ589823 IY655359:JE655359 SU655359:TA655359 ACQ655359:ACW655359 AMM655359:AMS655359 AWI655359:AWO655359 BGE655359:BGK655359 BQA655359:BQG655359 BZW655359:CAC655359 CJS655359:CJY655359 CTO655359:CTU655359 DDK655359:DDQ655359 DNG655359:DNM655359 DXC655359:DXI655359 EGY655359:EHE655359 EQU655359:ERA655359 FAQ655359:FAW655359 FKM655359:FKS655359 FUI655359:FUO655359 GEE655359:GEK655359 GOA655359:GOG655359 GXW655359:GYC655359 HHS655359:HHY655359 HRO655359:HRU655359 IBK655359:IBQ655359 ILG655359:ILM655359 IVC655359:IVI655359 JEY655359:JFE655359 JOU655359:JPA655359 JYQ655359:JYW655359 KIM655359:KIS655359 KSI655359:KSO655359 LCE655359:LCK655359 LMA655359:LMG655359 LVW655359:LWC655359 MFS655359:MFY655359 MPO655359:MPU655359 MZK655359:MZQ655359 NJG655359:NJM655359 NTC655359:NTI655359 OCY655359:ODE655359 OMU655359:ONA655359 OWQ655359:OWW655359 PGM655359:PGS655359 PQI655359:PQO655359 QAE655359:QAK655359 QKA655359:QKG655359 QTW655359:QUC655359 RDS655359:RDY655359 RNO655359:RNU655359 RXK655359:RXQ655359 SHG655359:SHM655359 SRC655359:SRI655359 TAY655359:TBE655359 TKU655359:TLA655359 TUQ655359:TUW655359 UEM655359:UES655359 UOI655359:UOO655359 UYE655359:UYK655359 VIA655359:VIG655359 VRW655359:VSC655359 WBS655359:WBY655359 WLO655359:WLU655359 WVK655359:WVQ655359 IY720895:JE720895 SU720895:TA720895 ACQ720895:ACW720895 AMM720895:AMS720895 AWI720895:AWO720895 BGE720895:BGK720895 BQA720895:BQG720895 BZW720895:CAC720895 CJS720895:CJY720895 CTO720895:CTU720895 DDK720895:DDQ720895 DNG720895:DNM720895 DXC720895:DXI720895 EGY720895:EHE720895 EQU720895:ERA720895 FAQ720895:FAW720895 FKM720895:FKS720895 FUI720895:FUO720895 GEE720895:GEK720895 GOA720895:GOG720895 GXW720895:GYC720895 HHS720895:HHY720895 HRO720895:HRU720895 IBK720895:IBQ720895 ILG720895:ILM720895 IVC720895:IVI720895 JEY720895:JFE720895 JOU720895:JPA720895 JYQ720895:JYW720895 KIM720895:KIS720895 KSI720895:KSO720895 LCE720895:LCK720895 LMA720895:LMG720895 LVW720895:LWC720895 MFS720895:MFY720895 MPO720895:MPU720895 MZK720895:MZQ720895 NJG720895:NJM720895 NTC720895:NTI720895 OCY720895:ODE720895 OMU720895:ONA720895 OWQ720895:OWW720895 PGM720895:PGS720895 PQI720895:PQO720895 QAE720895:QAK720895 QKA720895:QKG720895 QTW720895:QUC720895 RDS720895:RDY720895 RNO720895:RNU720895 RXK720895:RXQ720895 SHG720895:SHM720895 SRC720895:SRI720895 TAY720895:TBE720895 TKU720895:TLA720895 TUQ720895:TUW720895 UEM720895:UES720895 UOI720895:UOO720895 UYE720895:UYK720895 VIA720895:VIG720895 VRW720895:VSC720895 WBS720895:WBY720895 WLO720895:WLU720895 WVK720895:WVQ720895 IY786431:JE786431 SU786431:TA786431 ACQ786431:ACW786431 AMM786431:AMS786431 AWI786431:AWO786431 BGE786431:BGK786431 BQA786431:BQG786431 BZW786431:CAC786431 CJS786431:CJY786431 CTO786431:CTU786431 DDK786431:DDQ786431 DNG786431:DNM786431 DXC786431:DXI786431 EGY786431:EHE786431 EQU786431:ERA786431 FAQ786431:FAW786431 FKM786431:FKS786431 FUI786431:FUO786431 GEE786431:GEK786431 GOA786431:GOG786431 GXW786431:GYC786431 HHS786431:HHY786431 HRO786431:HRU786431 IBK786431:IBQ786431 ILG786431:ILM786431 IVC786431:IVI786431 JEY786431:JFE786431 JOU786431:JPA786431 JYQ786431:JYW786431 KIM786431:KIS786431 KSI786431:KSO786431 LCE786431:LCK786431 LMA786431:LMG786431 LVW786431:LWC786431 MFS786431:MFY786431 MPO786431:MPU786431 MZK786431:MZQ786431 NJG786431:NJM786431 NTC786431:NTI786431 OCY786431:ODE786431 OMU786431:ONA786431 OWQ786431:OWW786431 PGM786431:PGS786431 PQI786431:PQO786431 QAE786431:QAK786431 QKA786431:QKG786431 QTW786431:QUC786431 RDS786431:RDY786431 RNO786431:RNU786431 RXK786431:RXQ786431 SHG786431:SHM786431 SRC786431:SRI786431 TAY786431:TBE786431 TKU786431:TLA786431 TUQ786431:TUW786431 UEM786431:UES786431 UOI786431:UOO786431 UYE786431:UYK786431 VIA786431:VIG786431 VRW786431:VSC786431 WBS786431:WBY786431 WLO786431:WLU786431 WVK786431:WVQ786431 IY851967:JE851967 SU851967:TA851967 ACQ851967:ACW851967 AMM851967:AMS851967 AWI851967:AWO851967 BGE851967:BGK851967 BQA851967:BQG851967 BZW851967:CAC851967 CJS851967:CJY851967 CTO851967:CTU851967 DDK851967:DDQ851967 DNG851967:DNM851967 DXC851967:DXI851967 EGY851967:EHE851967 EQU851967:ERA851967 FAQ851967:FAW851967 FKM851967:FKS851967 FUI851967:FUO851967 GEE851967:GEK851967 GOA851967:GOG851967 GXW851967:GYC851967 HHS851967:HHY851967 HRO851967:HRU851967 IBK851967:IBQ851967 ILG851967:ILM851967 IVC851967:IVI851967 JEY851967:JFE851967 JOU851967:JPA851967 JYQ851967:JYW851967 KIM851967:KIS851967 KSI851967:KSO851967 LCE851967:LCK851967 LMA851967:LMG851967 LVW851967:LWC851967 MFS851967:MFY851967 MPO851967:MPU851967 MZK851967:MZQ851967 NJG851967:NJM851967 NTC851967:NTI851967 OCY851967:ODE851967 OMU851967:ONA851967 OWQ851967:OWW851967 PGM851967:PGS851967 PQI851967:PQO851967 QAE851967:QAK851967 QKA851967:QKG851967 QTW851967:QUC851967 RDS851967:RDY851967 RNO851967:RNU851967 RXK851967:RXQ851967 SHG851967:SHM851967 SRC851967:SRI851967 TAY851967:TBE851967 TKU851967:TLA851967 TUQ851967:TUW851967 UEM851967:UES851967 UOI851967:UOO851967 UYE851967:UYK851967 VIA851967:VIG851967 VRW851967:VSC851967 WBS851967:WBY851967 WLO851967:WLU851967 WVK851967:WVQ851967 IY917503:JE917503 SU917503:TA917503 ACQ917503:ACW917503 AMM917503:AMS917503 AWI917503:AWO917503 BGE917503:BGK917503 BQA917503:BQG917503 BZW917503:CAC917503 CJS917503:CJY917503 CTO917503:CTU917503 DDK917503:DDQ917503 DNG917503:DNM917503 DXC917503:DXI917503 EGY917503:EHE917503 EQU917503:ERA917503 FAQ917503:FAW917503 FKM917503:FKS917503 FUI917503:FUO917503 GEE917503:GEK917503 GOA917503:GOG917503 GXW917503:GYC917503 HHS917503:HHY917503 HRO917503:HRU917503 IBK917503:IBQ917503 ILG917503:ILM917503 IVC917503:IVI917503 JEY917503:JFE917503 JOU917503:JPA917503 JYQ917503:JYW917503 KIM917503:KIS917503 KSI917503:KSO917503 LCE917503:LCK917503 LMA917503:LMG917503 LVW917503:LWC917503 MFS917503:MFY917503 MPO917503:MPU917503 MZK917503:MZQ917503 NJG917503:NJM917503 NTC917503:NTI917503 OCY917503:ODE917503 OMU917503:ONA917503 OWQ917503:OWW917503 PGM917503:PGS917503 PQI917503:PQO917503 QAE917503:QAK917503 QKA917503:QKG917503 QTW917503:QUC917503 RDS917503:RDY917503 RNO917503:RNU917503 RXK917503:RXQ917503 SHG917503:SHM917503 SRC917503:SRI917503 TAY917503:TBE917503 TKU917503:TLA917503 TUQ917503:TUW917503 UEM917503:UES917503 UOI917503:UOO917503 UYE917503:UYK917503 VIA917503:VIG917503 VRW917503:VSC917503 WBS917503:WBY917503 WLO917503:WLU917503 WVK917503:WVQ917503 IY983039:JE983039 SU983039:TA983039 ACQ983039:ACW983039 AMM983039:AMS983039 AWI983039:AWO983039 BGE983039:BGK983039 BQA983039:BQG983039 BZW983039:CAC983039 CJS983039:CJY983039 CTO983039:CTU983039 DDK983039:DDQ983039 DNG983039:DNM983039 DXC983039:DXI983039 EGY983039:EHE983039 EQU983039:ERA983039 FAQ983039:FAW983039 FKM983039:FKS983039 FUI983039:FUO983039 GEE983039:GEK983039 GOA983039:GOG983039 GXW983039:GYC983039 HHS983039:HHY983039 HRO983039:HRU983039 IBK983039:IBQ983039 ILG983039:ILM983039 IVC983039:IVI983039 JEY983039:JFE983039 JOU983039:JPA983039 JYQ983039:JYW983039 KIM983039:KIS983039 KSI983039:KSO983039 LCE983039:LCK983039 LMA983039:LMG983039 LVW983039:LWC983039 MFS983039:MFY983039 MPO983039:MPU983039 MZK983039:MZQ983039 NJG983039:NJM983039 NTC983039:NTI983039 OCY983039:ODE983039 OMU983039:ONA983039 OWQ983039:OWW983039 PGM983039:PGS983039 PQI983039:PQO983039 QAE983039:QAK983039 QKA983039:QKG983039 QTW983039:QUC983039 RDS983039:RDY983039 RNO983039:RNU983039 RXK983039:RXQ983039 SHG983039:SHM983039 SRC983039:SRI983039 TAY983039:TBE983039 TKU983039:TLA983039 TUQ983039:TUW983039 UEM983039:UES983039 UOI983039:UOO983039 UYE983039:UYK983039 VIA983039:VIG983039 VRW983039:VSC983039 WBS983039:WBY983039 WLO983039:WLU983039 WVK983039:WVQ983039 D983039:J983039 D917503:J917503 D851967:J851967 D786431:J786431 D720895:J720895 D655359:J655359 D589823:J589823 D524287:J524287 D458751:J458751 D393215:J393215 D327679:J327679 D262143:J262143 D196607:J196607 D131071:J131071 D65535:J65535 D20"/>
    <dataValidation allowBlank="1" showInputMessage="1" showErrorMessage="1" promptTitle="Alamat Saudara Kandung" prompt="Diisi Alamat lengkap dari Saudara Kandung Pemohon yang dapat dihubungi dan tidak serumah dengan Pemohon" sqref="IY65547:JE65548 SU65547:TA65548 ACQ65547:ACW65548 AMM65547:AMS65548 AWI65547:AWO65548 BGE65547:BGK65548 BQA65547:BQG65548 BZW65547:CAC65548 CJS65547:CJY65548 CTO65547:CTU65548 DDK65547:DDQ65548 DNG65547:DNM65548 DXC65547:DXI65548 EGY65547:EHE65548 EQU65547:ERA65548 FAQ65547:FAW65548 FKM65547:FKS65548 FUI65547:FUO65548 GEE65547:GEK65548 GOA65547:GOG65548 GXW65547:GYC65548 HHS65547:HHY65548 HRO65547:HRU65548 IBK65547:IBQ65548 ILG65547:ILM65548 IVC65547:IVI65548 JEY65547:JFE65548 JOU65547:JPA65548 JYQ65547:JYW65548 KIM65547:KIS65548 KSI65547:KSO65548 LCE65547:LCK65548 LMA65547:LMG65548 LVW65547:LWC65548 MFS65547:MFY65548 MPO65547:MPU65548 MZK65547:MZQ65548 NJG65547:NJM65548 NTC65547:NTI65548 OCY65547:ODE65548 OMU65547:ONA65548 OWQ65547:OWW65548 PGM65547:PGS65548 PQI65547:PQO65548 QAE65547:QAK65548 QKA65547:QKG65548 QTW65547:QUC65548 RDS65547:RDY65548 RNO65547:RNU65548 RXK65547:RXQ65548 SHG65547:SHM65548 SRC65547:SRI65548 TAY65547:TBE65548 TKU65547:TLA65548 TUQ65547:TUW65548 UEM65547:UES65548 UOI65547:UOO65548 UYE65547:UYK65548 VIA65547:VIG65548 VRW65547:VSC65548 WBS65547:WBY65548 WLO65547:WLU65548 WVK65547:WVQ65548 IY131083:JE131084 SU131083:TA131084 ACQ131083:ACW131084 AMM131083:AMS131084 AWI131083:AWO131084 BGE131083:BGK131084 BQA131083:BQG131084 BZW131083:CAC131084 CJS131083:CJY131084 CTO131083:CTU131084 DDK131083:DDQ131084 DNG131083:DNM131084 DXC131083:DXI131084 EGY131083:EHE131084 EQU131083:ERA131084 FAQ131083:FAW131084 FKM131083:FKS131084 FUI131083:FUO131084 GEE131083:GEK131084 GOA131083:GOG131084 GXW131083:GYC131084 HHS131083:HHY131084 HRO131083:HRU131084 IBK131083:IBQ131084 ILG131083:ILM131084 IVC131083:IVI131084 JEY131083:JFE131084 JOU131083:JPA131084 JYQ131083:JYW131084 KIM131083:KIS131084 KSI131083:KSO131084 LCE131083:LCK131084 LMA131083:LMG131084 LVW131083:LWC131084 MFS131083:MFY131084 MPO131083:MPU131084 MZK131083:MZQ131084 NJG131083:NJM131084 NTC131083:NTI131084 OCY131083:ODE131084 OMU131083:ONA131084 OWQ131083:OWW131084 PGM131083:PGS131084 PQI131083:PQO131084 QAE131083:QAK131084 QKA131083:QKG131084 QTW131083:QUC131084 RDS131083:RDY131084 RNO131083:RNU131084 RXK131083:RXQ131084 SHG131083:SHM131084 SRC131083:SRI131084 TAY131083:TBE131084 TKU131083:TLA131084 TUQ131083:TUW131084 UEM131083:UES131084 UOI131083:UOO131084 UYE131083:UYK131084 VIA131083:VIG131084 VRW131083:VSC131084 WBS131083:WBY131084 WLO131083:WLU131084 WVK131083:WVQ131084 IY196619:JE196620 SU196619:TA196620 ACQ196619:ACW196620 AMM196619:AMS196620 AWI196619:AWO196620 BGE196619:BGK196620 BQA196619:BQG196620 BZW196619:CAC196620 CJS196619:CJY196620 CTO196619:CTU196620 DDK196619:DDQ196620 DNG196619:DNM196620 DXC196619:DXI196620 EGY196619:EHE196620 EQU196619:ERA196620 FAQ196619:FAW196620 FKM196619:FKS196620 FUI196619:FUO196620 GEE196619:GEK196620 GOA196619:GOG196620 GXW196619:GYC196620 HHS196619:HHY196620 HRO196619:HRU196620 IBK196619:IBQ196620 ILG196619:ILM196620 IVC196619:IVI196620 JEY196619:JFE196620 JOU196619:JPA196620 JYQ196619:JYW196620 KIM196619:KIS196620 KSI196619:KSO196620 LCE196619:LCK196620 LMA196619:LMG196620 LVW196619:LWC196620 MFS196619:MFY196620 MPO196619:MPU196620 MZK196619:MZQ196620 NJG196619:NJM196620 NTC196619:NTI196620 OCY196619:ODE196620 OMU196619:ONA196620 OWQ196619:OWW196620 PGM196619:PGS196620 PQI196619:PQO196620 QAE196619:QAK196620 QKA196619:QKG196620 QTW196619:QUC196620 RDS196619:RDY196620 RNO196619:RNU196620 RXK196619:RXQ196620 SHG196619:SHM196620 SRC196619:SRI196620 TAY196619:TBE196620 TKU196619:TLA196620 TUQ196619:TUW196620 UEM196619:UES196620 UOI196619:UOO196620 UYE196619:UYK196620 VIA196619:VIG196620 VRW196619:VSC196620 WBS196619:WBY196620 WLO196619:WLU196620 WVK196619:WVQ196620 IY262155:JE262156 SU262155:TA262156 ACQ262155:ACW262156 AMM262155:AMS262156 AWI262155:AWO262156 BGE262155:BGK262156 BQA262155:BQG262156 BZW262155:CAC262156 CJS262155:CJY262156 CTO262155:CTU262156 DDK262155:DDQ262156 DNG262155:DNM262156 DXC262155:DXI262156 EGY262155:EHE262156 EQU262155:ERA262156 FAQ262155:FAW262156 FKM262155:FKS262156 FUI262155:FUO262156 GEE262155:GEK262156 GOA262155:GOG262156 GXW262155:GYC262156 HHS262155:HHY262156 HRO262155:HRU262156 IBK262155:IBQ262156 ILG262155:ILM262156 IVC262155:IVI262156 JEY262155:JFE262156 JOU262155:JPA262156 JYQ262155:JYW262156 KIM262155:KIS262156 KSI262155:KSO262156 LCE262155:LCK262156 LMA262155:LMG262156 LVW262155:LWC262156 MFS262155:MFY262156 MPO262155:MPU262156 MZK262155:MZQ262156 NJG262155:NJM262156 NTC262155:NTI262156 OCY262155:ODE262156 OMU262155:ONA262156 OWQ262155:OWW262156 PGM262155:PGS262156 PQI262155:PQO262156 QAE262155:QAK262156 QKA262155:QKG262156 QTW262155:QUC262156 RDS262155:RDY262156 RNO262155:RNU262156 RXK262155:RXQ262156 SHG262155:SHM262156 SRC262155:SRI262156 TAY262155:TBE262156 TKU262155:TLA262156 TUQ262155:TUW262156 UEM262155:UES262156 UOI262155:UOO262156 UYE262155:UYK262156 VIA262155:VIG262156 VRW262155:VSC262156 WBS262155:WBY262156 WLO262155:WLU262156 WVK262155:WVQ262156 IY327691:JE327692 SU327691:TA327692 ACQ327691:ACW327692 AMM327691:AMS327692 AWI327691:AWO327692 BGE327691:BGK327692 BQA327691:BQG327692 BZW327691:CAC327692 CJS327691:CJY327692 CTO327691:CTU327692 DDK327691:DDQ327692 DNG327691:DNM327692 DXC327691:DXI327692 EGY327691:EHE327692 EQU327691:ERA327692 FAQ327691:FAW327692 FKM327691:FKS327692 FUI327691:FUO327692 GEE327691:GEK327692 GOA327691:GOG327692 GXW327691:GYC327692 HHS327691:HHY327692 HRO327691:HRU327692 IBK327691:IBQ327692 ILG327691:ILM327692 IVC327691:IVI327692 JEY327691:JFE327692 JOU327691:JPA327692 JYQ327691:JYW327692 KIM327691:KIS327692 KSI327691:KSO327692 LCE327691:LCK327692 LMA327691:LMG327692 LVW327691:LWC327692 MFS327691:MFY327692 MPO327691:MPU327692 MZK327691:MZQ327692 NJG327691:NJM327692 NTC327691:NTI327692 OCY327691:ODE327692 OMU327691:ONA327692 OWQ327691:OWW327692 PGM327691:PGS327692 PQI327691:PQO327692 QAE327691:QAK327692 QKA327691:QKG327692 QTW327691:QUC327692 RDS327691:RDY327692 RNO327691:RNU327692 RXK327691:RXQ327692 SHG327691:SHM327692 SRC327691:SRI327692 TAY327691:TBE327692 TKU327691:TLA327692 TUQ327691:TUW327692 UEM327691:UES327692 UOI327691:UOO327692 UYE327691:UYK327692 VIA327691:VIG327692 VRW327691:VSC327692 WBS327691:WBY327692 WLO327691:WLU327692 WVK327691:WVQ327692 IY393227:JE393228 SU393227:TA393228 ACQ393227:ACW393228 AMM393227:AMS393228 AWI393227:AWO393228 BGE393227:BGK393228 BQA393227:BQG393228 BZW393227:CAC393228 CJS393227:CJY393228 CTO393227:CTU393228 DDK393227:DDQ393228 DNG393227:DNM393228 DXC393227:DXI393228 EGY393227:EHE393228 EQU393227:ERA393228 FAQ393227:FAW393228 FKM393227:FKS393228 FUI393227:FUO393228 GEE393227:GEK393228 GOA393227:GOG393228 GXW393227:GYC393228 HHS393227:HHY393228 HRO393227:HRU393228 IBK393227:IBQ393228 ILG393227:ILM393228 IVC393227:IVI393228 JEY393227:JFE393228 JOU393227:JPA393228 JYQ393227:JYW393228 KIM393227:KIS393228 KSI393227:KSO393228 LCE393227:LCK393228 LMA393227:LMG393228 LVW393227:LWC393228 MFS393227:MFY393228 MPO393227:MPU393228 MZK393227:MZQ393228 NJG393227:NJM393228 NTC393227:NTI393228 OCY393227:ODE393228 OMU393227:ONA393228 OWQ393227:OWW393228 PGM393227:PGS393228 PQI393227:PQO393228 QAE393227:QAK393228 QKA393227:QKG393228 QTW393227:QUC393228 RDS393227:RDY393228 RNO393227:RNU393228 RXK393227:RXQ393228 SHG393227:SHM393228 SRC393227:SRI393228 TAY393227:TBE393228 TKU393227:TLA393228 TUQ393227:TUW393228 UEM393227:UES393228 UOI393227:UOO393228 UYE393227:UYK393228 VIA393227:VIG393228 VRW393227:VSC393228 WBS393227:WBY393228 WLO393227:WLU393228 WVK393227:WVQ393228 IY458763:JE458764 SU458763:TA458764 ACQ458763:ACW458764 AMM458763:AMS458764 AWI458763:AWO458764 BGE458763:BGK458764 BQA458763:BQG458764 BZW458763:CAC458764 CJS458763:CJY458764 CTO458763:CTU458764 DDK458763:DDQ458764 DNG458763:DNM458764 DXC458763:DXI458764 EGY458763:EHE458764 EQU458763:ERA458764 FAQ458763:FAW458764 FKM458763:FKS458764 FUI458763:FUO458764 GEE458763:GEK458764 GOA458763:GOG458764 GXW458763:GYC458764 HHS458763:HHY458764 HRO458763:HRU458764 IBK458763:IBQ458764 ILG458763:ILM458764 IVC458763:IVI458764 JEY458763:JFE458764 JOU458763:JPA458764 JYQ458763:JYW458764 KIM458763:KIS458764 KSI458763:KSO458764 LCE458763:LCK458764 LMA458763:LMG458764 LVW458763:LWC458764 MFS458763:MFY458764 MPO458763:MPU458764 MZK458763:MZQ458764 NJG458763:NJM458764 NTC458763:NTI458764 OCY458763:ODE458764 OMU458763:ONA458764 OWQ458763:OWW458764 PGM458763:PGS458764 PQI458763:PQO458764 QAE458763:QAK458764 QKA458763:QKG458764 QTW458763:QUC458764 RDS458763:RDY458764 RNO458763:RNU458764 RXK458763:RXQ458764 SHG458763:SHM458764 SRC458763:SRI458764 TAY458763:TBE458764 TKU458763:TLA458764 TUQ458763:TUW458764 UEM458763:UES458764 UOI458763:UOO458764 UYE458763:UYK458764 VIA458763:VIG458764 VRW458763:VSC458764 WBS458763:WBY458764 WLO458763:WLU458764 WVK458763:WVQ458764 IY524299:JE524300 SU524299:TA524300 ACQ524299:ACW524300 AMM524299:AMS524300 AWI524299:AWO524300 BGE524299:BGK524300 BQA524299:BQG524300 BZW524299:CAC524300 CJS524299:CJY524300 CTO524299:CTU524300 DDK524299:DDQ524300 DNG524299:DNM524300 DXC524299:DXI524300 EGY524299:EHE524300 EQU524299:ERA524300 FAQ524299:FAW524300 FKM524299:FKS524300 FUI524299:FUO524300 GEE524299:GEK524300 GOA524299:GOG524300 GXW524299:GYC524300 HHS524299:HHY524300 HRO524299:HRU524300 IBK524299:IBQ524300 ILG524299:ILM524300 IVC524299:IVI524300 JEY524299:JFE524300 JOU524299:JPA524300 JYQ524299:JYW524300 KIM524299:KIS524300 KSI524299:KSO524300 LCE524299:LCK524300 LMA524299:LMG524300 LVW524299:LWC524300 MFS524299:MFY524300 MPO524299:MPU524300 MZK524299:MZQ524300 NJG524299:NJM524300 NTC524299:NTI524300 OCY524299:ODE524300 OMU524299:ONA524300 OWQ524299:OWW524300 PGM524299:PGS524300 PQI524299:PQO524300 QAE524299:QAK524300 QKA524299:QKG524300 QTW524299:QUC524300 RDS524299:RDY524300 RNO524299:RNU524300 RXK524299:RXQ524300 SHG524299:SHM524300 SRC524299:SRI524300 TAY524299:TBE524300 TKU524299:TLA524300 TUQ524299:TUW524300 UEM524299:UES524300 UOI524299:UOO524300 UYE524299:UYK524300 VIA524299:VIG524300 VRW524299:VSC524300 WBS524299:WBY524300 WLO524299:WLU524300 WVK524299:WVQ524300 IY589835:JE589836 SU589835:TA589836 ACQ589835:ACW589836 AMM589835:AMS589836 AWI589835:AWO589836 BGE589835:BGK589836 BQA589835:BQG589836 BZW589835:CAC589836 CJS589835:CJY589836 CTO589835:CTU589836 DDK589835:DDQ589836 DNG589835:DNM589836 DXC589835:DXI589836 EGY589835:EHE589836 EQU589835:ERA589836 FAQ589835:FAW589836 FKM589835:FKS589836 FUI589835:FUO589836 GEE589835:GEK589836 GOA589835:GOG589836 GXW589835:GYC589836 HHS589835:HHY589836 HRO589835:HRU589836 IBK589835:IBQ589836 ILG589835:ILM589836 IVC589835:IVI589836 JEY589835:JFE589836 JOU589835:JPA589836 JYQ589835:JYW589836 KIM589835:KIS589836 KSI589835:KSO589836 LCE589835:LCK589836 LMA589835:LMG589836 LVW589835:LWC589836 MFS589835:MFY589836 MPO589835:MPU589836 MZK589835:MZQ589836 NJG589835:NJM589836 NTC589835:NTI589836 OCY589835:ODE589836 OMU589835:ONA589836 OWQ589835:OWW589836 PGM589835:PGS589836 PQI589835:PQO589836 QAE589835:QAK589836 QKA589835:QKG589836 QTW589835:QUC589836 RDS589835:RDY589836 RNO589835:RNU589836 RXK589835:RXQ589836 SHG589835:SHM589836 SRC589835:SRI589836 TAY589835:TBE589836 TKU589835:TLA589836 TUQ589835:TUW589836 UEM589835:UES589836 UOI589835:UOO589836 UYE589835:UYK589836 VIA589835:VIG589836 VRW589835:VSC589836 WBS589835:WBY589836 WLO589835:WLU589836 WVK589835:WVQ589836 IY655371:JE655372 SU655371:TA655372 ACQ655371:ACW655372 AMM655371:AMS655372 AWI655371:AWO655372 BGE655371:BGK655372 BQA655371:BQG655372 BZW655371:CAC655372 CJS655371:CJY655372 CTO655371:CTU655372 DDK655371:DDQ655372 DNG655371:DNM655372 DXC655371:DXI655372 EGY655371:EHE655372 EQU655371:ERA655372 FAQ655371:FAW655372 FKM655371:FKS655372 FUI655371:FUO655372 GEE655371:GEK655372 GOA655371:GOG655372 GXW655371:GYC655372 HHS655371:HHY655372 HRO655371:HRU655372 IBK655371:IBQ655372 ILG655371:ILM655372 IVC655371:IVI655372 JEY655371:JFE655372 JOU655371:JPA655372 JYQ655371:JYW655372 KIM655371:KIS655372 KSI655371:KSO655372 LCE655371:LCK655372 LMA655371:LMG655372 LVW655371:LWC655372 MFS655371:MFY655372 MPO655371:MPU655372 MZK655371:MZQ655372 NJG655371:NJM655372 NTC655371:NTI655372 OCY655371:ODE655372 OMU655371:ONA655372 OWQ655371:OWW655372 PGM655371:PGS655372 PQI655371:PQO655372 QAE655371:QAK655372 QKA655371:QKG655372 QTW655371:QUC655372 RDS655371:RDY655372 RNO655371:RNU655372 RXK655371:RXQ655372 SHG655371:SHM655372 SRC655371:SRI655372 TAY655371:TBE655372 TKU655371:TLA655372 TUQ655371:TUW655372 UEM655371:UES655372 UOI655371:UOO655372 UYE655371:UYK655372 VIA655371:VIG655372 VRW655371:VSC655372 WBS655371:WBY655372 WLO655371:WLU655372 WVK655371:WVQ655372 IY720907:JE720908 SU720907:TA720908 ACQ720907:ACW720908 AMM720907:AMS720908 AWI720907:AWO720908 BGE720907:BGK720908 BQA720907:BQG720908 BZW720907:CAC720908 CJS720907:CJY720908 CTO720907:CTU720908 DDK720907:DDQ720908 DNG720907:DNM720908 DXC720907:DXI720908 EGY720907:EHE720908 EQU720907:ERA720908 FAQ720907:FAW720908 FKM720907:FKS720908 FUI720907:FUO720908 GEE720907:GEK720908 GOA720907:GOG720908 GXW720907:GYC720908 HHS720907:HHY720908 HRO720907:HRU720908 IBK720907:IBQ720908 ILG720907:ILM720908 IVC720907:IVI720908 JEY720907:JFE720908 JOU720907:JPA720908 JYQ720907:JYW720908 KIM720907:KIS720908 KSI720907:KSO720908 LCE720907:LCK720908 LMA720907:LMG720908 LVW720907:LWC720908 MFS720907:MFY720908 MPO720907:MPU720908 MZK720907:MZQ720908 NJG720907:NJM720908 NTC720907:NTI720908 OCY720907:ODE720908 OMU720907:ONA720908 OWQ720907:OWW720908 PGM720907:PGS720908 PQI720907:PQO720908 QAE720907:QAK720908 QKA720907:QKG720908 QTW720907:QUC720908 RDS720907:RDY720908 RNO720907:RNU720908 RXK720907:RXQ720908 SHG720907:SHM720908 SRC720907:SRI720908 TAY720907:TBE720908 TKU720907:TLA720908 TUQ720907:TUW720908 UEM720907:UES720908 UOI720907:UOO720908 UYE720907:UYK720908 VIA720907:VIG720908 VRW720907:VSC720908 WBS720907:WBY720908 WLO720907:WLU720908 WVK720907:WVQ720908 IY786443:JE786444 SU786443:TA786444 ACQ786443:ACW786444 AMM786443:AMS786444 AWI786443:AWO786444 BGE786443:BGK786444 BQA786443:BQG786444 BZW786443:CAC786444 CJS786443:CJY786444 CTO786443:CTU786444 DDK786443:DDQ786444 DNG786443:DNM786444 DXC786443:DXI786444 EGY786443:EHE786444 EQU786443:ERA786444 FAQ786443:FAW786444 FKM786443:FKS786444 FUI786443:FUO786444 GEE786443:GEK786444 GOA786443:GOG786444 GXW786443:GYC786444 HHS786443:HHY786444 HRO786443:HRU786444 IBK786443:IBQ786444 ILG786443:ILM786444 IVC786443:IVI786444 JEY786443:JFE786444 JOU786443:JPA786444 JYQ786443:JYW786444 KIM786443:KIS786444 KSI786443:KSO786444 LCE786443:LCK786444 LMA786443:LMG786444 LVW786443:LWC786444 MFS786443:MFY786444 MPO786443:MPU786444 MZK786443:MZQ786444 NJG786443:NJM786444 NTC786443:NTI786444 OCY786443:ODE786444 OMU786443:ONA786444 OWQ786443:OWW786444 PGM786443:PGS786444 PQI786443:PQO786444 QAE786443:QAK786444 QKA786443:QKG786444 QTW786443:QUC786444 RDS786443:RDY786444 RNO786443:RNU786444 RXK786443:RXQ786444 SHG786443:SHM786444 SRC786443:SRI786444 TAY786443:TBE786444 TKU786443:TLA786444 TUQ786443:TUW786444 UEM786443:UES786444 UOI786443:UOO786444 UYE786443:UYK786444 VIA786443:VIG786444 VRW786443:VSC786444 WBS786443:WBY786444 WLO786443:WLU786444 WVK786443:WVQ786444 IY851979:JE851980 SU851979:TA851980 ACQ851979:ACW851980 AMM851979:AMS851980 AWI851979:AWO851980 BGE851979:BGK851980 BQA851979:BQG851980 BZW851979:CAC851980 CJS851979:CJY851980 CTO851979:CTU851980 DDK851979:DDQ851980 DNG851979:DNM851980 DXC851979:DXI851980 EGY851979:EHE851980 EQU851979:ERA851980 FAQ851979:FAW851980 FKM851979:FKS851980 FUI851979:FUO851980 GEE851979:GEK851980 GOA851979:GOG851980 GXW851979:GYC851980 HHS851979:HHY851980 HRO851979:HRU851980 IBK851979:IBQ851980 ILG851979:ILM851980 IVC851979:IVI851980 JEY851979:JFE851980 JOU851979:JPA851980 JYQ851979:JYW851980 KIM851979:KIS851980 KSI851979:KSO851980 LCE851979:LCK851980 LMA851979:LMG851980 LVW851979:LWC851980 MFS851979:MFY851980 MPO851979:MPU851980 MZK851979:MZQ851980 NJG851979:NJM851980 NTC851979:NTI851980 OCY851979:ODE851980 OMU851979:ONA851980 OWQ851979:OWW851980 PGM851979:PGS851980 PQI851979:PQO851980 QAE851979:QAK851980 QKA851979:QKG851980 QTW851979:QUC851980 RDS851979:RDY851980 RNO851979:RNU851980 RXK851979:RXQ851980 SHG851979:SHM851980 SRC851979:SRI851980 TAY851979:TBE851980 TKU851979:TLA851980 TUQ851979:TUW851980 UEM851979:UES851980 UOI851979:UOO851980 UYE851979:UYK851980 VIA851979:VIG851980 VRW851979:VSC851980 WBS851979:WBY851980 WLO851979:WLU851980 WVK851979:WVQ851980 IY917515:JE917516 SU917515:TA917516 ACQ917515:ACW917516 AMM917515:AMS917516 AWI917515:AWO917516 BGE917515:BGK917516 BQA917515:BQG917516 BZW917515:CAC917516 CJS917515:CJY917516 CTO917515:CTU917516 DDK917515:DDQ917516 DNG917515:DNM917516 DXC917515:DXI917516 EGY917515:EHE917516 EQU917515:ERA917516 FAQ917515:FAW917516 FKM917515:FKS917516 FUI917515:FUO917516 GEE917515:GEK917516 GOA917515:GOG917516 GXW917515:GYC917516 HHS917515:HHY917516 HRO917515:HRU917516 IBK917515:IBQ917516 ILG917515:ILM917516 IVC917515:IVI917516 JEY917515:JFE917516 JOU917515:JPA917516 JYQ917515:JYW917516 KIM917515:KIS917516 KSI917515:KSO917516 LCE917515:LCK917516 LMA917515:LMG917516 LVW917515:LWC917516 MFS917515:MFY917516 MPO917515:MPU917516 MZK917515:MZQ917516 NJG917515:NJM917516 NTC917515:NTI917516 OCY917515:ODE917516 OMU917515:ONA917516 OWQ917515:OWW917516 PGM917515:PGS917516 PQI917515:PQO917516 QAE917515:QAK917516 QKA917515:QKG917516 QTW917515:QUC917516 RDS917515:RDY917516 RNO917515:RNU917516 RXK917515:RXQ917516 SHG917515:SHM917516 SRC917515:SRI917516 TAY917515:TBE917516 TKU917515:TLA917516 TUQ917515:TUW917516 UEM917515:UES917516 UOI917515:UOO917516 UYE917515:UYK917516 VIA917515:VIG917516 VRW917515:VSC917516 WBS917515:WBY917516 WLO917515:WLU917516 WVK917515:WVQ917516 IY983051:JE983052 SU983051:TA983052 ACQ983051:ACW983052 AMM983051:AMS983052 AWI983051:AWO983052 BGE983051:BGK983052 BQA983051:BQG983052 BZW983051:CAC983052 CJS983051:CJY983052 CTO983051:CTU983052 DDK983051:DDQ983052 DNG983051:DNM983052 DXC983051:DXI983052 EGY983051:EHE983052 EQU983051:ERA983052 FAQ983051:FAW983052 FKM983051:FKS983052 FUI983051:FUO983052 GEE983051:GEK983052 GOA983051:GOG983052 GXW983051:GYC983052 HHS983051:HHY983052 HRO983051:HRU983052 IBK983051:IBQ983052 ILG983051:ILM983052 IVC983051:IVI983052 JEY983051:JFE983052 JOU983051:JPA983052 JYQ983051:JYW983052 KIM983051:KIS983052 KSI983051:KSO983052 LCE983051:LCK983052 LMA983051:LMG983052 LVW983051:LWC983052 MFS983051:MFY983052 MPO983051:MPU983052 MZK983051:MZQ983052 NJG983051:NJM983052 NTC983051:NTI983052 OCY983051:ODE983052 OMU983051:ONA983052 OWQ983051:OWW983052 PGM983051:PGS983052 PQI983051:PQO983052 QAE983051:QAK983052 QKA983051:QKG983052 QTW983051:QUC983052 RDS983051:RDY983052 RNO983051:RNU983052 RXK983051:RXQ983052 SHG983051:SHM983052 SRC983051:SRI983052 TAY983051:TBE983052 TKU983051:TLA983052 TUQ983051:TUW983052 UEM983051:UES983052 UOI983051:UOO983052 UYE983051:UYK983052 VIA983051:VIG983052 VRW983051:VSC983052 WBS983051:WBY983052 WLO983051:WLU983052 WVK983051:WVQ983052 D983051:J983052 D917515:J917516 D851979:J851980 D786443:J786444 D720907:J720908 D655371:J655372 D589835:J589836 D524299:J524300 D458763:J458764 D393227:J393228 D327691:J327692 D262155:J262156 D196619:J196620 D131083:J131084 D65547:J65548"/>
    <dataValidation allowBlank="1" showInputMessage="1" showErrorMessage="1" promptTitle="Saudara Kandung" prompt="Diisi Nama Lengkap Saudara Kandung dari Pemohon yang dapat dihubungi dan bertempat tinggal TIDAK SERUMAH dengan Pemohon" sqref="IY41:JE41 SU41:TA41 ACQ41:ACW41 AMM41:AMS41 AWI41:AWO41 BGE41:BGK41 BQA41:BQG41 BZW41:CAC41 CJS41:CJY41 CTO41:CTU41 DDK41:DDQ41 DNG41:DNM41 DXC41:DXI41 EGY41:EHE41 EQU41:ERA41 FAQ41:FAW41 FKM41:FKS41 FUI41:FUO41 GEE41:GEK41 GOA41:GOG41 GXW41:GYC41 HHS41:HHY41 HRO41:HRU41 IBK41:IBQ41 ILG41:ILM41 IVC41:IVI41 JEY41:JFE41 JOU41:JPA41 JYQ41:JYW41 KIM41:KIS41 KSI41:KSO41 LCE41:LCK41 LMA41:LMG41 LVW41:LWC41 MFS41:MFY41 MPO41:MPU41 MZK41:MZQ41 NJG41:NJM41 NTC41:NTI41 OCY41:ODE41 OMU41:ONA41 OWQ41:OWW41 PGM41:PGS41 PQI41:PQO41 QAE41:QAK41 QKA41:QKG41 QTW41:QUC41 RDS41:RDY41 RNO41:RNU41 RXK41:RXQ41 SHG41:SHM41 SRC41:SRI41 TAY41:TBE41 TKU41:TLA41 TUQ41:TUW41 UEM41:UES41 UOI41:UOO41 UYE41:UYK41 VIA41:VIG41 VRW41:VSC41 WBS41:WBY41 WLO41:WLU41 WVK41:WVQ41 IY65545:JE65545 SU65545:TA65545 ACQ65545:ACW65545 AMM65545:AMS65545 AWI65545:AWO65545 BGE65545:BGK65545 BQA65545:BQG65545 BZW65545:CAC65545 CJS65545:CJY65545 CTO65545:CTU65545 DDK65545:DDQ65545 DNG65545:DNM65545 DXC65545:DXI65545 EGY65545:EHE65545 EQU65545:ERA65545 FAQ65545:FAW65545 FKM65545:FKS65545 FUI65545:FUO65545 GEE65545:GEK65545 GOA65545:GOG65545 GXW65545:GYC65545 HHS65545:HHY65545 HRO65545:HRU65545 IBK65545:IBQ65545 ILG65545:ILM65545 IVC65545:IVI65545 JEY65545:JFE65545 JOU65545:JPA65545 JYQ65545:JYW65545 KIM65545:KIS65545 KSI65545:KSO65545 LCE65545:LCK65545 LMA65545:LMG65545 LVW65545:LWC65545 MFS65545:MFY65545 MPO65545:MPU65545 MZK65545:MZQ65545 NJG65545:NJM65545 NTC65545:NTI65545 OCY65545:ODE65545 OMU65545:ONA65545 OWQ65545:OWW65545 PGM65545:PGS65545 PQI65545:PQO65545 QAE65545:QAK65545 QKA65545:QKG65545 QTW65545:QUC65545 RDS65545:RDY65545 RNO65545:RNU65545 RXK65545:RXQ65545 SHG65545:SHM65545 SRC65545:SRI65545 TAY65545:TBE65545 TKU65545:TLA65545 TUQ65545:TUW65545 UEM65545:UES65545 UOI65545:UOO65545 UYE65545:UYK65545 VIA65545:VIG65545 VRW65545:VSC65545 WBS65545:WBY65545 WLO65545:WLU65545 WVK65545:WVQ65545 IY131081:JE131081 SU131081:TA131081 ACQ131081:ACW131081 AMM131081:AMS131081 AWI131081:AWO131081 BGE131081:BGK131081 BQA131081:BQG131081 BZW131081:CAC131081 CJS131081:CJY131081 CTO131081:CTU131081 DDK131081:DDQ131081 DNG131081:DNM131081 DXC131081:DXI131081 EGY131081:EHE131081 EQU131081:ERA131081 FAQ131081:FAW131081 FKM131081:FKS131081 FUI131081:FUO131081 GEE131081:GEK131081 GOA131081:GOG131081 GXW131081:GYC131081 HHS131081:HHY131081 HRO131081:HRU131081 IBK131081:IBQ131081 ILG131081:ILM131081 IVC131081:IVI131081 JEY131081:JFE131081 JOU131081:JPA131081 JYQ131081:JYW131081 KIM131081:KIS131081 KSI131081:KSO131081 LCE131081:LCK131081 LMA131081:LMG131081 LVW131081:LWC131081 MFS131081:MFY131081 MPO131081:MPU131081 MZK131081:MZQ131081 NJG131081:NJM131081 NTC131081:NTI131081 OCY131081:ODE131081 OMU131081:ONA131081 OWQ131081:OWW131081 PGM131081:PGS131081 PQI131081:PQO131081 QAE131081:QAK131081 QKA131081:QKG131081 QTW131081:QUC131081 RDS131081:RDY131081 RNO131081:RNU131081 RXK131081:RXQ131081 SHG131081:SHM131081 SRC131081:SRI131081 TAY131081:TBE131081 TKU131081:TLA131081 TUQ131081:TUW131081 UEM131081:UES131081 UOI131081:UOO131081 UYE131081:UYK131081 VIA131081:VIG131081 VRW131081:VSC131081 WBS131081:WBY131081 WLO131081:WLU131081 WVK131081:WVQ131081 IY196617:JE196617 SU196617:TA196617 ACQ196617:ACW196617 AMM196617:AMS196617 AWI196617:AWO196617 BGE196617:BGK196617 BQA196617:BQG196617 BZW196617:CAC196617 CJS196617:CJY196617 CTO196617:CTU196617 DDK196617:DDQ196617 DNG196617:DNM196617 DXC196617:DXI196617 EGY196617:EHE196617 EQU196617:ERA196617 FAQ196617:FAW196617 FKM196617:FKS196617 FUI196617:FUO196617 GEE196617:GEK196617 GOA196617:GOG196617 GXW196617:GYC196617 HHS196617:HHY196617 HRO196617:HRU196617 IBK196617:IBQ196617 ILG196617:ILM196617 IVC196617:IVI196617 JEY196617:JFE196617 JOU196617:JPA196617 JYQ196617:JYW196617 KIM196617:KIS196617 KSI196617:KSO196617 LCE196617:LCK196617 LMA196617:LMG196617 LVW196617:LWC196617 MFS196617:MFY196617 MPO196617:MPU196617 MZK196617:MZQ196617 NJG196617:NJM196617 NTC196617:NTI196617 OCY196617:ODE196617 OMU196617:ONA196617 OWQ196617:OWW196617 PGM196617:PGS196617 PQI196617:PQO196617 QAE196617:QAK196617 QKA196617:QKG196617 QTW196617:QUC196617 RDS196617:RDY196617 RNO196617:RNU196617 RXK196617:RXQ196617 SHG196617:SHM196617 SRC196617:SRI196617 TAY196617:TBE196617 TKU196617:TLA196617 TUQ196617:TUW196617 UEM196617:UES196617 UOI196617:UOO196617 UYE196617:UYK196617 VIA196617:VIG196617 VRW196617:VSC196617 WBS196617:WBY196617 WLO196617:WLU196617 WVK196617:WVQ196617 IY262153:JE262153 SU262153:TA262153 ACQ262153:ACW262153 AMM262153:AMS262153 AWI262153:AWO262153 BGE262153:BGK262153 BQA262153:BQG262153 BZW262153:CAC262153 CJS262153:CJY262153 CTO262153:CTU262153 DDK262153:DDQ262153 DNG262153:DNM262153 DXC262153:DXI262153 EGY262153:EHE262153 EQU262153:ERA262153 FAQ262153:FAW262153 FKM262153:FKS262153 FUI262153:FUO262153 GEE262153:GEK262153 GOA262153:GOG262153 GXW262153:GYC262153 HHS262153:HHY262153 HRO262153:HRU262153 IBK262153:IBQ262153 ILG262153:ILM262153 IVC262153:IVI262153 JEY262153:JFE262153 JOU262153:JPA262153 JYQ262153:JYW262153 KIM262153:KIS262153 KSI262153:KSO262153 LCE262153:LCK262153 LMA262153:LMG262153 LVW262153:LWC262153 MFS262153:MFY262153 MPO262153:MPU262153 MZK262153:MZQ262153 NJG262153:NJM262153 NTC262153:NTI262153 OCY262153:ODE262153 OMU262153:ONA262153 OWQ262153:OWW262153 PGM262153:PGS262153 PQI262153:PQO262153 QAE262153:QAK262153 QKA262153:QKG262153 QTW262153:QUC262153 RDS262153:RDY262153 RNO262153:RNU262153 RXK262153:RXQ262153 SHG262153:SHM262153 SRC262153:SRI262153 TAY262153:TBE262153 TKU262153:TLA262153 TUQ262153:TUW262153 UEM262153:UES262153 UOI262153:UOO262153 UYE262153:UYK262153 VIA262153:VIG262153 VRW262153:VSC262153 WBS262153:WBY262153 WLO262153:WLU262153 WVK262153:WVQ262153 IY327689:JE327689 SU327689:TA327689 ACQ327689:ACW327689 AMM327689:AMS327689 AWI327689:AWO327689 BGE327689:BGK327689 BQA327689:BQG327689 BZW327689:CAC327689 CJS327689:CJY327689 CTO327689:CTU327689 DDK327689:DDQ327689 DNG327689:DNM327689 DXC327689:DXI327689 EGY327689:EHE327689 EQU327689:ERA327689 FAQ327689:FAW327689 FKM327689:FKS327689 FUI327689:FUO327689 GEE327689:GEK327689 GOA327689:GOG327689 GXW327689:GYC327689 HHS327689:HHY327689 HRO327689:HRU327689 IBK327689:IBQ327689 ILG327689:ILM327689 IVC327689:IVI327689 JEY327689:JFE327689 JOU327689:JPA327689 JYQ327689:JYW327689 KIM327689:KIS327689 KSI327689:KSO327689 LCE327689:LCK327689 LMA327689:LMG327689 LVW327689:LWC327689 MFS327689:MFY327689 MPO327689:MPU327689 MZK327689:MZQ327689 NJG327689:NJM327689 NTC327689:NTI327689 OCY327689:ODE327689 OMU327689:ONA327689 OWQ327689:OWW327689 PGM327689:PGS327689 PQI327689:PQO327689 QAE327689:QAK327689 QKA327689:QKG327689 QTW327689:QUC327689 RDS327689:RDY327689 RNO327689:RNU327689 RXK327689:RXQ327689 SHG327689:SHM327689 SRC327689:SRI327689 TAY327689:TBE327689 TKU327689:TLA327689 TUQ327689:TUW327689 UEM327689:UES327689 UOI327689:UOO327689 UYE327689:UYK327689 VIA327689:VIG327689 VRW327689:VSC327689 WBS327689:WBY327689 WLO327689:WLU327689 WVK327689:WVQ327689 IY393225:JE393225 SU393225:TA393225 ACQ393225:ACW393225 AMM393225:AMS393225 AWI393225:AWO393225 BGE393225:BGK393225 BQA393225:BQG393225 BZW393225:CAC393225 CJS393225:CJY393225 CTO393225:CTU393225 DDK393225:DDQ393225 DNG393225:DNM393225 DXC393225:DXI393225 EGY393225:EHE393225 EQU393225:ERA393225 FAQ393225:FAW393225 FKM393225:FKS393225 FUI393225:FUO393225 GEE393225:GEK393225 GOA393225:GOG393225 GXW393225:GYC393225 HHS393225:HHY393225 HRO393225:HRU393225 IBK393225:IBQ393225 ILG393225:ILM393225 IVC393225:IVI393225 JEY393225:JFE393225 JOU393225:JPA393225 JYQ393225:JYW393225 KIM393225:KIS393225 KSI393225:KSO393225 LCE393225:LCK393225 LMA393225:LMG393225 LVW393225:LWC393225 MFS393225:MFY393225 MPO393225:MPU393225 MZK393225:MZQ393225 NJG393225:NJM393225 NTC393225:NTI393225 OCY393225:ODE393225 OMU393225:ONA393225 OWQ393225:OWW393225 PGM393225:PGS393225 PQI393225:PQO393225 QAE393225:QAK393225 QKA393225:QKG393225 QTW393225:QUC393225 RDS393225:RDY393225 RNO393225:RNU393225 RXK393225:RXQ393225 SHG393225:SHM393225 SRC393225:SRI393225 TAY393225:TBE393225 TKU393225:TLA393225 TUQ393225:TUW393225 UEM393225:UES393225 UOI393225:UOO393225 UYE393225:UYK393225 VIA393225:VIG393225 VRW393225:VSC393225 WBS393225:WBY393225 WLO393225:WLU393225 WVK393225:WVQ393225 IY458761:JE458761 SU458761:TA458761 ACQ458761:ACW458761 AMM458761:AMS458761 AWI458761:AWO458761 BGE458761:BGK458761 BQA458761:BQG458761 BZW458761:CAC458761 CJS458761:CJY458761 CTO458761:CTU458761 DDK458761:DDQ458761 DNG458761:DNM458761 DXC458761:DXI458761 EGY458761:EHE458761 EQU458761:ERA458761 FAQ458761:FAW458761 FKM458761:FKS458761 FUI458761:FUO458761 GEE458761:GEK458761 GOA458761:GOG458761 GXW458761:GYC458761 HHS458761:HHY458761 HRO458761:HRU458761 IBK458761:IBQ458761 ILG458761:ILM458761 IVC458761:IVI458761 JEY458761:JFE458761 JOU458761:JPA458761 JYQ458761:JYW458761 KIM458761:KIS458761 KSI458761:KSO458761 LCE458761:LCK458761 LMA458761:LMG458761 LVW458761:LWC458761 MFS458761:MFY458761 MPO458761:MPU458761 MZK458761:MZQ458761 NJG458761:NJM458761 NTC458761:NTI458761 OCY458761:ODE458761 OMU458761:ONA458761 OWQ458761:OWW458761 PGM458761:PGS458761 PQI458761:PQO458761 QAE458761:QAK458761 QKA458761:QKG458761 QTW458761:QUC458761 RDS458761:RDY458761 RNO458761:RNU458761 RXK458761:RXQ458761 SHG458761:SHM458761 SRC458761:SRI458761 TAY458761:TBE458761 TKU458761:TLA458761 TUQ458761:TUW458761 UEM458761:UES458761 UOI458761:UOO458761 UYE458761:UYK458761 VIA458761:VIG458761 VRW458761:VSC458761 WBS458761:WBY458761 WLO458761:WLU458761 WVK458761:WVQ458761 IY524297:JE524297 SU524297:TA524297 ACQ524297:ACW524297 AMM524297:AMS524297 AWI524297:AWO524297 BGE524297:BGK524297 BQA524297:BQG524297 BZW524297:CAC524297 CJS524297:CJY524297 CTO524297:CTU524297 DDK524297:DDQ524297 DNG524297:DNM524297 DXC524297:DXI524297 EGY524297:EHE524297 EQU524297:ERA524297 FAQ524297:FAW524297 FKM524297:FKS524297 FUI524297:FUO524297 GEE524297:GEK524297 GOA524297:GOG524297 GXW524297:GYC524297 HHS524297:HHY524297 HRO524297:HRU524297 IBK524297:IBQ524297 ILG524297:ILM524297 IVC524297:IVI524297 JEY524297:JFE524297 JOU524297:JPA524297 JYQ524297:JYW524297 KIM524297:KIS524297 KSI524297:KSO524297 LCE524297:LCK524297 LMA524297:LMG524297 LVW524297:LWC524297 MFS524297:MFY524297 MPO524297:MPU524297 MZK524297:MZQ524297 NJG524297:NJM524297 NTC524297:NTI524297 OCY524297:ODE524297 OMU524297:ONA524297 OWQ524297:OWW524297 PGM524297:PGS524297 PQI524297:PQO524297 QAE524297:QAK524297 QKA524297:QKG524297 QTW524297:QUC524297 RDS524297:RDY524297 RNO524297:RNU524297 RXK524297:RXQ524297 SHG524297:SHM524297 SRC524297:SRI524297 TAY524297:TBE524297 TKU524297:TLA524297 TUQ524297:TUW524297 UEM524297:UES524297 UOI524297:UOO524297 UYE524297:UYK524297 VIA524297:VIG524297 VRW524297:VSC524297 WBS524297:WBY524297 WLO524297:WLU524297 WVK524297:WVQ524297 IY589833:JE589833 SU589833:TA589833 ACQ589833:ACW589833 AMM589833:AMS589833 AWI589833:AWO589833 BGE589833:BGK589833 BQA589833:BQG589833 BZW589833:CAC589833 CJS589833:CJY589833 CTO589833:CTU589833 DDK589833:DDQ589833 DNG589833:DNM589833 DXC589833:DXI589833 EGY589833:EHE589833 EQU589833:ERA589833 FAQ589833:FAW589833 FKM589833:FKS589833 FUI589833:FUO589833 GEE589833:GEK589833 GOA589833:GOG589833 GXW589833:GYC589833 HHS589833:HHY589833 HRO589833:HRU589833 IBK589833:IBQ589833 ILG589833:ILM589833 IVC589833:IVI589833 JEY589833:JFE589833 JOU589833:JPA589833 JYQ589833:JYW589833 KIM589833:KIS589833 KSI589833:KSO589833 LCE589833:LCK589833 LMA589833:LMG589833 LVW589833:LWC589833 MFS589833:MFY589833 MPO589833:MPU589833 MZK589833:MZQ589833 NJG589833:NJM589833 NTC589833:NTI589833 OCY589833:ODE589833 OMU589833:ONA589833 OWQ589833:OWW589833 PGM589833:PGS589833 PQI589833:PQO589833 QAE589833:QAK589833 QKA589833:QKG589833 QTW589833:QUC589833 RDS589833:RDY589833 RNO589833:RNU589833 RXK589833:RXQ589833 SHG589833:SHM589833 SRC589833:SRI589833 TAY589833:TBE589833 TKU589833:TLA589833 TUQ589833:TUW589833 UEM589833:UES589833 UOI589833:UOO589833 UYE589833:UYK589833 VIA589833:VIG589833 VRW589833:VSC589833 WBS589833:WBY589833 WLO589833:WLU589833 WVK589833:WVQ589833 IY655369:JE655369 SU655369:TA655369 ACQ655369:ACW655369 AMM655369:AMS655369 AWI655369:AWO655369 BGE655369:BGK655369 BQA655369:BQG655369 BZW655369:CAC655369 CJS655369:CJY655369 CTO655369:CTU655369 DDK655369:DDQ655369 DNG655369:DNM655369 DXC655369:DXI655369 EGY655369:EHE655369 EQU655369:ERA655369 FAQ655369:FAW655369 FKM655369:FKS655369 FUI655369:FUO655369 GEE655369:GEK655369 GOA655369:GOG655369 GXW655369:GYC655369 HHS655369:HHY655369 HRO655369:HRU655369 IBK655369:IBQ655369 ILG655369:ILM655369 IVC655369:IVI655369 JEY655369:JFE655369 JOU655369:JPA655369 JYQ655369:JYW655369 KIM655369:KIS655369 KSI655369:KSO655369 LCE655369:LCK655369 LMA655369:LMG655369 LVW655369:LWC655369 MFS655369:MFY655369 MPO655369:MPU655369 MZK655369:MZQ655369 NJG655369:NJM655369 NTC655369:NTI655369 OCY655369:ODE655369 OMU655369:ONA655369 OWQ655369:OWW655369 PGM655369:PGS655369 PQI655369:PQO655369 QAE655369:QAK655369 QKA655369:QKG655369 QTW655369:QUC655369 RDS655369:RDY655369 RNO655369:RNU655369 RXK655369:RXQ655369 SHG655369:SHM655369 SRC655369:SRI655369 TAY655369:TBE655369 TKU655369:TLA655369 TUQ655369:TUW655369 UEM655369:UES655369 UOI655369:UOO655369 UYE655369:UYK655369 VIA655369:VIG655369 VRW655369:VSC655369 WBS655369:WBY655369 WLO655369:WLU655369 WVK655369:WVQ655369 IY720905:JE720905 SU720905:TA720905 ACQ720905:ACW720905 AMM720905:AMS720905 AWI720905:AWO720905 BGE720905:BGK720905 BQA720905:BQG720905 BZW720905:CAC720905 CJS720905:CJY720905 CTO720905:CTU720905 DDK720905:DDQ720905 DNG720905:DNM720905 DXC720905:DXI720905 EGY720905:EHE720905 EQU720905:ERA720905 FAQ720905:FAW720905 FKM720905:FKS720905 FUI720905:FUO720905 GEE720905:GEK720905 GOA720905:GOG720905 GXW720905:GYC720905 HHS720905:HHY720905 HRO720905:HRU720905 IBK720905:IBQ720905 ILG720905:ILM720905 IVC720905:IVI720905 JEY720905:JFE720905 JOU720905:JPA720905 JYQ720905:JYW720905 KIM720905:KIS720905 KSI720905:KSO720905 LCE720905:LCK720905 LMA720905:LMG720905 LVW720905:LWC720905 MFS720905:MFY720905 MPO720905:MPU720905 MZK720905:MZQ720905 NJG720905:NJM720905 NTC720905:NTI720905 OCY720905:ODE720905 OMU720905:ONA720905 OWQ720905:OWW720905 PGM720905:PGS720905 PQI720905:PQO720905 QAE720905:QAK720905 QKA720905:QKG720905 QTW720905:QUC720905 RDS720905:RDY720905 RNO720905:RNU720905 RXK720905:RXQ720905 SHG720905:SHM720905 SRC720905:SRI720905 TAY720905:TBE720905 TKU720905:TLA720905 TUQ720905:TUW720905 UEM720905:UES720905 UOI720905:UOO720905 UYE720905:UYK720905 VIA720905:VIG720905 VRW720905:VSC720905 WBS720905:WBY720905 WLO720905:WLU720905 WVK720905:WVQ720905 IY786441:JE786441 SU786441:TA786441 ACQ786441:ACW786441 AMM786441:AMS786441 AWI786441:AWO786441 BGE786441:BGK786441 BQA786441:BQG786441 BZW786441:CAC786441 CJS786441:CJY786441 CTO786441:CTU786441 DDK786441:DDQ786441 DNG786441:DNM786441 DXC786441:DXI786441 EGY786441:EHE786441 EQU786441:ERA786441 FAQ786441:FAW786441 FKM786441:FKS786441 FUI786441:FUO786441 GEE786441:GEK786441 GOA786441:GOG786441 GXW786441:GYC786441 HHS786441:HHY786441 HRO786441:HRU786441 IBK786441:IBQ786441 ILG786441:ILM786441 IVC786441:IVI786441 JEY786441:JFE786441 JOU786441:JPA786441 JYQ786441:JYW786441 KIM786441:KIS786441 KSI786441:KSO786441 LCE786441:LCK786441 LMA786441:LMG786441 LVW786441:LWC786441 MFS786441:MFY786441 MPO786441:MPU786441 MZK786441:MZQ786441 NJG786441:NJM786441 NTC786441:NTI786441 OCY786441:ODE786441 OMU786441:ONA786441 OWQ786441:OWW786441 PGM786441:PGS786441 PQI786441:PQO786441 QAE786441:QAK786441 QKA786441:QKG786441 QTW786441:QUC786441 RDS786441:RDY786441 RNO786441:RNU786441 RXK786441:RXQ786441 SHG786441:SHM786441 SRC786441:SRI786441 TAY786441:TBE786441 TKU786441:TLA786441 TUQ786441:TUW786441 UEM786441:UES786441 UOI786441:UOO786441 UYE786441:UYK786441 VIA786441:VIG786441 VRW786441:VSC786441 WBS786441:WBY786441 WLO786441:WLU786441 WVK786441:WVQ786441 IY851977:JE851977 SU851977:TA851977 ACQ851977:ACW851977 AMM851977:AMS851977 AWI851977:AWO851977 BGE851977:BGK851977 BQA851977:BQG851977 BZW851977:CAC851977 CJS851977:CJY851977 CTO851977:CTU851977 DDK851977:DDQ851977 DNG851977:DNM851977 DXC851977:DXI851977 EGY851977:EHE851977 EQU851977:ERA851977 FAQ851977:FAW851977 FKM851977:FKS851977 FUI851977:FUO851977 GEE851977:GEK851977 GOA851977:GOG851977 GXW851977:GYC851977 HHS851977:HHY851977 HRO851977:HRU851977 IBK851977:IBQ851977 ILG851977:ILM851977 IVC851977:IVI851977 JEY851977:JFE851977 JOU851977:JPA851977 JYQ851977:JYW851977 KIM851977:KIS851977 KSI851977:KSO851977 LCE851977:LCK851977 LMA851977:LMG851977 LVW851977:LWC851977 MFS851977:MFY851977 MPO851977:MPU851977 MZK851977:MZQ851977 NJG851977:NJM851977 NTC851977:NTI851977 OCY851977:ODE851977 OMU851977:ONA851977 OWQ851977:OWW851977 PGM851977:PGS851977 PQI851977:PQO851977 QAE851977:QAK851977 QKA851977:QKG851977 QTW851977:QUC851977 RDS851977:RDY851977 RNO851977:RNU851977 RXK851977:RXQ851977 SHG851977:SHM851977 SRC851977:SRI851977 TAY851977:TBE851977 TKU851977:TLA851977 TUQ851977:TUW851977 UEM851977:UES851977 UOI851977:UOO851977 UYE851977:UYK851977 VIA851977:VIG851977 VRW851977:VSC851977 WBS851977:WBY851977 WLO851977:WLU851977 WVK851977:WVQ851977 IY917513:JE917513 SU917513:TA917513 ACQ917513:ACW917513 AMM917513:AMS917513 AWI917513:AWO917513 BGE917513:BGK917513 BQA917513:BQG917513 BZW917513:CAC917513 CJS917513:CJY917513 CTO917513:CTU917513 DDK917513:DDQ917513 DNG917513:DNM917513 DXC917513:DXI917513 EGY917513:EHE917513 EQU917513:ERA917513 FAQ917513:FAW917513 FKM917513:FKS917513 FUI917513:FUO917513 GEE917513:GEK917513 GOA917513:GOG917513 GXW917513:GYC917513 HHS917513:HHY917513 HRO917513:HRU917513 IBK917513:IBQ917513 ILG917513:ILM917513 IVC917513:IVI917513 JEY917513:JFE917513 JOU917513:JPA917513 JYQ917513:JYW917513 KIM917513:KIS917513 KSI917513:KSO917513 LCE917513:LCK917513 LMA917513:LMG917513 LVW917513:LWC917513 MFS917513:MFY917513 MPO917513:MPU917513 MZK917513:MZQ917513 NJG917513:NJM917513 NTC917513:NTI917513 OCY917513:ODE917513 OMU917513:ONA917513 OWQ917513:OWW917513 PGM917513:PGS917513 PQI917513:PQO917513 QAE917513:QAK917513 QKA917513:QKG917513 QTW917513:QUC917513 RDS917513:RDY917513 RNO917513:RNU917513 RXK917513:RXQ917513 SHG917513:SHM917513 SRC917513:SRI917513 TAY917513:TBE917513 TKU917513:TLA917513 TUQ917513:TUW917513 UEM917513:UES917513 UOI917513:UOO917513 UYE917513:UYK917513 VIA917513:VIG917513 VRW917513:VSC917513 WBS917513:WBY917513 WLO917513:WLU917513 WVK917513:WVQ917513 IY983049:JE983049 SU983049:TA983049 ACQ983049:ACW983049 AMM983049:AMS983049 AWI983049:AWO983049 BGE983049:BGK983049 BQA983049:BQG983049 BZW983049:CAC983049 CJS983049:CJY983049 CTO983049:CTU983049 DDK983049:DDQ983049 DNG983049:DNM983049 DXC983049:DXI983049 EGY983049:EHE983049 EQU983049:ERA983049 FAQ983049:FAW983049 FKM983049:FKS983049 FUI983049:FUO983049 GEE983049:GEK983049 GOA983049:GOG983049 GXW983049:GYC983049 HHS983049:HHY983049 HRO983049:HRU983049 IBK983049:IBQ983049 ILG983049:ILM983049 IVC983049:IVI983049 JEY983049:JFE983049 JOU983049:JPA983049 JYQ983049:JYW983049 KIM983049:KIS983049 KSI983049:KSO983049 LCE983049:LCK983049 LMA983049:LMG983049 LVW983049:LWC983049 MFS983049:MFY983049 MPO983049:MPU983049 MZK983049:MZQ983049 NJG983049:NJM983049 NTC983049:NTI983049 OCY983049:ODE983049 OMU983049:ONA983049 OWQ983049:OWW983049 PGM983049:PGS983049 PQI983049:PQO983049 QAE983049:QAK983049 QKA983049:QKG983049 QTW983049:QUC983049 RDS983049:RDY983049 RNO983049:RNU983049 RXK983049:RXQ983049 SHG983049:SHM983049 SRC983049:SRI983049 TAY983049:TBE983049 TKU983049:TLA983049 TUQ983049:TUW983049 UEM983049:UES983049 UOI983049:UOO983049 UYE983049:UYK983049 VIA983049:VIG983049 VRW983049:VSC983049 WBS983049:WBY983049 WLO983049:WLU983049 WVK983049:WVQ983049 D983049:J983049 D917513:J917513 D851977:J851977 D786441:J786441 D720905:J720905 D655369:J655369 D589833:J589833 D524297:J524297 D458761:J458761 D393225:J393225 D327689:J327689 D262153:J262153 D196617:J196617 D131081:J131081 D65545:J65545 D41"/>
    <dataValidation allowBlank="1" showInputMessage="1" showErrorMessage="1" promptTitle="Ibu Kandung" prompt="Diisi nama lengkap ibu kandung Pemohon. Penulisan dilakukan tanpa gelar dan apabila ybs telah meninggal dunia diberikan keterangan 'Alm'_x000a_Contoh : Siti Muriawati (Alm)" sqref="IY36:JE40 SU36:TA40 ACQ36:ACW40 AMM36:AMS40 AWI36:AWO40 BGE36:BGK40 BQA36:BQG40 BZW36:CAC40 CJS36:CJY40 CTO36:CTU40 DDK36:DDQ40 DNG36:DNM40 DXC36:DXI40 EGY36:EHE40 EQU36:ERA40 FAQ36:FAW40 FKM36:FKS40 FUI36:FUO40 GEE36:GEK40 GOA36:GOG40 GXW36:GYC40 HHS36:HHY40 HRO36:HRU40 IBK36:IBQ40 ILG36:ILM40 IVC36:IVI40 JEY36:JFE40 JOU36:JPA40 JYQ36:JYW40 KIM36:KIS40 KSI36:KSO40 LCE36:LCK40 LMA36:LMG40 LVW36:LWC40 MFS36:MFY40 MPO36:MPU40 MZK36:MZQ40 NJG36:NJM40 NTC36:NTI40 OCY36:ODE40 OMU36:ONA40 OWQ36:OWW40 PGM36:PGS40 PQI36:PQO40 QAE36:QAK40 QKA36:QKG40 QTW36:QUC40 RDS36:RDY40 RNO36:RNU40 RXK36:RXQ40 SHG36:SHM40 SRC36:SRI40 TAY36:TBE40 TKU36:TLA40 TUQ36:TUW40 UEM36:UES40 UOI36:UOO40 UYE36:UYK40 VIA36:VIG40 VRW36:VSC40 WBS36:WBY40 WLO36:WLU40 WVK36:WVQ40 IY65540:JE65544 SU65540:TA65544 ACQ65540:ACW65544 AMM65540:AMS65544 AWI65540:AWO65544 BGE65540:BGK65544 BQA65540:BQG65544 BZW65540:CAC65544 CJS65540:CJY65544 CTO65540:CTU65544 DDK65540:DDQ65544 DNG65540:DNM65544 DXC65540:DXI65544 EGY65540:EHE65544 EQU65540:ERA65544 FAQ65540:FAW65544 FKM65540:FKS65544 FUI65540:FUO65544 GEE65540:GEK65544 GOA65540:GOG65544 GXW65540:GYC65544 HHS65540:HHY65544 HRO65540:HRU65544 IBK65540:IBQ65544 ILG65540:ILM65544 IVC65540:IVI65544 JEY65540:JFE65544 JOU65540:JPA65544 JYQ65540:JYW65544 KIM65540:KIS65544 KSI65540:KSO65544 LCE65540:LCK65544 LMA65540:LMG65544 LVW65540:LWC65544 MFS65540:MFY65544 MPO65540:MPU65544 MZK65540:MZQ65544 NJG65540:NJM65544 NTC65540:NTI65544 OCY65540:ODE65544 OMU65540:ONA65544 OWQ65540:OWW65544 PGM65540:PGS65544 PQI65540:PQO65544 QAE65540:QAK65544 QKA65540:QKG65544 QTW65540:QUC65544 RDS65540:RDY65544 RNO65540:RNU65544 RXK65540:RXQ65544 SHG65540:SHM65544 SRC65540:SRI65544 TAY65540:TBE65544 TKU65540:TLA65544 TUQ65540:TUW65544 UEM65540:UES65544 UOI65540:UOO65544 UYE65540:UYK65544 VIA65540:VIG65544 VRW65540:VSC65544 WBS65540:WBY65544 WLO65540:WLU65544 WVK65540:WVQ65544 IY131076:JE131080 SU131076:TA131080 ACQ131076:ACW131080 AMM131076:AMS131080 AWI131076:AWO131080 BGE131076:BGK131080 BQA131076:BQG131080 BZW131076:CAC131080 CJS131076:CJY131080 CTO131076:CTU131080 DDK131076:DDQ131080 DNG131076:DNM131080 DXC131076:DXI131080 EGY131076:EHE131080 EQU131076:ERA131080 FAQ131076:FAW131080 FKM131076:FKS131080 FUI131076:FUO131080 GEE131076:GEK131080 GOA131076:GOG131080 GXW131076:GYC131080 HHS131076:HHY131080 HRO131076:HRU131080 IBK131076:IBQ131080 ILG131076:ILM131080 IVC131076:IVI131080 JEY131076:JFE131080 JOU131076:JPA131080 JYQ131076:JYW131080 KIM131076:KIS131080 KSI131076:KSO131080 LCE131076:LCK131080 LMA131076:LMG131080 LVW131076:LWC131080 MFS131076:MFY131080 MPO131076:MPU131080 MZK131076:MZQ131080 NJG131076:NJM131080 NTC131076:NTI131080 OCY131076:ODE131080 OMU131076:ONA131080 OWQ131076:OWW131080 PGM131076:PGS131080 PQI131076:PQO131080 QAE131076:QAK131080 QKA131076:QKG131080 QTW131076:QUC131080 RDS131076:RDY131080 RNO131076:RNU131080 RXK131076:RXQ131080 SHG131076:SHM131080 SRC131076:SRI131080 TAY131076:TBE131080 TKU131076:TLA131080 TUQ131076:TUW131080 UEM131076:UES131080 UOI131076:UOO131080 UYE131076:UYK131080 VIA131076:VIG131080 VRW131076:VSC131080 WBS131076:WBY131080 WLO131076:WLU131080 WVK131076:WVQ131080 IY196612:JE196616 SU196612:TA196616 ACQ196612:ACW196616 AMM196612:AMS196616 AWI196612:AWO196616 BGE196612:BGK196616 BQA196612:BQG196616 BZW196612:CAC196616 CJS196612:CJY196616 CTO196612:CTU196616 DDK196612:DDQ196616 DNG196612:DNM196616 DXC196612:DXI196616 EGY196612:EHE196616 EQU196612:ERA196616 FAQ196612:FAW196616 FKM196612:FKS196616 FUI196612:FUO196616 GEE196612:GEK196616 GOA196612:GOG196616 GXW196612:GYC196616 HHS196612:HHY196616 HRO196612:HRU196616 IBK196612:IBQ196616 ILG196612:ILM196616 IVC196612:IVI196616 JEY196612:JFE196616 JOU196612:JPA196616 JYQ196612:JYW196616 KIM196612:KIS196616 KSI196612:KSO196616 LCE196612:LCK196616 LMA196612:LMG196616 LVW196612:LWC196616 MFS196612:MFY196616 MPO196612:MPU196616 MZK196612:MZQ196616 NJG196612:NJM196616 NTC196612:NTI196616 OCY196612:ODE196616 OMU196612:ONA196616 OWQ196612:OWW196616 PGM196612:PGS196616 PQI196612:PQO196616 QAE196612:QAK196616 QKA196612:QKG196616 QTW196612:QUC196616 RDS196612:RDY196616 RNO196612:RNU196616 RXK196612:RXQ196616 SHG196612:SHM196616 SRC196612:SRI196616 TAY196612:TBE196616 TKU196612:TLA196616 TUQ196612:TUW196616 UEM196612:UES196616 UOI196612:UOO196616 UYE196612:UYK196616 VIA196612:VIG196616 VRW196612:VSC196616 WBS196612:WBY196616 WLO196612:WLU196616 WVK196612:WVQ196616 IY262148:JE262152 SU262148:TA262152 ACQ262148:ACW262152 AMM262148:AMS262152 AWI262148:AWO262152 BGE262148:BGK262152 BQA262148:BQG262152 BZW262148:CAC262152 CJS262148:CJY262152 CTO262148:CTU262152 DDK262148:DDQ262152 DNG262148:DNM262152 DXC262148:DXI262152 EGY262148:EHE262152 EQU262148:ERA262152 FAQ262148:FAW262152 FKM262148:FKS262152 FUI262148:FUO262152 GEE262148:GEK262152 GOA262148:GOG262152 GXW262148:GYC262152 HHS262148:HHY262152 HRO262148:HRU262152 IBK262148:IBQ262152 ILG262148:ILM262152 IVC262148:IVI262152 JEY262148:JFE262152 JOU262148:JPA262152 JYQ262148:JYW262152 KIM262148:KIS262152 KSI262148:KSO262152 LCE262148:LCK262152 LMA262148:LMG262152 LVW262148:LWC262152 MFS262148:MFY262152 MPO262148:MPU262152 MZK262148:MZQ262152 NJG262148:NJM262152 NTC262148:NTI262152 OCY262148:ODE262152 OMU262148:ONA262152 OWQ262148:OWW262152 PGM262148:PGS262152 PQI262148:PQO262152 QAE262148:QAK262152 QKA262148:QKG262152 QTW262148:QUC262152 RDS262148:RDY262152 RNO262148:RNU262152 RXK262148:RXQ262152 SHG262148:SHM262152 SRC262148:SRI262152 TAY262148:TBE262152 TKU262148:TLA262152 TUQ262148:TUW262152 UEM262148:UES262152 UOI262148:UOO262152 UYE262148:UYK262152 VIA262148:VIG262152 VRW262148:VSC262152 WBS262148:WBY262152 WLO262148:WLU262152 WVK262148:WVQ262152 IY327684:JE327688 SU327684:TA327688 ACQ327684:ACW327688 AMM327684:AMS327688 AWI327684:AWO327688 BGE327684:BGK327688 BQA327684:BQG327688 BZW327684:CAC327688 CJS327684:CJY327688 CTO327684:CTU327688 DDK327684:DDQ327688 DNG327684:DNM327688 DXC327684:DXI327688 EGY327684:EHE327688 EQU327684:ERA327688 FAQ327684:FAW327688 FKM327684:FKS327688 FUI327684:FUO327688 GEE327684:GEK327688 GOA327684:GOG327688 GXW327684:GYC327688 HHS327684:HHY327688 HRO327684:HRU327688 IBK327684:IBQ327688 ILG327684:ILM327688 IVC327684:IVI327688 JEY327684:JFE327688 JOU327684:JPA327688 JYQ327684:JYW327688 KIM327684:KIS327688 KSI327684:KSO327688 LCE327684:LCK327688 LMA327684:LMG327688 LVW327684:LWC327688 MFS327684:MFY327688 MPO327684:MPU327688 MZK327684:MZQ327688 NJG327684:NJM327688 NTC327684:NTI327688 OCY327684:ODE327688 OMU327684:ONA327688 OWQ327684:OWW327688 PGM327684:PGS327688 PQI327684:PQO327688 QAE327684:QAK327688 QKA327684:QKG327688 QTW327684:QUC327688 RDS327684:RDY327688 RNO327684:RNU327688 RXK327684:RXQ327688 SHG327684:SHM327688 SRC327684:SRI327688 TAY327684:TBE327688 TKU327684:TLA327688 TUQ327684:TUW327688 UEM327684:UES327688 UOI327684:UOO327688 UYE327684:UYK327688 VIA327684:VIG327688 VRW327684:VSC327688 WBS327684:WBY327688 WLO327684:WLU327688 WVK327684:WVQ327688 IY393220:JE393224 SU393220:TA393224 ACQ393220:ACW393224 AMM393220:AMS393224 AWI393220:AWO393224 BGE393220:BGK393224 BQA393220:BQG393224 BZW393220:CAC393224 CJS393220:CJY393224 CTO393220:CTU393224 DDK393220:DDQ393224 DNG393220:DNM393224 DXC393220:DXI393224 EGY393220:EHE393224 EQU393220:ERA393224 FAQ393220:FAW393224 FKM393220:FKS393224 FUI393220:FUO393224 GEE393220:GEK393224 GOA393220:GOG393224 GXW393220:GYC393224 HHS393220:HHY393224 HRO393220:HRU393224 IBK393220:IBQ393224 ILG393220:ILM393224 IVC393220:IVI393224 JEY393220:JFE393224 JOU393220:JPA393224 JYQ393220:JYW393224 KIM393220:KIS393224 KSI393220:KSO393224 LCE393220:LCK393224 LMA393220:LMG393224 LVW393220:LWC393224 MFS393220:MFY393224 MPO393220:MPU393224 MZK393220:MZQ393224 NJG393220:NJM393224 NTC393220:NTI393224 OCY393220:ODE393224 OMU393220:ONA393224 OWQ393220:OWW393224 PGM393220:PGS393224 PQI393220:PQO393224 QAE393220:QAK393224 QKA393220:QKG393224 QTW393220:QUC393224 RDS393220:RDY393224 RNO393220:RNU393224 RXK393220:RXQ393224 SHG393220:SHM393224 SRC393220:SRI393224 TAY393220:TBE393224 TKU393220:TLA393224 TUQ393220:TUW393224 UEM393220:UES393224 UOI393220:UOO393224 UYE393220:UYK393224 VIA393220:VIG393224 VRW393220:VSC393224 WBS393220:WBY393224 WLO393220:WLU393224 WVK393220:WVQ393224 IY458756:JE458760 SU458756:TA458760 ACQ458756:ACW458760 AMM458756:AMS458760 AWI458756:AWO458760 BGE458756:BGK458760 BQA458756:BQG458760 BZW458756:CAC458760 CJS458756:CJY458760 CTO458756:CTU458760 DDK458756:DDQ458760 DNG458756:DNM458760 DXC458756:DXI458760 EGY458756:EHE458760 EQU458756:ERA458760 FAQ458756:FAW458760 FKM458756:FKS458760 FUI458756:FUO458760 GEE458756:GEK458760 GOA458756:GOG458760 GXW458756:GYC458760 HHS458756:HHY458760 HRO458756:HRU458760 IBK458756:IBQ458760 ILG458756:ILM458760 IVC458756:IVI458760 JEY458756:JFE458760 JOU458756:JPA458760 JYQ458756:JYW458760 KIM458756:KIS458760 KSI458756:KSO458760 LCE458756:LCK458760 LMA458756:LMG458760 LVW458756:LWC458760 MFS458756:MFY458760 MPO458756:MPU458760 MZK458756:MZQ458760 NJG458756:NJM458760 NTC458756:NTI458760 OCY458756:ODE458760 OMU458756:ONA458760 OWQ458756:OWW458760 PGM458756:PGS458760 PQI458756:PQO458760 QAE458756:QAK458760 QKA458756:QKG458760 QTW458756:QUC458760 RDS458756:RDY458760 RNO458756:RNU458760 RXK458756:RXQ458760 SHG458756:SHM458760 SRC458756:SRI458760 TAY458756:TBE458760 TKU458756:TLA458760 TUQ458756:TUW458760 UEM458756:UES458760 UOI458756:UOO458760 UYE458756:UYK458760 VIA458756:VIG458760 VRW458756:VSC458760 WBS458756:WBY458760 WLO458756:WLU458760 WVK458756:WVQ458760 IY524292:JE524296 SU524292:TA524296 ACQ524292:ACW524296 AMM524292:AMS524296 AWI524292:AWO524296 BGE524292:BGK524296 BQA524292:BQG524296 BZW524292:CAC524296 CJS524292:CJY524296 CTO524292:CTU524296 DDK524292:DDQ524296 DNG524292:DNM524296 DXC524292:DXI524296 EGY524292:EHE524296 EQU524292:ERA524296 FAQ524292:FAW524296 FKM524292:FKS524296 FUI524292:FUO524296 GEE524292:GEK524296 GOA524292:GOG524296 GXW524292:GYC524296 HHS524292:HHY524296 HRO524292:HRU524296 IBK524292:IBQ524296 ILG524292:ILM524296 IVC524292:IVI524296 JEY524292:JFE524296 JOU524292:JPA524296 JYQ524292:JYW524296 KIM524292:KIS524296 KSI524292:KSO524296 LCE524292:LCK524296 LMA524292:LMG524296 LVW524292:LWC524296 MFS524292:MFY524296 MPO524292:MPU524296 MZK524292:MZQ524296 NJG524292:NJM524296 NTC524292:NTI524296 OCY524292:ODE524296 OMU524292:ONA524296 OWQ524292:OWW524296 PGM524292:PGS524296 PQI524292:PQO524296 QAE524292:QAK524296 QKA524292:QKG524296 QTW524292:QUC524296 RDS524292:RDY524296 RNO524292:RNU524296 RXK524292:RXQ524296 SHG524292:SHM524296 SRC524292:SRI524296 TAY524292:TBE524296 TKU524292:TLA524296 TUQ524292:TUW524296 UEM524292:UES524296 UOI524292:UOO524296 UYE524292:UYK524296 VIA524292:VIG524296 VRW524292:VSC524296 WBS524292:WBY524296 WLO524292:WLU524296 WVK524292:WVQ524296 IY589828:JE589832 SU589828:TA589832 ACQ589828:ACW589832 AMM589828:AMS589832 AWI589828:AWO589832 BGE589828:BGK589832 BQA589828:BQG589832 BZW589828:CAC589832 CJS589828:CJY589832 CTO589828:CTU589832 DDK589828:DDQ589832 DNG589828:DNM589832 DXC589828:DXI589832 EGY589828:EHE589832 EQU589828:ERA589832 FAQ589828:FAW589832 FKM589828:FKS589832 FUI589828:FUO589832 GEE589828:GEK589832 GOA589828:GOG589832 GXW589828:GYC589832 HHS589828:HHY589832 HRO589828:HRU589832 IBK589828:IBQ589832 ILG589828:ILM589832 IVC589828:IVI589832 JEY589828:JFE589832 JOU589828:JPA589832 JYQ589828:JYW589832 KIM589828:KIS589832 KSI589828:KSO589832 LCE589828:LCK589832 LMA589828:LMG589832 LVW589828:LWC589832 MFS589828:MFY589832 MPO589828:MPU589832 MZK589828:MZQ589832 NJG589828:NJM589832 NTC589828:NTI589832 OCY589828:ODE589832 OMU589828:ONA589832 OWQ589828:OWW589832 PGM589828:PGS589832 PQI589828:PQO589832 QAE589828:QAK589832 QKA589828:QKG589832 QTW589828:QUC589832 RDS589828:RDY589832 RNO589828:RNU589832 RXK589828:RXQ589832 SHG589828:SHM589832 SRC589828:SRI589832 TAY589828:TBE589832 TKU589828:TLA589832 TUQ589828:TUW589832 UEM589828:UES589832 UOI589828:UOO589832 UYE589828:UYK589832 VIA589828:VIG589832 VRW589828:VSC589832 WBS589828:WBY589832 WLO589828:WLU589832 WVK589828:WVQ589832 IY655364:JE655368 SU655364:TA655368 ACQ655364:ACW655368 AMM655364:AMS655368 AWI655364:AWO655368 BGE655364:BGK655368 BQA655364:BQG655368 BZW655364:CAC655368 CJS655364:CJY655368 CTO655364:CTU655368 DDK655364:DDQ655368 DNG655364:DNM655368 DXC655364:DXI655368 EGY655364:EHE655368 EQU655364:ERA655368 FAQ655364:FAW655368 FKM655364:FKS655368 FUI655364:FUO655368 GEE655364:GEK655368 GOA655364:GOG655368 GXW655364:GYC655368 HHS655364:HHY655368 HRO655364:HRU655368 IBK655364:IBQ655368 ILG655364:ILM655368 IVC655364:IVI655368 JEY655364:JFE655368 JOU655364:JPA655368 JYQ655364:JYW655368 KIM655364:KIS655368 KSI655364:KSO655368 LCE655364:LCK655368 LMA655364:LMG655368 LVW655364:LWC655368 MFS655364:MFY655368 MPO655364:MPU655368 MZK655364:MZQ655368 NJG655364:NJM655368 NTC655364:NTI655368 OCY655364:ODE655368 OMU655364:ONA655368 OWQ655364:OWW655368 PGM655364:PGS655368 PQI655364:PQO655368 QAE655364:QAK655368 QKA655364:QKG655368 QTW655364:QUC655368 RDS655364:RDY655368 RNO655364:RNU655368 RXK655364:RXQ655368 SHG655364:SHM655368 SRC655364:SRI655368 TAY655364:TBE655368 TKU655364:TLA655368 TUQ655364:TUW655368 UEM655364:UES655368 UOI655364:UOO655368 UYE655364:UYK655368 VIA655364:VIG655368 VRW655364:VSC655368 WBS655364:WBY655368 WLO655364:WLU655368 WVK655364:WVQ655368 IY720900:JE720904 SU720900:TA720904 ACQ720900:ACW720904 AMM720900:AMS720904 AWI720900:AWO720904 BGE720900:BGK720904 BQA720900:BQG720904 BZW720900:CAC720904 CJS720900:CJY720904 CTO720900:CTU720904 DDK720900:DDQ720904 DNG720900:DNM720904 DXC720900:DXI720904 EGY720900:EHE720904 EQU720900:ERA720904 FAQ720900:FAW720904 FKM720900:FKS720904 FUI720900:FUO720904 GEE720900:GEK720904 GOA720900:GOG720904 GXW720900:GYC720904 HHS720900:HHY720904 HRO720900:HRU720904 IBK720900:IBQ720904 ILG720900:ILM720904 IVC720900:IVI720904 JEY720900:JFE720904 JOU720900:JPA720904 JYQ720900:JYW720904 KIM720900:KIS720904 KSI720900:KSO720904 LCE720900:LCK720904 LMA720900:LMG720904 LVW720900:LWC720904 MFS720900:MFY720904 MPO720900:MPU720904 MZK720900:MZQ720904 NJG720900:NJM720904 NTC720900:NTI720904 OCY720900:ODE720904 OMU720900:ONA720904 OWQ720900:OWW720904 PGM720900:PGS720904 PQI720900:PQO720904 QAE720900:QAK720904 QKA720900:QKG720904 QTW720900:QUC720904 RDS720900:RDY720904 RNO720900:RNU720904 RXK720900:RXQ720904 SHG720900:SHM720904 SRC720900:SRI720904 TAY720900:TBE720904 TKU720900:TLA720904 TUQ720900:TUW720904 UEM720900:UES720904 UOI720900:UOO720904 UYE720900:UYK720904 VIA720900:VIG720904 VRW720900:VSC720904 WBS720900:WBY720904 WLO720900:WLU720904 WVK720900:WVQ720904 IY786436:JE786440 SU786436:TA786440 ACQ786436:ACW786440 AMM786436:AMS786440 AWI786436:AWO786440 BGE786436:BGK786440 BQA786436:BQG786440 BZW786436:CAC786440 CJS786436:CJY786440 CTO786436:CTU786440 DDK786436:DDQ786440 DNG786436:DNM786440 DXC786436:DXI786440 EGY786436:EHE786440 EQU786436:ERA786440 FAQ786436:FAW786440 FKM786436:FKS786440 FUI786436:FUO786440 GEE786436:GEK786440 GOA786436:GOG786440 GXW786436:GYC786440 HHS786436:HHY786440 HRO786436:HRU786440 IBK786436:IBQ786440 ILG786436:ILM786440 IVC786436:IVI786440 JEY786436:JFE786440 JOU786436:JPA786440 JYQ786436:JYW786440 KIM786436:KIS786440 KSI786436:KSO786440 LCE786436:LCK786440 LMA786436:LMG786440 LVW786436:LWC786440 MFS786436:MFY786440 MPO786436:MPU786440 MZK786436:MZQ786440 NJG786436:NJM786440 NTC786436:NTI786440 OCY786436:ODE786440 OMU786436:ONA786440 OWQ786436:OWW786440 PGM786436:PGS786440 PQI786436:PQO786440 QAE786436:QAK786440 QKA786436:QKG786440 QTW786436:QUC786440 RDS786436:RDY786440 RNO786436:RNU786440 RXK786436:RXQ786440 SHG786436:SHM786440 SRC786436:SRI786440 TAY786436:TBE786440 TKU786436:TLA786440 TUQ786436:TUW786440 UEM786436:UES786440 UOI786436:UOO786440 UYE786436:UYK786440 VIA786436:VIG786440 VRW786436:VSC786440 WBS786436:WBY786440 WLO786436:WLU786440 WVK786436:WVQ786440 IY851972:JE851976 SU851972:TA851976 ACQ851972:ACW851976 AMM851972:AMS851976 AWI851972:AWO851976 BGE851972:BGK851976 BQA851972:BQG851976 BZW851972:CAC851976 CJS851972:CJY851976 CTO851972:CTU851976 DDK851972:DDQ851976 DNG851972:DNM851976 DXC851972:DXI851976 EGY851972:EHE851976 EQU851972:ERA851976 FAQ851972:FAW851976 FKM851972:FKS851976 FUI851972:FUO851976 GEE851972:GEK851976 GOA851972:GOG851976 GXW851972:GYC851976 HHS851972:HHY851976 HRO851972:HRU851976 IBK851972:IBQ851976 ILG851972:ILM851976 IVC851972:IVI851976 JEY851972:JFE851976 JOU851972:JPA851976 JYQ851972:JYW851976 KIM851972:KIS851976 KSI851972:KSO851976 LCE851972:LCK851976 LMA851972:LMG851976 LVW851972:LWC851976 MFS851972:MFY851976 MPO851972:MPU851976 MZK851972:MZQ851976 NJG851972:NJM851976 NTC851972:NTI851976 OCY851972:ODE851976 OMU851972:ONA851976 OWQ851972:OWW851976 PGM851972:PGS851976 PQI851972:PQO851976 QAE851972:QAK851976 QKA851972:QKG851976 QTW851972:QUC851976 RDS851972:RDY851976 RNO851972:RNU851976 RXK851972:RXQ851976 SHG851972:SHM851976 SRC851972:SRI851976 TAY851972:TBE851976 TKU851972:TLA851976 TUQ851972:TUW851976 UEM851972:UES851976 UOI851972:UOO851976 UYE851972:UYK851976 VIA851972:VIG851976 VRW851972:VSC851976 WBS851972:WBY851976 WLO851972:WLU851976 WVK851972:WVQ851976 IY917508:JE917512 SU917508:TA917512 ACQ917508:ACW917512 AMM917508:AMS917512 AWI917508:AWO917512 BGE917508:BGK917512 BQA917508:BQG917512 BZW917508:CAC917512 CJS917508:CJY917512 CTO917508:CTU917512 DDK917508:DDQ917512 DNG917508:DNM917512 DXC917508:DXI917512 EGY917508:EHE917512 EQU917508:ERA917512 FAQ917508:FAW917512 FKM917508:FKS917512 FUI917508:FUO917512 GEE917508:GEK917512 GOA917508:GOG917512 GXW917508:GYC917512 HHS917508:HHY917512 HRO917508:HRU917512 IBK917508:IBQ917512 ILG917508:ILM917512 IVC917508:IVI917512 JEY917508:JFE917512 JOU917508:JPA917512 JYQ917508:JYW917512 KIM917508:KIS917512 KSI917508:KSO917512 LCE917508:LCK917512 LMA917508:LMG917512 LVW917508:LWC917512 MFS917508:MFY917512 MPO917508:MPU917512 MZK917508:MZQ917512 NJG917508:NJM917512 NTC917508:NTI917512 OCY917508:ODE917512 OMU917508:ONA917512 OWQ917508:OWW917512 PGM917508:PGS917512 PQI917508:PQO917512 QAE917508:QAK917512 QKA917508:QKG917512 QTW917508:QUC917512 RDS917508:RDY917512 RNO917508:RNU917512 RXK917508:RXQ917512 SHG917508:SHM917512 SRC917508:SRI917512 TAY917508:TBE917512 TKU917508:TLA917512 TUQ917508:TUW917512 UEM917508:UES917512 UOI917508:UOO917512 UYE917508:UYK917512 VIA917508:VIG917512 VRW917508:VSC917512 WBS917508:WBY917512 WLO917508:WLU917512 WVK917508:WVQ917512 IY983044:JE983048 SU983044:TA983048 ACQ983044:ACW983048 AMM983044:AMS983048 AWI983044:AWO983048 BGE983044:BGK983048 BQA983044:BQG983048 BZW983044:CAC983048 CJS983044:CJY983048 CTO983044:CTU983048 DDK983044:DDQ983048 DNG983044:DNM983048 DXC983044:DXI983048 EGY983044:EHE983048 EQU983044:ERA983048 FAQ983044:FAW983048 FKM983044:FKS983048 FUI983044:FUO983048 GEE983044:GEK983048 GOA983044:GOG983048 GXW983044:GYC983048 HHS983044:HHY983048 HRO983044:HRU983048 IBK983044:IBQ983048 ILG983044:ILM983048 IVC983044:IVI983048 JEY983044:JFE983048 JOU983044:JPA983048 JYQ983044:JYW983048 KIM983044:KIS983048 KSI983044:KSO983048 LCE983044:LCK983048 LMA983044:LMG983048 LVW983044:LWC983048 MFS983044:MFY983048 MPO983044:MPU983048 MZK983044:MZQ983048 NJG983044:NJM983048 NTC983044:NTI983048 OCY983044:ODE983048 OMU983044:ONA983048 OWQ983044:OWW983048 PGM983044:PGS983048 PQI983044:PQO983048 QAE983044:QAK983048 QKA983044:QKG983048 QTW983044:QUC983048 RDS983044:RDY983048 RNO983044:RNU983048 RXK983044:RXQ983048 SHG983044:SHM983048 SRC983044:SRI983048 TAY983044:TBE983048 TKU983044:TLA983048 TUQ983044:TUW983048 UEM983044:UES983048 UOI983044:UOO983048 UYE983044:UYK983048 VIA983044:VIG983048 VRW983044:VSC983048 WBS983044:WBY983048 WLO983044:WLU983048 WVK983044:WVQ983048 D983044:J983048 D917508:J917512 D851972:J851976 D786436:J786440 D720900:J720904 D655364:J655368 D589828:J589832 D524292:J524296 D458756:J458760 D393220:J393224 D327684:J327688 D262148:J262152 D196612:J196616 D131076:J131080 D65540:J65544 D36:D40"/>
    <dataValidation allowBlank="1" showInputMessage="1" showErrorMessage="1" promptTitle="Jumlah Tanggungan" prompt="Diisi dengan angka, jumlah orang yang menjadi tanggungan Pemohon (isteri/anak/orangtua/saudara) yang untuk keperluan sehari-harinya bergantung kepada Pemohon" sqref="WVK983042 IY22 SU22 ACQ22 AMM22 AWI22 BGE22 BQA22 BZW22 CJS22 CTO22 DDK22 DNG22 DXC22 EGY22 EQU22 FAQ22 FKM22 FUI22 GEE22 GOA22 GXW22 HHS22 HRO22 IBK22 ILG22 IVC22 JEY22 JOU22 JYQ22 KIM22 KSI22 LCE22 LMA22 LVW22 MFS22 MPO22 MZK22 NJG22 NTC22 OCY22 OMU22 OWQ22 PGM22 PQI22 QAE22 QKA22 QTW22 RDS22 RNO22 RXK22 SHG22 SRC22 TAY22 TKU22 TUQ22 UEM22 UOI22 UYE22 VIA22 VRW22 WBS22 WLO22 WVK22 D65538 IY65538 SU65538 ACQ65538 AMM65538 AWI65538 BGE65538 BQA65538 BZW65538 CJS65538 CTO65538 DDK65538 DNG65538 DXC65538 EGY65538 EQU65538 FAQ65538 FKM65538 FUI65538 GEE65538 GOA65538 GXW65538 HHS65538 HRO65538 IBK65538 ILG65538 IVC65538 JEY65538 JOU65538 JYQ65538 KIM65538 KSI65538 LCE65538 LMA65538 LVW65538 MFS65538 MPO65538 MZK65538 NJG65538 NTC65538 OCY65538 OMU65538 OWQ65538 PGM65538 PQI65538 QAE65538 QKA65538 QTW65538 RDS65538 RNO65538 RXK65538 SHG65538 SRC65538 TAY65538 TKU65538 TUQ65538 UEM65538 UOI65538 UYE65538 VIA65538 VRW65538 WBS65538 WLO65538 WVK65538 D131074 IY131074 SU131074 ACQ131074 AMM131074 AWI131074 BGE131074 BQA131074 BZW131074 CJS131074 CTO131074 DDK131074 DNG131074 DXC131074 EGY131074 EQU131074 FAQ131074 FKM131074 FUI131074 GEE131074 GOA131074 GXW131074 HHS131074 HRO131074 IBK131074 ILG131074 IVC131074 JEY131074 JOU131074 JYQ131074 KIM131074 KSI131074 LCE131074 LMA131074 LVW131074 MFS131074 MPO131074 MZK131074 NJG131074 NTC131074 OCY131074 OMU131074 OWQ131074 PGM131074 PQI131074 QAE131074 QKA131074 QTW131074 RDS131074 RNO131074 RXK131074 SHG131074 SRC131074 TAY131074 TKU131074 TUQ131074 UEM131074 UOI131074 UYE131074 VIA131074 VRW131074 WBS131074 WLO131074 WVK131074 D196610 IY196610 SU196610 ACQ196610 AMM196610 AWI196610 BGE196610 BQA196610 BZW196610 CJS196610 CTO196610 DDK196610 DNG196610 DXC196610 EGY196610 EQU196610 FAQ196610 FKM196610 FUI196610 GEE196610 GOA196610 GXW196610 HHS196610 HRO196610 IBK196610 ILG196610 IVC196610 JEY196610 JOU196610 JYQ196610 KIM196610 KSI196610 LCE196610 LMA196610 LVW196610 MFS196610 MPO196610 MZK196610 NJG196610 NTC196610 OCY196610 OMU196610 OWQ196610 PGM196610 PQI196610 QAE196610 QKA196610 QTW196610 RDS196610 RNO196610 RXK196610 SHG196610 SRC196610 TAY196610 TKU196610 TUQ196610 UEM196610 UOI196610 UYE196610 VIA196610 VRW196610 WBS196610 WLO196610 WVK196610 D262146 IY262146 SU262146 ACQ262146 AMM262146 AWI262146 BGE262146 BQA262146 BZW262146 CJS262146 CTO262146 DDK262146 DNG262146 DXC262146 EGY262146 EQU262146 FAQ262146 FKM262146 FUI262146 GEE262146 GOA262146 GXW262146 HHS262146 HRO262146 IBK262146 ILG262146 IVC262146 JEY262146 JOU262146 JYQ262146 KIM262146 KSI262146 LCE262146 LMA262146 LVW262146 MFS262146 MPO262146 MZK262146 NJG262146 NTC262146 OCY262146 OMU262146 OWQ262146 PGM262146 PQI262146 QAE262146 QKA262146 QTW262146 RDS262146 RNO262146 RXK262146 SHG262146 SRC262146 TAY262146 TKU262146 TUQ262146 UEM262146 UOI262146 UYE262146 VIA262146 VRW262146 WBS262146 WLO262146 WVK262146 D327682 IY327682 SU327682 ACQ327682 AMM327682 AWI327682 BGE327682 BQA327682 BZW327682 CJS327682 CTO327682 DDK327682 DNG327682 DXC327682 EGY327682 EQU327682 FAQ327682 FKM327682 FUI327682 GEE327682 GOA327682 GXW327682 HHS327682 HRO327682 IBK327682 ILG327682 IVC327682 JEY327682 JOU327682 JYQ327682 KIM327682 KSI327682 LCE327682 LMA327682 LVW327682 MFS327682 MPO327682 MZK327682 NJG327682 NTC327682 OCY327682 OMU327682 OWQ327682 PGM327682 PQI327682 QAE327682 QKA327682 QTW327682 RDS327682 RNO327682 RXK327682 SHG327682 SRC327682 TAY327682 TKU327682 TUQ327682 UEM327682 UOI327682 UYE327682 VIA327682 VRW327682 WBS327682 WLO327682 WVK327682 D393218 IY393218 SU393218 ACQ393218 AMM393218 AWI393218 BGE393218 BQA393218 BZW393218 CJS393218 CTO393218 DDK393218 DNG393218 DXC393218 EGY393218 EQU393218 FAQ393218 FKM393218 FUI393218 GEE393218 GOA393218 GXW393218 HHS393218 HRO393218 IBK393218 ILG393218 IVC393218 JEY393218 JOU393218 JYQ393218 KIM393218 KSI393218 LCE393218 LMA393218 LVW393218 MFS393218 MPO393218 MZK393218 NJG393218 NTC393218 OCY393218 OMU393218 OWQ393218 PGM393218 PQI393218 QAE393218 QKA393218 QTW393218 RDS393218 RNO393218 RXK393218 SHG393218 SRC393218 TAY393218 TKU393218 TUQ393218 UEM393218 UOI393218 UYE393218 VIA393218 VRW393218 WBS393218 WLO393218 WVK393218 D458754 IY458754 SU458754 ACQ458754 AMM458754 AWI458754 BGE458754 BQA458754 BZW458754 CJS458754 CTO458754 DDK458754 DNG458754 DXC458754 EGY458754 EQU458754 FAQ458754 FKM458754 FUI458754 GEE458754 GOA458754 GXW458754 HHS458754 HRO458754 IBK458754 ILG458754 IVC458754 JEY458754 JOU458754 JYQ458754 KIM458754 KSI458754 LCE458754 LMA458754 LVW458754 MFS458754 MPO458754 MZK458754 NJG458754 NTC458754 OCY458754 OMU458754 OWQ458754 PGM458754 PQI458754 QAE458754 QKA458754 QTW458754 RDS458754 RNO458754 RXK458754 SHG458754 SRC458754 TAY458754 TKU458754 TUQ458754 UEM458754 UOI458754 UYE458754 VIA458754 VRW458754 WBS458754 WLO458754 WVK458754 D524290 IY524290 SU524290 ACQ524290 AMM524290 AWI524290 BGE524290 BQA524290 BZW524290 CJS524290 CTO524290 DDK524290 DNG524290 DXC524290 EGY524290 EQU524290 FAQ524290 FKM524290 FUI524290 GEE524290 GOA524290 GXW524290 HHS524290 HRO524290 IBK524290 ILG524290 IVC524290 JEY524290 JOU524290 JYQ524290 KIM524290 KSI524290 LCE524290 LMA524290 LVW524290 MFS524290 MPO524290 MZK524290 NJG524290 NTC524290 OCY524290 OMU524290 OWQ524290 PGM524290 PQI524290 QAE524290 QKA524290 QTW524290 RDS524290 RNO524290 RXK524290 SHG524290 SRC524290 TAY524290 TKU524290 TUQ524290 UEM524290 UOI524290 UYE524290 VIA524290 VRW524290 WBS524290 WLO524290 WVK524290 D589826 IY589826 SU589826 ACQ589826 AMM589826 AWI589826 BGE589826 BQA589826 BZW589826 CJS589826 CTO589826 DDK589826 DNG589826 DXC589826 EGY589826 EQU589826 FAQ589826 FKM589826 FUI589826 GEE589826 GOA589826 GXW589826 HHS589826 HRO589826 IBK589826 ILG589826 IVC589826 JEY589826 JOU589826 JYQ589826 KIM589826 KSI589826 LCE589826 LMA589826 LVW589826 MFS589826 MPO589826 MZK589826 NJG589826 NTC589826 OCY589826 OMU589826 OWQ589826 PGM589826 PQI589826 QAE589826 QKA589826 QTW589826 RDS589826 RNO589826 RXK589826 SHG589826 SRC589826 TAY589826 TKU589826 TUQ589826 UEM589826 UOI589826 UYE589826 VIA589826 VRW589826 WBS589826 WLO589826 WVK589826 D655362 IY655362 SU655362 ACQ655362 AMM655362 AWI655362 BGE655362 BQA655362 BZW655362 CJS655362 CTO655362 DDK655362 DNG655362 DXC655362 EGY655362 EQU655362 FAQ655362 FKM655362 FUI655362 GEE655362 GOA655362 GXW655362 HHS655362 HRO655362 IBK655362 ILG655362 IVC655362 JEY655362 JOU655362 JYQ655362 KIM655362 KSI655362 LCE655362 LMA655362 LVW655362 MFS655362 MPO655362 MZK655362 NJG655362 NTC655362 OCY655362 OMU655362 OWQ655362 PGM655362 PQI655362 QAE655362 QKA655362 QTW655362 RDS655362 RNO655362 RXK655362 SHG655362 SRC655362 TAY655362 TKU655362 TUQ655362 UEM655362 UOI655362 UYE655362 VIA655362 VRW655362 WBS655362 WLO655362 WVK655362 D720898 IY720898 SU720898 ACQ720898 AMM720898 AWI720898 BGE720898 BQA720898 BZW720898 CJS720898 CTO720898 DDK720898 DNG720898 DXC720898 EGY720898 EQU720898 FAQ720898 FKM720898 FUI720898 GEE720898 GOA720898 GXW720898 HHS720898 HRO720898 IBK720898 ILG720898 IVC720898 JEY720898 JOU720898 JYQ720898 KIM720898 KSI720898 LCE720898 LMA720898 LVW720898 MFS720898 MPO720898 MZK720898 NJG720898 NTC720898 OCY720898 OMU720898 OWQ720898 PGM720898 PQI720898 QAE720898 QKA720898 QTW720898 RDS720898 RNO720898 RXK720898 SHG720898 SRC720898 TAY720898 TKU720898 TUQ720898 UEM720898 UOI720898 UYE720898 VIA720898 VRW720898 WBS720898 WLO720898 WVK720898 D786434 IY786434 SU786434 ACQ786434 AMM786434 AWI786434 BGE786434 BQA786434 BZW786434 CJS786434 CTO786434 DDK786434 DNG786434 DXC786434 EGY786434 EQU786434 FAQ786434 FKM786434 FUI786434 GEE786434 GOA786434 GXW786434 HHS786434 HRO786434 IBK786434 ILG786434 IVC786434 JEY786434 JOU786434 JYQ786434 KIM786434 KSI786434 LCE786434 LMA786434 LVW786434 MFS786434 MPO786434 MZK786434 NJG786434 NTC786434 OCY786434 OMU786434 OWQ786434 PGM786434 PQI786434 QAE786434 QKA786434 QTW786434 RDS786434 RNO786434 RXK786434 SHG786434 SRC786434 TAY786434 TKU786434 TUQ786434 UEM786434 UOI786434 UYE786434 VIA786434 VRW786434 WBS786434 WLO786434 WVK786434 D851970 IY851970 SU851970 ACQ851970 AMM851970 AWI851970 BGE851970 BQA851970 BZW851970 CJS851970 CTO851970 DDK851970 DNG851970 DXC851970 EGY851970 EQU851970 FAQ851970 FKM851970 FUI851970 GEE851970 GOA851970 GXW851970 HHS851970 HRO851970 IBK851970 ILG851970 IVC851970 JEY851970 JOU851970 JYQ851970 KIM851970 KSI851970 LCE851970 LMA851970 LVW851970 MFS851970 MPO851970 MZK851970 NJG851970 NTC851970 OCY851970 OMU851970 OWQ851970 PGM851970 PQI851970 QAE851970 QKA851970 QTW851970 RDS851970 RNO851970 RXK851970 SHG851970 SRC851970 TAY851970 TKU851970 TUQ851970 UEM851970 UOI851970 UYE851970 VIA851970 VRW851970 WBS851970 WLO851970 WVK851970 D917506 IY917506 SU917506 ACQ917506 AMM917506 AWI917506 BGE917506 BQA917506 BZW917506 CJS917506 CTO917506 DDK917506 DNG917506 DXC917506 EGY917506 EQU917506 FAQ917506 FKM917506 FUI917506 GEE917506 GOA917506 GXW917506 HHS917506 HRO917506 IBK917506 ILG917506 IVC917506 JEY917506 JOU917506 JYQ917506 KIM917506 KSI917506 LCE917506 LMA917506 LVW917506 MFS917506 MPO917506 MZK917506 NJG917506 NTC917506 OCY917506 OMU917506 OWQ917506 PGM917506 PQI917506 QAE917506 QKA917506 QTW917506 RDS917506 RNO917506 RXK917506 SHG917506 SRC917506 TAY917506 TKU917506 TUQ917506 UEM917506 UOI917506 UYE917506 VIA917506 VRW917506 WBS917506 WLO917506 WVK917506 D983042 IY983042 SU983042 ACQ983042 AMM983042 AWI983042 BGE983042 BQA983042 BZW983042 CJS983042 CTO983042 DDK983042 DNG983042 DXC983042 EGY983042 EQU983042 FAQ983042 FKM983042 FUI983042 GEE983042 GOA983042 GXW983042 HHS983042 HRO983042 IBK983042 ILG983042 IVC983042 JEY983042 JOU983042 JYQ983042 KIM983042 KSI983042 LCE983042 LMA983042 LVW983042 MFS983042 MPO983042 MZK983042 NJG983042 NTC983042 OCY983042 OMU983042 OWQ983042 PGM983042 PQI983042 QAE983042 QKA983042 QTW983042 RDS983042 RNO983042 RXK983042 SHG983042 SRC983042 TAY983042 TKU983042 TUQ983042 UEM983042 UOI983042 UYE983042 VIA983042 VRW983042 WBS983042 WLO983042"/>
    <dataValidation type="list" allowBlank="1" showInputMessage="1" showErrorMessage="1" promptTitle="Pendidikan Terakhir" prompt="Dipilih untuk jenjang pendidikan terakhir yang ditempuh oleh Pemohon" sqref="WVK983043:WVN983043 WLO983043:WLR983043 WBS983043:WBV983043 VRW983043:VRZ983043 VIA983043:VID983043 UYE983043:UYH983043 UOI983043:UOL983043 UEM983043:UEP983043 TUQ983043:TUT983043 TKU983043:TKX983043 TAY983043:TBB983043 SRC983043:SRF983043 SHG983043:SHJ983043 RXK983043:RXN983043 RNO983043:RNR983043 RDS983043:RDV983043 QTW983043:QTZ983043 QKA983043:QKD983043 QAE983043:QAH983043 PQI983043:PQL983043 PGM983043:PGP983043 OWQ983043:OWT983043 OMU983043:OMX983043 OCY983043:ODB983043 NTC983043:NTF983043 NJG983043:NJJ983043 MZK983043:MZN983043 MPO983043:MPR983043 MFS983043:MFV983043 LVW983043:LVZ983043 LMA983043:LMD983043 LCE983043:LCH983043 KSI983043:KSL983043 KIM983043:KIP983043 JYQ983043:JYT983043 JOU983043:JOX983043 JEY983043:JFB983043 IVC983043:IVF983043 ILG983043:ILJ983043 IBK983043:IBN983043 HRO983043:HRR983043 HHS983043:HHV983043 GXW983043:GXZ983043 GOA983043:GOD983043 GEE983043:GEH983043 FUI983043:FUL983043 FKM983043:FKP983043 FAQ983043:FAT983043 EQU983043:EQX983043 EGY983043:EHB983043 DXC983043:DXF983043 DNG983043:DNJ983043 DDK983043:DDN983043 CTO983043:CTR983043 CJS983043:CJV983043 BZW983043:BZZ983043 BQA983043:BQD983043 BGE983043:BGH983043 AWI983043:AWL983043 AMM983043:AMP983043 ACQ983043:ACT983043 SU983043:SX983043 IY983043:JB983043 D983043:G983043 WVK917507:WVN917507 WLO917507:WLR917507 WBS917507:WBV917507 VRW917507:VRZ917507 VIA917507:VID917507 UYE917507:UYH917507 UOI917507:UOL917507 UEM917507:UEP917507 TUQ917507:TUT917507 TKU917507:TKX917507 TAY917507:TBB917507 SRC917507:SRF917507 SHG917507:SHJ917507 RXK917507:RXN917507 RNO917507:RNR917507 RDS917507:RDV917507 QTW917507:QTZ917507 QKA917507:QKD917507 QAE917507:QAH917507 PQI917507:PQL917507 PGM917507:PGP917507 OWQ917507:OWT917507 OMU917507:OMX917507 OCY917507:ODB917507 NTC917507:NTF917507 NJG917507:NJJ917507 MZK917507:MZN917507 MPO917507:MPR917507 MFS917507:MFV917507 LVW917507:LVZ917507 LMA917507:LMD917507 LCE917507:LCH917507 KSI917507:KSL917507 KIM917507:KIP917507 JYQ917507:JYT917507 JOU917507:JOX917507 JEY917507:JFB917507 IVC917507:IVF917507 ILG917507:ILJ917507 IBK917507:IBN917507 HRO917507:HRR917507 HHS917507:HHV917507 GXW917507:GXZ917507 GOA917507:GOD917507 GEE917507:GEH917507 FUI917507:FUL917507 FKM917507:FKP917507 FAQ917507:FAT917507 EQU917507:EQX917507 EGY917507:EHB917507 DXC917507:DXF917507 DNG917507:DNJ917507 DDK917507:DDN917507 CTO917507:CTR917507 CJS917507:CJV917507 BZW917507:BZZ917507 BQA917507:BQD917507 BGE917507:BGH917507 AWI917507:AWL917507 AMM917507:AMP917507 ACQ917507:ACT917507 SU917507:SX917507 IY917507:JB917507 D917507:G917507 WVK851971:WVN851971 WLO851971:WLR851971 WBS851971:WBV851971 VRW851971:VRZ851971 VIA851971:VID851971 UYE851971:UYH851971 UOI851971:UOL851971 UEM851971:UEP851971 TUQ851971:TUT851971 TKU851971:TKX851971 TAY851971:TBB851971 SRC851971:SRF851971 SHG851971:SHJ851971 RXK851971:RXN851971 RNO851971:RNR851971 RDS851971:RDV851971 QTW851971:QTZ851971 QKA851971:QKD851971 QAE851971:QAH851971 PQI851971:PQL851971 PGM851971:PGP851971 OWQ851971:OWT851971 OMU851971:OMX851971 OCY851971:ODB851971 NTC851971:NTF851971 NJG851971:NJJ851971 MZK851971:MZN851971 MPO851971:MPR851971 MFS851971:MFV851971 LVW851971:LVZ851971 LMA851971:LMD851971 LCE851971:LCH851971 KSI851971:KSL851971 KIM851971:KIP851971 JYQ851971:JYT851971 JOU851971:JOX851971 JEY851971:JFB851971 IVC851971:IVF851971 ILG851971:ILJ851971 IBK851971:IBN851971 HRO851971:HRR851971 HHS851971:HHV851971 GXW851971:GXZ851971 GOA851971:GOD851971 GEE851971:GEH851971 FUI851971:FUL851971 FKM851971:FKP851971 FAQ851971:FAT851971 EQU851971:EQX851971 EGY851971:EHB851971 DXC851971:DXF851971 DNG851971:DNJ851971 DDK851971:DDN851971 CTO851971:CTR851971 CJS851971:CJV851971 BZW851971:BZZ851971 BQA851971:BQD851971 BGE851971:BGH851971 AWI851971:AWL851971 AMM851971:AMP851971 ACQ851971:ACT851971 SU851971:SX851971 IY851971:JB851971 D851971:G851971 WVK786435:WVN786435 WLO786435:WLR786435 WBS786435:WBV786435 VRW786435:VRZ786435 VIA786435:VID786435 UYE786435:UYH786435 UOI786435:UOL786435 UEM786435:UEP786435 TUQ786435:TUT786435 TKU786435:TKX786435 TAY786435:TBB786435 SRC786435:SRF786435 SHG786435:SHJ786435 RXK786435:RXN786435 RNO786435:RNR786435 RDS786435:RDV786435 QTW786435:QTZ786435 QKA786435:QKD786435 QAE786435:QAH786435 PQI786435:PQL786435 PGM786435:PGP786435 OWQ786435:OWT786435 OMU786435:OMX786435 OCY786435:ODB786435 NTC786435:NTF786435 NJG786435:NJJ786435 MZK786435:MZN786435 MPO786435:MPR786435 MFS786435:MFV786435 LVW786435:LVZ786435 LMA786435:LMD786435 LCE786435:LCH786435 KSI786435:KSL786435 KIM786435:KIP786435 JYQ786435:JYT786435 JOU786435:JOX786435 JEY786435:JFB786435 IVC786435:IVF786435 ILG786435:ILJ786435 IBK786435:IBN786435 HRO786435:HRR786435 HHS786435:HHV786435 GXW786435:GXZ786435 GOA786435:GOD786435 GEE786435:GEH786435 FUI786435:FUL786435 FKM786435:FKP786435 FAQ786435:FAT786435 EQU786435:EQX786435 EGY786435:EHB786435 DXC786435:DXF786435 DNG786435:DNJ786435 DDK786435:DDN786435 CTO786435:CTR786435 CJS786435:CJV786435 BZW786435:BZZ786435 BQA786435:BQD786435 BGE786435:BGH786435 AWI786435:AWL786435 AMM786435:AMP786435 ACQ786435:ACT786435 SU786435:SX786435 IY786435:JB786435 D786435:G786435 WVK720899:WVN720899 WLO720899:WLR720899 WBS720899:WBV720899 VRW720899:VRZ720899 VIA720899:VID720899 UYE720899:UYH720899 UOI720899:UOL720899 UEM720899:UEP720899 TUQ720899:TUT720899 TKU720899:TKX720899 TAY720899:TBB720899 SRC720899:SRF720899 SHG720899:SHJ720899 RXK720899:RXN720899 RNO720899:RNR720899 RDS720899:RDV720899 QTW720899:QTZ720899 QKA720899:QKD720899 QAE720899:QAH720899 PQI720899:PQL720899 PGM720899:PGP720899 OWQ720899:OWT720899 OMU720899:OMX720899 OCY720899:ODB720899 NTC720899:NTF720899 NJG720899:NJJ720899 MZK720899:MZN720899 MPO720899:MPR720899 MFS720899:MFV720899 LVW720899:LVZ720899 LMA720899:LMD720899 LCE720899:LCH720899 KSI720899:KSL720899 KIM720899:KIP720899 JYQ720899:JYT720899 JOU720899:JOX720899 JEY720899:JFB720899 IVC720899:IVF720899 ILG720899:ILJ720899 IBK720899:IBN720899 HRO720899:HRR720899 HHS720899:HHV720899 GXW720899:GXZ720899 GOA720899:GOD720899 GEE720899:GEH720899 FUI720899:FUL720899 FKM720899:FKP720899 FAQ720899:FAT720899 EQU720899:EQX720899 EGY720899:EHB720899 DXC720899:DXF720899 DNG720899:DNJ720899 DDK720899:DDN720899 CTO720899:CTR720899 CJS720899:CJV720899 BZW720899:BZZ720899 BQA720899:BQD720899 BGE720899:BGH720899 AWI720899:AWL720899 AMM720899:AMP720899 ACQ720899:ACT720899 SU720899:SX720899 IY720899:JB720899 D720899:G720899 WVK655363:WVN655363 WLO655363:WLR655363 WBS655363:WBV655363 VRW655363:VRZ655363 VIA655363:VID655363 UYE655363:UYH655363 UOI655363:UOL655363 UEM655363:UEP655363 TUQ655363:TUT655363 TKU655363:TKX655363 TAY655363:TBB655363 SRC655363:SRF655363 SHG655363:SHJ655363 RXK655363:RXN655363 RNO655363:RNR655363 RDS655363:RDV655363 QTW655363:QTZ655363 QKA655363:QKD655363 QAE655363:QAH655363 PQI655363:PQL655363 PGM655363:PGP655363 OWQ655363:OWT655363 OMU655363:OMX655363 OCY655363:ODB655363 NTC655363:NTF655363 NJG655363:NJJ655363 MZK655363:MZN655363 MPO655363:MPR655363 MFS655363:MFV655363 LVW655363:LVZ655363 LMA655363:LMD655363 LCE655363:LCH655363 KSI655363:KSL655363 KIM655363:KIP655363 JYQ655363:JYT655363 JOU655363:JOX655363 JEY655363:JFB655363 IVC655363:IVF655363 ILG655363:ILJ655363 IBK655363:IBN655363 HRO655363:HRR655363 HHS655363:HHV655363 GXW655363:GXZ655363 GOA655363:GOD655363 GEE655363:GEH655363 FUI655363:FUL655363 FKM655363:FKP655363 FAQ655363:FAT655363 EQU655363:EQX655363 EGY655363:EHB655363 DXC655363:DXF655363 DNG655363:DNJ655363 DDK655363:DDN655363 CTO655363:CTR655363 CJS655363:CJV655363 BZW655363:BZZ655363 BQA655363:BQD655363 BGE655363:BGH655363 AWI655363:AWL655363 AMM655363:AMP655363 ACQ655363:ACT655363 SU655363:SX655363 IY655363:JB655363 D655363:G655363 WVK589827:WVN589827 WLO589827:WLR589827 WBS589827:WBV589827 VRW589827:VRZ589827 VIA589827:VID589827 UYE589827:UYH589827 UOI589827:UOL589827 UEM589827:UEP589827 TUQ589827:TUT589827 TKU589827:TKX589827 TAY589827:TBB589827 SRC589827:SRF589827 SHG589827:SHJ589827 RXK589827:RXN589827 RNO589827:RNR589827 RDS589827:RDV589827 QTW589827:QTZ589827 QKA589827:QKD589827 QAE589827:QAH589827 PQI589827:PQL589827 PGM589827:PGP589827 OWQ589827:OWT589827 OMU589827:OMX589827 OCY589827:ODB589827 NTC589827:NTF589827 NJG589827:NJJ589827 MZK589827:MZN589827 MPO589827:MPR589827 MFS589827:MFV589827 LVW589827:LVZ589827 LMA589827:LMD589827 LCE589827:LCH589827 KSI589827:KSL589827 KIM589827:KIP589827 JYQ589827:JYT589827 JOU589827:JOX589827 JEY589827:JFB589827 IVC589827:IVF589827 ILG589827:ILJ589827 IBK589827:IBN589827 HRO589827:HRR589827 HHS589827:HHV589827 GXW589827:GXZ589827 GOA589827:GOD589827 GEE589827:GEH589827 FUI589827:FUL589827 FKM589827:FKP589827 FAQ589827:FAT589827 EQU589827:EQX589827 EGY589827:EHB589827 DXC589827:DXF589827 DNG589827:DNJ589827 DDK589827:DDN589827 CTO589827:CTR589827 CJS589827:CJV589827 BZW589827:BZZ589827 BQA589827:BQD589827 BGE589827:BGH589827 AWI589827:AWL589827 AMM589827:AMP589827 ACQ589827:ACT589827 SU589827:SX589827 IY589827:JB589827 D589827:G589827 WVK524291:WVN524291 WLO524291:WLR524291 WBS524291:WBV524291 VRW524291:VRZ524291 VIA524291:VID524291 UYE524291:UYH524291 UOI524291:UOL524291 UEM524291:UEP524291 TUQ524291:TUT524291 TKU524291:TKX524291 TAY524291:TBB524291 SRC524291:SRF524291 SHG524291:SHJ524291 RXK524291:RXN524291 RNO524291:RNR524291 RDS524291:RDV524291 QTW524291:QTZ524291 QKA524291:QKD524291 QAE524291:QAH524291 PQI524291:PQL524291 PGM524291:PGP524291 OWQ524291:OWT524291 OMU524291:OMX524291 OCY524291:ODB524291 NTC524291:NTF524291 NJG524291:NJJ524291 MZK524291:MZN524291 MPO524291:MPR524291 MFS524291:MFV524291 LVW524291:LVZ524291 LMA524291:LMD524291 LCE524291:LCH524291 KSI524291:KSL524291 KIM524291:KIP524291 JYQ524291:JYT524291 JOU524291:JOX524291 JEY524291:JFB524291 IVC524291:IVF524291 ILG524291:ILJ524291 IBK524291:IBN524291 HRO524291:HRR524291 HHS524291:HHV524291 GXW524291:GXZ524291 GOA524291:GOD524291 GEE524291:GEH524291 FUI524291:FUL524291 FKM524291:FKP524291 FAQ524291:FAT524291 EQU524291:EQX524291 EGY524291:EHB524291 DXC524291:DXF524291 DNG524291:DNJ524291 DDK524291:DDN524291 CTO524291:CTR524291 CJS524291:CJV524291 BZW524291:BZZ524291 BQA524291:BQD524291 BGE524291:BGH524291 AWI524291:AWL524291 AMM524291:AMP524291 ACQ524291:ACT524291 SU524291:SX524291 IY524291:JB524291 D524291:G524291 WVK458755:WVN458755 WLO458755:WLR458755 WBS458755:WBV458755 VRW458755:VRZ458755 VIA458755:VID458755 UYE458755:UYH458755 UOI458755:UOL458755 UEM458755:UEP458755 TUQ458755:TUT458755 TKU458755:TKX458755 TAY458755:TBB458755 SRC458755:SRF458755 SHG458755:SHJ458755 RXK458755:RXN458755 RNO458755:RNR458755 RDS458755:RDV458755 QTW458755:QTZ458755 QKA458755:QKD458755 QAE458755:QAH458755 PQI458755:PQL458755 PGM458755:PGP458755 OWQ458755:OWT458755 OMU458755:OMX458755 OCY458755:ODB458755 NTC458755:NTF458755 NJG458755:NJJ458755 MZK458755:MZN458755 MPO458755:MPR458755 MFS458755:MFV458755 LVW458755:LVZ458755 LMA458755:LMD458755 LCE458755:LCH458755 KSI458755:KSL458755 KIM458755:KIP458755 JYQ458755:JYT458755 JOU458755:JOX458755 JEY458755:JFB458755 IVC458755:IVF458755 ILG458755:ILJ458755 IBK458755:IBN458755 HRO458755:HRR458755 HHS458755:HHV458755 GXW458755:GXZ458755 GOA458755:GOD458755 GEE458755:GEH458755 FUI458755:FUL458755 FKM458755:FKP458755 FAQ458755:FAT458755 EQU458755:EQX458755 EGY458755:EHB458755 DXC458755:DXF458755 DNG458755:DNJ458755 DDK458755:DDN458755 CTO458755:CTR458755 CJS458755:CJV458755 BZW458755:BZZ458755 BQA458755:BQD458755 BGE458755:BGH458755 AWI458755:AWL458755 AMM458755:AMP458755 ACQ458755:ACT458755 SU458755:SX458755 IY458755:JB458755 D458755:G458755 WVK393219:WVN393219 WLO393219:WLR393219 WBS393219:WBV393219 VRW393219:VRZ393219 VIA393219:VID393219 UYE393219:UYH393219 UOI393219:UOL393219 UEM393219:UEP393219 TUQ393219:TUT393219 TKU393219:TKX393219 TAY393219:TBB393219 SRC393219:SRF393219 SHG393219:SHJ393219 RXK393219:RXN393219 RNO393219:RNR393219 RDS393219:RDV393219 QTW393219:QTZ393219 QKA393219:QKD393219 QAE393219:QAH393219 PQI393219:PQL393219 PGM393219:PGP393219 OWQ393219:OWT393219 OMU393219:OMX393219 OCY393219:ODB393219 NTC393219:NTF393219 NJG393219:NJJ393219 MZK393219:MZN393219 MPO393219:MPR393219 MFS393219:MFV393219 LVW393219:LVZ393219 LMA393219:LMD393219 LCE393219:LCH393219 KSI393219:KSL393219 KIM393219:KIP393219 JYQ393219:JYT393219 JOU393219:JOX393219 JEY393219:JFB393219 IVC393219:IVF393219 ILG393219:ILJ393219 IBK393219:IBN393219 HRO393219:HRR393219 HHS393219:HHV393219 GXW393219:GXZ393219 GOA393219:GOD393219 GEE393219:GEH393219 FUI393219:FUL393219 FKM393219:FKP393219 FAQ393219:FAT393219 EQU393219:EQX393219 EGY393219:EHB393219 DXC393219:DXF393219 DNG393219:DNJ393219 DDK393219:DDN393219 CTO393219:CTR393219 CJS393219:CJV393219 BZW393219:BZZ393219 BQA393219:BQD393219 BGE393219:BGH393219 AWI393219:AWL393219 AMM393219:AMP393219 ACQ393219:ACT393219 SU393219:SX393219 IY393219:JB393219 D393219:G393219 WVK327683:WVN327683 WLO327683:WLR327683 WBS327683:WBV327683 VRW327683:VRZ327683 VIA327683:VID327683 UYE327683:UYH327683 UOI327683:UOL327683 UEM327683:UEP327683 TUQ327683:TUT327683 TKU327683:TKX327683 TAY327683:TBB327683 SRC327683:SRF327683 SHG327683:SHJ327683 RXK327683:RXN327683 RNO327683:RNR327683 RDS327683:RDV327683 QTW327683:QTZ327683 QKA327683:QKD327683 QAE327683:QAH327683 PQI327683:PQL327683 PGM327683:PGP327683 OWQ327683:OWT327683 OMU327683:OMX327683 OCY327683:ODB327683 NTC327683:NTF327683 NJG327683:NJJ327683 MZK327683:MZN327683 MPO327683:MPR327683 MFS327683:MFV327683 LVW327683:LVZ327683 LMA327683:LMD327683 LCE327683:LCH327683 KSI327683:KSL327683 KIM327683:KIP327683 JYQ327683:JYT327683 JOU327683:JOX327683 JEY327683:JFB327683 IVC327683:IVF327683 ILG327683:ILJ327683 IBK327683:IBN327683 HRO327683:HRR327683 HHS327683:HHV327683 GXW327683:GXZ327683 GOA327683:GOD327683 GEE327683:GEH327683 FUI327683:FUL327683 FKM327683:FKP327683 FAQ327683:FAT327683 EQU327683:EQX327683 EGY327683:EHB327683 DXC327683:DXF327683 DNG327683:DNJ327683 DDK327683:DDN327683 CTO327683:CTR327683 CJS327683:CJV327683 BZW327683:BZZ327683 BQA327683:BQD327683 BGE327683:BGH327683 AWI327683:AWL327683 AMM327683:AMP327683 ACQ327683:ACT327683 SU327683:SX327683 IY327683:JB327683 D327683:G327683 WVK262147:WVN262147 WLO262147:WLR262147 WBS262147:WBV262147 VRW262147:VRZ262147 VIA262147:VID262147 UYE262147:UYH262147 UOI262147:UOL262147 UEM262147:UEP262147 TUQ262147:TUT262147 TKU262147:TKX262147 TAY262147:TBB262147 SRC262147:SRF262147 SHG262147:SHJ262147 RXK262147:RXN262147 RNO262147:RNR262147 RDS262147:RDV262147 QTW262147:QTZ262147 QKA262147:QKD262147 QAE262147:QAH262147 PQI262147:PQL262147 PGM262147:PGP262147 OWQ262147:OWT262147 OMU262147:OMX262147 OCY262147:ODB262147 NTC262147:NTF262147 NJG262147:NJJ262147 MZK262147:MZN262147 MPO262147:MPR262147 MFS262147:MFV262147 LVW262147:LVZ262147 LMA262147:LMD262147 LCE262147:LCH262147 KSI262147:KSL262147 KIM262147:KIP262147 JYQ262147:JYT262147 JOU262147:JOX262147 JEY262147:JFB262147 IVC262147:IVF262147 ILG262147:ILJ262147 IBK262147:IBN262147 HRO262147:HRR262147 HHS262147:HHV262147 GXW262147:GXZ262147 GOA262147:GOD262147 GEE262147:GEH262147 FUI262147:FUL262147 FKM262147:FKP262147 FAQ262147:FAT262147 EQU262147:EQX262147 EGY262147:EHB262147 DXC262147:DXF262147 DNG262147:DNJ262147 DDK262147:DDN262147 CTO262147:CTR262147 CJS262147:CJV262147 BZW262147:BZZ262147 BQA262147:BQD262147 BGE262147:BGH262147 AWI262147:AWL262147 AMM262147:AMP262147 ACQ262147:ACT262147 SU262147:SX262147 IY262147:JB262147 D262147:G262147 WVK196611:WVN196611 WLO196611:WLR196611 WBS196611:WBV196611 VRW196611:VRZ196611 VIA196611:VID196611 UYE196611:UYH196611 UOI196611:UOL196611 UEM196611:UEP196611 TUQ196611:TUT196611 TKU196611:TKX196611 TAY196611:TBB196611 SRC196611:SRF196611 SHG196611:SHJ196611 RXK196611:RXN196611 RNO196611:RNR196611 RDS196611:RDV196611 QTW196611:QTZ196611 QKA196611:QKD196611 QAE196611:QAH196611 PQI196611:PQL196611 PGM196611:PGP196611 OWQ196611:OWT196611 OMU196611:OMX196611 OCY196611:ODB196611 NTC196611:NTF196611 NJG196611:NJJ196611 MZK196611:MZN196611 MPO196611:MPR196611 MFS196611:MFV196611 LVW196611:LVZ196611 LMA196611:LMD196611 LCE196611:LCH196611 KSI196611:KSL196611 KIM196611:KIP196611 JYQ196611:JYT196611 JOU196611:JOX196611 JEY196611:JFB196611 IVC196611:IVF196611 ILG196611:ILJ196611 IBK196611:IBN196611 HRO196611:HRR196611 HHS196611:HHV196611 GXW196611:GXZ196611 GOA196611:GOD196611 GEE196611:GEH196611 FUI196611:FUL196611 FKM196611:FKP196611 FAQ196611:FAT196611 EQU196611:EQX196611 EGY196611:EHB196611 DXC196611:DXF196611 DNG196611:DNJ196611 DDK196611:DDN196611 CTO196611:CTR196611 CJS196611:CJV196611 BZW196611:BZZ196611 BQA196611:BQD196611 BGE196611:BGH196611 AWI196611:AWL196611 AMM196611:AMP196611 ACQ196611:ACT196611 SU196611:SX196611 IY196611:JB196611 D196611:G196611 WVK131075:WVN131075 WLO131075:WLR131075 WBS131075:WBV131075 VRW131075:VRZ131075 VIA131075:VID131075 UYE131075:UYH131075 UOI131075:UOL131075 UEM131075:UEP131075 TUQ131075:TUT131075 TKU131075:TKX131075 TAY131075:TBB131075 SRC131075:SRF131075 SHG131075:SHJ131075 RXK131075:RXN131075 RNO131075:RNR131075 RDS131075:RDV131075 QTW131075:QTZ131075 QKA131075:QKD131075 QAE131075:QAH131075 PQI131075:PQL131075 PGM131075:PGP131075 OWQ131075:OWT131075 OMU131075:OMX131075 OCY131075:ODB131075 NTC131075:NTF131075 NJG131075:NJJ131075 MZK131075:MZN131075 MPO131075:MPR131075 MFS131075:MFV131075 LVW131075:LVZ131075 LMA131075:LMD131075 LCE131075:LCH131075 KSI131075:KSL131075 KIM131075:KIP131075 JYQ131075:JYT131075 JOU131075:JOX131075 JEY131075:JFB131075 IVC131075:IVF131075 ILG131075:ILJ131075 IBK131075:IBN131075 HRO131075:HRR131075 HHS131075:HHV131075 GXW131075:GXZ131075 GOA131075:GOD131075 GEE131075:GEH131075 FUI131075:FUL131075 FKM131075:FKP131075 FAQ131075:FAT131075 EQU131075:EQX131075 EGY131075:EHB131075 DXC131075:DXF131075 DNG131075:DNJ131075 DDK131075:DDN131075 CTO131075:CTR131075 CJS131075:CJV131075 BZW131075:BZZ131075 BQA131075:BQD131075 BGE131075:BGH131075 AWI131075:AWL131075 AMM131075:AMP131075 ACQ131075:ACT131075 SU131075:SX131075 IY131075:JB131075 D131075:G131075 WVK65539:WVN65539 WLO65539:WLR65539 WBS65539:WBV65539 VRW65539:VRZ65539 VIA65539:VID65539 UYE65539:UYH65539 UOI65539:UOL65539 UEM65539:UEP65539 TUQ65539:TUT65539 TKU65539:TKX65539 TAY65539:TBB65539 SRC65539:SRF65539 SHG65539:SHJ65539 RXK65539:RXN65539 RNO65539:RNR65539 RDS65539:RDV65539 QTW65539:QTZ65539 QKA65539:QKD65539 QAE65539:QAH65539 PQI65539:PQL65539 PGM65539:PGP65539 OWQ65539:OWT65539 OMU65539:OMX65539 OCY65539:ODB65539 NTC65539:NTF65539 NJG65539:NJJ65539 MZK65539:MZN65539 MPO65539:MPR65539 MFS65539:MFV65539 LVW65539:LVZ65539 LMA65539:LMD65539 LCE65539:LCH65539 KSI65539:KSL65539 KIM65539:KIP65539 JYQ65539:JYT65539 JOU65539:JOX65539 JEY65539:JFB65539 IVC65539:IVF65539 ILG65539:ILJ65539 IBK65539:IBN65539 HRO65539:HRR65539 HHS65539:HHV65539 GXW65539:GXZ65539 GOA65539:GOD65539 GEE65539:GEH65539 FUI65539:FUL65539 FKM65539:FKP65539 FAQ65539:FAT65539 EQU65539:EQX65539 EGY65539:EHB65539 DXC65539:DXF65539 DNG65539:DNJ65539 DDK65539:DDN65539 CTO65539:CTR65539 CJS65539:CJV65539 BZW65539:BZZ65539 BQA65539:BQD65539 BGE65539:BGH65539 AWI65539:AWL65539 AMM65539:AMP65539 ACQ65539:ACT65539 SU65539:SX65539 IY65539:JB65539 D65539:G65539 SU23:SX35 ACQ23:ACT35 AMM23:AMP35 AWI23:AWL35 BGE23:BGH35 BQA23:BQD35 BZW23:BZZ35 CJS23:CJV35 CTO23:CTR35 DDK23:DDN35 DNG23:DNJ35 DXC23:DXF35 EGY23:EHB35 EQU23:EQX35 FAQ23:FAT35 FKM23:FKP35 FUI23:FUL35 GEE23:GEH35 GOA23:GOD35 GXW23:GXZ35 HHS23:HHV35 HRO23:HRR35 IBK23:IBN35 ILG23:ILJ35 IVC23:IVF35 JEY23:JFB35 JOU23:JOX35 JYQ23:JYT35 KIM23:KIP35 KSI23:KSL35 LCE23:LCH35 LMA23:LMD35 LVW23:LVZ35 MFS23:MFV35 MPO23:MPR35 MZK23:MZN35 NJG23:NJJ35 NTC23:NTF35 OCY23:ODB35 OMU23:OMX35 OWQ23:OWT35 PGM23:PGP35 PQI23:PQL35 QAE23:QAH35 QKA23:QKD35 QTW23:QTZ35 RDS23:RDV35 RNO23:RNR35 RXK23:RXN35 SHG23:SHJ35 SRC23:SRF35 TAY23:TBB35 TKU23:TKX35 TUQ23:TUT35 UEM23:UEP35 UOI23:UOL35 UYE23:UYH35 VIA23:VID35 VRW23:VRZ35 WBS23:WBV35 WLO23:WLR35 WVK23:WVN35 IY23:JB35">
      <formula1>$M$5:$M$11</formula1>
    </dataValidation>
    <dataValidation type="list" allowBlank="1" showInputMessage="1" showErrorMessage="1" promptTitle="Status Perkawinan" prompt="Dipilih status perkawinan Calon Debitur" sqref="WVK983041:WVN983041 WLO983041:WLR983041 WBS983041:WBV983041 VRW983041:VRZ983041 VIA983041:VID983041 UYE983041:UYH983041 UOI983041:UOL983041 UEM983041:UEP983041 TUQ983041:TUT983041 TKU983041:TKX983041 TAY983041:TBB983041 SRC983041:SRF983041 SHG983041:SHJ983041 RXK983041:RXN983041 RNO983041:RNR983041 RDS983041:RDV983041 QTW983041:QTZ983041 QKA983041:QKD983041 QAE983041:QAH983041 PQI983041:PQL983041 PGM983041:PGP983041 OWQ983041:OWT983041 OMU983041:OMX983041 OCY983041:ODB983041 NTC983041:NTF983041 NJG983041:NJJ983041 MZK983041:MZN983041 MPO983041:MPR983041 MFS983041:MFV983041 LVW983041:LVZ983041 LMA983041:LMD983041 LCE983041:LCH983041 KSI983041:KSL983041 KIM983041:KIP983041 JYQ983041:JYT983041 JOU983041:JOX983041 JEY983041:JFB983041 IVC983041:IVF983041 ILG983041:ILJ983041 IBK983041:IBN983041 HRO983041:HRR983041 HHS983041:HHV983041 GXW983041:GXZ983041 GOA983041:GOD983041 GEE983041:GEH983041 FUI983041:FUL983041 FKM983041:FKP983041 FAQ983041:FAT983041 EQU983041:EQX983041 EGY983041:EHB983041 DXC983041:DXF983041 DNG983041:DNJ983041 DDK983041:DDN983041 CTO983041:CTR983041 CJS983041:CJV983041 BZW983041:BZZ983041 BQA983041:BQD983041 BGE983041:BGH983041 AWI983041:AWL983041 AMM983041:AMP983041 ACQ983041:ACT983041 SU983041:SX983041 IY983041:JB983041 D983041:G983041 WVK917505:WVN917505 WLO917505:WLR917505 WBS917505:WBV917505 VRW917505:VRZ917505 VIA917505:VID917505 UYE917505:UYH917505 UOI917505:UOL917505 UEM917505:UEP917505 TUQ917505:TUT917505 TKU917505:TKX917505 TAY917505:TBB917505 SRC917505:SRF917505 SHG917505:SHJ917505 RXK917505:RXN917505 RNO917505:RNR917505 RDS917505:RDV917505 QTW917505:QTZ917505 QKA917505:QKD917505 QAE917505:QAH917505 PQI917505:PQL917505 PGM917505:PGP917505 OWQ917505:OWT917505 OMU917505:OMX917505 OCY917505:ODB917505 NTC917505:NTF917505 NJG917505:NJJ917505 MZK917505:MZN917505 MPO917505:MPR917505 MFS917505:MFV917505 LVW917505:LVZ917505 LMA917505:LMD917505 LCE917505:LCH917505 KSI917505:KSL917505 KIM917505:KIP917505 JYQ917505:JYT917505 JOU917505:JOX917505 JEY917505:JFB917505 IVC917505:IVF917505 ILG917505:ILJ917505 IBK917505:IBN917505 HRO917505:HRR917505 HHS917505:HHV917505 GXW917505:GXZ917505 GOA917505:GOD917505 GEE917505:GEH917505 FUI917505:FUL917505 FKM917505:FKP917505 FAQ917505:FAT917505 EQU917505:EQX917505 EGY917505:EHB917505 DXC917505:DXF917505 DNG917505:DNJ917505 DDK917505:DDN917505 CTO917505:CTR917505 CJS917505:CJV917505 BZW917505:BZZ917505 BQA917505:BQD917505 BGE917505:BGH917505 AWI917505:AWL917505 AMM917505:AMP917505 ACQ917505:ACT917505 SU917505:SX917505 IY917505:JB917505 D917505:G917505 WVK851969:WVN851969 WLO851969:WLR851969 WBS851969:WBV851969 VRW851969:VRZ851969 VIA851969:VID851969 UYE851969:UYH851969 UOI851969:UOL851969 UEM851969:UEP851969 TUQ851969:TUT851969 TKU851969:TKX851969 TAY851969:TBB851969 SRC851969:SRF851969 SHG851969:SHJ851969 RXK851969:RXN851969 RNO851969:RNR851969 RDS851969:RDV851969 QTW851969:QTZ851969 QKA851969:QKD851969 QAE851969:QAH851969 PQI851969:PQL851969 PGM851969:PGP851969 OWQ851969:OWT851969 OMU851969:OMX851969 OCY851969:ODB851969 NTC851969:NTF851969 NJG851969:NJJ851969 MZK851969:MZN851969 MPO851969:MPR851969 MFS851969:MFV851969 LVW851969:LVZ851969 LMA851969:LMD851969 LCE851969:LCH851969 KSI851969:KSL851969 KIM851969:KIP851969 JYQ851969:JYT851969 JOU851969:JOX851969 JEY851969:JFB851969 IVC851969:IVF851969 ILG851969:ILJ851969 IBK851969:IBN851969 HRO851969:HRR851969 HHS851969:HHV851969 GXW851969:GXZ851969 GOA851969:GOD851969 GEE851969:GEH851969 FUI851969:FUL851969 FKM851969:FKP851969 FAQ851969:FAT851969 EQU851969:EQX851969 EGY851969:EHB851969 DXC851969:DXF851969 DNG851969:DNJ851969 DDK851969:DDN851969 CTO851969:CTR851969 CJS851969:CJV851969 BZW851969:BZZ851969 BQA851969:BQD851969 BGE851969:BGH851969 AWI851969:AWL851969 AMM851969:AMP851969 ACQ851969:ACT851969 SU851969:SX851969 IY851969:JB851969 D851969:G851969 WVK786433:WVN786433 WLO786433:WLR786433 WBS786433:WBV786433 VRW786433:VRZ786433 VIA786433:VID786433 UYE786433:UYH786433 UOI786433:UOL786433 UEM786433:UEP786433 TUQ786433:TUT786433 TKU786433:TKX786433 TAY786433:TBB786433 SRC786433:SRF786433 SHG786433:SHJ786433 RXK786433:RXN786433 RNO786433:RNR786433 RDS786433:RDV786433 QTW786433:QTZ786433 QKA786433:QKD786433 QAE786433:QAH786433 PQI786433:PQL786433 PGM786433:PGP786433 OWQ786433:OWT786433 OMU786433:OMX786433 OCY786433:ODB786433 NTC786433:NTF786433 NJG786433:NJJ786433 MZK786433:MZN786433 MPO786433:MPR786433 MFS786433:MFV786433 LVW786433:LVZ786433 LMA786433:LMD786433 LCE786433:LCH786433 KSI786433:KSL786433 KIM786433:KIP786433 JYQ786433:JYT786433 JOU786433:JOX786433 JEY786433:JFB786433 IVC786433:IVF786433 ILG786433:ILJ786433 IBK786433:IBN786433 HRO786433:HRR786433 HHS786433:HHV786433 GXW786433:GXZ786433 GOA786433:GOD786433 GEE786433:GEH786433 FUI786433:FUL786433 FKM786433:FKP786433 FAQ786433:FAT786433 EQU786433:EQX786433 EGY786433:EHB786433 DXC786433:DXF786433 DNG786433:DNJ786433 DDK786433:DDN786433 CTO786433:CTR786433 CJS786433:CJV786433 BZW786433:BZZ786433 BQA786433:BQD786433 BGE786433:BGH786433 AWI786433:AWL786433 AMM786433:AMP786433 ACQ786433:ACT786433 SU786433:SX786433 IY786433:JB786433 D786433:G786433 WVK720897:WVN720897 WLO720897:WLR720897 WBS720897:WBV720897 VRW720897:VRZ720897 VIA720897:VID720897 UYE720897:UYH720897 UOI720897:UOL720897 UEM720897:UEP720897 TUQ720897:TUT720897 TKU720897:TKX720897 TAY720897:TBB720897 SRC720897:SRF720897 SHG720897:SHJ720897 RXK720897:RXN720897 RNO720897:RNR720897 RDS720897:RDV720897 QTW720897:QTZ720897 QKA720897:QKD720897 QAE720897:QAH720897 PQI720897:PQL720897 PGM720897:PGP720897 OWQ720897:OWT720897 OMU720897:OMX720897 OCY720897:ODB720897 NTC720897:NTF720897 NJG720897:NJJ720897 MZK720897:MZN720897 MPO720897:MPR720897 MFS720897:MFV720897 LVW720897:LVZ720897 LMA720897:LMD720897 LCE720897:LCH720897 KSI720897:KSL720897 KIM720897:KIP720897 JYQ720897:JYT720897 JOU720897:JOX720897 JEY720897:JFB720897 IVC720897:IVF720897 ILG720897:ILJ720897 IBK720897:IBN720897 HRO720897:HRR720897 HHS720897:HHV720897 GXW720897:GXZ720897 GOA720897:GOD720897 GEE720897:GEH720897 FUI720897:FUL720897 FKM720897:FKP720897 FAQ720897:FAT720897 EQU720897:EQX720897 EGY720897:EHB720897 DXC720897:DXF720897 DNG720897:DNJ720897 DDK720897:DDN720897 CTO720897:CTR720897 CJS720897:CJV720897 BZW720897:BZZ720897 BQA720897:BQD720897 BGE720897:BGH720897 AWI720897:AWL720897 AMM720897:AMP720897 ACQ720897:ACT720897 SU720897:SX720897 IY720897:JB720897 D720897:G720897 WVK655361:WVN655361 WLO655361:WLR655361 WBS655361:WBV655361 VRW655361:VRZ655361 VIA655361:VID655361 UYE655361:UYH655361 UOI655361:UOL655361 UEM655361:UEP655361 TUQ655361:TUT655361 TKU655361:TKX655361 TAY655361:TBB655361 SRC655361:SRF655361 SHG655361:SHJ655361 RXK655361:RXN655361 RNO655361:RNR655361 RDS655361:RDV655361 QTW655361:QTZ655361 QKA655361:QKD655361 QAE655361:QAH655361 PQI655361:PQL655361 PGM655361:PGP655361 OWQ655361:OWT655361 OMU655361:OMX655361 OCY655361:ODB655361 NTC655361:NTF655361 NJG655361:NJJ655361 MZK655361:MZN655361 MPO655361:MPR655361 MFS655361:MFV655361 LVW655361:LVZ655361 LMA655361:LMD655361 LCE655361:LCH655361 KSI655361:KSL655361 KIM655361:KIP655361 JYQ655361:JYT655361 JOU655361:JOX655361 JEY655361:JFB655361 IVC655361:IVF655361 ILG655361:ILJ655361 IBK655361:IBN655361 HRO655361:HRR655361 HHS655361:HHV655361 GXW655361:GXZ655361 GOA655361:GOD655361 GEE655361:GEH655361 FUI655361:FUL655361 FKM655361:FKP655361 FAQ655361:FAT655361 EQU655361:EQX655361 EGY655361:EHB655361 DXC655361:DXF655361 DNG655361:DNJ655361 DDK655361:DDN655361 CTO655361:CTR655361 CJS655361:CJV655361 BZW655361:BZZ655361 BQA655361:BQD655361 BGE655361:BGH655361 AWI655361:AWL655361 AMM655361:AMP655361 ACQ655361:ACT655361 SU655361:SX655361 IY655361:JB655361 D655361:G655361 WVK589825:WVN589825 WLO589825:WLR589825 WBS589825:WBV589825 VRW589825:VRZ589825 VIA589825:VID589825 UYE589825:UYH589825 UOI589825:UOL589825 UEM589825:UEP589825 TUQ589825:TUT589825 TKU589825:TKX589825 TAY589825:TBB589825 SRC589825:SRF589825 SHG589825:SHJ589825 RXK589825:RXN589825 RNO589825:RNR589825 RDS589825:RDV589825 QTW589825:QTZ589825 QKA589825:QKD589825 QAE589825:QAH589825 PQI589825:PQL589825 PGM589825:PGP589825 OWQ589825:OWT589825 OMU589825:OMX589825 OCY589825:ODB589825 NTC589825:NTF589825 NJG589825:NJJ589825 MZK589825:MZN589825 MPO589825:MPR589825 MFS589825:MFV589825 LVW589825:LVZ589825 LMA589825:LMD589825 LCE589825:LCH589825 KSI589825:KSL589825 KIM589825:KIP589825 JYQ589825:JYT589825 JOU589825:JOX589825 JEY589825:JFB589825 IVC589825:IVF589825 ILG589825:ILJ589825 IBK589825:IBN589825 HRO589825:HRR589825 HHS589825:HHV589825 GXW589825:GXZ589825 GOA589825:GOD589825 GEE589825:GEH589825 FUI589825:FUL589825 FKM589825:FKP589825 FAQ589825:FAT589825 EQU589825:EQX589825 EGY589825:EHB589825 DXC589825:DXF589825 DNG589825:DNJ589825 DDK589825:DDN589825 CTO589825:CTR589825 CJS589825:CJV589825 BZW589825:BZZ589825 BQA589825:BQD589825 BGE589825:BGH589825 AWI589825:AWL589825 AMM589825:AMP589825 ACQ589825:ACT589825 SU589825:SX589825 IY589825:JB589825 D589825:G589825 WVK524289:WVN524289 WLO524289:WLR524289 WBS524289:WBV524289 VRW524289:VRZ524289 VIA524289:VID524289 UYE524289:UYH524289 UOI524289:UOL524289 UEM524289:UEP524289 TUQ524289:TUT524289 TKU524289:TKX524289 TAY524289:TBB524289 SRC524289:SRF524289 SHG524289:SHJ524289 RXK524289:RXN524289 RNO524289:RNR524289 RDS524289:RDV524289 QTW524289:QTZ524289 QKA524289:QKD524289 QAE524289:QAH524289 PQI524289:PQL524289 PGM524289:PGP524289 OWQ524289:OWT524289 OMU524289:OMX524289 OCY524289:ODB524289 NTC524289:NTF524289 NJG524289:NJJ524289 MZK524289:MZN524289 MPO524289:MPR524289 MFS524289:MFV524289 LVW524289:LVZ524289 LMA524289:LMD524289 LCE524289:LCH524289 KSI524289:KSL524289 KIM524289:KIP524289 JYQ524289:JYT524289 JOU524289:JOX524289 JEY524289:JFB524289 IVC524289:IVF524289 ILG524289:ILJ524289 IBK524289:IBN524289 HRO524289:HRR524289 HHS524289:HHV524289 GXW524289:GXZ524289 GOA524289:GOD524289 GEE524289:GEH524289 FUI524289:FUL524289 FKM524289:FKP524289 FAQ524289:FAT524289 EQU524289:EQX524289 EGY524289:EHB524289 DXC524289:DXF524289 DNG524289:DNJ524289 DDK524289:DDN524289 CTO524289:CTR524289 CJS524289:CJV524289 BZW524289:BZZ524289 BQA524289:BQD524289 BGE524289:BGH524289 AWI524289:AWL524289 AMM524289:AMP524289 ACQ524289:ACT524289 SU524289:SX524289 IY524289:JB524289 D524289:G524289 WVK458753:WVN458753 WLO458753:WLR458753 WBS458753:WBV458753 VRW458753:VRZ458753 VIA458753:VID458753 UYE458753:UYH458753 UOI458753:UOL458753 UEM458753:UEP458753 TUQ458753:TUT458753 TKU458753:TKX458753 TAY458753:TBB458753 SRC458753:SRF458753 SHG458753:SHJ458753 RXK458753:RXN458753 RNO458753:RNR458753 RDS458753:RDV458753 QTW458753:QTZ458753 QKA458753:QKD458753 QAE458753:QAH458753 PQI458753:PQL458753 PGM458753:PGP458753 OWQ458753:OWT458753 OMU458753:OMX458753 OCY458753:ODB458753 NTC458753:NTF458753 NJG458753:NJJ458753 MZK458753:MZN458753 MPO458753:MPR458753 MFS458753:MFV458753 LVW458753:LVZ458753 LMA458753:LMD458753 LCE458753:LCH458753 KSI458753:KSL458753 KIM458753:KIP458753 JYQ458753:JYT458753 JOU458753:JOX458753 JEY458753:JFB458753 IVC458753:IVF458753 ILG458753:ILJ458753 IBK458753:IBN458753 HRO458753:HRR458753 HHS458753:HHV458753 GXW458753:GXZ458753 GOA458753:GOD458753 GEE458753:GEH458753 FUI458753:FUL458753 FKM458753:FKP458753 FAQ458753:FAT458753 EQU458753:EQX458753 EGY458753:EHB458753 DXC458753:DXF458753 DNG458753:DNJ458753 DDK458753:DDN458753 CTO458753:CTR458753 CJS458753:CJV458753 BZW458753:BZZ458753 BQA458753:BQD458753 BGE458753:BGH458753 AWI458753:AWL458753 AMM458753:AMP458753 ACQ458753:ACT458753 SU458753:SX458753 IY458753:JB458753 D458753:G458753 WVK393217:WVN393217 WLO393217:WLR393217 WBS393217:WBV393217 VRW393217:VRZ393217 VIA393217:VID393217 UYE393217:UYH393217 UOI393217:UOL393217 UEM393217:UEP393217 TUQ393217:TUT393217 TKU393217:TKX393217 TAY393217:TBB393217 SRC393217:SRF393217 SHG393217:SHJ393217 RXK393217:RXN393217 RNO393217:RNR393217 RDS393217:RDV393217 QTW393217:QTZ393217 QKA393217:QKD393217 QAE393217:QAH393217 PQI393217:PQL393217 PGM393217:PGP393217 OWQ393217:OWT393217 OMU393217:OMX393217 OCY393217:ODB393217 NTC393217:NTF393217 NJG393217:NJJ393217 MZK393217:MZN393217 MPO393217:MPR393217 MFS393217:MFV393217 LVW393217:LVZ393217 LMA393217:LMD393217 LCE393217:LCH393217 KSI393217:KSL393217 KIM393217:KIP393217 JYQ393217:JYT393217 JOU393217:JOX393217 JEY393217:JFB393217 IVC393217:IVF393217 ILG393217:ILJ393217 IBK393217:IBN393217 HRO393217:HRR393217 HHS393217:HHV393217 GXW393217:GXZ393217 GOA393217:GOD393217 GEE393217:GEH393217 FUI393217:FUL393217 FKM393217:FKP393217 FAQ393217:FAT393217 EQU393217:EQX393217 EGY393217:EHB393217 DXC393217:DXF393217 DNG393217:DNJ393217 DDK393217:DDN393217 CTO393217:CTR393217 CJS393217:CJV393217 BZW393217:BZZ393217 BQA393217:BQD393217 BGE393217:BGH393217 AWI393217:AWL393217 AMM393217:AMP393217 ACQ393217:ACT393217 SU393217:SX393217 IY393217:JB393217 D393217:G393217 WVK327681:WVN327681 WLO327681:WLR327681 WBS327681:WBV327681 VRW327681:VRZ327681 VIA327681:VID327681 UYE327681:UYH327681 UOI327681:UOL327681 UEM327681:UEP327681 TUQ327681:TUT327681 TKU327681:TKX327681 TAY327681:TBB327681 SRC327681:SRF327681 SHG327681:SHJ327681 RXK327681:RXN327681 RNO327681:RNR327681 RDS327681:RDV327681 QTW327681:QTZ327681 QKA327681:QKD327681 QAE327681:QAH327681 PQI327681:PQL327681 PGM327681:PGP327681 OWQ327681:OWT327681 OMU327681:OMX327681 OCY327681:ODB327681 NTC327681:NTF327681 NJG327681:NJJ327681 MZK327681:MZN327681 MPO327681:MPR327681 MFS327681:MFV327681 LVW327681:LVZ327681 LMA327681:LMD327681 LCE327681:LCH327681 KSI327681:KSL327681 KIM327681:KIP327681 JYQ327681:JYT327681 JOU327681:JOX327681 JEY327681:JFB327681 IVC327681:IVF327681 ILG327681:ILJ327681 IBK327681:IBN327681 HRO327681:HRR327681 HHS327681:HHV327681 GXW327681:GXZ327681 GOA327681:GOD327681 GEE327681:GEH327681 FUI327681:FUL327681 FKM327681:FKP327681 FAQ327681:FAT327681 EQU327681:EQX327681 EGY327681:EHB327681 DXC327681:DXF327681 DNG327681:DNJ327681 DDK327681:DDN327681 CTO327681:CTR327681 CJS327681:CJV327681 BZW327681:BZZ327681 BQA327681:BQD327681 BGE327681:BGH327681 AWI327681:AWL327681 AMM327681:AMP327681 ACQ327681:ACT327681 SU327681:SX327681 IY327681:JB327681 D327681:G327681 WVK262145:WVN262145 WLO262145:WLR262145 WBS262145:WBV262145 VRW262145:VRZ262145 VIA262145:VID262145 UYE262145:UYH262145 UOI262145:UOL262145 UEM262145:UEP262145 TUQ262145:TUT262145 TKU262145:TKX262145 TAY262145:TBB262145 SRC262145:SRF262145 SHG262145:SHJ262145 RXK262145:RXN262145 RNO262145:RNR262145 RDS262145:RDV262145 QTW262145:QTZ262145 QKA262145:QKD262145 QAE262145:QAH262145 PQI262145:PQL262145 PGM262145:PGP262145 OWQ262145:OWT262145 OMU262145:OMX262145 OCY262145:ODB262145 NTC262145:NTF262145 NJG262145:NJJ262145 MZK262145:MZN262145 MPO262145:MPR262145 MFS262145:MFV262145 LVW262145:LVZ262145 LMA262145:LMD262145 LCE262145:LCH262145 KSI262145:KSL262145 KIM262145:KIP262145 JYQ262145:JYT262145 JOU262145:JOX262145 JEY262145:JFB262145 IVC262145:IVF262145 ILG262145:ILJ262145 IBK262145:IBN262145 HRO262145:HRR262145 HHS262145:HHV262145 GXW262145:GXZ262145 GOA262145:GOD262145 GEE262145:GEH262145 FUI262145:FUL262145 FKM262145:FKP262145 FAQ262145:FAT262145 EQU262145:EQX262145 EGY262145:EHB262145 DXC262145:DXF262145 DNG262145:DNJ262145 DDK262145:DDN262145 CTO262145:CTR262145 CJS262145:CJV262145 BZW262145:BZZ262145 BQA262145:BQD262145 BGE262145:BGH262145 AWI262145:AWL262145 AMM262145:AMP262145 ACQ262145:ACT262145 SU262145:SX262145 IY262145:JB262145 D262145:G262145 WVK196609:WVN196609 WLO196609:WLR196609 WBS196609:WBV196609 VRW196609:VRZ196609 VIA196609:VID196609 UYE196609:UYH196609 UOI196609:UOL196609 UEM196609:UEP196609 TUQ196609:TUT196609 TKU196609:TKX196609 TAY196609:TBB196609 SRC196609:SRF196609 SHG196609:SHJ196609 RXK196609:RXN196609 RNO196609:RNR196609 RDS196609:RDV196609 QTW196609:QTZ196609 QKA196609:QKD196609 QAE196609:QAH196609 PQI196609:PQL196609 PGM196609:PGP196609 OWQ196609:OWT196609 OMU196609:OMX196609 OCY196609:ODB196609 NTC196609:NTF196609 NJG196609:NJJ196609 MZK196609:MZN196609 MPO196609:MPR196609 MFS196609:MFV196609 LVW196609:LVZ196609 LMA196609:LMD196609 LCE196609:LCH196609 KSI196609:KSL196609 KIM196609:KIP196609 JYQ196609:JYT196609 JOU196609:JOX196609 JEY196609:JFB196609 IVC196609:IVF196609 ILG196609:ILJ196609 IBK196609:IBN196609 HRO196609:HRR196609 HHS196609:HHV196609 GXW196609:GXZ196609 GOA196609:GOD196609 GEE196609:GEH196609 FUI196609:FUL196609 FKM196609:FKP196609 FAQ196609:FAT196609 EQU196609:EQX196609 EGY196609:EHB196609 DXC196609:DXF196609 DNG196609:DNJ196609 DDK196609:DDN196609 CTO196609:CTR196609 CJS196609:CJV196609 BZW196609:BZZ196609 BQA196609:BQD196609 BGE196609:BGH196609 AWI196609:AWL196609 AMM196609:AMP196609 ACQ196609:ACT196609 SU196609:SX196609 IY196609:JB196609 D196609:G196609 WVK131073:WVN131073 WLO131073:WLR131073 WBS131073:WBV131073 VRW131073:VRZ131073 VIA131073:VID131073 UYE131073:UYH131073 UOI131073:UOL131073 UEM131073:UEP131073 TUQ131073:TUT131073 TKU131073:TKX131073 TAY131073:TBB131073 SRC131073:SRF131073 SHG131073:SHJ131073 RXK131073:RXN131073 RNO131073:RNR131073 RDS131073:RDV131073 QTW131073:QTZ131073 QKA131073:QKD131073 QAE131073:QAH131073 PQI131073:PQL131073 PGM131073:PGP131073 OWQ131073:OWT131073 OMU131073:OMX131073 OCY131073:ODB131073 NTC131073:NTF131073 NJG131073:NJJ131073 MZK131073:MZN131073 MPO131073:MPR131073 MFS131073:MFV131073 LVW131073:LVZ131073 LMA131073:LMD131073 LCE131073:LCH131073 KSI131073:KSL131073 KIM131073:KIP131073 JYQ131073:JYT131073 JOU131073:JOX131073 JEY131073:JFB131073 IVC131073:IVF131073 ILG131073:ILJ131073 IBK131073:IBN131073 HRO131073:HRR131073 HHS131073:HHV131073 GXW131073:GXZ131073 GOA131073:GOD131073 GEE131073:GEH131073 FUI131073:FUL131073 FKM131073:FKP131073 FAQ131073:FAT131073 EQU131073:EQX131073 EGY131073:EHB131073 DXC131073:DXF131073 DNG131073:DNJ131073 DDK131073:DDN131073 CTO131073:CTR131073 CJS131073:CJV131073 BZW131073:BZZ131073 BQA131073:BQD131073 BGE131073:BGH131073 AWI131073:AWL131073 AMM131073:AMP131073 ACQ131073:ACT131073 SU131073:SX131073 IY131073:JB131073 D131073:G131073 WVK65537:WVN65537 WLO65537:WLR65537 WBS65537:WBV65537 VRW65537:VRZ65537 VIA65537:VID65537 UYE65537:UYH65537 UOI65537:UOL65537 UEM65537:UEP65537 TUQ65537:TUT65537 TKU65537:TKX65537 TAY65537:TBB65537 SRC65537:SRF65537 SHG65537:SHJ65537 RXK65537:RXN65537 RNO65537:RNR65537 RDS65537:RDV65537 QTW65537:QTZ65537 QKA65537:QKD65537 QAE65537:QAH65537 PQI65537:PQL65537 PGM65537:PGP65537 OWQ65537:OWT65537 OMU65537:OMX65537 OCY65537:ODB65537 NTC65537:NTF65537 NJG65537:NJJ65537 MZK65537:MZN65537 MPO65537:MPR65537 MFS65537:MFV65537 LVW65537:LVZ65537 LMA65537:LMD65537 LCE65537:LCH65537 KSI65537:KSL65537 KIM65537:KIP65537 JYQ65537:JYT65537 JOU65537:JOX65537 JEY65537:JFB65537 IVC65537:IVF65537 ILG65537:ILJ65537 IBK65537:IBN65537 HRO65537:HRR65537 HHS65537:HHV65537 GXW65537:GXZ65537 GOA65537:GOD65537 GEE65537:GEH65537 FUI65537:FUL65537 FKM65537:FKP65537 FAQ65537:FAT65537 EQU65537:EQX65537 EGY65537:EHB65537 DXC65537:DXF65537 DNG65537:DNJ65537 DDK65537:DDN65537 CTO65537:CTR65537 CJS65537:CJV65537 BZW65537:BZZ65537 BQA65537:BQD65537 BGE65537:BGH65537 AWI65537:AWL65537 AMM65537:AMP65537 ACQ65537:ACT65537 SU65537:SX65537 IY65537:JB65537 D65537:G65537 WVK21:WVN21 WLO21:WLR21 WBS21:WBV21 VRW21:VRZ21 VIA21:VID21 UYE21:UYH21 UOI21:UOL21 UEM21:UEP21 TUQ21:TUT21 TKU21:TKX21 TAY21:TBB21 SRC21:SRF21 SHG21:SHJ21 RXK21:RXN21 RNO21:RNR21 RDS21:RDV21 QTW21:QTZ21 QKA21:QKD21 QAE21:QAH21 PQI21:PQL21 PGM21:PGP21 OWQ21:OWT21 OMU21:OMX21 OCY21:ODB21 NTC21:NTF21 NJG21:NJJ21 MZK21:MZN21 MPO21:MPR21 MFS21:MFV21 LVW21:LVZ21 LMA21:LMD21 LCE21:LCH21 KSI21:KSL21 KIM21:KIP21 JYQ21:JYT21 JOU21:JOX21 JEY21:JFB21 IVC21:IVF21 ILG21:ILJ21 IBK21:IBN21 HRO21:HRR21 HHS21:HHV21 GXW21:GXZ21 GOA21:GOD21 GEE21:GEH21 FUI21:FUL21 FKM21:FKP21 FAQ21:FAT21 EQU21:EQX21 EGY21:EHB21 DXC21:DXF21 DNG21:DNJ21 DDK21:DDN21 CTO21:CTR21 CJS21:CJV21 BZW21:BZZ21 BQA21:BQD21 BGE21:BGH21 AWI21:AWL21 AMM21:AMP21 ACQ21:ACT21 SU21:SX21 IY21:JB21">
      <formula1>#REF!</formula1>
    </dataValidation>
    <dataValidation allowBlank="1" showInputMessage="1" showErrorMessage="1" promptTitle="Jenis Produk" prompt="Dijelaskan mengenai produk / jasa yang dihasilkan oleh Pemohon. Apabila memiliki berbagai macam jenis produk/jasa dapat dituliskan seluruhnya dengan dipisahkan oleh tanda ',' (koma) antara satu dengan lainnya." sqref="IY65563:JE65563 SU65563:TA65563 ACQ65563:ACW65563 AMM65563:AMS65563 AWI65563:AWO65563 BGE65563:BGK65563 BQA65563:BQG65563 BZW65563:CAC65563 CJS65563:CJY65563 CTO65563:CTU65563 DDK65563:DDQ65563 DNG65563:DNM65563 DXC65563:DXI65563 EGY65563:EHE65563 EQU65563:ERA65563 FAQ65563:FAW65563 FKM65563:FKS65563 FUI65563:FUO65563 GEE65563:GEK65563 GOA65563:GOG65563 GXW65563:GYC65563 HHS65563:HHY65563 HRO65563:HRU65563 IBK65563:IBQ65563 ILG65563:ILM65563 IVC65563:IVI65563 JEY65563:JFE65563 JOU65563:JPA65563 JYQ65563:JYW65563 KIM65563:KIS65563 KSI65563:KSO65563 LCE65563:LCK65563 LMA65563:LMG65563 LVW65563:LWC65563 MFS65563:MFY65563 MPO65563:MPU65563 MZK65563:MZQ65563 NJG65563:NJM65563 NTC65563:NTI65563 OCY65563:ODE65563 OMU65563:ONA65563 OWQ65563:OWW65563 PGM65563:PGS65563 PQI65563:PQO65563 QAE65563:QAK65563 QKA65563:QKG65563 QTW65563:QUC65563 RDS65563:RDY65563 RNO65563:RNU65563 RXK65563:RXQ65563 SHG65563:SHM65563 SRC65563:SRI65563 TAY65563:TBE65563 TKU65563:TLA65563 TUQ65563:TUW65563 UEM65563:UES65563 UOI65563:UOO65563 UYE65563:UYK65563 VIA65563:VIG65563 VRW65563:VSC65563 WBS65563:WBY65563 WLO65563:WLU65563 WVK65563:WVQ65563 IY131099:JE131099 SU131099:TA131099 ACQ131099:ACW131099 AMM131099:AMS131099 AWI131099:AWO131099 BGE131099:BGK131099 BQA131099:BQG131099 BZW131099:CAC131099 CJS131099:CJY131099 CTO131099:CTU131099 DDK131099:DDQ131099 DNG131099:DNM131099 DXC131099:DXI131099 EGY131099:EHE131099 EQU131099:ERA131099 FAQ131099:FAW131099 FKM131099:FKS131099 FUI131099:FUO131099 GEE131099:GEK131099 GOA131099:GOG131099 GXW131099:GYC131099 HHS131099:HHY131099 HRO131099:HRU131099 IBK131099:IBQ131099 ILG131099:ILM131099 IVC131099:IVI131099 JEY131099:JFE131099 JOU131099:JPA131099 JYQ131099:JYW131099 KIM131099:KIS131099 KSI131099:KSO131099 LCE131099:LCK131099 LMA131099:LMG131099 LVW131099:LWC131099 MFS131099:MFY131099 MPO131099:MPU131099 MZK131099:MZQ131099 NJG131099:NJM131099 NTC131099:NTI131099 OCY131099:ODE131099 OMU131099:ONA131099 OWQ131099:OWW131099 PGM131099:PGS131099 PQI131099:PQO131099 QAE131099:QAK131099 QKA131099:QKG131099 QTW131099:QUC131099 RDS131099:RDY131099 RNO131099:RNU131099 RXK131099:RXQ131099 SHG131099:SHM131099 SRC131099:SRI131099 TAY131099:TBE131099 TKU131099:TLA131099 TUQ131099:TUW131099 UEM131099:UES131099 UOI131099:UOO131099 UYE131099:UYK131099 VIA131099:VIG131099 VRW131099:VSC131099 WBS131099:WBY131099 WLO131099:WLU131099 WVK131099:WVQ131099 IY196635:JE196635 SU196635:TA196635 ACQ196635:ACW196635 AMM196635:AMS196635 AWI196635:AWO196635 BGE196635:BGK196635 BQA196635:BQG196635 BZW196635:CAC196635 CJS196635:CJY196635 CTO196635:CTU196635 DDK196635:DDQ196635 DNG196635:DNM196635 DXC196635:DXI196635 EGY196635:EHE196635 EQU196635:ERA196635 FAQ196635:FAW196635 FKM196635:FKS196635 FUI196635:FUO196635 GEE196635:GEK196635 GOA196635:GOG196635 GXW196635:GYC196635 HHS196635:HHY196635 HRO196635:HRU196635 IBK196635:IBQ196635 ILG196635:ILM196635 IVC196635:IVI196635 JEY196635:JFE196635 JOU196635:JPA196635 JYQ196635:JYW196635 KIM196635:KIS196635 KSI196635:KSO196635 LCE196635:LCK196635 LMA196635:LMG196635 LVW196635:LWC196635 MFS196635:MFY196635 MPO196635:MPU196635 MZK196635:MZQ196635 NJG196635:NJM196635 NTC196635:NTI196635 OCY196635:ODE196635 OMU196635:ONA196635 OWQ196635:OWW196635 PGM196635:PGS196635 PQI196635:PQO196635 QAE196635:QAK196635 QKA196635:QKG196635 QTW196635:QUC196635 RDS196635:RDY196635 RNO196635:RNU196635 RXK196635:RXQ196635 SHG196635:SHM196635 SRC196635:SRI196635 TAY196635:TBE196635 TKU196635:TLA196635 TUQ196635:TUW196635 UEM196635:UES196635 UOI196635:UOO196635 UYE196635:UYK196635 VIA196635:VIG196635 VRW196635:VSC196635 WBS196635:WBY196635 WLO196635:WLU196635 WVK196635:WVQ196635 IY262171:JE262171 SU262171:TA262171 ACQ262171:ACW262171 AMM262171:AMS262171 AWI262171:AWO262171 BGE262171:BGK262171 BQA262171:BQG262171 BZW262171:CAC262171 CJS262171:CJY262171 CTO262171:CTU262171 DDK262171:DDQ262171 DNG262171:DNM262171 DXC262171:DXI262171 EGY262171:EHE262171 EQU262171:ERA262171 FAQ262171:FAW262171 FKM262171:FKS262171 FUI262171:FUO262171 GEE262171:GEK262171 GOA262171:GOG262171 GXW262171:GYC262171 HHS262171:HHY262171 HRO262171:HRU262171 IBK262171:IBQ262171 ILG262171:ILM262171 IVC262171:IVI262171 JEY262171:JFE262171 JOU262171:JPA262171 JYQ262171:JYW262171 KIM262171:KIS262171 KSI262171:KSO262171 LCE262171:LCK262171 LMA262171:LMG262171 LVW262171:LWC262171 MFS262171:MFY262171 MPO262171:MPU262171 MZK262171:MZQ262171 NJG262171:NJM262171 NTC262171:NTI262171 OCY262171:ODE262171 OMU262171:ONA262171 OWQ262171:OWW262171 PGM262171:PGS262171 PQI262171:PQO262171 QAE262171:QAK262171 QKA262171:QKG262171 QTW262171:QUC262171 RDS262171:RDY262171 RNO262171:RNU262171 RXK262171:RXQ262171 SHG262171:SHM262171 SRC262171:SRI262171 TAY262171:TBE262171 TKU262171:TLA262171 TUQ262171:TUW262171 UEM262171:UES262171 UOI262171:UOO262171 UYE262171:UYK262171 VIA262171:VIG262171 VRW262171:VSC262171 WBS262171:WBY262171 WLO262171:WLU262171 WVK262171:WVQ262171 IY327707:JE327707 SU327707:TA327707 ACQ327707:ACW327707 AMM327707:AMS327707 AWI327707:AWO327707 BGE327707:BGK327707 BQA327707:BQG327707 BZW327707:CAC327707 CJS327707:CJY327707 CTO327707:CTU327707 DDK327707:DDQ327707 DNG327707:DNM327707 DXC327707:DXI327707 EGY327707:EHE327707 EQU327707:ERA327707 FAQ327707:FAW327707 FKM327707:FKS327707 FUI327707:FUO327707 GEE327707:GEK327707 GOA327707:GOG327707 GXW327707:GYC327707 HHS327707:HHY327707 HRO327707:HRU327707 IBK327707:IBQ327707 ILG327707:ILM327707 IVC327707:IVI327707 JEY327707:JFE327707 JOU327707:JPA327707 JYQ327707:JYW327707 KIM327707:KIS327707 KSI327707:KSO327707 LCE327707:LCK327707 LMA327707:LMG327707 LVW327707:LWC327707 MFS327707:MFY327707 MPO327707:MPU327707 MZK327707:MZQ327707 NJG327707:NJM327707 NTC327707:NTI327707 OCY327707:ODE327707 OMU327707:ONA327707 OWQ327707:OWW327707 PGM327707:PGS327707 PQI327707:PQO327707 QAE327707:QAK327707 QKA327707:QKG327707 QTW327707:QUC327707 RDS327707:RDY327707 RNO327707:RNU327707 RXK327707:RXQ327707 SHG327707:SHM327707 SRC327707:SRI327707 TAY327707:TBE327707 TKU327707:TLA327707 TUQ327707:TUW327707 UEM327707:UES327707 UOI327707:UOO327707 UYE327707:UYK327707 VIA327707:VIG327707 VRW327707:VSC327707 WBS327707:WBY327707 WLO327707:WLU327707 WVK327707:WVQ327707 IY393243:JE393243 SU393243:TA393243 ACQ393243:ACW393243 AMM393243:AMS393243 AWI393243:AWO393243 BGE393243:BGK393243 BQA393243:BQG393243 BZW393243:CAC393243 CJS393243:CJY393243 CTO393243:CTU393243 DDK393243:DDQ393243 DNG393243:DNM393243 DXC393243:DXI393243 EGY393243:EHE393243 EQU393243:ERA393243 FAQ393243:FAW393243 FKM393243:FKS393243 FUI393243:FUO393243 GEE393243:GEK393243 GOA393243:GOG393243 GXW393243:GYC393243 HHS393243:HHY393243 HRO393243:HRU393243 IBK393243:IBQ393243 ILG393243:ILM393243 IVC393243:IVI393243 JEY393243:JFE393243 JOU393243:JPA393243 JYQ393243:JYW393243 KIM393243:KIS393243 KSI393243:KSO393243 LCE393243:LCK393243 LMA393243:LMG393243 LVW393243:LWC393243 MFS393243:MFY393243 MPO393243:MPU393243 MZK393243:MZQ393243 NJG393243:NJM393243 NTC393243:NTI393243 OCY393243:ODE393243 OMU393243:ONA393243 OWQ393243:OWW393243 PGM393243:PGS393243 PQI393243:PQO393243 QAE393243:QAK393243 QKA393243:QKG393243 QTW393243:QUC393243 RDS393243:RDY393243 RNO393243:RNU393243 RXK393243:RXQ393243 SHG393243:SHM393243 SRC393243:SRI393243 TAY393243:TBE393243 TKU393243:TLA393243 TUQ393243:TUW393243 UEM393243:UES393243 UOI393243:UOO393243 UYE393243:UYK393243 VIA393243:VIG393243 VRW393243:VSC393243 WBS393243:WBY393243 WLO393243:WLU393243 WVK393243:WVQ393243 IY458779:JE458779 SU458779:TA458779 ACQ458779:ACW458779 AMM458779:AMS458779 AWI458779:AWO458779 BGE458779:BGK458779 BQA458779:BQG458779 BZW458779:CAC458779 CJS458779:CJY458779 CTO458779:CTU458779 DDK458779:DDQ458779 DNG458779:DNM458779 DXC458779:DXI458779 EGY458779:EHE458779 EQU458779:ERA458779 FAQ458779:FAW458779 FKM458779:FKS458779 FUI458779:FUO458779 GEE458779:GEK458779 GOA458779:GOG458779 GXW458779:GYC458779 HHS458779:HHY458779 HRO458779:HRU458779 IBK458779:IBQ458779 ILG458779:ILM458779 IVC458779:IVI458779 JEY458779:JFE458779 JOU458779:JPA458779 JYQ458779:JYW458779 KIM458779:KIS458779 KSI458779:KSO458779 LCE458779:LCK458779 LMA458779:LMG458779 LVW458779:LWC458779 MFS458779:MFY458779 MPO458779:MPU458779 MZK458779:MZQ458779 NJG458779:NJM458779 NTC458779:NTI458779 OCY458779:ODE458779 OMU458779:ONA458779 OWQ458779:OWW458779 PGM458779:PGS458779 PQI458779:PQO458779 QAE458779:QAK458779 QKA458779:QKG458779 QTW458779:QUC458779 RDS458779:RDY458779 RNO458779:RNU458779 RXK458779:RXQ458779 SHG458779:SHM458779 SRC458779:SRI458779 TAY458779:TBE458779 TKU458779:TLA458779 TUQ458779:TUW458779 UEM458779:UES458779 UOI458779:UOO458779 UYE458779:UYK458779 VIA458779:VIG458779 VRW458779:VSC458779 WBS458779:WBY458779 WLO458779:WLU458779 WVK458779:WVQ458779 IY524315:JE524315 SU524315:TA524315 ACQ524315:ACW524315 AMM524315:AMS524315 AWI524315:AWO524315 BGE524315:BGK524315 BQA524315:BQG524315 BZW524315:CAC524315 CJS524315:CJY524315 CTO524315:CTU524315 DDK524315:DDQ524315 DNG524315:DNM524315 DXC524315:DXI524315 EGY524315:EHE524315 EQU524315:ERA524315 FAQ524315:FAW524315 FKM524315:FKS524315 FUI524315:FUO524315 GEE524315:GEK524315 GOA524315:GOG524315 GXW524315:GYC524315 HHS524315:HHY524315 HRO524315:HRU524315 IBK524315:IBQ524315 ILG524315:ILM524315 IVC524315:IVI524315 JEY524315:JFE524315 JOU524315:JPA524315 JYQ524315:JYW524315 KIM524315:KIS524315 KSI524315:KSO524315 LCE524315:LCK524315 LMA524315:LMG524315 LVW524315:LWC524315 MFS524315:MFY524315 MPO524315:MPU524315 MZK524315:MZQ524315 NJG524315:NJM524315 NTC524315:NTI524315 OCY524315:ODE524315 OMU524315:ONA524315 OWQ524315:OWW524315 PGM524315:PGS524315 PQI524315:PQO524315 QAE524315:QAK524315 QKA524315:QKG524315 QTW524315:QUC524315 RDS524315:RDY524315 RNO524315:RNU524315 RXK524315:RXQ524315 SHG524315:SHM524315 SRC524315:SRI524315 TAY524315:TBE524315 TKU524315:TLA524315 TUQ524315:TUW524315 UEM524315:UES524315 UOI524315:UOO524315 UYE524315:UYK524315 VIA524315:VIG524315 VRW524315:VSC524315 WBS524315:WBY524315 WLO524315:WLU524315 WVK524315:WVQ524315 IY589851:JE589851 SU589851:TA589851 ACQ589851:ACW589851 AMM589851:AMS589851 AWI589851:AWO589851 BGE589851:BGK589851 BQA589851:BQG589851 BZW589851:CAC589851 CJS589851:CJY589851 CTO589851:CTU589851 DDK589851:DDQ589851 DNG589851:DNM589851 DXC589851:DXI589851 EGY589851:EHE589851 EQU589851:ERA589851 FAQ589851:FAW589851 FKM589851:FKS589851 FUI589851:FUO589851 GEE589851:GEK589851 GOA589851:GOG589851 GXW589851:GYC589851 HHS589851:HHY589851 HRO589851:HRU589851 IBK589851:IBQ589851 ILG589851:ILM589851 IVC589851:IVI589851 JEY589851:JFE589851 JOU589851:JPA589851 JYQ589851:JYW589851 KIM589851:KIS589851 KSI589851:KSO589851 LCE589851:LCK589851 LMA589851:LMG589851 LVW589851:LWC589851 MFS589851:MFY589851 MPO589851:MPU589851 MZK589851:MZQ589851 NJG589851:NJM589851 NTC589851:NTI589851 OCY589851:ODE589851 OMU589851:ONA589851 OWQ589851:OWW589851 PGM589851:PGS589851 PQI589851:PQO589851 QAE589851:QAK589851 QKA589851:QKG589851 QTW589851:QUC589851 RDS589851:RDY589851 RNO589851:RNU589851 RXK589851:RXQ589851 SHG589851:SHM589851 SRC589851:SRI589851 TAY589851:TBE589851 TKU589851:TLA589851 TUQ589851:TUW589851 UEM589851:UES589851 UOI589851:UOO589851 UYE589851:UYK589851 VIA589851:VIG589851 VRW589851:VSC589851 WBS589851:WBY589851 WLO589851:WLU589851 WVK589851:WVQ589851 IY655387:JE655387 SU655387:TA655387 ACQ655387:ACW655387 AMM655387:AMS655387 AWI655387:AWO655387 BGE655387:BGK655387 BQA655387:BQG655387 BZW655387:CAC655387 CJS655387:CJY655387 CTO655387:CTU655387 DDK655387:DDQ655387 DNG655387:DNM655387 DXC655387:DXI655387 EGY655387:EHE655387 EQU655387:ERA655387 FAQ655387:FAW655387 FKM655387:FKS655387 FUI655387:FUO655387 GEE655387:GEK655387 GOA655387:GOG655387 GXW655387:GYC655387 HHS655387:HHY655387 HRO655387:HRU655387 IBK655387:IBQ655387 ILG655387:ILM655387 IVC655387:IVI655387 JEY655387:JFE655387 JOU655387:JPA655387 JYQ655387:JYW655387 KIM655387:KIS655387 KSI655387:KSO655387 LCE655387:LCK655387 LMA655387:LMG655387 LVW655387:LWC655387 MFS655387:MFY655387 MPO655387:MPU655387 MZK655387:MZQ655387 NJG655387:NJM655387 NTC655387:NTI655387 OCY655387:ODE655387 OMU655387:ONA655387 OWQ655387:OWW655387 PGM655387:PGS655387 PQI655387:PQO655387 QAE655387:QAK655387 QKA655387:QKG655387 QTW655387:QUC655387 RDS655387:RDY655387 RNO655387:RNU655387 RXK655387:RXQ655387 SHG655387:SHM655387 SRC655387:SRI655387 TAY655387:TBE655387 TKU655387:TLA655387 TUQ655387:TUW655387 UEM655387:UES655387 UOI655387:UOO655387 UYE655387:UYK655387 VIA655387:VIG655387 VRW655387:VSC655387 WBS655387:WBY655387 WLO655387:WLU655387 WVK655387:WVQ655387 IY720923:JE720923 SU720923:TA720923 ACQ720923:ACW720923 AMM720923:AMS720923 AWI720923:AWO720923 BGE720923:BGK720923 BQA720923:BQG720923 BZW720923:CAC720923 CJS720923:CJY720923 CTO720923:CTU720923 DDK720923:DDQ720923 DNG720923:DNM720923 DXC720923:DXI720923 EGY720923:EHE720923 EQU720923:ERA720923 FAQ720923:FAW720923 FKM720923:FKS720923 FUI720923:FUO720923 GEE720923:GEK720923 GOA720923:GOG720923 GXW720923:GYC720923 HHS720923:HHY720923 HRO720923:HRU720923 IBK720923:IBQ720923 ILG720923:ILM720923 IVC720923:IVI720923 JEY720923:JFE720923 JOU720923:JPA720923 JYQ720923:JYW720923 KIM720923:KIS720923 KSI720923:KSO720923 LCE720923:LCK720923 LMA720923:LMG720923 LVW720923:LWC720923 MFS720923:MFY720923 MPO720923:MPU720923 MZK720923:MZQ720923 NJG720923:NJM720923 NTC720923:NTI720923 OCY720923:ODE720923 OMU720923:ONA720923 OWQ720923:OWW720923 PGM720923:PGS720923 PQI720923:PQO720923 QAE720923:QAK720923 QKA720923:QKG720923 QTW720923:QUC720923 RDS720923:RDY720923 RNO720923:RNU720923 RXK720923:RXQ720923 SHG720923:SHM720923 SRC720923:SRI720923 TAY720923:TBE720923 TKU720923:TLA720923 TUQ720923:TUW720923 UEM720923:UES720923 UOI720923:UOO720923 UYE720923:UYK720923 VIA720923:VIG720923 VRW720923:VSC720923 WBS720923:WBY720923 WLO720923:WLU720923 WVK720923:WVQ720923 IY786459:JE786459 SU786459:TA786459 ACQ786459:ACW786459 AMM786459:AMS786459 AWI786459:AWO786459 BGE786459:BGK786459 BQA786459:BQG786459 BZW786459:CAC786459 CJS786459:CJY786459 CTO786459:CTU786459 DDK786459:DDQ786459 DNG786459:DNM786459 DXC786459:DXI786459 EGY786459:EHE786459 EQU786459:ERA786459 FAQ786459:FAW786459 FKM786459:FKS786459 FUI786459:FUO786459 GEE786459:GEK786459 GOA786459:GOG786459 GXW786459:GYC786459 HHS786459:HHY786459 HRO786459:HRU786459 IBK786459:IBQ786459 ILG786459:ILM786459 IVC786459:IVI786459 JEY786459:JFE786459 JOU786459:JPA786459 JYQ786459:JYW786459 KIM786459:KIS786459 KSI786459:KSO786459 LCE786459:LCK786459 LMA786459:LMG786459 LVW786459:LWC786459 MFS786459:MFY786459 MPO786459:MPU786459 MZK786459:MZQ786459 NJG786459:NJM786459 NTC786459:NTI786459 OCY786459:ODE786459 OMU786459:ONA786459 OWQ786459:OWW786459 PGM786459:PGS786459 PQI786459:PQO786459 QAE786459:QAK786459 QKA786459:QKG786459 QTW786459:QUC786459 RDS786459:RDY786459 RNO786459:RNU786459 RXK786459:RXQ786459 SHG786459:SHM786459 SRC786459:SRI786459 TAY786459:TBE786459 TKU786459:TLA786459 TUQ786459:TUW786459 UEM786459:UES786459 UOI786459:UOO786459 UYE786459:UYK786459 VIA786459:VIG786459 VRW786459:VSC786459 WBS786459:WBY786459 WLO786459:WLU786459 WVK786459:WVQ786459 IY851995:JE851995 SU851995:TA851995 ACQ851995:ACW851995 AMM851995:AMS851995 AWI851995:AWO851995 BGE851995:BGK851995 BQA851995:BQG851995 BZW851995:CAC851995 CJS851995:CJY851995 CTO851995:CTU851995 DDK851995:DDQ851995 DNG851995:DNM851995 DXC851995:DXI851995 EGY851995:EHE851995 EQU851995:ERA851995 FAQ851995:FAW851995 FKM851995:FKS851995 FUI851995:FUO851995 GEE851995:GEK851995 GOA851995:GOG851995 GXW851995:GYC851995 HHS851995:HHY851995 HRO851995:HRU851995 IBK851995:IBQ851995 ILG851995:ILM851995 IVC851995:IVI851995 JEY851995:JFE851995 JOU851995:JPA851995 JYQ851995:JYW851995 KIM851995:KIS851995 KSI851995:KSO851995 LCE851995:LCK851995 LMA851995:LMG851995 LVW851995:LWC851995 MFS851995:MFY851995 MPO851995:MPU851995 MZK851995:MZQ851995 NJG851995:NJM851995 NTC851995:NTI851995 OCY851995:ODE851995 OMU851995:ONA851995 OWQ851995:OWW851995 PGM851995:PGS851995 PQI851995:PQO851995 QAE851995:QAK851995 QKA851995:QKG851995 QTW851995:QUC851995 RDS851995:RDY851995 RNO851995:RNU851995 RXK851995:RXQ851995 SHG851995:SHM851995 SRC851995:SRI851995 TAY851995:TBE851995 TKU851995:TLA851995 TUQ851995:TUW851995 UEM851995:UES851995 UOI851995:UOO851995 UYE851995:UYK851995 VIA851995:VIG851995 VRW851995:VSC851995 WBS851995:WBY851995 WLO851995:WLU851995 WVK851995:WVQ851995 IY917531:JE917531 SU917531:TA917531 ACQ917531:ACW917531 AMM917531:AMS917531 AWI917531:AWO917531 BGE917531:BGK917531 BQA917531:BQG917531 BZW917531:CAC917531 CJS917531:CJY917531 CTO917531:CTU917531 DDK917531:DDQ917531 DNG917531:DNM917531 DXC917531:DXI917531 EGY917531:EHE917531 EQU917531:ERA917531 FAQ917531:FAW917531 FKM917531:FKS917531 FUI917531:FUO917531 GEE917531:GEK917531 GOA917531:GOG917531 GXW917531:GYC917531 HHS917531:HHY917531 HRO917531:HRU917531 IBK917531:IBQ917531 ILG917531:ILM917531 IVC917531:IVI917531 JEY917531:JFE917531 JOU917531:JPA917531 JYQ917531:JYW917531 KIM917531:KIS917531 KSI917531:KSO917531 LCE917531:LCK917531 LMA917531:LMG917531 LVW917531:LWC917531 MFS917531:MFY917531 MPO917531:MPU917531 MZK917531:MZQ917531 NJG917531:NJM917531 NTC917531:NTI917531 OCY917531:ODE917531 OMU917531:ONA917531 OWQ917531:OWW917531 PGM917531:PGS917531 PQI917531:PQO917531 QAE917531:QAK917531 QKA917531:QKG917531 QTW917531:QUC917531 RDS917531:RDY917531 RNO917531:RNU917531 RXK917531:RXQ917531 SHG917531:SHM917531 SRC917531:SRI917531 TAY917531:TBE917531 TKU917531:TLA917531 TUQ917531:TUW917531 UEM917531:UES917531 UOI917531:UOO917531 UYE917531:UYK917531 VIA917531:VIG917531 VRW917531:VSC917531 WBS917531:WBY917531 WLO917531:WLU917531 WVK917531:WVQ917531 IY983067:JE983067 SU983067:TA983067 ACQ983067:ACW983067 AMM983067:AMS983067 AWI983067:AWO983067 BGE983067:BGK983067 BQA983067:BQG983067 BZW983067:CAC983067 CJS983067:CJY983067 CTO983067:CTU983067 DDK983067:DDQ983067 DNG983067:DNM983067 DXC983067:DXI983067 EGY983067:EHE983067 EQU983067:ERA983067 FAQ983067:FAW983067 FKM983067:FKS983067 FUI983067:FUO983067 GEE983067:GEK983067 GOA983067:GOG983067 GXW983067:GYC983067 HHS983067:HHY983067 HRO983067:HRU983067 IBK983067:IBQ983067 ILG983067:ILM983067 IVC983067:IVI983067 JEY983067:JFE983067 JOU983067:JPA983067 JYQ983067:JYW983067 KIM983067:KIS983067 KSI983067:KSO983067 LCE983067:LCK983067 LMA983067:LMG983067 LVW983067:LWC983067 MFS983067:MFY983067 MPO983067:MPU983067 MZK983067:MZQ983067 NJG983067:NJM983067 NTC983067:NTI983067 OCY983067:ODE983067 OMU983067:ONA983067 OWQ983067:OWW983067 PGM983067:PGS983067 PQI983067:PQO983067 QAE983067:QAK983067 QKA983067:QKG983067 QTW983067:QUC983067 RDS983067:RDY983067 RNO983067:RNU983067 RXK983067:RXQ983067 SHG983067:SHM983067 SRC983067:SRI983067 TAY983067:TBE983067 TKU983067:TLA983067 TUQ983067:TUW983067 UEM983067:UES983067 UOI983067:UOO983067 UYE983067:UYK983067 VIA983067:VIG983067 VRW983067:VSC983067 WBS983067:WBY983067 WLO983067:WLU983067 WVK983067:WVQ983067 D983067:J983067 D917531:J917531 D851995:J851995 D786459:J786459 D720923:J720923 D655387:J655387 D589851:J589851 D524315:J524315 D458779:J458779 D393243:J393243 D327707:J327707 D262171:J262171 D196635:J196635 D131099:J131099 D65563:J65563"/>
    <dataValidation allowBlank="1" showInputMessage="1" showErrorMessage="1" promptTitle="Jenis Usaha Lainnya" prompt="Sebutkan jenis usaha Pemohon apabila memilih Jenis Usaha 'Lainnya'" sqref="JB65562:JE65562 SX65562:TA65562 ACT65562:ACW65562 AMP65562:AMS65562 AWL65562:AWO65562 BGH65562:BGK65562 BQD65562:BQG65562 BZZ65562:CAC65562 CJV65562:CJY65562 CTR65562:CTU65562 DDN65562:DDQ65562 DNJ65562:DNM65562 DXF65562:DXI65562 EHB65562:EHE65562 EQX65562:ERA65562 FAT65562:FAW65562 FKP65562:FKS65562 FUL65562:FUO65562 GEH65562:GEK65562 GOD65562:GOG65562 GXZ65562:GYC65562 HHV65562:HHY65562 HRR65562:HRU65562 IBN65562:IBQ65562 ILJ65562:ILM65562 IVF65562:IVI65562 JFB65562:JFE65562 JOX65562:JPA65562 JYT65562:JYW65562 KIP65562:KIS65562 KSL65562:KSO65562 LCH65562:LCK65562 LMD65562:LMG65562 LVZ65562:LWC65562 MFV65562:MFY65562 MPR65562:MPU65562 MZN65562:MZQ65562 NJJ65562:NJM65562 NTF65562:NTI65562 ODB65562:ODE65562 OMX65562:ONA65562 OWT65562:OWW65562 PGP65562:PGS65562 PQL65562:PQO65562 QAH65562:QAK65562 QKD65562:QKG65562 QTZ65562:QUC65562 RDV65562:RDY65562 RNR65562:RNU65562 RXN65562:RXQ65562 SHJ65562:SHM65562 SRF65562:SRI65562 TBB65562:TBE65562 TKX65562:TLA65562 TUT65562:TUW65562 UEP65562:UES65562 UOL65562:UOO65562 UYH65562:UYK65562 VID65562:VIG65562 VRZ65562:VSC65562 WBV65562:WBY65562 WLR65562:WLU65562 WVN65562:WVQ65562 JB131098:JE131098 SX131098:TA131098 ACT131098:ACW131098 AMP131098:AMS131098 AWL131098:AWO131098 BGH131098:BGK131098 BQD131098:BQG131098 BZZ131098:CAC131098 CJV131098:CJY131098 CTR131098:CTU131098 DDN131098:DDQ131098 DNJ131098:DNM131098 DXF131098:DXI131098 EHB131098:EHE131098 EQX131098:ERA131098 FAT131098:FAW131098 FKP131098:FKS131098 FUL131098:FUO131098 GEH131098:GEK131098 GOD131098:GOG131098 GXZ131098:GYC131098 HHV131098:HHY131098 HRR131098:HRU131098 IBN131098:IBQ131098 ILJ131098:ILM131098 IVF131098:IVI131098 JFB131098:JFE131098 JOX131098:JPA131098 JYT131098:JYW131098 KIP131098:KIS131098 KSL131098:KSO131098 LCH131098:LCK131098 LMD131098:LMG131098 LVZ131098:LWC131098 MFV131098:MFY131098 MPR131098:MPU131098 MZN131098:MZQ131098 NJJ131098:NJM131098 NTF131098:NTI131098 ODB131098:ODE131098 OMX131098:ONA131098 OWT131098:OWW131098 PGP131098:PGS131098 PQL131098:PQO131098 QAH131098:QAK131098 QKD131098:QKG131098 QTZ131098:QUC131098 RDV131098:RDY131098 RNR131098:RNU131098 RXN131098:RXQ131098 SHJ131098:SHM131098 SRF131098:SRI131098 TBB131098:TBE131098 TKX131098:TLA131098 TUT131098:TUW131098 UEP131098:UES131098 UOL131098:UOO131098 UYH131098:UYK131098 VID131098:VIG131098 VRZ131098:VSC131098 WBV131098:WBY131098 WLR131098:WLU131098 WVN131098:WVQ131098 JB196634:JE196634 SX196634:TA196634 ACT196634:ACW196634 AMP196634:AMS196634 AWL196634:AWO196634 BGH196634:BGK196634 BQD196634:BQG196634 BZZ196634:CAC196634 CJV196634:CJY196634 CTR196634:CTU196634 DDN196634:DDQ196634 DNJ196634:DNM196634 DXF196634:DXI196634 EHB196634:EHE196634 EQX196634:ERA196634 FAT196634:FAW196634 FKP196634:FKS196634 FUL196634:FUO196634 GEH196634:GEK196634 GOD196634:GOG196634 GXZ196634:GYC196634 HHV196634:HHY196634 HRR196634:HRU196634 IBN196634:IBQ196634 ILJ196634:ILM196634 IVF196634:IVI196634 JFB196634:JFE196634 JOX196634:JPA196634 JYT196634:JYW196634 KIP196634:KIS196634 KSL196634:KSO196634 LCH196634:LCK196634 LMD196634:LMG196634 LVZ196634:LWC196634 MFV196634:MFY196634 MPR196634:MPU196634 MZN196634:MZQ196634 NJJ196634:NJM196634 NTF196634:NTI196634 ODB196634:ODE196634 OMX196634:ONA196634 OWT196634:OWW196634 PGP196634:PGS196634 PQL196634:PQO196634 QAH196634:QAK196634 QKD196634:QKG196634 QTZ196634:QUC196634 RDV196634:RDY196634 RNR196634:RNU196634 RXN196634:RXQ196634 SHJ196634:SHM196634 SRF196634:SRI196634 TBB196634:TBE196634 TKX196634:TLA196634 TUT196634:TUW196634 UEP196634:UES196634 UOL196634:UOO196634 UYH196634:UYK196634 VID196634:VIG196634 VRZ196634:VSC196634 WBV196634:WBY196634 WLR196634:WLU196634 WVN196634:WVQ196634 JB262170:JE262170 SX262170:TA262170 ACT262170:ACW262170 AMP262170:AMS262170 AWL262170:AWO262170 BGH262170:BGK262170 BQD262170:BQG262170 BZZ262170:CAC262170 CJV262170:CJY262170 CTR262170:CTU262170 DDN262170:DDQ262170 DNJ262170:DNM262170 DXF262170:DXI262170 EHB262170:EHE262170 EQX262170:ERA262170 FAT262170:FAW262170 FKP262170:FKS262170 FUL262170:FUO262170 GEH262170:GEK262170 GOD262170:GOG262170 GXZ262170:GYC262170 HHV262170:HHY262170 HRR262170:HRU262170 IBN262170:IBQ262170 ILJ262170:ILM262170 IVF262170:IVI262170 JFB262170:JFE262170 JOX262170:JPA262170 JYT262170:JYW262170 KIP262170:KIS262170 KSL262170:KSO262170 LCH262170:LCK262170 LMD262170:LMG262170 LVZ262170:LWC262170 MFV262170:MFY262170 MPR262170:MPU262170 MZN262170:MZQ262170 NJJ262170:NJM262170 NTF262170:NTI262170 ODB262170:ODE262170 OMX262170:ONA262170 OWT262170:OWW262170 PGP262170:PGS262170 PQL262170:PQO262170 QAH262170:QAK262170 QKD262170:QKG262170 QTZ262170:QUC262170 RDV262170:RDY262170 RNR262170:RNU262170 RXN262170:RXQ262170 SHJ262170:SHM262170 SRF262170:SRI262170 TBB262170:TBE262170 TKX262170:TLA262170 TUT262170:TUW262170 UEP262170:UES262170 UOL262170:UOO262170 UYH262170:UYK262170 VID262170:VIG262170 VRZ262170:VSC262170 WBV262170:WBY262170 WLR262170:WLU262170 WVN262170:WVQ262170 JB327706:JE327706 SX327706:TA327706 ACT327706:ACW327706 AMP327706:AMS327706 AWL327706:AWO327706 BGH327706:BGK327706 BQD327706:BQG327706 BZZ327706:CAC327706 CJV327706:CJY327706 CTR327706:CTU327706 DDN327706:DDQ327706 DNJ327706:DNM327706 DXF327706:DXI327706 EHB327706:EHE327706 EQX327706:ERA327706 FAT327706:FAW327706 FKP327706:FKS327706 FUL327706:FUO327706 GEH327706:GEK327706 GOD327706:GOG327706 GXZ327706:GYC327706 HHV327706:HHY327706 HRR327706:HRU327706 IBN327706:IBQ327706 ILJ327706:ILM327706 IVF327706:IVI327706 JFB327706:JFE327706 JOX327706:JPA327706 JYT327706:JYW327706 KIP327706:KIS327706 KSL327706:KSO327706 LCH327706:LCK327706 LMD327706:LMG327706 LVZ327706:LWC327706 MFV327706:MFY327706 MPR327706:MPU327706 MZN327706:MZQ327706 NJJ327706:NJM327706 NTF327706:NTI327706 ODB327706:ODE327706 OMX327706:ONA327706 OWT327706:OWW327706 PGP327706:PGS327706 PQL327706:PQO327706 QAH327706:QAK327706 QKD327706:QKG327706 QTZ327706:QUC327706 RDV327706:RDY327706 RNR327706:RNU327706 RXN327706:RXQ327706 SHJ327706:SHM327706 SRF327706:SRI327706 TBB327706:TBE327706 TKX327706:TLA327706 TUT327706:TUW327706 UEP327706:UES327706 UOL327706:UOO327706 UYH327706:UYK327706 VID327706:VIG327706 VRZ327706:VSC327706 WBV327706:WBY327706 WLR327706:WLU327706 WVN327706:WVQ327706 JB393242:JE393242 SX393242:TA393242 ACT393242:ACW393242 AMP393242:AMS393242 AWL393242:AWO393242 BGH393242:BGK393242 BQD393242:BQG393242 BZZ393242:CAC393242 CJV393242:CJY393242 CTR393242:CTU393242 DDN393242:DDQ393242 DNJ393242:DNM393242 DXF393242:DXI393242 EHB393242:EHE393242 EQX393242:ERA393242 FAT393242:FAW393242 FKP393242:FKS393242 FUL393242:FUO393242 GEH393242:GEK393242 GOD393242:GOG393242 GXZ393242:GYC393242 HHV393242:HHY393242 HRR393242:HRU393242 IBN393242:IBQ393242 ILJ393242:ILM393242 IVF393242:IVI393242 JFB393242:JFE393242 JOX393242:JPA393242 JYT393242:JYW393242 KIP393242:KIS393242 KSL393242:KSO393242 LCH393242:LCK393242 LMD393242:LMG393242 LVZ393242:LWC393242 MFV393242:MFY393242 MPR393242:MPU393242 MZN393242:MZQ393242 NJJ393242:NJM393242 NTF393242:NTI393242 ODB393242:ODE393242 OMX393242:ONA393242 OWT393242:OWW393242 PGP393242:PGS393242 PQL393242:PQO393242 QAH393242:QAK393242 QKD393242:QKG393242 QTZ393242:QUC393242 RDV393242:RDY393242 RNR393242:RNU393242 RXN393242:RXQ393242 SHJ393242:SHM393242 SRF393242:SRI393242 TBB393242:TBE393242 TKX393242:TLA393242 TUT393242:TUW393242 UEP393242:UES393242 UOL393242:UOO393242 UYH393242:UYK393242 VID393242:VIG393242 VRZ393242:VSC393242 WBV393242:WBY393242 WLR393242:WLU393242 WVN393242:WVQ393242 JB458778:JE458778 SX458778:TA458778 ACT458778:ACW458778 AMP458778:AMS458778 AWL458778:AWO458778 BGH458778:BGK458778 BQD458778:BQG458778 BZZ458778:CAC458778 CJV458778:CJY458778 CTR458778:CTU458778 DDN458778:DDQ458778 DNJ458778:DNM458778 DXF458778:DXI458778 EHB458778:EHE458778 EQX458778:ERA458778 FAT458778:FAW458778 FKP458778:FKS458778 FUL458778:FUO458778 GEH458778:GEK458778 GOD458778:GOG458778 GXZ458778:GYC458778 HHV458778:HHY458778 HRR458778:HRU458778 IBN458778:IBQ458778 ILJ458778:ILM458778 IVF458778:IVI458778 JFB458778:JFE458778 JOX458778:JPA458778 JYT458778:JYW458778 KIP458778:KIS458778 KSL458778:KSO458778 LCH458778:LCK458778 LMD458778:LMG458778 LVZ458778:LWC458778 MFV458778:MFY458778 MPR458778:MPU458778 MZN458778:MZQ458778 NJJ458778:NJM458778 NTF458778:NTI458778 ODB458778:ODE458778 OMX458778:ONA458778 OWT458778:OWW458778 PGP458778:PGS458778 PQL458778:PQO458778 QAH458778:QAK458778 QKD458778:QKG458778 QTZ458778:QUC458778 RDV458778:RDY458778 RNR458778:RNU458778 RXN458778:RXQ458778 SHJ458778:SHM458778 SRF458778:SRI458778 TBB458778:TBE458778 TKX458778:TLA458778 TUT458778:TUW458778 UEP458778:UES458778 UOL458778:UOO458778 UYH458778:UYK458778 VID458778:VIG458778 VRZ458778:VSC458778 WBV458778:WBY458778 WLR458778:WLU458778 WVN458778:WVQ458778 JB524314:JE524314 SX524314:TA524314 ACT524314:ACW524314 AMP524314:AMS524314 AWL524314:AWO524314 BGH524314:BGK524314 BQD524314:BQG524314 BZZ524314:CAC524314 CJV524314:CJY524314 CTR524314:CTU524314 DDN524314:DDQ524314 DNJ524314:DNM524314 DXF524314:DXI524314 EHB524314:EHE524314 EQX524314:ERA524314 FAT524314:FAW524314 FKP524314:FKS524314 FUL524314:FUO524314 GEH524314:GEK524314 GOD524314:GOG524314 GXZ524314:GYC524314 HHV524314:HHY524314 HRR524314:HRU524314 IBN524314:IBQ524314 ILJ524314:ILM524314 IVF524314:IVI524314 JFB524314:JFE524314 JOX524314:JPA524314 JYT524314:JYW524314 KIP524314:KIS524314 KSL524314:KSO524314 LCH524314:LCK524314 LMD524314:LMG524314 LVZ524314:LWC524314 MFV524314:MFY524314 MPR524314:MPU524314 MZN524314:MZQ524314 NJJ524314:NJM524314 NTF524314:NTI524314 ODB524314:ODE524314 OMX524314:ONA524314 OWT524314:OWW524314 PGP524314:PGS524314 PQL524314:PQO524314 QAH524314:QAK524314 QKD524314:QKG524314 QTZ524314:QUC524314 RDV524314:RDY524314 RNR524314:RNU524314 RXN524314:RXQ524314 SHJ524314:SHM524314 SRF524314:SRI524314 TBB524314:TBE524314 TKX524314:TLA524314 TUT524314:TUW524314 UEP524314:UES524314 UOL524314:UOO524314 UYH524314:UYK524314 VID524314:VIG524314 VRZ524314:VSC524314 WBV524314:WBY524314 WLR524314:WLU524314 WVN524314:WVQ524314 JB589850:JE589850 SX589850:TA589850 ACT589850:ACW589850 AMP589850:AMS589850 AWL589850:AWO589850 BGH589850:BGK589850 BQD589850:BQG589850 BZZ589850:CAC589850 CJV589850:CJY589850 CTR589850:CTU589850 DDN589850:DDQ589850 DNJ589850:DNM589850 DXF589850:DXI589850 EHB589850:EHE589850 EQX589850:ERA589850 FAT589850:FAW589850 FKP589850:FKS589850 FUL589850:FUO589850 GEH589850:GEK589850 GOD589850:GOG589850 GXZ589850:GYC589850 HHV589850:HHY589850 HRR589850:HRU589850 IBN589850:IBQ589850 ILJ589850:ILM589850 IVF589850:IVI589850 JFB589850:JFE589850 JOX589850:JPA589850 JYT589850:JYW589850 KIP589850:KIS589850 KSL589850:KSO589850 LCH589850:LCK589850 LMD589850:LMG589850 LVZ589850:LWC589850 MFV589850:MFY589850 MPR589850:MPU589850 MZN589850:MZQ589850 NJJ589850:NJM589850 NTF589850:NTI589850 ODB589850:ODE589850 OMX589850:ONA589850 OWT589850:OWW589850 PGP589850:PGS589850 PQL589850:PQO589850 QAH589850:QAK589850 QKD589850:QKG589850 QTZ589850:QUC589850 RDV589850:RDY589850 RNR589850:RNU589850 RXN589850:RXQ589850 SHJ589850:SHM589850 SRF589850:SRI589850 TBB589850:TBE589850 TKX589850:TLA589850 TUT589850:TUW589850 UEP589850:UES589850 UOL589850:UOO589850 UYH589850:UYK589850 VID589850:VIG589850 VRZ589850:VSC589850 WBV589850:WBY589850 WLR589850:WLU589850 WVN589850:WVQ589850 JB655386:JE655386 SX655386:TA655386 ACT655386:ACW655386 AMP655386:AMS655386 AWL655386:AWO655386 BGH655386:BGK655386 BQD655386:BQG655386 BZZ655386:CAC655386 CJV655386:CJY655386 CTR655386:CTU655386 DDN655386:DDQ655386 DNJ655386:DNM655386 DXF655386:DXI655386 EHB655386:EHE655386 EQX655386:ERA655386 FAT655386:FAW655386 FKP655386:FKS655386 FUL655386:FUO655386 GEH655386:GEK655386 GOD655386:GOG655386 GXZ655386:GYC655386 HHV655386:HHY655386 HRR655386:HRU655386 IBN655386:IBQ655386 ILJ655386:ILM655386 IVF655386:IVI655386 JFB655386:JFE655386 JOX655386:JPA655386 JYT655386:JYW655386 KIP655386:KIS655386 KSL655386:KSO655386 LCH655386:LCK655386 LMD655386:LMG655386 LVZ655386:LWC655386 MFV655386:MFY655386 MPR655386:MPU655386 MZN655386:MZQ655386 NJJ655386:NJM655386 NTF655386:NTI655386 ODB655386:ODE655386 OMX655386:ONA655386 OWT655386:OWW655386 PGP655386:PGS655386 PQL655386:PQO655386 QAH655386:QAK655386 QKD655386:QKG655386 QTZ655386:QUC655386 RDV655386:RDY655386 RNR655386:RNU655386 RXN655386:RXQ655386 SHJ655386:SHM655386 SRF655386:SRI655386 TBB655386:TBE655386 TKX655386:TLA655386 TUT655386:TUW655386 UEP655386:UES655386 UOL655386:UOO655386 UYH655386:UYK655386 VID655386:VIG655386 VRZ655386:VSC655386 WBV655386:WBY655386 WLR655386:WLU655386 WVN655386:WVQ655386 JB720922:JE720922 SX720922:TA720922 ACT720922:ACW720922 AMP720922:AMS720922 AWL720922:AWO720922 BGH720922:BGK720922 BQD720922:BQG720922 BZZ720922:CAC720922 CJV720922:CJY720922 CTR720922:CTU720922 DDN720922:DDQ720922 DNJ720922:DNM720922 DXF720922:DXI720922 EHB720922:EHE720922 EQX720922:ERA720922 FAT720922:FAW720922 FKP720922:FKS720922 FUL720922:FUO720922 GEH720922:GEK720922 GOD720922:GOG720922 GXZ720922:GYC720922 HHV720922:HHY720922 HRR720922:HRU720922 IBN720922:IBQ720922 ILJ720922:ILM720922 IVF720922:IVI720922 JFB720922:JFE720922 JOX720922:JPA720922 JYT720922:JYW720922 KIP720922:KIS720922 KSL720922:KSO720922 LCH720922:LCK720922 LMD720922:LMG720922 LVZ720922:LWC720922 MFV720922:MFY720922 MPR720922:MPU720922 MZN720922:MZQ720922 NJJ720922:NJM720922 NTF720922:NTI720922 ODB720922:ODE720922 OMX720922:ONA720922 OWT720922:OWW720922 PGP720922:PGS720922 PQL720922:PQO720922 QAH720922:QAK720922 QKD720922:QKG720922 QTZ720922:QUC720922 RDV720922:RDY720922 RNR720922:RNU720922 RXN720922:RXQ720922 SHJ720922:SHM720922 SRF720922:SRI720922 TBB720922:TBE720922 TKX720922:TLA720922 TUT720922:TUW720922 UEP720922:UES720922 UOL720922:UOO720922 UYH720922:UYK720922 VID720922:VIG720922 VRZ720922:VSC720922 WBV720922:WBY720922 WLR720922:WLU720922 WVN720922:WVQ720922 JB786458:JE786458 SX786458:TA786458 ACT786458:ACW786458 AMP786458:AMS786458 AWL786458:AWO786458 BGH786458:BGK786458 BQD786458:BQG786458 BZZ786458:CAC786458 CJV786458:CJY786458 CTR786458:CTU786458 DDN786458:DDQ786458 DNJ786458:DNM786458 DXF786458:DXI786458 EHB786458:EHE786458 EQX786458:ERA786458 FAT786458:FAW786458 FKP786458:FKS786458 FUL786458:FUO786458 GEH786458:GEK786458 GOD786458:GOG786458 GXZ786458:GYC786458 HHV786458:HHY786458 HRR786458:HRU786458 IBN786458:IBQ786458 ILJ786458:ILM786458 IVF786458:IVI786458 JFB786458:JFE786458 JOX786458:JPA786458 JYT786458:JYW786458 KIP786458:KIS786458 KSL786458:KSO786458 LCH786458:LCK786458 LMD786458:LMG786458 LVZ786458:LWC786458 MFV786458:MFY786458 MPR786458:MPU786458 MZN786458:MZQ786458 NJJ786458:NJM786458 NTF786458:NTI786458 ODB786458:ODE786458 OMX786458:ONA786458 OWT786458:OWW786458 PGP786458:PGS786458 PQL786458:PQO786458 QAH786458:QAK786458 QKD786458:QKG786458 QTZ786458:QUC786458 RDV786458:RDY786458 RNR786458:RNU786458 RXN786458:RXQ786458 SHJ786458:SHM786458 SRF786458:SRI786458 TBB786458:TBE786458 TKX786458:TLA786458 TUT786458:TUW786458 UEP786458:UES786458 UOL786458:UOO786458 UYH786458:UYK786458 VID786458:VIG786458 VRZ786458:VSC786458 WBV786458:WBY786458 WLR786458:WLU786458 WVN786458:WVQ786458 JB851994:JE851994 SX851994:TA851994 ACT851994:ACW851994 AMP851994:AMS851994 AWL851994:AWO851994 BGH851994:BGK851994 BQD851994:BQG851994 BZZ851994:CAC851994 CJV851994:CJY851994 CTR851994:CTU851994 DDN851994:DDQ851994 DNJ851994:DNM851994 DXF851994:DXI851994 EHB851994:EHE851994 EQX851994:ERA851994 FAT851994:FAW851994 FKP851994:FKS851994 FUL851994:FUO851994 GEH851994:GEK851994 GOD851994:GOG851994 GXZ851994:GYC851994 HHV851994:HHY851994 HRR851994:HRU851994 IBN851994:IBQ851994 ILJ851994:ILM851994 IVF851994:IVI851994 JFB851994:JFE851994 JOX851994:JPA851994 JYT851994:JYW851994 KIP851994:KIS851994 KSL851994:KSO851994 LCH851994:LCK851994 LMD851994:LMG851994 LVZ851994:LWC851994 MFV851994:MFY851994 MPR851994:MPU851994 MZN851994:MZQ851994 NJJ851994:NJM851994 NTF851994:NTI851994 ODB851994:ODE851994 OMX851994:ONA851994 OWT851994:OWW851994 PGP851994:PGS851994 PQL851994:PQO851994 QAH851994:QAK851994 QKD851994:QKG851994 QTZ851994:QUC851994 RDV851994:RDY851994 RNR851994:RNU851994 RXN851994:RXQ851994 SHJ851994:SHM851994 SRF851994:SRI851994 TBB851994:TBE851994 TKX851994:TLA851994 TUT851994:TUW851994 UEP851994:UES851994 UOL851994:UOO851994 UYH851994:UYK851994 VID851994:VIG851994 VRZ851994:VSC851994 WBV851994:WBY851994 WLR851994:WLU851994 WVN851994:WVQ851994 JB917530:JE917530 SX917530:TA917530 ACT917530:ACW917530 AMP917530:AMS917530 AWL917530:AWO917530 BGH917530:BGK917530 BQD917530:BQG917530 BZZ917530:CAC917530 CJV917530:CJY917530 CTR917530:CTU917530 DDN917530:DDQ917530 DNJ917530:DNM917530 DXF917530:DXI917530 EHB917530:EHE917530 EQX917530:ERA917530 FAT917530:FAW917530 FKP917530:FKS917530 FUL917530:FUO917530 GEH917530:GEK917530 GOD917530:GOG917530 GXZ917530:GYC917530 HHV917530:HHY917530 HRR917530:HRU917530 IBN917530:IBQ917530 ILJ917530:ILM917530 IVF917530:IVI917530 JFB917530:JFE917530 JOX917530:JPA917530 JYT917530:JYW917530 KIP917530:KIS917530 KSL917530:KSO917530 LCH917530:LCK917530 LMD917530:LMG917530 LVZ917530:LWC917530 MFV917530:MFY917530 MPR917530:MPU917530 MZN917530:MZQ917530 NJJ917530:NJM917530 NTF917530:NTI917530 ODB917530:ODE917530 OMX917530:ONA917530 OWT917530:OWW917530 PGP917530:PGS917530 PQL917530:PQO917530 QAH917530:QAK917530 QKD917530:QKG917530 QTZ917530:QUC917530 RDV917530:RDY917530 RNR917530:RNU917530 RXN917530:RXQ917530 SHJ917530:SHM917530 SRF917530:SRI917530 TBB917530:TBE917530 TKX917530:TLA917530 TUT917530:TUW917530 UEP917530:UES917530 UOL917530:UOO917530 UYH917530:UYK917530 VID917530:VIG917530 VRZ917530:VSC917530 WBV917530:WBY917530 WLR917530:WLU917530 WVN917530:WVQ917530 JB983066:JE983066 SX983066:TA983066 ACT983066:ACW983066 AMP983066:AMS983066 AWL983066:AWO983066 BGH983066:BGK983066 BQD983066:BQG983066 BZZ983066:CAC983066 CJV983066:CJY983066 CTR983066:CTU983066 DDN983066:DDQ983066 DNJ983066:DNM983066 DXF983066:DXI983066 EHB983066:EHE983066 EQX983066:ERA983066 FAT983066:FAW983066 FKP983066:FKS983066 FUL983066:FUO983066 GEH983066:GEK983066 GOD983066:GOG983066 GXZ983066:GYC983066 HHV983066:HHY983066 HRR983066:HRU983066 IBN983066:IBQ983066 ILJ983066:ILM983066 IVF983066:IVI983066 JFB983066:JFE983066 JOX983066:JPA983066 JYT983066:JYW983066 KIP983066:KIS983066 KSL983066:KSO983066 LCH983066:LCK983066 LMD983066:LMG983066 LVZ983066:LWC983066 MFV983066:MFY983066 MPR983066:MPU983066 MZN983066:MZQ983066 NJJ983066:NJM983066 NTF983066:NTI983066 ODB983066:ODE983066 OMX983066:ONA983066 OWT983066:OWW983066 PGP983066:PGS983066 PQL983066:PQO983066 QAH983066:QAK983066 QKD983066:QKG983066 QTZ983066:QUC983066 RDV983066:RDY983066 RNR983066:RNU983066 RXN983066:RXQ983066 SHJ983066:SHM983066 SRF983066:SRI983066 TBB983066:TBE983066 TKX983066:TLA983066 TUT983066:TUW983066 UEP983066:UES983066 UOL983066:UOO983066 UYH983066:UYK983066 VID983066:VIG983066 VRZ983066:VSC983066 WBV983066:WBY983066 WLR983066:WLU983066 WVN983066:WVQ983066 G983066:J983066 G917530:J917530 G851994:J851994 G786458:J786458 G720922:J720922 G655386:J655386 G589850:J589850 G524314:J524314 G458778:J458778 G393242:J393242 G327706:J327706 G262170:J262170 G196634:J196634 G131098:J131098 G65562:J65562"/>
    <dataValidation allowBlank="1" showInputMessage="1" showErrorMessage="1" promptTitle="Lama Berusaha" prompt="Diisi data/informasi mengenai lama Pemohon menjalankan Usaha yang SAMA (dalam tahun)" sqref="WVK983065 D65561 IY65561 SU65561 ACQ65561 AMM65561 AWI65561 BGE65561 BQA65561 BZW65561 CJS65561 CTO65561 DDK65561 DNG65561 DXC65561 EGY65561 EQU65561 FAQ65561 FKM65561 FUI65561 GEE65561 GOA65561 GXW65561 HHS65561 HRO65561 IBK65561 ILG65561 IVC65561 JEY65561 JOU65561 JYQ65561 KIM65561 KSI65561 LCE65561 LMA65561 LVW65561 MFS65561 MPO65561 MZK65561 NJG65561 NTC65561 OCY65561 OMU65561 OWQ65561 PGM65561 PQI65561 QAE65561 QKA65561 QTW65561 RDS65561 RNO65561 RXK65561 SHG65561 SRC65561 TAY65561 TKU65561 TUQ65561 UEM65561 UOI65561 UYE65561 VIA65561 VRW65561 WBS65561 WLO65561 WVK65561 D131097 IY131097 SU131097 ACQ131097 AMM131097 AWI131097 BGE131097 BQA131097 BZW131097 CJS131097 CTO131097 DDK131097 DNG131097 DXC131097 EGY131097 EQU131097 FAQ131097 FKM131097 FUI131097 GEE131097 GOA131097 GXW131097 HHS131097 HRO131097 IBK131097 ILG131097 IVC131097 JEY131097 JOU131097 JYQ131097 KIM131097 KSI131097 LCE131097 LMA131097 LVW131097 MFS131097 MPO131097 MZK131097 NJG131097 NTC131097 OCY131097 OMU131097 OWQ131097 PGM131097 PQI131097 QAE131097 QKA131097 QTW131097 RDS131097 RNO131097 RXK131097 SHG131097 SRC131097 TAY131097 TKU131097 TUQ131097 UEM131097 UOI131097 UYE131097 VIA131097 VRW131097 WBS131097 WLO131097 WVK131097 D196633 IY196633 SU196633 ACQ196633 AMM196633 AWI196633 BGE196633 BQA196633 BZW196633 CJS196633 CTO196633 DDK196633 DNG196633 DXC196633 EGY196633 EQU196633 FAQ196633 FKM196633 FUI196633 GEE196633 GOA196633 GXW196633 HHS196633 HRO196633 IBK196633 ILG196633 IVC196633 JEY196633 JOU196633 JYQ196633 KIM196633 KSI196633 LCE196633 LMA196633 LVW196633 MFS196633 MPO196633 MZK196633 NJG196633 NTC196633 OCY196633 OMU196633 OWQ196633 PGM196633 PQI196633 QAE196633 QKA196633 QTW196633 RDS196633 RNO196633 RXK196633 SHG196633 SRC196633 TAY196633 TKU196633 TUQ196633 UEM196633 UOI196633 UYE196633 VIA196633 VRW196633 WBS196633 WLO196633 WVK196633 D262169 IY262169 SU262169 ACQ262169 AMM262169 AWI262169 BGE262169 BQA262169 BZW262169 CJS262169 CTO262169 DDK262169 DNG262169 DXC262169 EGY262169 EQU262169 FAQ262169 FKM262169 FUI262169 GEE262169 GOA262169 GXW262169 HHS262169 HRO262169 IBK262169 ILG262169 IVC262169 JEY262169 JOU262169 JYQ262169 KIM262169 KSI262169 LCE262169 LMA262169 LVW262169 MFS262169 MPO262169 MZK262169 NJG262169 NTC262169 OCY262169 OMU262169 OWQ262169 PGM262169 PQI262169 QAE262169 QKA262169 QTW262169 RDS262169 RNO262169 RXK262169 SHG262169 SRC262169 TAY262169 TKU262169 TUQ262169 UEM262169 UOI262169 UYE262169 VIA262169 VRW262169 WBS262169 WLO262169 WVK262169 D327705 IY327705 SU327705 ACQ327705 AMM327705 AWI327705 BGE327705 BQA327705 BZW327705 CJS327705 CTO327705 DDK327705 DNG327705 DXC327705 EGY327705 EQU327705 FAQ327705 FKM327705 FUI327705 GEE327705 GOA327705 GXW327705 HHS327705 HRO327705 IBK327705 ILG327705 IVC327705 JEY327705 JOU327705 JYQ327705 KIM327705 KSI327705 LCE327705 LMA327705 LVW327705 MFS327705 MPO327705 MZK327705 NJG327705 NTC327705 OCY327705 OMU327705 OWQ327705 PGM327705 PQI327705 QAE327705 QKA327705 QTW327705 RDS327705 RNO327705 RXK327705 SHG327705 SRC327705 TAY327705 TKU327705 TUQ327705 UEM327705 UOI327705 UYE327705 VIA327705 VRW327705 WBS327705 WLO327705 WVK327705 D393241 IY393241 SU393241 ACQ393241 AMM393241 AWI393241 BGE393241 BQA393241 BZW393241 CJS393241 CTO393241 DDK393241 DNG393241 DXC393241 EGY393241 EQU393241 FAQ393241 FKM393241 FUI393241 GEE393241 GOA393241 GXW393241 HHS393241 HRO393241 IBK393241 ILG393241 IVC393241 JEY393241 JOU393241 JYQ393241 KIM393241 KSI393241 LCE393241 LMA393241 LVW393241 MFS393241 MPO393241 MZK393241 NJG393241 NTC393241 OCY393241 OMU393241 OWQ393241 PGM393241 PQI393241 QAE393241 QKA393241 QTW393241 RDS393241 RNO393241 RXK393241 SHG393241 SRC393241 TAY393241 TKU393241 TUQ393241 UEM393241 UOI393241 UYE393241 VIA393241 VRW393241 WBS393241 WLO393241 WVK393241 D458777 IY458777 SU458777 ACQ458777 AMM458777 AWI458777 BGE458777 BQA458777 BZW458777 CJS458777 CTO458777 DDK458777 DNG458777 DXC458777 EGY458777 EQU458777 FAQ458777 FKM458777 FUI458777 GEE458777 GOA458777 GXW458777 HHS458777 HRO458777 IBK458777 ILG458777 IVC458777 JEY458777 JOU458777 JYQ458777 KIM458777 KSI458777 LCE458777 LMA458777 LVW458777 MFS458777 MPO458777 MZK458777 NJG458777 NTC458777 OCY458777 OMU458777 OWQ458777 PGM458777 PQI458777 QAE458777 QKA458777 QTW458777 RDS458777 RNO458777 RXK458777 SHG458777 SRC458777 TAY458777 TKU458777 TUQ458777 UEM458777 UOI458777 UYE458777 VIA458777 VRW458777 WBS458777 WLO458777 WVK458777 D524313 IY524313 SU524313 ACQ524313 AMM524313 AWI524313 BGE524313 BQA524313 BZW524313 CJS524313 CTO524313 DDK524313 DNG524313 DXC524313 EGY524313 EQU524313 FAQ524313 FKM524313 FUI524313 GEE524313 GOA524313 GXW524313 HHS524313 HRO524313 IBK524313 ILG524313 IVC524313 JEY524313 JOU524313 JYQ524313 KIM524313 KSI524313 LCE524313 LMA524313 LVW524313 MFS524313 MPO524313 MZK524313 NJG524313 NTC524313 OCY524313 OMU524313 OWQ524313 PGM524313 PQI524313 QAE524313 QKA524313 QTW524313 RDS524313 RNO524313 RXK524313 SHG524313 SRC524313 TAY524313 TKU524313 TUQ524313 UEM524313 UOI524313 UYE524313 VIA524313 VRW524313 WBS524313 WLO524313 WVK524313 D589849 IY589849 SU589849 ACQ589849 AMM589849 AWI589849 BGE589849 BQA589849 BZW589849 CJS589849 CTO589849 DDK589849 DNG589849 DXC589849 EGY589849 EQU589849 FAQ589849 FKM589849 FUI589849 GEE589849 GOA589849 GXW589849 HHS589849 HRO589849 IBK589849 ILG589849 IVC589849 JEY589849 JOU589849 JYQ589849 KIM589849 KSI589849 LCE589849 LMA589849 LVW589849 MFS589849 MPO589849 MZK589849 NJG589849 NTC589849 OCY589849 OMU589849 OWQ589849 PGM589849 PQI589849 QAE589849 QKA589849 QTW589849 RDS589849 RNO589849 RXK589849 SHG589849 SRC589849 TAY589849 TKU589849 TUQ589849 UEM589849 UOI589849 UYE589849 VIA589849 VRW589849 WBS589849 WLO589849 WVK589849 D655385 IY655385 SU655385 ACQ655385 AMM655385 AWI655385 BGE655385 BQA655385 BZW655385 CJS655385 CTO655385 DDK655385 DNG655385 DXC655385 EGY655385 EQU655385 FAQ655385 FKM655385 FUI655385 GEE655385 GOA655385 GXW655385 HHS655385 HRO655385 IBK655385 ILG655385 IVC655385 JEY655385 JOU655385 JYQ655385 KIM655385 KSI655385 LCE655385 LMA655385 LVW655385 MFS655385 MPO655385 MZK655385 NJG655385 NTC655385 OCY655385 OMU655385 OWQ655385 PGM655385 PQI655385 QAE655385 QKA655385 QTW655385 RDS655385 RNO655385 RXK655385 SHG655385 SRC655385 TAY655385 TKU655385 TUQ655385 UEM655385 UOI655385 UYE655385 VIA655385 VRW655385 WBS655385 WLO655385 WVK655385 D720921 IY720921 SU720921 ACQ720921 AMM720921 AWI720921 BGE720921 BQA720921 BZW720921 CJS720921 CTO720921 DDK720921 DNG720921 DXC720921 EGY720921 EQU720921 FAQ720921 FKM720921 FUI720921 GEE720921 GOA720921 GXW720921 HHS720921 HRO720921 IBK720921 ILG720921 IVC720921 JEY720921 JOU720921 JYQ720921 KIM720921 KSI720921 LCE720921 LMA720921 LVW720921 MFS720921 MPO720921 MZK720921 NJG720921 NTC720921 OCY720921 OMU720921 OWQ720921 PGM720921 PQI720921 QAE720921 QKA720921 QTW720921 RDS720921 RNO720921 RXK720921 SHG720921 SRC720921 TAY720921 TKU720921 TUQ720921 UEM720921 UOI720921 UYE720921 VIA720921 VRW720921 WBS720921 WLO720921 WVK720921 D786457 IY786457 SU786457 ACQ786457 AMM786457 AWI786457 BGE786457 BQA786457 BZW786457 CJS786457 CTO786457 DDK786457 DNG786457 DXC786457 EGY786457 EQU786457 FAQ786457 FKM786457 FUI786457 GEE786457 GOA786457 GXW786457 HHS786457 HRO786457 IBK786457 ILG786457 IVC786457 JEY786457 JOU786457 JYQ786457 KIM786457 KSI786457 LCE786457 LMA786457 LVW786457 MFS786457 MPO786457 MZK786457 NJG786457 NTC786457 OCY786457 OMU786457 OWQ786457 PGM786457 PQI786457 QAE786457 QKA786457 QTW786457 RDS786457 RNO786457 RXK786457 SHG786457 SRC786457 TAY786457 TKU786457 TUQ786457 UEM786457 UOI786457 UYE786457 VIA786457 VRW786457 WBS786457 WLO786457 WVK786457 D851993 IY851993 SU851993 ACQ851993 AMM851993 AWI851993 BGE851993 BQA851993 BZW851993 CJS851993 CTO851993 DDK851993 DNG851993 DXC851993 EGY851993 EQU851993 FAQ851993 FKM851993 FUI851993 GEE851993 GOA851993 GXW851993 HHS851993 HRO851993 IBK851993 ILG851993 IVC851993 JEY851993 JOU851993 JYQ851993 KIM851993 KSI851993 LCE851993 LMA851993 LVW851993 MFS851993 MPO851993 MZK851993 NJG851993 NTC851993 OCY851993 OMU851993 OWQ851993 PGM851993 PQI851993 QAE851993 QKA851993 QTW851993 RDS851993 RNO851993 RXK851993 SHG851993 SRC851993 TAY851993 TKU851993 TUQ851993 UEM851993 UOI851993 UYE851993 VIA851993 VRW851993 WBS851993 WLO851993 WVK851993 D917529 IY917529 SU917529 ACQ917529 AMM917529 AWI917529 BGE917529 BQA917529 BZW917529 CJS917529 CTO917529 DDK917529 DNG917529 DXC917529 EGY917529 EQU917529 FAQ917529 FKM917529 FUI917529 GEE917529 GOA917529 GXW917529 HHS917529 HRO917529 IBK917529 ILG917529 IVC917529 JEY917529 JOU917529 JYQ917529 KIM917529 KSI917529 LCE917529 LMA917529 LVW917529 MFS917529 MPO917529 MZK917529 NJG917529 NTC917529 OCY917529 OMU917529 OWQ917529 PGM917529 PQI917529 QAE917529 QKA917529 QTW917529 RDS917529 RNO917529 RXK917529 SHG917529 SRC917529 TAY917529 TKU917529 TUQ917529 UEM917529 UOI917529 UYE917529 VIA917529 VRW917529 WBS917529 WLO917529 WVK917529 D983065 IY983065 SU983065 ACQ983065 AMM983065 AWI983065 BGE983065 BQA983065 BZW983065 CJS983065 CTO983065 DDK983065 DNG983065 DXC983065 EGY983065 EQU983065 FAQ983065 FKM983065 FUI983065 GEE983065 GOA983065 GXW983065 HHS983065 HRO983065 IBK983065 ILG983065 IVC983065 JEY983065 JOU983065 JYQ983065 KIM983065 KSI983065 LCE983065 LMA983065 LVW983065 MFS983065 MPO983065 MZK983065 NJG983065 NTC983065 OCY983065 OMU983065 OWQ983065 PGM983065 PQI983065 QAE983065 QKA983065 QTW983065 RDS983065 RNO983065 RXK983065 SHG983065 SRC983065 TAY983065 TKU983065 TUQ983065 UEM983065 UOI983065 UYE983065 VIA983065 VRW983065 WBS983065 WLO983065"/>
    <dataValidation allowBlank="1" showInputMessage="1" showErrorMessage="1" promptTitle="Lama Menetap" prompt="Diisi data/informasi tentang lamanya Pemohon mendiami tempat tinggal berdasarkan hasil verifikasi di lapangan." sqref="WVK983061 D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D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D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D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D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D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D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D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D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D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D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D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D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D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D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dataValidation allowBlank="1" showInputMessage="1" showErrorMessage="1" promptTitle="HP-Saudara Kandung" prompt="Diisi Nomor HP Saudara Kandung Pemohon yang dapat dihubungi dan tidak serumah (apabila memiliki HP). Apabila tidak memiliki HP agar diisi 'N/A'" sqref="D43:G43 IY43:JB43 SU43:SX43 ACQ43:ACT43 AMM43:AMP43 AWI43:AWL43 BGE43:BGH43 BQA43:BQD43 BZW43:BZZ43 CJS43:CJV43 CTO43:CTR43 DDK43:DDN43 DNG43:DNJ43 DXC43:DXF43 EGY43:EHB43 EQU43:EQX43 FAQ43:FAT43 FKM43:FKP43 FUI43:FUL43 GEE43:GEH43 GOA43:GOD43 GXW43:GXZ43 HHS43:HHV43 HRO43:HRR43 IBK43:IBN43 ILG43:ILJ43 IVC43:IVF43 JEY43:JFB43 JOU43:JOX43 JYQ43:JYT43 KIM43:KIP43 KSI43:KSL43 LCE43:LCH43 LMA43:LMD43 LVW43:LVZ43 MFS43:MFV43 MPO43:MPR43 MZK43:MZN43 NJG43:NJJ43 NTC43:NTF43 OCY43:ODB43 OMU43:OMX43 OWQ43:OWT43 PGM43:PGP43 PQI43:PQL43 QAE43:QAH43 QKA43:QKD43 QTW43:QTZ43 RDS43:RDV43 RNO43:RNR43 RXK43:RXN43 SHG43:SHJ43 SRC43:SRF43 TAY43:TBB43 TKU43:TKX43 TUQ43:TUT43 UEM43:UEP43 UOI43:UOL43 UYE43:UYH43 VIA43:VID43 VRW43:VRZ43 WBS43:WBV43 WLO43:WLR43 WVK43:WVN43 D65552:G65552 IY65552:JB65552 SU65552:SX65552 ACQ65552:ACT65552 AMM65552:AMP65552 AWI65552:AWL65552 BGE65552:BGH65552 BQA65552:BQD65552 BZW65552:BZZ65552 CJS65552:CJV65552 CTO65552:CTR65552 DDK65552:DDN65552 DNG65552:DNJ65552 DXC65552:DXF65552 EGY65552:EHB65552 EQU65552:EQX65552 FAQ65552:FAT65552 FKM65552:FKP65552 FUI65552:FUL65552 GEE65552:GEH65552 GOA65552:GOD65552 GXW65552:GXZ65552 HHS65552:HHV65552 HRO65552:HRR65552 IBK65552:IBN65552 ILG65552:ILJ65552 IVC65552:IVF65552 JEY65552:JFB65552 JOU65552:JOX65552 JYQ65552:JYT65552 KIM65552:KIP65552 KSI65552:KSL65552 LCE65552:LCH65552 LMA65552:LMD65552 LVW65552:LVZ65552 MFS65552:MFV65552 MPO65552:MPR65552 MZK65552:MZN65552 NJG65552:NJJ65552 NTC65552:NTF65552 OCY65552:ODB65552 OMU65552:OMX65552 OWQ65552:OWT65552 PGM65552:PGP65552 PQI65552:PQL65552 QAE65552:QAH65552 QKA65552:QKD65552 QTW65552:QTZ65552 RDS65552:RDV65552 RNO65552:RNR65552 RXK65552:RXN65552 SHG65552:SHJ65552 SRC65552:SRF65552 TAY65552:TBB65552 TKU65552:TKX65552 TUQ65552:TUT65552 UEM65552:UEP65552 UOI65552:UOL65552 UYE65552:UYH65552 VIA65552:VID65552 VRW65552:VRZ65552 WBS65552:WBV65552 WLO65552:WLR65552 WVK65552:WVN65552 D131088:G131088 IY131088:JB131088 SU131088:SX131088 ACQ131088:ACT131088 AMM131088:AMP131088 AWI131088:AWL131088 BGE131088:BGH131088 BQA131088:BQD131088 BZW131088:BZZ131088 CJS131088:CJV131088 CTO131088:CTR131088 DDK131088:DDN131088 DNG131088:DNJ131088 DXC131088:DXF131088 EGY131088:EHB131088 EQU131088:EQX131088 FAQ131088:FAT131088 FKM131088:FKP131088 FUI131088:FUL131088 GEE131088:GEH131088 GOA131088:GOD131088 GXW131088:GXZ131088 HHS131088:HHV131088 HRO131088:HRR131088 IBK131088:IBN131088 ILG131088:ILJ131088 IVC131088:IVF131088 JEY131088:JFB131088 JOU131088:JOX131088 JYQ131088:JYT131088 KIM131088:KIP131088 KSI131088:KSL131088 LCE131088:LCH131088 LMA131088:LMD131088 LVW131088:LVZ131088 MFS131088:MFV131088 MPO131088:MPR131088 MZK131088:MZN131088 NJG131088:NJJ131088 NTC131088:NTF131088 OCY131088:ODB131088 OMU131088:OMX131088 OWQ131088:OWT131088 PGM131088:PGP131088 PQI131088:PQL131088 QAE131088:QAH131088 QKA131088:QKD131088 QTW131088:QTZ131088 RDS131088:RDV131088 RNO131088:RNR131088 RXK131088:RXN131088 SHG131088:SHJ131088 SRC131088:SRF131088 TAY131088:TBB131088 TKU131088:TKX131088 TUQ131088:TUT131088 UEM131088:UEP131088 UOI131088:UOL131088 UYE131088:UYH131088 VIA131088:VID131088 VRW131088:VRZ131088 WBS131088:WBV131088 WLO131088:WLR131088 WVK131088:WVN131088 D196624:G196624 IY196624:JB196624 SU196624:SX196624 ACQ196624:ACT196624 AMM196624:AMP196624 AWI196624:AWL196624 BGE196624:BGH196624 BQA196624:BQD196624 BZW196624:BZZ196624 CJS196624:CJV196624 CTO196624:CTR196624 DDK196624:DDN196624 DNG196624:DNJ196624 DXC196624:DXF196624 EGY196624:EHB196624 EQU196624:EQX196624 FAQ196624:FAT196624 FKM196624:FKP196624 FUI196624:FUL196624 GEE196624:GEH196624 GOA196624:GOD196624 GXW196624:GXZ196624 HHS196624:HHV196624 HRO196624:HRR196624 IBK196624:IBN196624 ILG196624:ILJ196624 IVC196624:IVF196624 JEY196624:JFB196624 JOU196624:JOX196624 JYQ196624:JYT196624 KIM196624:KIP196624 KSI196624:KSL196624 LCE196624:LCH196624 LMA196624:LMD196624 LVW196624:LVZ196624 MFS196624:MFV196624 MPO196624:MPR196624 MZK196624:MZN196624 NJG196624:NJJ196624 NTC196624:NTF196624 OCY196624:ODB196624 OMU196624:OMX196624 OWQ196624:OWT196624 PGM196624:PGP196624 PQI196624:PQL196624 QAE196624:QAH196624 QKA196624:QKD196624 QTW196624:QTZ196624 RDS196624:RDV196624 RNO196624:RNR196624 RXK196624:RXN196624 SHG196624:SHJ196624 SRC196624:SRF196624 TAY196624:TBB196624 TKU196624:TKX196624 TUQ196624:TUT196624 UEM196624:UEP196624 UOI196624:UOL196624 UYE196624:UYH196624 VIA196624:VID196624 VRW196624:VRZ196624 WBS196624:WBV196624 WLO196624:WLR196624 WVK196624:WVN196624 D262160:G262160 IY262160:JB262160 SU262160:SX262160 ACQ262160:ACT262160 AMM262160:AMP262160 AWI262160:AWL262160 BGE262160:BGH262160 BQA262160:BQD262160 BZW262160:BZZ262160 CJS262160:CJV262160 CTO262160:CTR262160 DDK262160:DDN262160 DNG262160:DNJ262160 DXC262160:DXF262160 EGY262160:EHB262160 EQU262160:EQX262160 FAQ262160:FAT262160 FKM262160:FKP262160 FUI262160:FUL262160 GEE262160:GEH262160 GOA262160:GOD262160 GXW262160:GXZ262160 HHS262160:HHV262160 HRO262160:HRR262160 IBK262160:IBN262160 ILG262160:ILJ262160 IVC262160:IVF262160 JEY262160:JFB262160 JOU262160:JOX262160 JYQ262160:JYT262160 KIM262160:KIP262160 KSI262160:KSL262160 LCE262160:LCH262160 LMA262160:LMD262160 LVW262160:LVZ262160 MFS262160:MFV262160 MPO262160:MPR262160 MZK262160:MZN262160 NJG262160:NJJ262160 NTC262160:NTF262160 OCY262160:ODB262160 OMU262160:OMX262160 OWQ262160:OWT262160 PGM262160:PGP262160 PQI262160:PQL262160 QAE262160:QAH262160 QKA262160:QKD262160 QTW262160:QTZ262160 RDS262160:RDV262160 RNO262160:RNR262160 RXK262160:RXN262160 SHG262160:SHJ262160 SRC262160:SRF262160 TAY262160:TBB262160 TKU262160:TKX262160 TUQ262160:TUT262160 UEM262160:UEP262160 UOI262160:UOL262160 UYE262160:UYH262160 VIA262160:VID262160 VRW262160:VRZ262160 WBS262160:WBV262160 WLO262160:WLR262160 WVK262160:WVN262160 D327696:G327696 IY327696:JB327696 SU327696:SX327696 ACQ327696:ACT327696 AMM327696:AMP327696 AWI327696:AWL327696 BGE327696:BGH327696 BQA327696:BQD327696 BZW327696:BZZ327696 CJS327696:CJV327696 CTO327696:CTR327696 DDK327696:DDN327696 DNG327696:DNJ327696 DXC327696:DXF327696 EGY327696:EHB327696 EQU327696:EQX327696 FAQ327696:FAT327696 FKM327696:FKP327696 FUI327696:FUL327696 GEE327696:GEH327696 GOA327696:GOD327696 GXW327696:GXZ327696 HHS327696:HHV327696 HRO327696:HRR327696 IBK327696:IBN327696 ILG327696:ILJ327696 IVC327696:IVF327696 JEY327696:JFB327696 JOU327696:JOX327696 JYQ327696:JYT327696 KIM327696:KIP327696 KSI327696:KSL327696 LCE327696:LCH327696 LMA327696:LMD327696 LVW327696:LVZ327696 MFS327696:MFV327696 MPO327696:MPR327696 MZK327696:MZN327696 NJG327696:NJJ327696 NTC327696:NTF327696 OCY327696:ODB327696 OMU327696:OMX327696 OWQ327696:OWT327696 PGM327696:PGP327696 PQI327696:PQL327696 QAE327696:QAH327696 QKA327696:QKD327696 QTW327696:QTZ327696 RDS327696:RDV327696 RNO327696:RNR327696 RXK327696:RXN327696 SHG327696:SHJ327696 SRC327696:SRF327696 TAY327696:TBB327696 TKU327696:TKX327696 TUQ327696:TUT327696 UEM327696:UEP327696 UOI327696:UOL327696 UYE327696:UYH327696 VIA327696:VID327696 VRW327696:VRZ327696 WBS327696:WBV327696 WLO327696:WLR327696 WVK327696:WVN327696 D393232:G393232 IY393232:JB393232 SU393232:SX393232 ACQ393232:ACT393232 AMM393232:AMP393232 AWI393232:AWL393232 BGE393232:BGH393232 BQA393232:BQD393232 BZW393232:BZZ393232 CJS393232:CJV393232 CTO393232:CTR393232 DDK393232:DDN393232 DNG393232:DNJ393232 DXC393232:DXF393232 EGY393232:EHB393232 EQU393232:EQX393232 FAQ393232:FAT393232 FKM393232:FKP393232 FUI393232:FUL393232 GEE393232:GEH393232 GOA393232:GOD393232 GXW393232:GXZ393232 HHS393232:HHV393232 HRO393232:HRR393232 IBK393232:IBN393232 ILG393232:ILJ393232 IVC393232:IVF393232 JEY393232:JFB393232 JOU393232:JOX393232 JYQ393232:JYT393232 KIM393232:KIP393232 KSI393232:KSL393232 LCE393232:LCH393232 LMA393232:LMD393232 LVW393232:LVZ393232 MFS393232:MFV393232 MPO393232:MPR393232 MZK393232:MZN393232 NJG393232:NJJ393232 NTC393232:NTF393232 OCY393232:ODB393232 OMU393232:OMX393232 OWQ393232:OWT393232 PGM393232:PGP393232 PQI393232:PQL393232 QAE393232:QAH393232 QKA393232:QKD393232 QTW393232:QTZ393232 RDS393232:RDV393232 RNO393232:RNR393232 RXK393232:RXN393232 SHG393232:SHJ393232 SRC393232:SRF393232 TAY393232:TBB393232 TKU393232:TKX393232 TUQ393232:TUT393232 UEM393232:UEP393232 UOI393232:UOL393232 UYE393232:UYH393232 VIA393232:VID393232 VRW393232:VRZ393232 WBS393232:WBV393232 WLO393232:WLR393232 WVK393232:WVN393232 D458768:G458768 IY458768:JB458768 SU458768:SX458768 ACQ458768:ACT458768 AMM458768:AMP458768 AWI458768:AWL458768 BGE458768:BGH458768 BQA458768:BQD458768 BZW458768:BZZ458768 CJS458768:CJV458768 CTO458768:CTR458768 DDK458768:DDN458768 DNG458768:DNJ458768 DXC458768:DXF458768 EGY458768:EHB458768 EQU458768:EQX458768 FAQ458768:FAT458768 FKM458768:FKP458768 FUI458768:FUL458768 GEE458768:GEH458768 GOA458768:GOD458768 GXW458768:GXZ458768 HHS458768:HHV458768 HRO458768:HRR458768 IBK458768:IBN458768 ILG458768:ILJ458768 IVC458768:IVF458768 JEY458768:JFB458768 JOU458768:JOX458768 JYQ458768:JYT458768 KIM458768:KIP458768 KSI458768:KSL458768 LCE458768:LCH458768 LMA458768:LMD458768 LVW458768:LVZ458768 MFS458768:MFV458768 MPO458768:MPR458768 MZK458768:MZN458768 NJG458768:NJJ458768 NTC458768:NTF458768 OCY458768:ODB458768 OMU458768:OMX458768 OWQ458768:OWT458768 PGM458768:PGP458768 PQI458768:PQL458768 QAE458768:QAH458768 QKA458768:QKD458768 QTW458768:QTZ458768 RDS458768:RDV458768 RNO458768:RNR458768 RXK458768:RXN458768 SHG458768:SHJ458768 SRC458768:SRF458768 TAY458768:TBB458768 TKU458768:TKX458768 TUQ458768:TUT458768 UEM458768:UEP458768 UOI458768:UOL458768 UYE458768:UYH458768 VIA458768:VID458768 VRW458768:VRZ458768 WBS458768:WBV458768 WLO458768:WLR458768 WVK458768:WVN458768 D524304:G524304 IY524304:JB524304 SU524304:SX524304 ACQ524304:ACT524304 AMM524304:AMP524304 AWI524304:AWL524304 BGE524304:BGH524304 BQA524304:BQD524304 BZW524304:BZZ524304 CJS524304:CJV524304 CTO524304:CTR524304 DDK524304:DDN524304 DNG524304:DNJ524304 DXC524304:DXF524304 EGY524304:EHB524304 EQU524304:EQX524304 FAQ524304:FAT524304 FKM524304:FKP524304 FUI524304:FUL524304 GEE524304:GEH524304 GOA524304:GOD524304 GXW524304:GXZ524304 HHS524304:HHV524304 HRO524304:HRR524304 IBK524304:IBN524304 ILG524304:ILJ524304 IVC524304:IVF524304 JEY524304:JFB524304 JOU524304:JOX524304 JYQ524304:JYT524304 KIM524304:KIP524304 KSI524304:KSL524304 LCE524304:LCH524304 LMA524304:LMD524304 LVW524304:LVZ524304 MFS524304:MFV524304 MPO524304:MPR524304 MZK524304:MZN524304 NJG524304:NJJ524304 NTC524304:NTF524304 OCY524304:ODB524304 OMU524304:OMX524304 OWQ524304:OWT524304 PGM524304:PGP524304 PQI524304:PQL524304 QAE524304:QAH524304 QKA524304:QKD524304 QTW524304:QTZ524304 RDS524304:RDV524304 RNO524304:RNR524304 RXK524304:RXN524304 SHG524304:SHJ524304 SRC524304:SRF524304 TAY524304:TBB524304 TKU524304:TKX524304 TUQ524304:TUT524304 UEM524304:UEP524304 UOI524304:UOL524304 UYE524304:UYH524304 VIA524304:VID524304 VRW524304:VRZ524304 WBS524304:WBV524304 WLO524304:WLR524304 WVK524304:WVN524304 D589840:G589840 IY589840:JB589840 SU589840:SX589840 ACQ589840:ACT589840 AMM589840:AMP589840 AWI589840:AWL589840 BGE589840:BGH589840 BQA589840:BQD589840 BZW589840:BZZ589840 CJS589840:CJV589840 CTO589840:CTR589840 DDK589840:DDN589840 DNG589840:DNJ589840 DXC589840:DXF589840 EGY589840:EHB589840 EQU589840:EQX589840 FAQ589840:FAT589840 FKM589840:FKP589840 FUI589840:FUL589840 GEE589840:GEH589840 GOA589840:GOD589840 GXW589840:GXZ589840 HHS589840:HHV589840 HRO589840:HRR589840 IBK589840:IBN589840 ILG589840:ILJ589840 IVC589840:IVF589840 JEY589840:JFB589840 JOU589840:JOX589840 JYQ589840:JYT589840 KIM589840:KIP589840 KSI589840:KSL589840 LCE589840:LCH589840 LMA589840:LMD589840 LVW589840:LVZ589840 MFS589840:MFV589840 MPO589840:MPR589840 MZK589840:MZN589840 NJG589840:NJJ589840 NTC589840:NTF589840 OCY589840:ODB589840 OMU589840:OMX589840 OWQ589840:OWT589840 PGM589840:PGP589840 PQI589840:PQL589840 QAE589840:QAH589840 QKA589840:QKD589840 QTW589840:QTZ589840 RDS589840:RDV589840 RNO589840:RNR589840 RXK589840:RXN589840 SHG589840:SHJ589840 SRC589840:SRF589840 TAY589840:TBB589840 TKU589840:TKX589840 TUQ589840:TUT589840 UEM589840:UEP589840 UOI589840:UOL589840 UYE589840:UYH589840 VIA589840:VID589840 VRW589840:VRZ589840 WBS589840:WBV589840 WLO589840:WLR589840 WVK589840:WVN589840 D655376:G655376 IY655376:JB655376 SU655376:SX655376 ACQ655376:ACT655376 AMM655376:AMP655376 AWI655376:AWL655376 BGE655376:BGH655376 BQA655376:BQD655376 BZW655376:BZZ655376 CJS655376:CJV655376 CTO655376:CTR655376 DDK655376:DDN655376 DNG655376:DNJ655376 DXC655376:DXF655376 EGY655376:EHB655376 EQU655376:EQX655376 FAQ655376:FAT655376 FKM655376:FKP655376 FUI655376:FUL655376 GEE655376:GEH655376 GOA655376:GOD655376 GXW655376:GXZ655376 HHS655376:HHV655376 HRO655376:HRR655376 IBK655376:IBN655376 ILG655376:ILJ655376 IVC655376:IVF655376 JEY655376:JFB655376 JOU655376:JOX655376 JYQ655376:JYT655376 KIM655376:KIP655376 KSI655376:KSL655376 LCE655376:LCH655376 LMA655376:LMD655376 LVW655376:LVZ655376 MFS655376:MFV655376 MPO655376:MPR655376 MZK655376:MZN655376 NJG655376:NJJ655376 NTC655376:NTF655376 OCY655376:ODB655376 OMU655376:OMX655376 OWQ655376:OWT655376 PGM655376:PGP655376 PQI655376:PQL655376 QAE655376:QAH655376 QKA655376:QKD655376 QTW655376:QTZ655376 RDS655376:RDV655376 RNO655376:RNR655376 RXK655376:RXN655376 SHG655376:SHJ655376 SRC655376:SRF655376 TAY655376:TBB655376 TKU655376:TKX655376 TUQ655376:TUT655376 UEM655376:UEP655376 UOI655376:UOL655376 UYE655376:UYH655376 VIA655376:VID655376 VRW655376:VRZ655376 WBS655376:WBV655376 WLO655376:WLR655376 WVK655376:WVN655376 D720912:G720912 IY720912:JB720912 SU720912:SX720912 ACQ720912:ACT720912 AMM720912:AMP720912 AWI720912:AWL720912 BGE720912:BGH720912 BQA720912:BQD720912 BZW720912:BZZ720912 CJS720912:CJV720912 CTO720912:CTR720912 DDK720912:DDN720912 DNG720912:DNJ720912 DXC720912:DXF720912 EGY720912:EHB720912 EQU720912:EQX720912 FAQ720912:FAT720912 FKM720912:FKP720912 FUI720912:FUL720912 GEE720912:GEH720912 GOA720912:GOD720912 GXW720912:GXZ720912 HHS720912:HHV720912 HRO720912:HRR720912 IBK720912:IBN720912 ILG720912:ILJ720912 IVC720912:IVF720912 JEY720912:JFB720912 JOU720912:JOX720912 JYQ720912:JYT720912 KIM720912:KIP720912 KSI720912:KSL720912 LCE720912:LCH720912 LMA720912:LMD720912 LVW720912:LVZ720912 MFS720912:MFV720912 MPO720912:MPR720912 MZK720912:MZN720912 NJG720912:NJJ720912 NTC720912:NTF720912 OCY720912:ODB720912 OMU720912:OMX720912 OWQ720912:OWT720912 PGM720912:PGP720912 PQI720912:PQL720912 QAE720912:QAH720912 QKA720912:QKD720912 QTW720912:QTZ720912 RDS720912:RDV720912 RNO720912:RNR720912 RXK720912:RXN720912 SHG720912:SHJ720912 SRC720912:SRF720912 TAY720912:TBB720912 TKU720912:TKX720912 TUQ720912:TUT720912 UEM720912:UEP720912 UOI720912:UOL720912 UYE720912:UYH720912 VIA720912:VID720912 VRW720912:VRZ720912 WBS720912:WBV720912 WLO720912:WLR720912 WVK720912:WVN720912 D786448:G786448 IY786448:JB786448 SU786448:SX786448 ACQ786448:ACT786448 AMM786448:AMP786448 AWI786448:AWL786448 BGE786448:BGH786448 BQA786448:BQD786448 BZW786448:BZZ786448 CJS786448:CJV786448 CTO786448:CTR786448 DDK786448:DDN786448 DNG786448:DNJ786448 DXC786448:DXF786448 EGY786448:EHB786448 EQU786448:EQX786448 FAQ786448:FAT786448 FKM786448:FKP786448 FUI786448:FUL786448 GEE786448:GEH786448 GOA786448:GOD786448 GXW786448:GXZ786448 HHS786448:HHV786448 HRO786448:HRR786448 IBK786448:IBN786448 ILG786448:ILJ786448 IVC786448:IVF786448 JEY786448:JFB786448 JOU786448:JOX786448 JYQ786448:JYT786448 KIM786448:KIP786448 KSI786448:KSL786448 LCE786448:LCH786448 LMA786448:LMD786448 LVW786448:LVZ786448 MFS786448:MFV786448 MPO786448:MPR786448 MZK786448:MZN786448 NJG786448:NJJ786448 NTC786448:NTF786448 OCY786448:ODB786448 OMU786448:OMX786448 OWQ786448:OWT786448 PGM786448:PGP786448 PQI786448:PQL786448 QAE786448:QAH786448 QKA786448:QKD786448 QTW786448:QTZ786448 RDS786448:RDV786448 RNO786448:RNR786448 RXK786448:RXN786448 SHG786448:SHJ786448 SRC786448:SRF786448 TAY786448:TBB786448 TKU786448:TKX786448 TUQ786448:TUT786448 UEM786448:UEP786448 UOI786448:UOL786448 UYE786448:UYH786448 VIA786448:VID786448 VRW786448:VRZ786448 WBS786448:WBV786448 WLO786448:WLR786448 WVK786448:WVN786448 D851984:G851984 IY851984:JB851984 SU851984:SX851984 ACQ851984:ACT851984 AMM851984:AMP851984 AWI851984:AWL851984 BGE851984:BGH851984 BQA851984:BQD851984 BZW851984:BZZ851984 CJS851984:CJV851984 CTO851984:CTR851984 DDK851984:DDN851984 DNG851984:DNJ851984 DXC851984:DXF851984 EGY851984:EHB851984 EQU851984:EQX851984 FAQ851984:FAT851984 FKM851984:FKP851984 FUI851984:FUL851984 GEE851984:GEH851984 GOA851984:GOD851984 GXW851984:GXZ851984 HHS851984:HHV851984 HRO851984:HRR851984 IBK851984:IBN851984 ILG851984:ILJ851984 IVC851984:IVF851984 JEY851984:JFB851984 JOU851984:JOX851984 JYQ851984:JYT851984 KIM851984:KIP851984 KSI851984:KSL851984 LCE851984:LCH851984 LMA851984:LMD851984 LVW851984:LVZ851984 MFS851984:MFV851984 MPO851984:MPR851984 MZK851984:MZN851984 NJG851984:NJJ851984 NTC851984:NTF851984 OCY851984:ODB851984 OMU851984:OMX851984 OWQ851984:OWT851984 PGM851984:PGP851984 PQI851984:PQL851984 QAE851984:QAH851984 QKA851984:QKD851984 QTW851984:QTZ851984 RDS851984:RDV851984 RNO851984:RNR851984 RXK851984:RXN851984 SHG851984:SHJ851984 SRC851984:SRF851984 TAY851984:TBB851984 TKU851984:TKX851984 TUQ851984:TUT851984 UEM851984:UEP851984 UOI851984:UOL851984 UYE851984:UYH851984 VIA851984:VID851984 VRW851984:VRZ851984 WBS851984:WBV851984 WLO851984:WLR851984 WVK851984:WVN851984 D917520:G917520 IY917520:JB917520 SU917520:SX917520 ACQ917520:ACT917520 AMM917520:AMP917520 AWI917520:AWL917520 BGE917520:BGH917520 BQA917520:BQD917520 BZW917520:BZZ917520 CJS917520:CJV917520 CTO917520:CTR917520 DDK917520:DDN917520 DNG917520:DNJ917520 DXC917520:DXF917520 EGY917520:EHB917520 EQU917520:EQX917520 FAQ917520:FAT917520 FKM917520:FKP917520 FUI917520:FUL917520 GEE917520:GEH917520 GOA917520:GOD917520 GXW917520:GXZ917520 HHS917520:HHV917520 HRO917520:HRR917520 IBK917520:IBN917520 ILG917520:ILJ917520 IVC917520:IVF917520 JEY917520:JFB917520 JOU917520:JOX917520 JYQ917520:JYT917520 KIM917520:KIP917520 KSI917520:KSL917520 LCE917520:LCH917520 LMA917520:LMD917520 LVW917520:LVZ917520 MFS917520:MFV917520 MPO917520:MPR917520 MZK917520:MZN917520 NJG917520:NJJ917520 NTC917520:NTF917520 OCY917520:ODB917520 OMU917520:OMX917520 OWQ917520:OWT917520 PGM917520:PGP917520 PQI917520:PQL917520 QAE917520:QAH917520 QKA917520:QKD917520 QTW917520:QTZ917520 RDS917520:RDV917520 RNO917520:RNR917520 RXK917520:RXN917520 SHG917520:SHJ917520 SRC917520:SRF917520 TAY917520:TBB917520 TKU917520:TKX917520 TUQ917520:TUT917520 UEM917520:UEP917520 UOI917520:UOL917520 UYE917520:UYH917520 VIA917520:VID917520 VRW917520:VRZ917520 WBS917520:WBV917520 WLO917520:WLR917520 WVK917520:WVN917520 D983056:G983056 IY983056:JB983056 SU983056:SX983056 ACQ983056:ACT983056 AMM983056:AMP983056 AWI983056:AWL983056 BGE983056:BGH983056 BQA983056:BQD983056 BZW983056:BZZ983056 CJS983056:CJV983056 CTO983056:CTR983056 DDK983056:DDN983056 DNG983056:DNJ983056 DXC983056:DXF983056 EGY983056:EHB983056 EQU983056:EQX983056 FAQ983056:FAT983056 FKM983056:FKP983056 FUI983056:FUL983056 GEE983056:GEH983056 GOA983056:GOD983056 GXW983056:GXZ983056 HHS983056:HHV983056 HRO983056:HRR983056 IBK983056:IBN983056 ILG983056:ILJ983056 IVC983056:IVF983056 JEY983056:JFB983056 JOU983056:JOX983056 JYQ983056:JYT983056 KIM983056:KIP983056 KSI983056:KSL983056 LCE983056:LCH983056 LMA983056:LMD983056 LVW983056:LVZ983056 MFS983056:MFV983056 MPO983056:MPR983056 MZK983056:MZN983056 NJG983056:NJJ983056 NTC983056:NTF983056 OCY983056:ODB983056 OMU983056:OMX983056 OWQ983056:OWT983056 PGM983056:PGP983056 PQI983056:PQL983056 QAE983056:QAH983056 QKA983056:QKD983056 QTW983056:QTZ983056 RDS983056:RDV983056 RNO983056:RNR983056 RXK983056:RXN983056 SHG983056:SHJ983056 SRC983056:SRF983056 TAY983056:TBB983056 TKU983056:TKX983056 TUQ983056:TUT983056 UEM983056:UEP983056 UOI983056:UOL983056 UYE983056:UYH983056 VIA983056:VID983056 VRW983056:VRZ983056 WBS983056:WBV983056 WLO983056:WLR983056 WVK983056:WVN983056"/>
    <dataValidation allowBlank="1" showInputMessage="1" showErrorMessage="1" promptTitle="Telpon Rumah - Saudara Kandung" prompt="Diisi nomor telpon rumah dari Saudara Kandung Pemohon yang dapat dihubungi dan tidak serumah dengan Pemohon. Penulisan Nomor Telpon agar mencantumkan kode area. Contoh : 022 - 555555, 031 - 99999999. Apabila tidak tersedia fasilitas dimaksud diisi 'N/A'" sqref="D65551:G65551 IY65551:JB65551 SU65551:SX65551 ACQ65551:ACT65551 AMM65551:AMP65551 AWI65551:AWL65551 BGE65551:BGH65551 BQA65551:BQD65551 BZW65551:BZZ65551 CJS65551:CJV65551 CTO65551:CTR65551 DDK65551:DDN65551 DNG65551:DNJ65551 DXC65551:DXF65551 EGY65551:EHB65551 EQU65551:EQX65551 FAQ65551:FAT65551 FKM65551:FKP65551 FUI65551:FUL65551 GEE65551:GEH65551 GOA65551:GOD65551 GXW65551:GXZ65551 HHS65551:HHV65551 HRO65551:HRR65551 IBK65551:IBN65551 ILG65551:ILJ65551 IVC65551:IVF65551 JEY65551:JFB65551 JOU65551:JOX65551 JYQ65551:JYT65551 KIM65551:KIP65551 KSI65551:KSL65551 LCE65551:LCH65551 LMA65551:LMD65551 LVW65551:LVZ65551 MFS65551:MFV65551 MPO65551:MPR65551 MZK65551:MZN65551 NJG65551:NJJ65551 NTC65551:NTF65551 OCY65551:ODB65551 OMU65551:OMX65551 OWQ65551:OWT65551 PGM65551:PGP65551 PQI65551:PQL65551 QAE65551:QAH65551 QKA65551:QKD65551 QTW65551:QTZ65551 RDS65551:RDV65551 RNO65551:RNR65551 RXK65551:RXN65551 SHG65551:SHJ65551 SRC65551:SRF65551 TAY65551:TBB65551 TKU65551:TKX65551 TUQ65551:TUT65551 UEM65551:UEP65551 UOI65551:UOL65551 UYE65551:UYH65551 VIA65551:VID65551 VRW65551:VRZ65551 WBS65551:WBV65551 WLO65551:WLR65551 WVK65551:WVN65551 D131087:G131087 IY131087:JB131087 SU131087:SX131087 ACQ131087:ACT131087 AMM131087:AMP131087 AWI131087:AWL131087 BGE131087:BGH131087 BQA131087:BQD131087 BZW131087:BZZ131087 CJS131087:CJV131087 CTO131087:CTR131087 DDK131087:DDN131087 DNG131087:DNJ131087 DXC131087:DXF131087 EGY131087:EHB131087 EQU131087:EQX131087 FAQ131087:FAT131087 FKM131087:FKP131087 FUI131087:FUL131087 GEE131087:GEH131087 GOA131087:GOD131087 GXW131087:GXZ131087 HHS131087:HHV131087 HRO131087:HRR131087 IBK131087:IBN131087 ILG131087:ILJ131087 IVC131087:IVF131087 JEY131087:JFB131087 JOU131087:JOX131087 JYQ131087:JYT131087 KIM131087:KIP131087 KSI131087:KSL131087 LCE131087:LCH131087 LMA131087:LMD131087 LVW131087:LVZ131087 MFS131087:MFV131087 MPO131087:MPR131087 MZK131087:MZN131087 NJG131087:NJJ131087 NTC131087:NTF131087 OCY131087:ODB131087 OMU131087:OMX131087 OWQ131087:OWT131087 PGM131087:PGP131087 PQI131087:PQL131087 QAE131087:QAH131087 QKA131087:QKD131087 QTW131087:QTZ131087 RDS131087:RDV131087 RNO131087:RNR131087 RXK131087:RXN131087 SHG131087:SHJ131087 SRC131087:SRF131087 TAY131087:TBB131087 TKU131087:TKX131087 TUQ131087:TUT131087 UEM131087:UEP131087 UOI131087:UOL131087 UYE131087:UYH131087 VIA131087:VID131087 VRW131087:VRZ131087 WBS131087:WBV131087 WLO131087:WLR131087 WVK131087:WVN131087 D196623:G196623 IY196623:JB196623 SU196623:SX196623 ACQ196623:ACT196623 AMM196623:AMP196623 AWI196623:AWL196623 BGE196623:BGH196623 BQA196623:BQD196623 BZW196623:BZZ196623 CJS196623:CJV196623 CTO196623:CTR196623 DDK196623:DDN196623 DNG196623:DNJ196623 DXC196623:DXF196623 EGY196623:EHB196623 EQU196623:EQX196623 FAQ196623:FAT196623 FKM196623:FKP196623 FUI196623:FUL196623 GEE196623:GEH196623 GOA196623:GOD196623 GXW196623:GXZ196623 HHS196623:HHV196623 HRO196623:HRR196623 IBK196623:IBN196623 ILG196623:ILJ196623 IVC196623:IVF196623 JEY196623:JFB196623 JOU196623:JOX196623 JYQ196623:JYT196623 KIM196623:KIP196623 KSI196623:KSL196623 LCE196623:LCH196623 LMA196623:LMD196623 LVW196623:LVZ196623 MFS196623:MFV196623 MPO196623:MPR196623 MZK196623:MZN196623 NJG196623:NJJ196623 NTC196623:NTF196623 OCY196623:ODB196623 OMU196623:OMX196623 OWQ196623:OWT196623 PGM196623:PGP196623 PQI196623:PQL196623 QAE196623:QAH196623 QKA196623:QKD196623 QTW196623:QTZ196623 RDS196623:RDV196623 RNO196623:RNR196623 RXK196623:RXN196623 SHG196623:SHJ196623 SRC196623:SRF196623 TAY196623:TBB196623 TKU196623:TKX196623 TUQ196623:TUT196623 UEM196623:UEP196623 UOI196623:UOL196623 UYE196623:UYH196623 VIA196623:VID196623 VRW196623:VRZ196623 WBS196623:WBV196623 WLO196623:WLR196623 WVK196623:WVN196623 D262159:G262159 IY262159:JB262159 SU262159:SX262159 ACQ262159:ACT262159 AMM262159:AMP262159 AWI262159:AWL262159 BGE262159:BGH262159 BQA262159:BQD262159 BZW262159:BZZ262159 CJS262159:CJV262159 CTO262159:CTR262159 DDK262159:DDN262159 DNG262159:DNJ262159 DXC262159:DXF262159 EGY262159:EHB262159 EQU262159:EQX262159 FAQ262159:FAT262159 FKM262159:FKP262159 FUI262159:FUL262159 GEE262159:GEH262159 GOA262159:GOD262159 GXW262159:GXZ262159 HHS262159:HHV262159 HRO262159:HRR262159 IBK262159:IBN262159 ILG262159:ILJ262159 IVC262159:IVF262159 JEY262159:JFB262159 JOU262159:JOX262159 JYQ262159:JYT262159 KIM262159:KIP262159 KSI262159:KSL262159 LCE262159:LCH262159 LMA262159:LMD262159 LVW262159:LVZ262159 MFS262159:MFV262159 MPO262159:MPR262159 MZK262159:MZN262159 NJG262159:NJJ262159 NTC262159:NTF262159 OCY262159:ODB262159 OMU262159:OMX262159 OWQ262159:OWT262159 PGM262159:PGP262159 PQI262159:PQL262159 QAE262159:QAH262159 QKA262159:QKD262159 QTW262159:QTZ262159 RDS262159:RDV262159 RNO262159:RNR262159 RXK262159:RXN262159 SHG262159:SHJ262159 SRC262159:SRF262159 TAY262159:TBB262159 TKU262159:TKX262159 TUQ262159:TUT262159 UEM262159:UEP262159 UOI262159:UOL262159 UYE262159:UYH262159 VIA262159:VID262159 VRW262159:VRZ262159 WBS262159:WBV262159 WLO262159:WLR262159 WVK262159:WVN262159 D327695:G327695 IY327695:JB327695 SU327695:SX327695 ACQ327695:ACT327695 AMM327695:AMP327695 AWI327695:AWL327695 BGE327695:BGH327695 BQA327695:BQD327695 BZW327695:BZZ327695 CJS327695:CJV327695 CTO327695:CTR327695 DDK327695:DDN327695 DNG327695:DNJ327695 DXC327695:DXF327695 EGY327695:EHB327695 EQU327695:EQX327695 FAQ327695:FAT327695 FKM327695:FKP327695 FUI327695:FUL327695 GEE327695:GEH327695 GOA327695:GOD327695 GXW327695:GXZ327695 HHS327695:HHV327695 HRO327695:HRR327695 IBK327695:IBN327695 ILG327695:ILJ327695 IVC327695:IVF327695 JEY327695:JFB327695 JOU327695:JOX327695 JYQ327695:JYT327695 KIM327695:KIP327695 KSI327695:KSL327695 LCE327695:LCH327695 LMA327695:LMD327695 LVW327695:LVZ327695 MFS327695:MFV327695 MPO327695:MPR327695 MZK327695:MZN327695 NJG327695:NJJ327695 NTC327695:NTF327695 OCY327695:ODB327695 OMU327695:OMX327695 OWQ327695:OWT327695 PGM327695:PGP327695 PQI327695:PQL327695 QAE327695:QAH327695 QKA327695:QKD327695 QTW327695:QTZ327695 RDS327695:RDV327695 RNO327695:RNR327695 RXK327695:RXN327695 SHG327695:SHJ327695 SRC327695:SRF327695 TAY327695:TBB327695 TKU327695:TKX327695 TUQ327695:TUT327695 UEM327695:UEP327695 UOI327695:UOL327695 UYE327695:UYH327695 VIA327695:VID327695 VRW327695:VRZ327695 WBS327695:WBV327695 WLO327695:WLR327695 WVK327695:WVN327695 D393231:G393231 IY393231:JB393231 SU393231:SX393231 ACQ393231:ACT393231 AMM393231:AMP393231 AWI393231:AWL393231 BGE393231:BGH393231 BQA393231:BQD393231 BZW393231:BZZ393231 CJS393231:CJV393231 CTO393231:CTR393231 DDK393231:DDN393231 DNG393231:DNJ393231 DXC393231:DXF393231 EGY393231:EHB393231 EQU393231:EQX393231 FAQ393231:FAT393231 FKM393231:FKP393231 FUI393231:FUL393231 GEE393231:GEH393231 GOA393231:GOD393231 GXW393231:GXZ393231 HHS393231:HHV393231 HRO393231:HRR393231 IBK393231:IBN393231 ILG393231:ILJ393231 IVC393231:IVF393231 JEY393231:JFB393231 JOU393231:JOX393231 JYQ393231:JYT393231 KIM393231:KIP393231 KSI393231:KSL393231 LCE393231:LCH393231 LMA393231:LMD393231 LVW393231:LVZ393231 MFS393231:MFV393231 MPO393231:MPR393231 MZK393231:MZN393231 NJG393231:NJJ393231 NTC393231:NTF393231 OCY393231:ODB393231 OMU393231:OMX393231 OWQ393231:OWT393231 PGM393231:PGP393231 PQI393231:PQL393231 QAE393231:QAH393231 QKA393231:QKD393231 QTW393231:QTZ393231 RDS393231:RDV393231 RNO393231:RNR393231 RXK393231:RXN393231 SHG393231:SHJ393231 SRC393231:SRF393231 TAY393231:TBB393231 TKU393231:TKX393231 TUQ393231:TUT393231 UEM393231:UEP393231 UOI393231:UOL393231 UYE393231:UYH393231 VIA393231:VID393231 VRW393231:VRZ393231 WBS393231:WBV393231 WLO393231:WLR393231 WVK393231:WVN393231 D458767:G458767 IY458767:JB458767 SU458767:SX458767 ACQ458767:ACT458767 AMM458767:AMP458767 AWI458767:AWL458767 BGE458767:BGH458767 BQA458767:BQD458767 BZW458767:BZZ458767 CJS458767:CJV458767 CTO458767:CTR458767 DDK458767:DDN458767 DNG458767:DNJ458767 DXC458767:DXF458767 EGY458767:EHB458767 EQU458767:EQX458767 FAQ458767:FAT458767 FKM458767:FKP458767 FUI458767:FUL458767 GEE458767:GEH458767 GOA458767:GOD458767 GXW458767:GXZ458767 HHS458767:HHV458767 HRO458767:HRR458767 IBK458767:IBN458767 ILG458767:ILJ458767 IVC458767:IVF458767 JEY458767:JFB458767 JOU458767:JOX458767 JYQ458767:JYT458767 KIM458767:KIP458767 KSI458767:KSL458767 LCE458767:LCH458767 LMA458767:LMD458767 LVW458767:LVZ458767 MFS458767:MFV458767 MPO458767:MPR458767 MZK458767:MZN458767 NJG458767:NJJ458767 NTC458767:NTF458767 OCY458767:ODB458767 OMU458767:OMX458767 OWQ458767:OWT458767 PGM458767:PGP458767 PQI458767:PQL458767 QAE458767:QAH458767 QKA458767:QKD458767 QTW458767:QTZ458767 RDS458767:RDV458767 RNO458767:RNR458767 RXK458767:RXN458767 SHG458767:SHJ458767 SRC458767:SRF458767 TAY458767:TBB458767 TKU458767:TKX458767 TUQ458767:TUT458767 UEM458767:UEP458767 UOI458767:UOL458767 UYE458767:UYH458767 VIA458767:VID458767 VRW458767:VRZ458767 WBS458767:WBV458767 WLO458767:WLR458767 WVK458767:WVN458767 D524303:G524303 IY524303:JB524303 SU524303:SX524303 ACQ524303:ACT524303 AMM524303:AMP524303 AWI524303:AWL524303 BGE524303:BGH524303 BQA524303:BQD524303 BZW524303:BZZ524303 CJS524303:CJV524303 CTO524303:CTR524303 DDK524303:DDN524303 DNG524303:DNJ524303 DXC524303:DXF524303 EGY524303:EHB524303 EQU524303:EQX524303 FAQ524303:FAT524303 FKM524303:FKP524303 FUI524303:FUL524303 GEE524303:GEH524303 GOA524303:GOD524303 GXW524303:GXZ524303 HHS524303:HHV524303 HRO524303:HRR524303 IBK524303:IBN524303 ILG524303:ILJ524303 IVC524303:IVF524303 JEY524303:JFB524303 JOU524303:JOX524303 JYQ524303:JYT524303 KIM524303:KIP524303 KSI524303:KSL524303 LCE524303:LCH524303 LMA524303:LMD524303 LVW524303:LVZ524303 MFS524303:MFV524303 MPO524303:MPR524303 MZK524303:MZN524303 NJG524303:NJJ524303 NTC524303:NTF524303 OCY524303:ODB524303 OMU524303:OMX524303 OWQ524303:OWT524303 PGM524303:PGP524303 PQI524303:PQL524303 QAE524303:QAH524303 QKA524303:QKD524303 QTW524303:QTZ524303 RDS524303:RDV524303 RNO524303:RNR524303 RXK524303:RXN524303 SHG524303:SHJ524303 SRC524303:SRF524303 TAY524303:TBB524303 TKU524303:TKX524303 TUQ524303:TUT524303 UEM524303:UEP524303 UOI524303:UOL524303 UYE524303:UYH524303 VIA524303:VID524303 VRW524303:VRZ524303 WBS524303:WBV524303 WLO524303:WLR524303 WVK524303:WVN524303 D589839:G589839 IY589839:JB589839 SU589839:SX589839 ACQ589839:ACT589839 AMM589839:AMP589839 AWI589839:AWL589839 BGE589839:BGH589839 BQA589839:BQD589839 BZW589839:BZZ589839 CJS589839:CJV589839 CTO589839:CTR589839 DDK589839:DDN589839 DNG589839:DNJ589839 DXC589839:DXF589839 EGY589839:EHB589839 EQU589839:EQX589839 FAQ589839:FAT589839 FKM589839:FKP589839 FUI589839:FUL589839 GEE589839:GEH589839 GOA589839:GOD589839 GXW589839:GXZ589839 HHS589839:HHV589839 HRO589839:HRR589839 IBK589839:IBN589839 ILG589839:ILJ589839 IVC589839:IVF589839 JEY589839:JFB589839 JOU589839:JOX589839 JYQ589839:JYT589839 KIM589839:KIP589839 KSI589839:KSL589839 LCE589839:LCH589839 LMA589839:LMD589839 LVW589839:LVZ589839 MFS589839:MFV589839 MPO589839:MPR589839 MZK589839:MZN589839 NJG589839:NJJ589839 NTC589839:NTF589839 OCY589839:ODB589839 OMU589839:OMX589839 OWQ589839:OWT589839 PGM589839:PGP589839 PQI589839:PQL589839 QAE589839:QAH589839 QKA589839:QKD589839 QTW589839:QTZ589839 RDS589839:RDV589839 RNO589839:RNR589839 RXK589839:RXN589839 SHG589839:SHJ589839 SRC589839:SRF589839 TAY589839:TBB589839 TKU589839:TKX589839 TUQ589839:TUT589839 UEM589839:UEP589839 UOI589839:UOL589839 UYE589839:UYH589839 VIA589839:VID589839 VRW589839:VRZ589839 WBS589839:WBV589839 WLO589839:WLR589839 WVK589839:WVN589839 D655375:G655375 IY655375:JB655375 SU655375:SX655375 ACQ655375:ACT655375 AMM655375:AMP655375 AWI655375:AWL655375 BGE655375:BGH655375 BQA655375:BQD655375 BZW655375:BZZ655375 CJS655375:CJV655375 CTO655375:CTR655375 DDK655375:DDN655375 DNG655375:DNJ655375 DXC655375:DXF655375 EGY655375:EHB655375 EQU655375:EQX655375 FAQ655375:FAT655375 FKM655375:FKP655375 FUI655375:FUL655375 GEE655375:GEH655375 GOA655375:GOD655375 GXW655375:GXZ655375 HHS655375:HHV655375 HRO655375:HRR655375 IBK655375:IBN655375 ILG655375:ILJ655375 IVC655375:IVF655375 JEY655375:JFB655375 JOU655375:JOX655375 JYQ655375:JYT655375 KIM655375:KIP655375 KSI655375:KSL655375 LCE655375:LCH655375 LMA655375:LMD655375 LVW655375:LVZ655375 MFS655375:MFV655375 MPO655375:MPR655375 MZK655375:MZN655375 NJG655375:NJJ655375 NTC655375:NTF655375 OCY655375:ODB655375 OMU655375:OMX655375 OWQ655375:OWT655375 PGM655375:PGP655375 PQI655375:PQL655375 QAE655375:QAH655375 QKA655375:QKD655375 QTW655375:QTZ655375 RDS655375:RDV655375 RNO655375:RNR655375 RXK655375:RXN655375 SHG655375:SHJ655375 SRC655375:SRF655375 TAY655375:TBB655375 TKU655375:TKX655375 TUQ655375:TUT655375 UEM655375:UEP655375 UOI655375:UOL655375 UYE655375:UYH655375 VIA655375:VID655375 VRW655375:VRZ655375 WBS655375:WBV655375 WLO655375:WLR655375 WVK655375:WVN655375 D720911:G720911 IY720911:JB720911 SU720911:SX720911 ACQ720911:ACT720911 AMM720911:AMP720911 AWI720911:AWL720911 BGE720911:BGH720911 BQA720911:BQD720911 BZW720911:BZZ720911 CJS720911:CJV720911 CTO720911:CTR720911 DDK720911:DDN720911 DNG720911:DNJ720911 DXC720911:DXF720911 EGY720911:EHB720911 EQU720911:EQX720911 FAQ720911:FAT720911 FKM720911:FKP720911 FUI720911:FUL720911 GEE720911:GEH720911 GOA720911:GOD720911 GXW720911:GXZ720911 HHS720911:HHV720911 HRO720911:HRR720911 IBK720911:IBN720911 ILG720911:ILJ720911 IVC720911:IVF720911 JEY720911:JFB720911 JOU720911:JOX720911 JYQ720911:JYT720911 KIM720911:KIP720911 KSI720911:KSL720911 LCE720911:LCH720911 LMA720911:LMD720911 LVW720911:LVZ720911 MFS720911:MFV720911 MPO720911:MPR720911 MZK720911:MZN720911 NJG720911:NJJ720911 NTC720911:NTF720911 OCY720911:ODB720911 OMU720911:OMX720911 OWQ720911:OWT720911 PGM720911:PGP720911 PQI720911:PQL720911 QAE720911:QAH720911 QKA720911:QKD720911 QTW720911:QTZ720911 RDS720911:RDV720911 RNO720911:RNR720911 RXK720911:RXN720911 SHG720911:SHJ720911 SRC720911:SRF720911 TAY720911:TBB720911 TKU720911:TKX720911 TUQ720911:TUT720911 UEM720911:UEP720911 UOI720911:UOL720911 UYE720911:UYH720911 VIA720911:VID720911 VRW720911:VRZ720911 WBS720911:WBV720911 WLO720911:WLR720911 WVK720911:WVN720911 D786447:G786447 IY786447:JB786447 SU786447:SX786447 ACQ786447:ACT786447 AMM786447:AMP786447 AWI786447:AWL786447 BGE786447:BGH786447 BQA786447:BQD786447 BZW786447:BZZ786447 CJS786447:CJV786447 CTO786447:CTR786447 DDK786447:DDN786447 DNG786447:DNJ786447 DXC786447:DXF786447 EGY786447:EHB786447 EQU786447:EQX786447 FAQ786447:FAT786447 FKM786447:FKP786447 FUI786447:FUL786447 GEE786447:GEH786447 GOA786447:GOD786447 GXW786447:GXZ786447 HHS786447:HHV786447 HRO786447:HRR786447 IBK786447:IBN786447 ILG786447:ILJ786447 IVC786447:IVF786447 JEY786447:JFB786447 JOU786447:JOX786447 JYQ786447:JYT786447 KIM786447:KIP786447 KSI786447:KSL786447 LCE786447:LCH786447 LMA786447:LMD786447 LVW786447:LVZ786447 MFS786447:MFV786447 MPO786447:MPR786447 MZK786447:MZN786447 NJG786447:NJJ786447 NTC786447:NTF786447 OCY786447:ODB786447 OMU786447:OMX786447 OWQ786447:OWT786447 PGM786447:PGP786447 PQI786447:PQL786447 QAE786447:QAH786447 QKA786447:QKD786447 QTW786447:QTZ786447 RDS786447:RDV786447 RNO786447:RNR786447 RXK786447:RXN786447 SHG786447:SHJ786447 SRC786447:SRF786447 TAY786447:TBB786447 TKU786447:TKX786447 TUQ786447:TUT786447 UEM786447:UEP786447 UOI786447:UOL786447 UYE786447:UYH786447 VIA786447:VID786447 VRW786447:VRZ786447 WBS786447:WBV786447 WLO786447:WLR786447 WVK786447:WVN786447 D851983:G851983 IY851983:JB851983 SU851983:SX851983 ACQ851983:ACT851983 AMM851983:AMP851983 AWI851983:AWL851983 BGE851983:BGH851983 BQA851983:BQD851983 BZW851983:BZZ851983 CJS851983:CJV851983 CTO851983:CTR851983 DDK851983:DDN851983 DNG851983:DNJ851983 DXC851983:DXF851983 EGY851983:EHB851983 EQU851983:EQX851983 FAQ851983:FAT851983 FKM851983:FKP851983 FUI851983:FUL851983 GEE851983:GEH851983 GOA851983:GOD851983 GXW851983:GXZ851983 HHS851983:HHV851983 HRO851983:HRR851983 IBK851983:IBN851983 ILG851983:ILJ851983 IVC851983:IVF851983 JEY851983:JFB851983 JOU851983:JOX851983 JYQ851983:JYT851983 KIM851983:KIP851983 KSI851983:KSL851983 LCE851983:LCH851983 LMA851983:LMD851983 LVW851983:LVZ851983 MFS851983:MFV851983 MPO851983:MPR851983 MZK851983:MZN851983 NJG851983:NJJ851983 NTC851983:NTF851983 OCY851983:ODB851983 OMU851983:OMX851983 OWQ851983:OWT851983 PGM851983:PGP851983 PQI851983:PQL851983 QAE851983:QAH851983 QKA851983:QKD851983 QTW851983:QTZ851983 RDS851983:RDV851983 RNO851983:RNR851983 RXK851983:RXN851983 SHG851983:SHJ851983 SRC851983:SRF851983 TAY851983:TBB851983 TKU851983:TKX851983 TUQ851983:TUT851983 UEM851983:UEP851983 UOI851983:UOL851983 UYE851983:UYH851983 VIA851983:VID851983 VRW851983:VRZ851983 WBS851983:WBV851983 WLO851983:WLR851983 WVK851983:WVN851983 D917519:G917519 IY917519:JB917519 SU917519:SX917519 ACQ917519:ACT917519 AMM917519:AMP917519 AWI917519:AWL917519 BGE917519:BGH917519 BQA917519:BQD917519 BZW917519:BZZ917519 CJS917519:CJV917519 CTO917519:CTR917519 DDK917519:DDN917519 DNG917519:DNJ917519 DXC917519:DXF917519 EGY917519:EHB917519 EQU917519:EQX917519 FAQ917519:FAT917519 FKM917519:FKP917519 FUI917519:FUL917519 GEE917519:GEH917519 GOA917519:GOD917519 GXW917519:GXZ917519 HHS917519:HHV917519 HRO917519:HRR917519 IBK917519:IBN917519 ILG917519:ILJ917519 IVC917519:IVF917519 JEY917519:JFB917519 JOU917519:JOX917519 JYQ917519:JYT917519 KIM917519:KIP917519 KSI917519:KSL917519 LCE917519:LCH917519 LMA917519:LMD917519 LVW917519:LVZ917519 MFS917519:MFV917519 MPO917519:MPR917519 MZK917519:MZN917519 NJG917519:NJJ917519 NTC917519:NTF917519 OCY917519:ODB917519 OMU917519:OMX917519 OWQ917519:OWT917519 PGM917519:PGP917519 PQI917519:PQL917519 QAE917519:QAH917519 QKA917519:QKD917519 QTW917519:QTZ917519 RDS917519:RDV917519 RNO917519:RNR917519 RXK917519:RXN917519 SHG917519:SHJ917519 SRC917519:SRF917519 TAY917519:TBB917519 TKU917519:TKX917519 TUQ917519:TUT917519 UEM917519:UEP917519 UOI917519:UOL917519 UYE917519:UYH917519 VIA917519:VID917519 VRW917519:VRZ917519 WBS917519:WBV917519 WLO917519:WLR917519 WVK917519:WVN917519 D983055:G983055 IY983055:JB983055 SU983055:SX983055 ACQ983055:ACT983055 AMM983055:AMP983055 AWI983055:AWL983055 BGE983055:BGH983055 BQA983055:BQD983055 BZW983055:BZZ983055 CJS983055:CJV983055 CTO983055:CTR983055 DDK983055:DDN983055 DNG983055:DNJ983055 DXC983055:DXF983055 EGY983055:EHB983055 EQU983055:EQX983055 FAQ983055:FAT983055 FKM983055:FKP983055 FUI983055:FUL983055 GEE983055:GEH983055 GOA983055:GOD983055 GXW983055:GXZ983055 HHS983055:HHV983055 HRO983055:HRR983055 IBK983055:IBN983055 ILG983055:ILJ983055 IVC983055:IVF983055 JEY983055:JFB983055 JOU983055:JOX983055 JYQ983055:JYT983055 KIM983055:KIP983055 KSI983055:KSL983055 LCE983055:LCH983055 LMA983055:LMD983055 LVW983055:LVZ983055 MFS983055:MFV983055 MPO983055:MPR983055 MZK983055:MZN983055 NJG983055:NJJ983055 NTC983055:NTF983055 OCY983055:ODB983055 OMU983055:OMX983055 OWQ983055:OWT983055 PGM983055:PGP983055 PQI983055:PQL983055 QAE983055:QAH983055 QKA983055:QKD983055 QTW983055:QTZ983055 RDS983055:RDV983055 RNO983055:RNR983055 RXK983055:RXN983055 SHG983055:SHJ983055 SRC983055:SRF983055 TAY983055:TBB983055 TKU983055:TKX983055 TUQ983055:TUT983055 UEM983055:UEP983055 UOI983055:UOL983055 UYE983055:UYH983055 VIA983055:VID983055 VRW983055:VRZ983055 WBS983055:WBV983055 WLO983055:WLR983055 WVK983055:WVN983055"/>
    <dataValidation type="list" allowBlank="1" showInputMessage="1" showErrorMessage="1" promptTitle="Jenis Usaha" prompt="Dipilih sektor usaha yang dijalankan Pemohon. Apabila memilih 'Lainnya' agar disebutkan jenis atau sektor usaha di kolom sebelahnya. Untuk Pemohon yang memiliki beberapa usaha berbeda, maka pemilihan dilakukan berdasarkan usaha yang utamanya." sqref="WVK983066:WVM983066 D65562:F65562 IY65562:JA65562 SU65562:SW65562 ACQ65562:ACS65562 AMM65562:AMO65562 AWI65562:AWK65562 BGE65562:BGG65562 BQA65562:BQC65562 BZW65562:BZY65562 CJS65562:CJU65562 CTO65562:CTQ65562 DDK65562:DDM65562 DNG65562:DNI65562 DXC65562:DXE65562 EGY65562:EHA65562 EQU65562:EQW65562 FAQ65562:FAS65562 FKM65562:FKO65562 FUI65562:FUK65562 GEE65562:GEG65562 GOA65562:GOC65562 GXW65562:GXY65562 HHS65562:HHU65562 HRO65562:HRQ65562 IBK65562:IBM65562 ILG65562:ILI65562 IVC65562:IVE65562 JEY65562:JFA65562 JOU65562:JOW65562 JYQ65562:JYS65562 KIM65562:KIO65562 KSI65562:KSK65562 LCE65562:LCG65562 LMA65562:LMC65562 LVW65562:LVY65562 MFS65562:MFU65562 MPO65562:MPQ65562 MZK65562:MZM65562 NJG65562:NJI65562 NTC65562:NTE65562 OCY65562:ODA65562 OMU65562:OMW65562 OWQ65562:OWS65562 PGM65562:PGO65562 PQI65562:PQK65562 QAE65562:QAG65562 QKA65562:QKC65562 QTW65562:QTY65562 RDS65562:RDU65562 RNO65562:RNQ65562 RXK65562:RXM65562 SHG65562:SHI65562 SRC65562:SRE65562 TAY65562:TBA65562 TKU65562:TKW65562 TUQ65562:TUS65562 UEM65562:UEO65562 UOI65562:UOK65562 UYE65562:UYG65562 VIA65562:VIC65562 VRW65562:VRY65562 WBS65562:WBU65562 WLO65562:WLQ65562 WVK65562:WVM65562 D131098:F131098 IY131098:JA131098 SU131098:SW131098 ACQ131098:ACS131098 AMM131098:AMO131098 AWI131098:AWK131098 BGE131098:BGG131098 BQA131098:BQC131098 BZW131098:BZY131098 CJS131098:CJU131098 CTO131098:CTQ131098 DDK131098:DDM131098 DNG131098:DNI131098 DXC131098:DXE131098 EGY131098:EHA131098 EQU131098:EQW131098 FAQ131098:FAS131098 FKM131098:FKO131098 FUI131098:FUK131098 GEE131098:GEG131098 GOA131098:GOC131098 GXW131098:GXY131098 HHS131098:HHU131098 HRO131098:HRQ131098 IBK131098:IBM131098 ILG131098:ILI131098 IVC131098:IVE131098 JEY131098:JFA131098 JOU131098:JOW131098 JYQ131098:JYS131098 KIM131098:KIO131098 KSI131098:KSK131098 LCE131098:LCG131098 LMA131098:LMC131098 LVW131098:LVY131098 MFS131098:MFU131098 MPO131098:MPQ131098 MZK131098:MZM131098 NJG131098:NJI131098 NTC131098:NTE131098 OCY131098:ODA131098 OMU131098:OMW131098 OWQ131098:OWS131098 PGM131098:PGO131098 PQI131098:PQK131098 QAE131098:QAG131098 QKA131098:QKC131098 QTW131098:QTY131098 RDS131098:RDU131098 RNO131098:RNQ131098 RXK131098:RXM131098 SHG131098:SHI131098 SRC131098:SRE131098 TAY131098:TBA131098 TKU131098:TKW131098 TUQ131098:TUS131098 UEM131098:UEO131098 UOI131098:UOK131098 UYE131098:UYG131098 VIA131098:VIC131098 VRW131098:VRY131098 WBS131098:WBU131098 WLO131098:WLQ131098 WVK131098:WVM131098 D196634:F196634 IY196634:JA196634 SU196634:SW196634 ACQ196634:ACS196634 AMM196634:AMO196634 AWI196634:AWK196634 BGE196634:BGG196634 BQA196634:BQC196634 BZW196634:BZY196634 CJS196634:CJU196634 CTO196634:CTQ196634 DDK196634:DDM196634 DNG196634:DNI196634 DXC196634:DXE196634 EGY196634:EHA196634 EQU196634:EQW196634 FAQ196634:FAS196634 FKM196634:FKO196634 FUI196634:FUK196634 GEE196634:GEG196634 GOA196634:GOC196634 GXW196634:GXY196634 HHS196634:HHU196634 HRO196634:HRQ196634 IBK196634:IBM196634 ILG196634:ILI196634 IVC196634:IVE196634 JEY196634:JFA196634 JOU196634:JOW196634 JYQ196634:JYS196634 KIM196634:KIO196634 KSI196634:KSK196634 LCE196634:LCG196634 LMA196634:LMC196634 LVW196634:LVY196634 MFS196634:MFU196634 MPO196634:MPQ196634 MZK196634:MZM196634 NJG196634:NJI196634 NTC196634:NTE196634 OCY196634:ODA196634 OMU196634:OMW196634 OWQ196634:OWS196634 PGM196634:PGO196634 PQI196634:PQK196634 QAE196634:QAG196634 QKA196634:QKC196634 QTW196634:QTY196634 RDS196634:RDU196634 RNO196634:RNQ196634 RXK196634:RXM196634 SHG196634:SHI196634 SRC196634:SRE196634 TAY196634:TBA196634 TKU196634:TKW196634 TUQ196634:TUS196634 UEM196634:UEO196634 UOI196634:UOK196634 UYE196634:UYG196634 VIA196634:VIC196634 VRW196634:VRY196634 WBS196634:WBU196634 WLO196634:WLQ196634 WVK196634:WVM196634 D262170:F262170 IY262170:JA262170 SU262170:SW262170 ACQ262170:ACS262170 AMM262170:AMO262170 AWI262170:AWK262170 BGE262170:BGG262170 BQA262170:BQC262170 BZW262170:BZY262170 CJS262170:CJU262170 CTO262170:CTQ262170 DDK262170:DDM262170 DNG262170:DNI262170 DXC262170:DXE262170 EGY262170:EHA262170 EQU262170:EQW262170 FAQ262170:FAS262170 FKM262170:FKO262170 FUI262170:FUK262170 GEE262170:GEG262170 GOA262170:GOC262170 GXW262170:GXY262170 HHS262170:HHU262170 HRO262170:HRQ262170 IBK262170:IBM262170 ILG262170:ILI262170 IVC262170:IVE262170 JEY262170:JFA262170 JOU262170:JOW262170 JYQ262170:JYS262170 KIM262170:KIO262170 KSI262170:KSK262170 LCE262170:LCG262170 LMA262170:LMC262170 LVW262170:LVY262170 MFS262170:MFU262170 MPO262170:MPQ262170 MZK262170:MZM262170 NJG262170:NJI262170 NTC262170:NTE262170 OCY262170:ODA262170 OMU262170:OMW262170 OWQ262170:OWS262170 PGM262170:PGO262170 PQI262170:PQK262170 QAE262170:QAG262170 QKA262170:QKC262170 QTW262170:QTY262170 RDS262170:RDU262170 RNO262170:RNQ262170 RXK262170:RXM262170 SHG262170:SHI262170 SRC262170:SRE262170 TAY262170:TBA262170 TKU262170:TKW262170 TUQ262170:TUS262170 UEM262170:UEO262170 UOI262170:UOK262170 UYE262170:UYG262170 VIA262170:VIC262170 VRW262170:VRY262170 WBS262170:WBU262170 WLO262170:WLQ262170 WVK262170:WVM262170 D327706:F327706 IY327706:JA327706 SU327706:SW327706 ACQ327706:ACS327706 AMM327706:AMO327706 AWI327706:AWK327706 BGE327706:BGG327706 BQA327706:BQC327706 BZW327706:BZY327706 CJS327706:CJU327706 CTO327706:CTQ327706 DDK327706:DDM327706 DNG327706:DNI327706 DXC327706:DXE327706 EGY327706:EHA327706 EQU327706:EQW327706 FAQ327706:FAS327706 FKM327706:FKO327706 FUI327706:FUK327706 GEE327706:GEG327706 GOA327706:GOC327706 GXW327706:GXY327706 HHS327706:HHU327706 HRO327706:HRQ327706 IBK327706:IBM327706 ILG327706:ILI327706 IVC327706:IVE327706 JEY327706:JFA327706 JOU327706:JOW327706 JYQ327706:JYS327706 KIM327706:KIO327706 KSI327706:KSK327706 LCE327706:LCG327706 LMA327706:LMC327706 LVW327706:LVY327706 MFS327706:MFU327706 MPO327706:MPQ327706 MZK327706:MZM327706 NJG327706:NJI327706 NTC327706:NTE327706 OCY327706:ODA327706 OMU327706:OMW327706 OWQ327706:OWS327706 PGM327706:PGO327706 PQI327706:PQK327706 QAE327706:QAG327706 QKA327706:QKC327706 QTW327706:QTY327706 RDS327706:RDU327706 RNO327706:RNQ327706 RXK327706:RXM327706 SHG327706:SHI327706 SRC327706:SRE327706 TAY327706:TBA327706 TKU327706:TKW327706 TUQ327706:TUS327706 UEM327706:UEO327706 UOI327706:UOK327706 UYE327706:UYG327706 VIA327706:VIC327706 VRW327706:VRY327706 WBS327706:WBU327706 WLO327706:WLQ327706 WVK327706:WVM327706 D393242:F393242 IY393242:JA393242 SU393242:SW393242 ACQ393242:ACS393242 AMM393242:AMO393242 AWI393242:AWK393242 BGE393242:BGG393242 BQA393242:BQC393242 BZW393242:BZY393242 CJS393242:CJU393242 CTO393242:CTQ393242 DDK393242:DDM393242 DNG393242:DNI393242 DXC393242:DXE393242 EGY393242:EHA393242 EQU393242:EQW393242 FAQ393242:FAS393242 FKM393242:FKO393242 FUI393242:FUK393242 GEE393242:GEG393242 GOA393242:GOC393242 GXW393242:GXY393242 HHS393242:HHU393242 HRO393242:HRQ393242 IBK393242:IBM393242 ILG393242:ILI393242 IVC393242:IVE393242 JEY393242:JFA393242 JOU393242:JOW393242 JYQ393242:JYS393242 KIM393242:KIO393242 KSI393242:KSK393242 LCE393242:LCG393242 LMA393242:LMC393242 LVW393242:LVY393242 MFS393242:MFU393242 MPO393242:MPQ393242 MZK393242:MZM393242 NJG393242:NJI393242 NTC393242:NTE393242 OCY393242:ODA393242 OMU393242:OMW393242 OWQ393242:OWS393242 PGM393242:PGO393242 PQI393242:PQK393242 QAE393242:QAG393242 QKA393242:QKC393242 QTW393242:QTY393242 RDS393242:RDU393242 RNO393242:RNQ393242 RXK393242:RXM393242 SHG393242:SHI393242 SRC393242:SRE393242 TAY393242:TBA393242 TKU393242:TKW393242 TUQ393242:TUS393242 UEM393242:UEO393242 UOI393242:UOK393242 UYE393242:UYG393242 VIA393242:VIC393242 VRW393242:VRY393242 WBS393242:WBU393242 WLO393242:WLQ393242 WVK393242:WVM393242 D458778:F458778 IY458778:JA458778 SU458778:SW458778 ACQ458778:ACS458778 AMM458778:AMO458778 AWI458778:AWK458778 BGE458778:BGG458778 BQA458778:BQC458778 BZW458778:BZY458778 CJS458778:CJU458778 CTO458778:CTQ458778 DDK458778:DDM458778 DNG458778:DNI458778 DXC458778:DXE458778 EGY458778:EHA458778 EQU458778:EQW458778 FAQ458778:FAS458778 FKM458778:FKO458778 FUI458778:FUK458778 GEE458778:GEG458778 GOA458778:GOC458778 GXW458778:GXY458778 HHS458778:HHU458778 HRO458778:HRQ458778 IBK458778:IBM458778 ILG458778:ILI458778 IVC458778:IVE458778 JEY458778:JFA458778 JOU458778:JOW458778 JYQ458778:JYS458778 KIM458778:KIO458778 KSI458778:KSK458778 LCE458778:LCG458778 LMA458778:LMC458778 LVW458778:LVY458778 MFS458778:MFU458778 MPO458778:MPQ458778 MZK458778:MZM458778 NJG458778:NJI458778 NTC458778:NTE458778 OCY458778:ODA458778 OMU458778:OMW458778 OWQ458778:OWS458778 PGM458778:PGO458778 PQI458778:PQK458778 QAE458778:QAG458778 QKA458778:QKC458778 QTW458778:QTY458778 RDS458778:RDU458778 RNO458778:RNQ458778 RXK458778:RXM458778 SHG458778:SHI458778 SRC458778:SRE458778 TAY458778:TBA458778 TKU458778:TKW458778 TUQ458778:TUS458778 UEM458778:UEO458778 UOI458778:UOK458778 UYE458778:UYG458778 VIA458778:VIC458778 VRW458778:VRY458778 WBS458778:WBU458778 WLO458778:WLQ458778 WVK458778:WVM458778 D524314:F524314 IY524314:JA524314 SU524314:SW524314 ACQ524314:ACS524314 AMM524314:AMO524314 AWI524314:AWK524314 BGE524314:BGG524314 BQA524314:BQC524314 BZW524314:BZY524314 CJS524314:CJU524314 CTO524314:CTQ524314 DDK524314:DDM524314 DNG524314:DNI524314 DXC524314:DXE524314 EGY524314:EHA524314 EQU524314:EQW524314 FAQ524314:FAS524314 FKM524314:FKO524314 FUI524314:FUK524314 GEE524314:GEG524314 GOA524314:GOC524314 GXW524314:GXY524314 HHS524314:HHU524314 HRO524314:HRQ524314 IBK524314:IBM524314 ILG524314:ILI524314 IVC524314:IVE524314 JEY524314:JFA524314 JOU524314:JOW524314 JYQ524314:JYS524314 KIM524314:KIO524314 KSI524314:KSK524314 LCE524314:LCG524314 LMA524314:LMC524314 LVW524314:LVY524314 MFS524314:MFU524314 MPO524314:MPQ524314 MZK524314:MZM524314 NJG524314:NJI524314 NTC524314:NTE524314 OCY524314:ODA524314 OMU524314:OMW524314 OWQ524314:OWS524314 PGM524314:PGO524314 PQI524314:PQK524314 QAE524314:QAG524314 QKA524314:QKC524314 QTW524314:QTY524314 RDS524314:RDU524314 RNO524314:RNQ524314 RXK524314:RXM524314 SHG524314:SHI524314 SRC524314:SRE524314 TAY524314:TBA524314 TKU524314:TKW524314 TUQ524314:TUS524314 UEM524314:UEO524314 UOI524314:UOK524314 UYE524314:UYG524314 VIA524314:VIC524314 VRW524314:VRY524314 WBS524314:WBU524314 WLO524314:WLQ524314 WVK524314:WVM524314 D589850:F589850 IY589850:JA589850 SU589850:SW589850 ACQ589850:ACS589850 AMM589850:AMO589850 AWI589850:AWK589850 BGE589850:BGG589850 BQA589850:BQC589850 BZW589850:BZY589850 CJS589850:CJU589850 CTO589850:CTQ589850 DDK589850:DDM589850 DNG589850:DNI589850 DXC589850:DXE589850 EGY589850:EHA589850 EQU589850:EQW589850 FAQ589850:FAS589850 FKM589850:FKO589850 FUI589850:FUK589850 GEE589850:GEG589850 GOA589850:GOC589850 GXW589850:GXY589850 HHS589850:HHU589850 HRO589850:HRQ589850 IBK589850:IBM589850 ILG589850:ILI589850 IVC589850:IVE589850 JEY589850:JFA589850 JOU589850:JOW589850 JYQ589850:JYS589850 KIM589850:KIO589850 KSI589850:KSK589850 LCE589850:LCG589850 LMA589850:LMC589850 LVW589850:LVY589850 MFS589850:MFU589850 MPO589850:MPQ589850 MZK589850:MZM589850 NJG589850:NJI589850 NTC589850:NTE589850 OCY589850:ODA589850 OMU589850:OMW589850 OWQ589850:OWS589850 PGM589850:PGO589850 PQI589850:PQK589850 QAE589850:QAG589850 QKA589850:QKC589850 QTW589850:QTY589850 RDS589850:RDU589850 RNO589850:RNQ589850 RXK589850:RXM589850 SHG589850:SHI589850 SRC589850:SRE589850 TAY589850:TBA589850 TKU589850:TKW589850 TUQ589850:TUS589850 UEM589850:UEO589850 UOI589850:UOK589850 UYE589850:UYG589850 VIA589850:VIC589850 VRW589850:VRY589850 WBS589850:WBU589850 WLO589850:WLQ589850 WVK589850:WVM589850 D655386:F655386 IY655386:JA655386 SU655386:SW655386 ACQ655386:ACS655386 AMM655386:AMO655386 AWI655386:AWK655386 BGE655386:BGG655386 BQA655386:BQC655386 BZW655386:BZY655386 CJS655386:CJU655386 CTO655386:CTQ655386 DDK655386:DDM655386 DNG655386:DNI655386 DXC655386:DXE655386 EGY655386:EHA655386 EQU655386:EQW655386 FAQ655386:FAS655386 FKM655386:FKO655386 FUI655386:FUK655386 GEE655386:GEG655386 GOA655386:GOC655386 GXW655386:GXY655386 HHS655386:HHU655386 HRO655386:HRQ655386 IBK655386:IBM655386 ILG655386:ILI655386 IVC655386:IVE655386 JEY655386:JFA655386 JOU655386:JOW655386 JYQ655386:JYS655386 KIM655386:KIO655386 KSI655386:KSK655386 LCE655386:LCG655386 LMA655386:LMC655386 LVW655386:LVY655386 MFS655386:MFU655386 MPO655386:MPQ655386 MZK655386:MZM655386 NJG655386:NJI655386 NTC655386:NTE655386 OCY655386:ODA655386 OMU655386:OMW655386 OWQ655386:OWS655386 PGM655386:PGO655386 PQI655386:PQK655386 QAE655386:QAG655386 QKA655386:QKC655386 QTW655386:QTY655386 RDS655386:RDU655386 RNO655386:RNQ655386 RXK655386:RXM655386 SHG655386:SHI655386 SRC655386:SRE655386 TAY655386:TBA655386 TKU655386:TKW655386 TUQ655386:TUS655386 UEM655386:UEO655386 UOI655386:UOK655386 UYE655386:UYG655386 VIA655386:VIC655386 VRW655386:VRY655386 WBS655386:WBU655386 WLO655386:WLQ655386 WVK655386:WVM655386 D720922:F720922 IY720922:JA720922 SU720922:SW720922 ACQ720922:ACS720922 AMM720922:AMO720922 AWI720922:AWK720922 BGE720922:BGG720922 BQA720922:BQC720922 BZW720922:BZY720922 CJS720922:CJU720922 CTO720922:CTQ720922 DDK720922:DDM720922 DNG720922:DNI720922 DXC720922:DXE720922 EGY720922:EHA720922 EQU720922:EQW720922 FAQ720922:FAS720922 FKM720922:FKO720922 FUI720922:FUK720922 GEE720922:GEG720922 GOA720922:GOC720922 GXW720922:GXY720922 HHS720922:HHU720922 HRO720922:HRQ720922 IBK720922:IBM720922 ILG720922:ILI720922 IVC720922:IVE720922 JEY720922:JFA720922 JOU720922:JOW720922 JYQ720922:JYS720922 KIM720922:KIO720922 KSI720922:KSK720922 LCE720922:LCG720922 LMA720922:LMC720922 LVW720922:LVY720922 MFS720922:MFU720922 MPO720922:MPQ720922 MZK720922:MZM720922 NJG720922:NJI720922 NTC720922:NTE720922 OCY720922:ODA720922 OMU720922:OMW720922 OWQ720922:OWS720922 PGM720922:PGO720922 PQI720922:PQK720922 QAE720922:QAG720922 QKA720922:QKC720922 QTW720922:QTY720922 RDS720922:RDU720922 RNO720922:RNQ720922 RXK720922:RXM720922 SHG720922:SHI720922 SRC720922:SRE720922 TAY720922:TBA720922 TKU720922:TKW720922 TUQ720922:TUS720922 UEM720922:UEO720922 UOI720922:UOK720922 UYE720922:UYG720922 VIA720922:VIC720922 VRW720922:VRY720922 WBS720922:WBU720922 WLO720922:WLQ720922 WVK720922:WVM720922 D786458:F786458 IY786458:JA786458 SU786458:SW786458 ACQ786458:ACS786458 AMM786458:AMO786458 AWI786458:AWK786458 BGE786458:BGG786458 BQA786458:BQC786458 BZW786458:BZY786458 CJS786458:CJU786458 CTO786458:CTQ786458 DDK786458:DDM786458 DNG786458:DNI786458 DXC786458:DXE786458 EGY786458:EHA786458 EQU786458:EQW786458 FAQ786458:FAS786458 FKM786458:FKO786458 FUI786458:FUK786458 GEE786458:GEG786458 GOA786458:GOC786458 GXW786458:GXY786458 HHS786458:HHU786458 HRO786458:HRQ786458 IBK786458:IBM786458 ILG786458:ILI786458 IVC786458:IVE786458 JEY786458:JFA786458 JOU786458:JOW786458 JYQ786458:JYS786458 KIM786458:KIO786458 KSI786458:KSK786458 LCE786458:LCG786458 LMA786458:LMC786458 LVW786458:LVY786458 MFS786458:MFU786458 MPO786458:MPQ786458 MZK786458:MZM786458 NJG786458:NJI786458 NTC786458:NTE786458 OCY786458:ODA786458 OMU786458:OMW786458 OWQ786458:OWS786458 PGM786458:PGO786458 PQI786458:PQK786458 QAE786458:QAG786458 QKA786458:QKC786458 QTW786458:QTY786458 RDS786458:RDU786458 RNO786458:RNQ786458 RXK786458:RXM786458 SHG786458:SHI786458 SRC786458:SRE786458 TAY786458:TBA786458 TKU786458:TKW786458 TUQ786458:TUS786458 UEM786458:UEO786458 UOI786458:UOK786458 UYE786458:UYG786458 VIA786458:VIC786458 VRW786458:VRY786458 WBS786458:WBU786458 WLO786458:WLQ786458 WVK786458:WVM786458 D851994:F851994 IY851994:JA851994 SU851994:SW851994 ACQ851994:ACS851994 AMM851994:AMO851994 AWI851994:AWK851994 BGE851994:BGG851994 BQA851994:BQC851994 BZW851994:BZY851994 CJS851994:CJU851994 CTO851994:CTQ851994 DDK851994:DDM851994 DNG851994:DNI851994 DXC851994:DXE851994 EGY851994:EHA851994 EQU851994:EQW851994 FAQ851994:FAS851994 FKM851994:FKO851994 FUI851994:FUK851994 GEE851994:GEG851994 GOA851994:GOC851994 GXW851994:GXY851994 HHS851994:HHU851994 HRO851994:HRQ851994 IBK851994:IBM851994 ILG851994:ILI851994 IVC851994:IVE851994 JEY851994:JFA851994 JOU851994:JOW851994 JYQ851994:JYS851994 KIM851994:KIO851994 KSI851994:KSK851994 LCE851994:LCG851994 LMA851994:LMC851994 LVW851994:LVY851994 MFS851994:MFU851994 MPO851994:MPQ851994 MZK851994:MZM851994 NJG851994:NJI851994 NTC851994:NTE851994 OCY851994:ODA851994 OMU851994:OMW851994 OWQ851994:OWS851994 PGM851994:PGO851994 PQI851994:PQK851994 QAE851994:QAG851994 QKA851994:QKC851994 QTW851994:QTY851994 RDS851994:RDU851994 RNO851994:RNQ851994 RXK851994:RXM851994 SHG851994:SHI851994 SRC851994:SRE851994 TAY851994:TBA851994 TKU851994:TKW851994 TUQ851994:TUS851994 UEM851994:UEO851994 UOI851994:UOK851994 UYE851994:UYG851994 VIA851994:VIC851994 VRW851994:VRY851994 WBS851994:WBU851994 WLO851994:WLQ851994 WVK851994:WVM851994 D917530:F917530 IY917530:JA917530 SU917530:SW917530 ACQ917530:ACS917530 AMM917530:AMO917530 AWI917530:AWK917530 BGE917530:BGG917530 BQA917530:BQC917530 BZW917530:BZY917530 CJS917530:CJU917530 CTO917530:CTQ917530 DDK917530:DDM917530 DNG917530:DNI917530 DXC917530:DXE917530 EGY917530:EHA917530 EQU917530:EQW917530 FAQ917530:FAS917530 FKM917530:FKO917530 FUI917530:FUK917530 GEE917530:GEG917530 GOA917530:GOC917530 GXW917530:GXY917530 HHS917530:HHU917530 HRO917530:HRQ917530 IBK917530:IBM917530 ILG917530:ILI917530 IVC917530:IVE917530 JEY917530:JFA917530 JOU917530:JOW917530 JYQ917530:JYS917530 KIM917530:KIO917530 KSI917530:KSK917530 LCE917530:LCG917530 LMA917530:LMC917530 LVW917530:LVY917530 MFS917530:MFU917530 MPO917530:MPQ917530 MZK917530:MZM917530 NJG917530:NJI917530 NTC917530:NTE917530 OCY917530:ODA917530 OMU917530:OMW917530 OWQ917530:OWS917530 PGM917530:PGO917530 PQI917530:PQK917530 QAE917530:QAG917530 QKA917530:QKC917530 QTW917530:QTY917530 RDS917530:RDU917530 RNO917530:RNQ917530 RXK917530:RXM917530 SHG917530:SHI917530 SRC917530:SRE917530 TAY917530:TBA917530 TKU917530:TKW917530 TUQ917530:TUS917530 UEM917530:UEO917530 UOI917530:UOK917530 UYE917530:UYG917530 VIA917530:VIC917530 VRW917530:VRY917530 WBS917530:WBU917530 WLO917530:WLQ917530 WVK917530:WVM917530 D983066:F983066 IY983066:JA983066 SU983066:SW983066 ACQ983066:ACS983066 AMM983066:AMO983066 AWI983066:AWK983066 BGE983066:BGG983066 BQA983066:BQC983066 BZW983066:BZY983066 CJS983066:CJU983066 CTO983066:CTQ983066 DDK983066:DDM983066 DNG983066:DNI983066 DXC983066:DXE983066 EGY983066:EHA983066 EQU983066:EQW983066 FAQ983066:FAS983066 FKM983066:FKO983066 FUI983066:FUK983066 GEE983066:GEG983066 GOA983066:GOC983066 GXW983066:GXY983066 HHS983066:HHU983066 HRO983066:HRQ983066 IBK983066:IBM983066 ILG983066:ILI983066 IVC983066:IVE983066 JEY983066:JFA983066 JOU983066:JOW983066 JYQ983066:JYS983066 KIM983066:KIO983066 KSI983066:KSK983066 LCE983066:LCG983066 LMA983066:LMC983066 LVW983066:LVY983066 MFS983066:MFU983066 MPO983066:MPQ983066 MZK983066:MZM983066 NJG983066:NJI983066 NTC983066:NTE983066 OCY983066:ODA983066 OMU983066:OMW983066 OWQ983066:OWS983066 PGM983066:PGO983066 PQI983066:PQK983066 QAE983066:QAG983066 QKA983066:QKC983066 QTW983066:QTY983066 RDS983066:RDU983066 RNO983066:RNQ983066 RXK983066:RXM983066 SHG983066:SHI983066 SRC983066:SRE983066 TAY983066:TBA983066 TKU983066:TKW983066 TUQ983066:TUS983066 UEM983066:UEO983066 UOI983066:UOK983066 UYE983066:UYG983066 VIA983066:VIC983066 VRW983066:VRY983066 WBS983066:WBU983066 WLO983066:WLQ983066">
      <formula1>$M$18:$M$22</formula1>
    </dataValidation>
    <dataValidation type="list" allowBlank="1" showInputMessage="1" showErrorMessage="1" promptTitle="Status Tempat Tinggal" prompt="Dipilih Status Kepemilikan Tempat Tinggal yang didiami oleh Pemohon berdasarkan hasil verifikasi di lapangan" sqref="WVK983060:WVN983060 D65556:G65556 IY65556:JB65556 SU65556:SX65556 ACQ65556:ACT65556 AMM65556:AMP65556 AWI65556:AWL65556 BGE65556:BGH65556 BQA65556:BQD65556 BZW65556:BZZ65556 CJS65556:CJV65556 CTO65556:CTR65556 DDK65556:DDN65556 DNG65556:DNJ65556 DXC65556:DXF65556 EGY65556:EHB65556 EQU65556:EQX65556 FAQ65556:FAT65556 FKM65556:FKP65556 FUI65556:FUL65556 GEE65556:GEH65556 GOA65556:GOD65556 GXW65556:GXZ65556 HHS65556:HHV65556 HRO65556:HRR65556 IBK65556:IBN65556 ILG65556:ILJ65556 IVC65556:IVF65556 JEY65556:JFB65556 JOU65556:JOX65556 JYQ65556:JYT65556 KIM65556:KIP65556 KSI65556:KSL65556 LCE65556:LCH65556 LMA65556:LMD65556 LVW65556:LVZ65556 MFS65556:MFV65556 MPO65556:MPR65556 MZK65556:MZN65556 NJG65556:NJJ65556 NTC65556:NTF65556 OCY65556:ODB65556 OMU65556:OMX65556 OWQ65556:OWT65556 PGM65556:PGP65556 PQI65556:PQL65556 QAE65556:QAH65556 QKA65556:QKD65556 QTW65556:QTZ65556 RDS65556:RDV65556 RNO65556:RNR65556 RXK65556:RXN65556 SHG65556:SHJ65556 SRC65556:SRF65556 TAY65556:TBB65556 TKU65556:TKX65556 TUQ65556:TUT65556 UEM65556:UEP65556 UOI65556:UOL65556 UYE65556:UYH65556 VIA65556:VID65556 VRW65556:VRZ65556 WBS65556:WBV65556 WLO65556:WLR65556 WVK65556:WVN65556 D131092:G131092 IY131092:JB131092 SU131092:SX131092 ACQ131092:ACT131092 AMM131092:AMP131092 AWI131092:AWL131092 BGE131092:BGH131092 BQA131092:BQD131092 BZW131092:BZZ131092 CJS131092:CJV131092 CTO131092:CTR131092 DDK131092:DDN131092 DNG131092:DNJ131092 DXC131092:DXF131092 EGY131092:EHB131092 EQU131092:EQX131092 FAQ131092:FAT131092 FKM131092:FKP131092 FUI131092:FUL131092 GEE131092:GEH131092 GOA131092:GOD131092 GXW131092:GXZ131092 HHS131092:HHV131092 HRO131092:HRR131092 IBK131092:IBN131092 ILG131092:ILJ131092 IVC131092:IVF131092 JEY131092:JFB131092 JOU131092:JOX131092 JYQ131092:JYT131092 KIM131092:KIP131092 KSI131092:KSL131092 LCE131092:LCH131092 LMA131092:LMD131092 LVW131092:LVZ131092 MFS131092:MFV131092 MPO131092:MPR131092 MZK131092:MZN131092 NJG131092:NJJ131092 NTC131092:NTF131092 OCY131092:ODB131092 OMU131092:OMX131092 OWQ131092:OWT131092 PGM131092:PGP131092 PQI131092:PQL131092 QAE131092:QAH131092 QKA131092:QKD131092 QTW131092:QTZ131092 RDS131092:RDV131092 RNO131092:RNR131092 RXK131092:RXN131092 SHG131092:SHJ131092 SRC131092:SRF131092 TAY131092:TBB131092 TKU131092:TKX131092 TUQ131092:TUT131092 UEM131092:UEP131092 UOI131092:UOL131092 UYE131092:UYH131092 VIA131092:VID131092 VRW131092:VRZ131092 WBS131092:WBV131092 WLO131092:WLR131092 WVK131092:WVN131092 D196628:G196628 IY196628:JB196628 SU196628:SX196628 ACQ196628:ACT196628 AMM196628:AMP196628 AWI196628:AWL196628 BGE196628:BGH196628 BQA196628:BQD196628 BZW196628:BZZ196628 CJS196628:CJV196628 CTO196628:CTR196628 DDK196628:DDN196628 DNG196628:DNJ196628 DXC196628:DXF196628 EGY196628:EHB196628 EQU196628:EQX196628 FAQ196628:FAT196628 FKM196628:FKP196628 FUI196628:FUL196628 GEE196628:GEH196628 GOA196628:GOD196628 GXW196628:GXZ196628 HHS196628:HHV196628 HRO196628:HRR196628 IBK196628:IBN196628 ILG196628:ILJ196628 IVC196628:IVF196628 JEY196628:JFB196628 JOU196628:JOX196628 JYQ196628:JYT196628 KIM196628:KIP196628 KSI196628:KSL196628 LCE196628:LCH196628 LMA196628:LMD196628 LVW196628:LVZ196628 MFS196628:MFV196628 MPO196628:MPR196628 MZK196628:MZN196628 NJG196628:NJJ196628 NTC196628:NTF196628 OCY196628:ODB196628 OMU196628:OMX196628 OWQ196628:OWT196628 PGM196628:PGP196628 PQI196628:PQL196628 QAE196628:QAH196628 QKA196628:QKD196628 QTW196628:QTZ196628 RDS196628:RDV196628 RNO196628:RNR196628 RXK196628:RXN196628 SHG196628:SHJ196628 SRC196628:SRF196628 TAY196628:TBB196628 TKU196628:TKX196628 TUQ196628:TUT196628 UEM196628:UEP196628 UOI196628:UOL196628 UYE196628:UYH196628 VIA196628:VID196628 VRW196628:VRZ196628 WBS196628:WBV196628 WLO196628:WLR196628 WVK196628:WVN196628 D262164:G262164 IY262164:JB262164 SU262164:SX262164 ACQ262164:ACT262164 AMM262164:AMP262164 AWI262164:AWL262164 BGE262164:BGH262164 BQA262164:BQD262164 BZW262164:BZZ262164 CJS262164:CJV262164 CTO262164:CTR262164 DDK262164:DDN262164 DNG262164:DNJ262164 DXC262164:DXF262164 EGY262164:EHB262164 EQU262164:EQX262164 FAQ262164:FAT262164 FKM262164:FKP262164 FUI262164:FUL262164 GEE262164:GEH262164 GOA262164:GOD262164 GXW262164:GXZ262164 HHS262164:HHV262164 HRO262164:HRR262164 IBK262164:IBN262164 ILG262164:ILJ262164 IVC262164:IVF262164 JEY262164:JFB262164 JOU262164:JOX262164 JYQ262164:JYT262164 KIM262164:KIP262164 KSI262164:KSL262164 LCE262164:LCH262164 LMA262164:LMD262164 LVW262164:LVZ262164 MFS262164:MFV262164 MPO262164:MPR262164 MZK262164:MZN262164 NJG262164:NJJ262164 NTC262164:NTF262164 OCY262164:ODB262164 OMU262164:OMX262164 OWQ262164:OWT262164 PGM262164:PGP262164 PQI262164:PQL262164 QAE262164:QAH262164 QKA262164:QKD262164 QTW262164:QTZ262164 RDS262164:RDV262164 RNO262164:RNR262164 RXK262164:RXN262164 SHG262164:SHJ262164 SRC262164:SRF262164 TAY262164:TBB262164 TKU262164:TKX262164 TUQ262164:TUT262164 UEM262164:UEP262164 UOI262164:UOL262164 UYE262164:UYH262164 VIA262164:VID262164 VRW262164:VRZ262164 WBS262164:WBV262164 WLO262164:WLR262164 WVK262164:WVN262164 D327700:G327700 IY327700:JB327700 SU327700:SX327700 ACQ327700:ACT327700 AMM327700:AMP327700 AWI327700:AWL327700 BGE327700:BGH327700 BQA327700:BQD327700 BZW327700:BZZ327700 CJS327700:CJV327700 CTO327700:CTR327700 DDK327700:DDN327700 DNG327700:DNJ327700 DXC327700:DXF327700 EGY327700:EHB327700 EQU327700:EQX327700 FAQ327700:FAT327700 FKM327700:FKP327700 FUI327700:FUL327700 GEE327700:GEH327700 GOA327700:GOD327700 GXW327700:GXZ327700 HHS327700:HHV327700 HRO327700:HRR327700 IBK327700:IBN327700 ILG327700:ILJ327700 IVC327700:IVF327700 JEY327700:JFB327700 JOU327700:JOX327700 JYQ327700:JYT327700 KIM327700:KIP327700 KSI327700:KSL327700 LCE327700:LCH327700 LMA327700:LMD327700 LVW327700:LVZ327700 MFS327700:MFV327700 MPO327700:MPR327700 MZK327700:MZN327700 NJG327700:NJJ327700 NTC327700:NTF327700 OCY327700:ODB327700 OMU327700:OMX327700 OWQ327700:OWT327700 PGM327700:PGP327700 PQI327700:PQL327700 QAE327700:QAH327700 QKA327700:QKD327700 QTW327700:QTZ327700 RDS327700:RDV327700 RNO327700:RNR327700 RXK327700:RXN327700 SHG327700:SHJ327700 SRC327700:SRF327700 TAY327700:TBB327700 TKU327700:TKX327700 TUQ327700:TUT327700 UEM327700:UEP327700 UOI327700:UOL327700 UYE327700:UYH327700 VIA327700:VID327700 VRW327700:VRZ327700 WBS327700:WBV327700 WLO327700:WLR327700 WVK327700:WVN327700 D393236:G393236 IY393236:JB393236 SU393236:SX393236 ACQ393236:ACT393236 AMM393236:AMP393236 AWI393236:AWL393236 BGE393236:BGH393236 BQA393236:BQD393236 BZW393236:BZZ393236 CJS393236:CJV393236 CTO393236:CTR393236 DDK393236:DDN393236 DNG393236:DNJ393236 DXC393236:DXF393236 EGY393236:EHB393236 EQU393236:EQX393236 FAQ393236:FAT393236 FKM393236:FKP393236 FUI393236:FUL393236 GEE393236:GEH393236 GOA393236:GOD393236 GXW393236:GXZ393236 HHS393236:HHV393236 HRO393236:HRR393236 IBK393236:IBN393236 ILG393236:ILJ393236 IVC393236:IVF393236 JEY393236:JFB393236 JOU393236:JOX393236 JYQ393236:JYT393236 KIM393236:KIP393236 KSI393236:KSL393236 LCE393236:LCH393236 LMA393236:LMD393236 LVW393236:LVZ393236 MFS393236:MFV393236 MPO393236:MPR393236 MZK393236:MZN393236 NJG393236:NJJ393236 NTC393236:NTF393236 OCY393236:ODB393236 OMU393236:OMX393236 OWQ393236:OWT393236 PGM393236:PGP393236 PQI393236:PQL393236 QAE393236:QAH393236 QKA393236:QKD393236 QTW393236:QTZ393236 RDS393236:RDV393236 RNO393236:RNR393236 RXK393236:RXN393236 SHG393236:SHJ393236 SRC393236:SRF393236 TAY393236:TBB393236 TKU393236:TKX393236 TUQ393236:TUT393236 UEM393236:UEP393236 UOI393236:UOL393236 UYE393236:UYH393236 VIA393236:VID393236 VRW393236:VRZ393236 WBS393236:WBV393236 WLO393236:WLR393236 WVK393236:WVN393236 D458772:G458772 IY458772:JB458772 SU458772:SX458772 ACQ458772:ACT458772 AMM458772:AMP458772 AWI458772:AWL458772 BGE458772:BGH458772 BQA458772:BQD458772 BZW458772:BZZ458772 CJS458772:CJV458772 CTO458772:CTR458772 DDK458772:DDN458772 DNG458772:DNJ458772 DXC458772:DXF458772 EGY458772:EHB458772 EQU458772:EQX458772 FAQ458772:FAT458772 FKM458772:FKP458772 FUI458772:FUL458772 GEE458772:GEH458772 GOA458772:GOD458772 GXW458772:GXZ458772 HHS458772:HHV458772 HRO458772:HRR458772 IBK458772:IBN458772 ILG458772:ILJ458772 IVC458772:IVF458772 JEY458772:JFB458772 JOU458772:JOX458772 JYQ458772:JYT458772 KIM458772:KIP458772 KSI458772:KSL458772 LCE458772:LCH458772 LMA458772:LMD458772 LVW458772:LVZ458772 MFS458772:MFV458772 MPO458772:MPR458772 MZK458772:MZN458772 NJG458772:NJJ458772 NTC458772:NTF458772 OCY458772:ODB458772 OMU458772:OMX458772 OWQ458772:OWT458772 PGM458772:PGP458772 PQI458772:PQL458772 QAE458772:QAH458772 QKA458772:QKD458772 QTW458772:QTZ458772 RDS458772:RDV458772 RNO458772:RNR458772 RXK458772:RXN458772 SHG458772:SHJ458772 SRC458772:SRF458772 TAY458772:TBB458772 TKU458772:TKX458772 TUQ458772:TUT458772 UEM458772:UEP458772 UOI458772:UOL458772 UYE458772:UYH458772 VIA458772:VID458772 VRW458772:VRZ458772 WBS458772:WBV458772 WLO458772:WLR458772 WVK458772:WVN458772 D524308:G524308 IY524308:JB524308 SU524308:SX524308 ACQ524308:ACT524308 AMM524308:AMP524308 AWI524308:AWL524308 BGE524308:BGH524308 BQA524308:BQD524308 BZW524308:BZZ524308 CJS524308:CJV524308 CTO524308:CTR524308 DDK524308:DDN524308 DNG524308:DNJ524308 DXC524308:DXF524308 EGY524308:EHB524308 EQU524308:EQX524308 FAQ524308:FAT524308 FKM524308:FKP524308 FUI524308:FUL524308 GEE524308:GEH524308 GOA524308:GOD524308 GXW524308:GXZ524308 HHS524308:HHV524308 HRO524308:HRR524308 IBK524308:IBN524308 ILG524308:ILJ524308 IVC524308:IVF524308 JEY524308:JFB524308 JOU524308:JOX524308 JYQ524308:JYT524308 KIM524308:KIP524308 KSI524308:KSL524308 LCE524308:LCH524308 LMA524308:LMD524308 LVW524308:LVZ524308 MFS524308:MFV524308 MPO524308:MPR524308 MZK524308:MZN524308 NJG524308:NJJ524308 NTC524308:NTF524308 OCY524308:ODB524308 OMU524308:OMX524308 OWQ524308:OWT524308 PGM524308:PGP524308 PQI524308:PQL524308 QAE524308:QAH524308 QKA524308:QKD524308 QTW524308:QTZ524308 RDS524308:RDV524308 RNO524308:RNR524308 RXK524308:RXN524308 SHG524308:SHJ524308 SRC524308:SRF524308 TAY524308:TBB524308 TKU524308:TKX524308 TUQ524308:TUT524308 UEM524308:UEP524308 UOI524308:UOL524308 UYE524308:UYH524308 VIA524308:VID524308 VRW524308:VRZ524308 WBS524308:WBV524308 WLO524308:WLR524308 WVK524308:WVN524308 D589844:G589844 IY589844:JB589844 SU589844:SX589844 ACQ589844:ACT589844 AMM589844:AMP589844 AWI589844:AWL589844 BGE589844:BGH589844 BQA589844:BQD589844 BZW589844:BZZ589844 CJS589844:CJV589844 CTO589844:CTR589844 DDK589844:DDN589844 DNG589844:DNJ589844 DXC589844:DXF589844 EGY589844:EHB589844 EQU589844:EQX589844 FAQ589844:FAT589844 FKM589844:FKP589844 FUI589844:FUL589844 GEE589844:GEH589844 GOA589844:GOD589844 GXW589844:GXZ589844 HHS589844:HHV589844 HRO589844:HRR589844 IBK589844:IBN589844 ILG589844:ILJ589844 IVC589844:IVF589844 JEY589844:JFB589844 JOU589844:JOX589844 JYQ589844:JYT589844 KIM589844:KIP589844 KSI589844:KSL589844 LCE589844:LCH589844 LMA589844:LMD589844 LVW589844:LVZ589844 MFS589844:MFV589844 MPO589844:MPR589844 MZK589844:MZN589844 NJG589844:NJJ589844 NTC589844:NTF589844 OCY589844:ODB589844 OMU589844:OMX589844 OWQ589844:OWT589844 PGM589844:PGP589844 PQI589844:PQL589844 QAE589844:QAH589844 QKA589844:QKD589844 QTW589844:QTZ589844 RDS589844:RDV589844 RNO589844:RNR589844 RXK589844:RXN589844 SHG589844:SHJ589844 SRC589844:SRF589844 TAY589844:TBB589844 TKU589844:TKX589844 TUQ589844:TUT589844 UEM589844:UEP589844 UOI589844:UOL589844 UYE589844:UYH589844 VIA589844:VID589844 VRW589844:VRZ589844 WBS589844:WBV589844 WLO589844:WLR589844 WVK589844:WVN589844 D655380:G655380 IY655380:JB655380 SU655380:SX655380 ACQ655380:ACT655380 AMM655380:AMP655380 AWI655380:AWL655380 BGE655380:BGH655380 BQA655380:BQD655380 BZW655380:BZZ655380 CJS655380:CJV655380 CTO655380:CTR655380 DDK655380:DDN655380 DNG655380:DNJ655380 DXC655380:DXF655380 EGY655380:EHB655380 EQU655380:EQX655380 FAQ655380:FAT655380 FKM655380:FKP655380 FUI655380:FUL655380 GEE655380:GEH655380 GOA655380:GOD655380 GXW655380:GXZ655380 HHS655380:HHV655380 HRO655380:HRR655380 IBK655380:IBN655380 ILG655380:ILJ655380 IVC655380:IVF655380 JEY655380:JFB655380 JOU655380:JOX655380 JYQ655380:JYT655380 KIM655380:KIP655380 KSI655380:KSL655380 LCE655380:LCH655380 LMA655380:LMD655380 LVW655380:LVZ655380 MFS655380:MFV655380 MPO655380:MPR655380 MZK655380:MZN655380 NJG655380:NJJ655380 NTC655380:NTF655380 OCY655380:ODB655380 OMU655380:OMX655380 OWQ655380:OWT655380 PGM655380:PGP655380 PQI655380:PQL655380 QAE655380:QAH655380 QKA655380:QKD655380 QTW655380:QTZ655380 RDS655380:RDV655380 RNO655380:RNR655380 RXK655380:RXN655380 SHG655380:SHJ655380 SRC655380:SRF655380 TAY655380:TBB655380 TKU655380:TKX655380 TUQ655380:TUT655380 UEM655380:UEP655380 UOI655380:UOL655380 UYE655380:UYH655380 VIA655380:VID655380 VRW655380:VRZ655380 WBS655380:WBV655380 WLO655380:WLR655380 WVK655380:WVN655380 D720916:G720916 IY720916:JB720916 SU720916:SX720916 ACQ720916:ACT720916 AMM720916:AMP720916 AWI720916:AWL720916 BGE720916:BGH720916 BQA720916:BQD720916 BZW720916:BZZ720916 CJS720916:CJV720916 CTO720916:CTR720916 DDK720916:DDN720916 DNG720916:DNJ720916 DXC720916:DXF720916 EGY720916:EHB720916 EQU720916:EQX720916 FAQ720916:FAT720916 FKM720916:FKP720916 FUI720916:FUL720916 GEE720916:GEH720916 GOA720916:GOD720916 GXW720916:GXZ720916 HHS720916:HHV720916 HRO720916:HRR720916 IBK720916:IBN720916 ILG720916:ILJ720916 IVC720916:IVF720916 JEY720916:JFB720916 JOU720916:JOX720916 JYQ720916:JYT720916 KIM720916:KIP720916 KSI720916:KSL720916 LCE720916:LCH720916 LMA720916:LMD720916 LVW720916:LVZ720916 MFS720916:MFV720916 MPO720916:MPR720916 MZK720916:MZN720916 NJG720916:NJJ720916 NTC720916:NTF720916 OCY720916:ODB720916 OMU720916:OMX720916 OWQ720916:OWT720916 PGM720916:PGP720916 PQI720916:PQL720916 QAE720916:QAH720916 QKA720916:QKD720916 QTW720916:QTZ720916 RDS720916:RDV720916 RNO720916:RNR720916 RXK720916:RXN720916 SHG720916:SHJ720916 SRC720916:SRF720916 TAY720916:TBB720916 TKU720916:TKX720916 TUQ720916:TUT720916 UEM720916:UEP720916 UOI720916:UOL720916 UYE720916:UYH720916 VIA720916:VID720916 VRW720916:VRZ720916 WBS720916:WBV720916 WLO720916:WLR720916 WVK720916:WVN720916 D786452:G786452 IY786452:JB786452 SU786452:SX786452 ACQ786452:ACT786452 AMM786452:AMP786452 AWI786452:AWL786452 BGE786452:BGH786452 BQA786452:BQD786452 BZW786452:BZZ786452 CJS786452:CJV786452 CTO786452:CTR786452 DDK786452:DDN786452 DNG786452:DNJ786452 DXC786452:DXF786452 EGY786452:EHB786452 EQU786452:EQX786452 FAQ786452:FAT786452 FKM786452:FKP786452 FUI786452:FUL786452 GEE786452:GEH786452 GOA786452:GOD786452 GXW786452:GXZ786452 HHS786452:HHV786452 HRO786452:HRR786452 IBK786452:IBN786452 ILG786452:ILJ786452 IVC786452:IVF786452 JEY786452:JFB786452 JOU786452:JOX786452 JYQ786452:JYT786452 KIM786452:KIP786452 KSI786452:KSL786452 LCE786452:LCH786452 LMA786452:LMD786452 LVW786452:LVZ786452 MFS786452:MFV786452 MPO786452:MPR786452 MZK786452:MZN786452 NJG786452:NJJ786452 NTC786452:NTF786452 OCY786452:ODB786452 OMU786452:OMX786452 OWQ786452:OWT786452 PGM786452:PGP786452 PQI786452:PQL786452 QAE786452:QAH786452 QKA786452:QKD786452 QTW786452:QTZ786452 RDS786452:RDV786452 RNO786452:RNR786452 RXK786452:RXN786452 SHG786452:SHJ786452 SRC786452:SRF786452 TAY786452:TBB786452 TKU786452:TKX786452 TUQ786452:TUT786452 UEM786452:UEP786452 UOI786452:UOL786452 UYE786452:UYH786452 VIA786452:VID786452 VRW786452:VRZ786452 WBS786452:WBV786452 WLO786452:WLR786452 WVK786452:WVN786452 D851988:G851988 IY851988:JB851988 SU851988:SX851988 ACQ851988:ACT851988 AMM851988:AMP851988 AWI851988:AWL851988 BGE851988:BGH851988 BQA851988:BQD851988 BZW851988:BZZ851988 CJS851988:CJV851988 CTO851988:CTR851988 DDK851988:DDN851988 DNG851988:DNJ851988 DXC851988:DXF851988 EGY851988:EHB851988 EQU851988:EQX851988 FAQ851988:FAT851988 FKM851988:FKP851988 FUI851988:FUL851988 GEE851988:GEH851988 GOA851988:GOD851988 GXW851988:GXZ851988 HHS851988:HHV851988 HRO851988:HRR851988 IBK851988:IBN851988 ILG851988:ILJ851988 IVC851988:IVF851988 JEY851988:JFB851988 JOU851988:JOX851988 JYQ851988:JYT851988 KIM851988:KIP851988 KSI851988:KSL851988 LCE851988:LCH851988 LMA851988:LMD851988 LVW851988:LVZ851988 MFS851988:MFV851988 MPO851988:MPR851988 MZK851988:MZN851988 NJG851988:NJJ851988 NTC851988:NTF851988 OCY851988:ODB851988 OMU851988:OMX851988 OWQ851988:OWT851988 PGM851988:PGP851988 PQI851988:PQL851988 QAE851988:QAH851988 QKA851988:QKD851988 QTW851988:QTZ851988 RDS851988:RDV851988 RNO851988:RNR851988 RXK851988:RXN851988 SHG851988:SHJ851988 SRC851988:SRF851988 TAY851988:TBB851988 TKU851988:TKX851988 TUQ851988:TUT851988 UEM851988:UEP851988 UOI851988:UOL851988 UYE851988:UYH851988 VIA851988:VID851988 VRW851988:VRZ851988 WBS851988:WBV851988 WLO851988:WLR851988 WVK851988:WVN851988 D917524:G917524 IY917524:JB917524 SU917524:SX917524 ACQ917524:ACT917524 AMM917524:AMP917524 AWI917524:AWL917524 BGE917524:BGH917524 BQA917524:BQD917524 BZW917524:BZZ917524 CJS917524:CJV917524 CTO917524:CTR917524 DDK917524:DDN917524 DNG917524:DNJ917524 DXC917524:DXF917524 EGY917524:EHB917524 EQU917524:EQX917524 FAQ917524:FAT917524 FKM917524:FKP917524 FUI917524:FUL917524 GEE917524:GEH917524 GOA917524:GOD917524 GXW917524:GXZ917524 HHS917524:HHV917524 HRO917524:HRR917524 IBK917524:IBN917524 ILG917524:ILJ917524 IVC917524:IVF917524 JEY917524:JFB917524 JOU917524:JOX917524 JYQ917524:JYT917524 KIM917524:KIP917524 KSI917524:KSL917524 LCE917524:LCH917524 LMA917524:LMD917524 LVW917524:LVZ917524 MFS917524:MFV917524 MPO917524:MPR917524 MZK917524:MZN917524 NJG917524:NJJ917524 NTC917524:NTF917524 OCY917524:ODB917524 OMU917524:OMX917524 OWQ917524:OWT917524 PGM917524:PGP917524 PQI917524:PQL917524 QAE917524:QAH917524 QKA917524:QKD917524 QTW917524:QTZ917524 RDS917524:RDV917524 RNO917524:RNR917524 RXK917524:RXN917524 SHG917524:SHJ917524 SRC917524:SRF917524 TAY917524:TBB917524 TKU917524:TKX917524 TUQ917524:TUT917524 UEM917524:UEP917524 UOI917524:UOL917524 UYE917524:UYH917524 VIA917524:VID917524 VRW917524:VRZ917524 WBS917524:WBV917524 WLO917524:WLR917524 WVK917524:WVN917524 D983060:G983060 IY983060:JB983060 SU983060:SX983060 ACQ983060:ACT983060 AMM983060:AMP983060 AWI983060:AWL983060 BGE983060:BGH983060 BQA983060:BQD983060 BZW983060:BZZ983060 CJS983060:CJV983060 CTO983060:CTR983060 DDK983060:DDN983060 DNG983060:DNJ983060 DXC983060:DXF983060 EGY983060:EHB983060 EQU983060:EQX983060 FAQ983060:FAT983060 FKM983060:FKP983060 FUI983060:FUL983060 GEE983060:GEH983060 GOA983060:GOD983060 GXW983060:GXZ983060 HHS983060:HHV983060 HRO983060:HRR983060 IBK983060:IBN983060 ILG983060:ILJ983060 IVC983060:IVF983060 JEY983060:JFB983060 JOU983060:JOX983060 JYQ983060:JYT983060 KIM983060:KIP983060 KSI983060:KSL983060 LCE983060:LCH983060 LMA983060:LMD983060 LVW983060:LVZ983060 MFS983060:MFV983060 MPO983060:MPR983060 MZK983060:MZN983060 NJG983060:NJJ983060 NTC983060:NTF983060 OCY983060:ODB983060 OMU983060:OMX983060 OWQ983060:OWT983060 PGM983060:PGP983060 PQI983060:PQL983060 QAE983060:QAH983060 QKA983060:QKD983060 QTW983060:QTZ983060 RDS983060:RDV983060 RNO983060:RNR983060 RXK983060:RXN983060 SHG983060:SHJ983060 SRC983060:SRF983060 TAY983060:TBB983060 TKU983060:TKX983060 TUQ983060:TUT983060 UEM983060:UEP983060 UOI983060:UOL983060 UYE983060:UYH983060 VIA983060:VID983060 VRW983060:VRZ983060 WBS983060:WBV983060 WLO983060:WLR983060">
      <formula1>$M$13:$M$15</formula1>
    </dataValidation>
    <dataValidation type="list" allowBlank="1" showInputMessage="1" showErrorMessage="1" promptTitle="Cabang" prompt="Dipilih apakah usaha Pemohon memilik cabang atau tidak. Apabila dipilih 'Ada' agar diinput jumlah cabang yang dimiliki pada kolom yang disediakan. Apabila 'Tidak' agar diinput dengan angka '0'" sqref="WVK983073 D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D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D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D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D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D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D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D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D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D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D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D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D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D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D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#REF!</formula1>
    </dataValidation>
    <dataValidation type="list" allowBlank="1" showInputMessage="1" showErrorMessage="1" promptTitle="Daerah Pemasaran" prompt="Dipilih sasaran atau area pemasaran atas produk / jasa yang dimiliki oleh Pemohon. Apabila terdapat beberapa daerah Pemasaran, dipilih area pemasaran yang memberikan kontribusi terbesar terhadap penjualan." sqref="WVK983072:WVN983072 D65568:G65568 IY65568:JB65568 SU65568:SX65568 ACQ65568:ACT65568 AMM65568:AMP65568 AWI65568:AWL65568 BGE65568:BGH65568 BQA65568:BQD65568 BZW65568:BZZ65568 CJS65568:CJV65568 CTO65568:CTR65568 DDK65568:DDN65568 DNG65568:DNJ65568 DXC65568:DXF65568 EGY65568:EHB65568 EQU65568:EQX65568 FAQ65568:FAT65568 FKM65568:FKP65568 FUI65568:FUL65568 GEE65568:GEH65568 GOA65568:GOD65568 GXW65568:GXZ65568 HHS65568:HHV65568 HRO65568:HRR65568 IBK65568:IBN65568 ILG65568:ILJ65568 IVC65568:IVF65568 JEY65568:JFB65568 JOU65568:JOX65568 JYQ65568:JYT65568 KIM65568:KIP65568 KSI65568:KSL65568 LCE65568:LCH65568 LMA65568:LMD65568 LVW65568:LVZ65568 MFS65568:MFV65568 MPO65568:MPR65568 MZK65568:MZN65568 NJG65568:NJJ65568 NTC65568:NTF65568 OCY65568:ODB65568 OMU65568:OMX65568 OWQ65568:OWT65568 PGM65568:PGP65568 PQI65568:PQL65568 QAE65568:QAH65568 QKA65568:QKD65568 QTW65568:QTZ65568 RDS65568:RDV65568 RNO65568:RNR65568 RXK65568:RXN65568 SHG65568:SHJ65568 SRC65568:SRF65568 TAY65568:TBB65568 TKU65568:TKX65568 TUQ65568:TUT65568 UEM65568:UEP65568 UOI65568:UOL65568 UYE65568:UYH65568 VIA65568:VID65568 VRW65568:VRZ65568 WBS65568:WBV65568 WLO65568:WLR65568 WVK65568:WVN65568 D131104:G131104 IY131104:JB131104 SU131104:SX131104 ACQ131104:ACT131104 AMM131104:AMP131104 AWI131104:AWL131104 BGE131104:BGH131104 BQA131104:BQD131104 BZW131104:BZZ131104 CJS131104:CJV131104 CTO131104:CTR131104 DDK131104:DDN131104 DNG131104:DNJ131104 DXC131104:DXF131104 EGY131104:EHB131104 EQU131104:EQX131104 FAQ131104:FAT131104 FKM131104:FKP131104 FUI131104:FUL131104 GEE131104:GEH131104 GOA131104:GOD131104 GXW131104:GXZ131104 HHS131104:HHV131104 HRO131104:HRR131104 IBK131104:IBN131104 ILG131104:ILJ131104 IVC131104:IVF131104 JEY131104:JFB131104 JOU131104:JOX131104 JYQ131104:JYT131104 KIM131104:KIP131104 KSI131104:KSL131104 LCE131104:LCH131104 LMA131104:LMD131104 LVW131104:LVZ131104 MFS131104:MFV131104 MPO131104:MPR131104 MZK131104:MZN131104 NJG131104:NJJ131104 NTC131104:NTF131104 OCY131104:ODB131104 OMU131104:OMX131104 OWQ131104:OWT131104 PGM131104:PGP131104 PQI131104:PQL131104 QAE131104:QAH131104 QKA131104:QKD131104 QTW131104:QTZ131104 RDS131104:RDV131104 RNO131104:RNR131104 RXK131104:RXN131104 SHG131104:SHJ131104 SRC131104:SRF131104 TAY131104:TBB131104 TKU131104:TKX131104 TUQ131104:TUT131104 UEM131104:UEP131104 UOI131104:UOL131104 UYE131104:UYH131104 VIA131104:VID131104 VRW131104:VRZ131104 WBS131104:WBV131104 WLO131104:WLR131104 WVK131104:WVN131104 D196640:G196640 IY196640:JB196640 SU196640:SX196640 ACQ196640:ACT196640 AMM196640:AMP196640 AWI196640:AWL196640 BGE196640:BGH196640 BQA196640:BQD196640 BZW196640:BZZ196640 CJS196640:CJV196640 CTO196640:CTR196640 DDK196640:DDN196640 DNG196640:DNJ196640 DXC196640:DXF196640 EGY196640:EHB196640 EQU196640:EQX196640 FAQ196640:FAT196640 FKM196640:FKP196640 FUI196640:FUL196640 GEE196640:GEH196640 GOA196640:GOD196640 GXW196640:GXZ196640 HHS196640:HHV196640 HRO196640:HRR196640 IBK196640:IBN196640 ILG196640:ILJ196640 IVC196640:IVF196640 JEY196640:JFB196640 JOU196640:JOX196640 JYQ196640:JYT196640 KIM196640:KIP196640 KSI196640:KSL196640 LCE196640:LCH196640 LMA196640:LMD196640 LVW196640:LVZ196640 MFS196640:MFV196640 MPO196640:MPR196640 MZK196640:MZN196640 NJG196640:NJJ196640 NTC196640:NTF196640 OCY196640:ODB196640 OMU196640:OMX196640 OWQ196640:OWT196640 PGM196640:PGP196640 PQI196640:PQL196640 QAE196640:QAH196640 QKA196640:QKD196640 QTW196640:QTZ196640 RDS196640:RDV196640 RNO196640:RNR196640 RXK196640:RXN196640 SHG196640:SHJ196640 SRC196640:SRF196640 TAY196640:TBB196640 TKU196640:TKX196640 TUQ196640:TUT196640 UEM196640:UEP196640 UOI196640:UOL196640 UYE196640:UYH196640 VIA196640:VID196640 VRW196640:VRZ196640 WBS196640:WBV196640 WLO196640:WLR196640 WVK196640:WVN196640 D262176:G262176 IY262176:JB262176 SU262176:SX262176 ACQ262176:ACT262176 AMM262176:AMP262176 AWI262176:AWL262176 BGE262176:BGH262176 BQA262176:BQD262176 BZW262176:BZZ262176 CJS262176:CJV262176 CTO262176:CTR262176 DDK262176:DDN262176 DNG262176:DNJ262176 DXC262176:DXF262176 EGY262176:EHB262176 EQU262176:EQX262176 FAQ262176:FAT262176 FKM262176:FKP262176 FUI262176:FUL262176 GEE262176:GEH262176 GOA262176:GOD262176 GXW262176:GXZ262176 HHS262176:HHV262176 HRO262176:HRR262176 IBK262176:IBN262176 ILG262176:ILJ262176 IVC262176:IVF262176 JEY262176:JFB262176 JOU262176:JOX262176 JYQ262176:JYT262176 KIM262176:KIP262176 KSI262176:KSL262176 LCE262176:LCH262176 LMA262176:LMD262176 LVW262176:LVZ262176 MFS262176:MFV262176 MPO262176:MPR262176 MZK262176:MZN262176 NJG262176:NJJ262176 NTC262176:NTF262176 OCY262176:ODB262176 OMU262176:OMX262176 OWQ262176:OWT262176 PGM262176:PGP262176 PQI262176:PQL262176 QAE262176:QAH262176 QKA262176:QKD262176 QTW262176:QTZ262176 RDS262176:RDV262176 RNO262176:RNR262176 RXK262176:RXN262176 SHG262176:SHJ262176 SRC262176:SRF262176 TAY262176:TBB262176 TKU262176:TKX262176 TUQ262176:TUT262176 UEM262176:UEP262176 UOI262176:UOL262176 UYE262176:UYH262176 VIA262176:VID262176 VRW262176:VRZ262176 WBS262176:WBV262176 WLO262176:WLR262176 WVK262176:WVN262176 D327712:G327712 IY327712:JB327712 SU327712:SX327712 ACQ327712:ACT327712 AMM327712:AMP327712 AWI327712:AWL327712 BGE327712:BGH327712 BQA327712:BQD327712 BZW327712:BZZ327712 CJS327712:CJV327712 CTO327712:CTR327712 DDK327712:DDN327712 DNG327712:DNJ327712 DXC327712:DXF327712 EGY327712:EHB327712 EQU327712:EQX327712 FAQ327712:FAT327712 FKM327712:FKP327712 FUI327712:FUL327712 GEE327712:GEH327712 GOA327712:GOD327712 GXW327712:GXZ327712 HHS327712:HHV327712 HRO327712:HRR327712 IBK327712:IBN327712 ILG327712:ILJ327712 IVC327712:IVF327712 JEY327712:JFB327712 JOU327712:JOX327712 JYQ327712:JYT327712 KIM327712:KIP327712 KSI327712:KSL327712 LCE327712:LCH327712 LMA327712:LMD327712 LVW327712:LVZ327712 MFS327712:MFV327712 MPO327712:MPR327712 MZK327712:MZN327712 NJG327712:NJJ327712 NTC327712:NTF327712 OCY327712:ODB327712 OMU327712:OMX327712 OWQ327712:OWT327712 PGM327712:PGP327712 PQI327712:PQL327712 QAE327712:QAH327712 QKA327712:QKD327712 QTW327712:QTZ327712 RDS327712:RDV327712 RNO327712:RNR327712 RXK327712:RXN327712 SHG327712:SHJ327712 SRC327712:SRF327712 TAY327712:TBB327712 TKU327712:TKX327712 TUQ327712:TUT327712 UEM327712:UEP327712 UOI327712:UOL327712 UYE327712:UYH327712 VIA327712:VID327712 VRW327712:VRZ327712 WBS327712:WBV327712 WLO327712:WLR327712 WVK327712:WVN327712 D393248:G393248 IY393248:JB393248 SU393248:SX393248 ACQ393248:ACT393248 AMM393248:AMP393248 AWI393248:AWL393248 BGE393248:BGH393248 BQA393248:BQD393248 BZW393248:BZZ393248 CJS393248:CJV393248 CTO393248:CTR393248 DDK393248:DDN393248 DNG393248:DNJ393248 DXC393248:DXF393248 EGY393248:EHB393248 EQU393248:EQX393248 FAQ393248:FAT393248 FKM393248:FKP393248 FUI393248:FUL393248 GEE393248:GEH393248 GOA393248:GOD393248 GXW393248:GXZ393248 HHS393248:HHV393248 HRO393248:HRR393248 IBK393248:IBN393248 ILG393248:ILJ393248 IVC393248:IVF393248 JEY393248:JFB393248 JOU393248:JOX393248 JYQ393248:JYT393248 KIM393248:KIP393248 KSI393248:KSL393248 LCE393248:LCH393248 LMA393248:LMD393248 LVW393248:LVZ393248 MFS393248:MFV393248 MPO393248:MPR393248 MZK393248:MZN393248 NJG393248:NJJ393248 NTC393248:NTF393248 OCY393248:ODB393248 OMU393248:OMX393248 OWQ393248:OWT393248 PGM393248:PGP393248 PQI393248:PQL393248 QAE393248:QAH393248 QKA393248:QKD393248 QTW393248:QTZ393248 RDS393248:RDV393248 RNO393248:RNR393248 RXK393248:RXN393248 SHG393248:SHJ393248 SRC393248:SRF393248 TAY393248:TBB393248 TKU393248:TKX393248 TUQ393248:TUT393248 UEM393248:UEP393248 UOI393248:UOL393248 UYE393248:UYH393248 VIA393248:VID393248 VRW393248:VRZ393248 WBS393248:WBV393248 WLO393248:WLR393248 WVK393248:WVN393248 D458784:G458784 IY458784:JB458784 SU458784:SX458784 ACQ458784:ACT458784 AMM458784:AMP458784 AWI458784:AWL458784 BGE458784:BGH458784 BQA458784:BQD458784 BZW458784:BZZ458784 CJS458784:CJV458784 CTO458784:CTR458784 DDK458784:DDN458784 DNG458784:DNJ458784 DXC458784:DXF458784 EGY458784:EHB458784 EQU458784:EQX458784 FAQ458784:FAT458784 FKM458784:FKP458784 FUI458784:FUL458784 GEE458784:GEH458784 GOA458784:GOD458784 GXW458784:GXZ458784 HHS458784:HHV458784 HRO458784:HRR458784 IBK458784:IBN458784 ILG458784:ILJ458784 IVC458784:IVF458784 JEY458784:JFB458784 JOU458784:JOX458784 JYQ458784:JYT458784 KIM458784:KIP458784 KSI458784:KSL458784 LCE458784:LCH458784 LMA458784:LMD458784 LVW458784:LVZ458784 MFS458784:MFV458784 MPO458784:MPR458784 MZK458784:MZN458784 NJG458784:NJJ458784 NTC458784:NTF458784 OCY458784:ODB458784 OMU458784:OMX458784 OWQ458784:OWT458784 PGM458784:PGP458784 PQI458784:PQL458784 QAE458784:QAH458784 QKA458784:QKD458784 QTW458784:QTZ458784 RDS458784:RDV458784 RNO458784:RNR458784 RXK458784:RXN458784 SHG458784:SHJ458784 SRC458784:SRF458784 TAY458784:TBB458784 TKU458784:TKX458784 TUQ458784:TUT458784 UEM458784:UEP458784 UOI458784:UOL458784 UYE458784:UYH458784 VIA458784:VID458784 VRW458784:VRZ458784 WBS458784:WBV458784 WLO458784:WLR458784 WVK458784:WVN458784 D524320:G524320 IY524320:JB524320 SU524320:SX524320 ACQ524320:ACT524320 AMM524320:AMP524320 AWI524320:AWL524320 BGE524320:BGH524320 BQA524320:BQD524320 BZW524320:BZZ524320 CJS524320:CJV524320 CTO524320:CTR524320 DDK524320:DDN524320 DNG524320:DNJ524320 DXC524320:DXF524320 EGY524320:EHB524320 EQU524320:EQX524320 FAQ524320:FAT524320 FKM524320:FKP524320 FUI524320:FUL524320 GEE524320:GEH524320 GOA524320:GOD524320 GXW524320:GXZ524320 HHS524320:HHV524320 HRO524320:HRR524320 IBK524320:IBN524320 ILG524320:ILJ524320 IVC524320:IVF524320 JEY524320:JFB524320 JOU524320:JOX524320 JYQ524320:JYT524320 KIM524320:KIP524320 KSI524320:KSL524320 LCE524320:LCH524320 LMA524320:LMD524320 LVW524320:LVZ524320 MFS524320:MFV524320 MPO524320:MPR524320 MZK524320:MZN524320 NJG524320:NJJ524320 NTC524320:NTF524320 OCY524320:ODB524320 OMU524320:OMX524320 OWQ524320:OWT524320 PGM524320:PGP524320 PQI524320:PQL524320 QAE524320:QAH524320 QKA524320:QKD524320 QTW524320:QTZ524320 RDS524320:RDV524320 RNO524320:RNR524320 RXK524320:RXN524320 SHG524320:SHJ524320 SRC524320:SRF524320 TAY524320:TBB524320 TKU524320:TKX524320 TUQ524320:TUT524320 UEM524320:UEP524320 UOI524320:UOL524320 UYE524320:UYH524320 VIA524320:VID524320 VRW524320:VRZ524320 WBS524320:WBV524320 WLO524320:WLR524320 WVK524320:WVN524320 D589856:G589856 IY589856:JB589856 SU589856:SX589856 ACQ589856:ACT589856 AMM589856:AMP589856 AWI589856:AWL589856 BGE589856:BGH589856 BQA589856:BQD589856 BZW589856:BZZ589856 CJS589856:CJV589856 CTO589856:CTR589856 DDK589856:DDN589856 DNG589856:DNJ589856 DXC589856:DXF589856 EGY589856:EHB589856 EQU589856:EQX589856 FAQ589856:FAT589856 FKM589856:FKP589856 FUI589856:FUL589856 GEE589856:GEH589856 GOA589856:GOD589856 GXW589856:GXZ589856 HHS589856:HHV589856 HRO589856:HRR589856 IBK589856:IBN589856 ILG589856:ILJ589856 IVC589856:IVF589856 JEY589856:JFB589856 JOU589856:JOX589856 JYQ589856:JYT589856 KIM589856:KIP589856 KSI589856:KSL589856 LCE589856:LCH589856 LMA589856:LMD589856 LVW589856:LVZ589856 MFS589856:MFV589856 MPO589856:MPR589856 MZK589856:MZN589856 NJG589856:NJJ589856 NTC589856:NTF589856 OCY589856:ODB589856 OMU589856:OMX589856 OWQ589856:OWT589856 PGM589856:PGP589856 PQI589856:PQL589856 QAE589856:QAH589856 QKA589856:QKD589856 QTW589856:QTZ589856 RDS589856:RDV589856 RNO589856:RNR589856 RXK589856:RXN589856 SHG589856:SHJ589856 SRC589856:SRF589856 TAY589856:TBB589856 TKU589856:TKX589856 TUQ589856:TUT589856 UEM589856:UEP589856 UOI589856:UOL589856 UYE589856:UYH589856 VIA589856:VID589856 VRW589856:VRZ589856 WBS589856:WBV589856 WLO589856:WLR589856 WVK589856:WVN589856 D655392:G655392 IY655392:JB655392 SU655392:SX655392 ACQ655392:ACT655392 AMM655392:AMP655392 AWI655392:AWL655392 BGE655392:BGH655392 BQA655392:BQD655392 BZW655392:BZZ655392 CJS655392:CJV655392 CTO655392:CTR655392 DDK655392:DDN655392 DNG655392:DNJ655392 DXC655392:DXF655392 EGY655392:EHB655392 EQU655392:EQX655392 FAQ655392:FAT655392 FKM655392:FKP655392 FUI655392:FUL655392 GEE655392:GEH655392 GOA655392:GOD655392 GXW655392:GXZ655392 HHS655392:HHV655392 HRO655392:HRR655392 IBK655392:IBN655392 ILG655392:ILJ655392 IVC655392:IVF655392 JEY655392:JFB655392 JOU655392:JOX655392 JYQ655392:JYT655392 KIM655392:KIP655392 KSI655392:KSL655392 LCE655392:LCH655392 LMA655392:LMD655392 LVW655392:LVZ655392 MFS655392:MFV655392 MPO655392:MPR655392 MZK655392:MZN655392 NJG655392:NJJ655392 NTC655392:NTF655392 OCY655392:ODB655392 OMU655392:OMX655392 OWQ655392:OWT655392 PGM655392:PGP655392 PQI655392:PQL655392 QAE655392:QAH655392 QKA655392:QKD655392 QTW655392:QTZ655392 RDS655392:RDV655392 RNO655392:RNR655392 RXK655392:RXN655392 SHG655392:SHJ655392 SRC655392:SRF655392 TAY655392:TBB655392 TKU655392:TKX655392 TUQ655392:TUT655392 UEM655392:UEP655392 UOI655392:UOL655392 UYE655392:UYH655392 VIA655392:VID655392 VRW655392:VRZ655392 WBS655392:WBV655392 WLO655392:WLR655392 WVK655392:WVN655392 D720928:G720928 IY720928:JB720928 SU720928:SX720928 ACQ720928:ACT720928 AMM720928:AMP720928 AWI720928:AWL720928 BGE720928:BGH720928 BQA720928:BQD720928 BZW720928:BZZ720928 CJS720928:CJV720928 CTO720928:CTR720928 DDK720928:DDN720928 DNG720928:DNJ720928 DXC720928:DXF720928 EGY720928:EHB720928 EQU720928:EQX720928 FAQ720928:FAT720928 FKM720928:FKP720928 FUI720928:FUL720928 GEE720928:GEH720928 GOA720928:GOD720928 GXW720928:GXZ720928 HHS720928:HHV720928 HRO720928:HRR720928 IBK720928:IBN720928 ILG720928:ILJ720928 IVC720928:IVF720928 JEY720928:JFB720928 JOU720928:JOX720928 JYQ720928:JYT720928 KIM720928:KIP720928 KSI720928:KSL720928 LCE720928:LCH720928 LMA720928:LMD720928 LVW720928:LVZ720928 MFS720928:MFV720928 MPO720928:MPR720928 MZK720928:MZN720928 NJG720928:NJJ720928 NTC720928:NTF720928 OCY720928:ODB720928 OMU720928:OMX720928 OWQ720928:OWT720928 PGM720928:PGP720928 PQI720928:PQL720928 QAE720928:QAH720928 QKA720928:QKD720928 QTW720928:QTZ720928 RDS720928:RDV720928 RNO720928:RNR720928 RXK720928:RXN720928 SHG720928:SHJ720928 SRC720928:SRF720928 TAY720928:TBB720928 TKU720928:TKX720928 TUQ720928:TUT720928 UEM720928:UEP720928 UOI720928:UOL720928 UYE720928:UYH720928 VIA720928:VID720928 VRW720928:VRZ720928 WBS720928:WBV720928 WLO720928:WLR720928 WVK720928:WVN720928 D786464:G786464 IY786464:JB786464 SU786464:SX786464 ACQ786464:ACT786464 AMM786464:AMP786464 AWI786464:AWL786464 BGE786464:BGH786464 BQA786464:BQD786464 BZW786464:BZZ786464 CJS786464:CJV786464 CTO786464:CTR786464 DDK786464:DDN786464 DNG786464:DNJ786464 DXC786464:DXF786464 EGY786464:EHB786464 EQU786464:EQX786464 FAQ786464:FAT786464 FKM786464:FKP786464 FUI786464:FUL786464 GEE786464:GEH786464 GOA786464:GOD786464 GXW786464:GXZ786464 HHS786464:HHV786464 HRO786464:HRR786464 IBK786464:IBN786464 ILG786464:ILJ786464 IVC786464:IVF786464 JEY786464:JFB786464 JOU786464:JOX786464 JYQ786464:JYT786464 KIM786464:KIP786464 KSI786464:KSL786464 LCE786464:LCH786464 LMA786464:LMD786464 LVW786464:LVZ786464 MFS786464:MFV786464 MPO786464:MPR786464 MZK786464:MZN786464 NJG786464:NJJ786464 NTC786464:NTF786464 OCY786464:ODB786464 OMU786464:OMX786464 OWQ786464:OWT786464 PGM786464:PGP786464 PQI786464:PQL786464 QAE786464:QAH786464 QKA786464:QKD786464 QTW786464:QTZ786464 RDS786464:RDV786464 RNO786464:RNR786464 RXK786464:RXN786464 SHG786464:SHJ786464 SRC786464:SRF786464 TAY786464:TBB786464 TKU786464:TKX786464 TUQ786464:TUT786464 UEM786464:UEP786464 UOI786464:UOL786464 UYE786464:UYH786464 VIA786464:VID786464 VRW786464:VRZ786464 WBS786464:WBV786464 WLO786464:WLR786464 WVK786464:WVN786464 D852000:G852000 IY852000:JB852000 SU852000:SX852000 ACQ852000:ACT852000 AMM852000:AMP852000 AWI852000:AWL852000 BGE852000:BGH852000 BQA852000:BQD852000 BZW852000:BZZ852000 CJS852000:CJV852000 CTO852000:CTR852000 DDK852000:DDN852000 DNG852000:DNJ852000 DXC852000:DXF852000 EGY852000:EHB852000 EQU852000:EQX852000 FAQ852000:FAT852000 FKM852000:FKP852000 FUI852000:FUL852000 GEE852000:GEH852000 GOA852000:GOD852000 GXW852000:GXZ852000 HHS852000:HHV852000 HRO852000:HRR852000 IBK852000:IBN852000 ILG852000:ILJ852000 IVC852000:IVF852000 JEY852000:JFB852000 JOU852000:JOX852000 JYQ852000:JYT852000 KIM852000:KIP852000 KSI852000:KSL852000 LCE852000:LCH852000 LMA852000:LMD852000 LVW852000:LVZ852000 MFS852000:MFV852000 MPO852000:MPR852000 MZK852000:MZN852000 NJG852000:NJJ852000 NTC852000:NTF852000 OCY852000:ODB852000 OMU852000:OMX852000 OWQ852000:OWT852000 PGM852000:PGP852000 PQI852000:PQL852000 QAE852000:QAH852000 QKA852000:QKD852000 QTW852000:QTZ852000 RDS852000:RDV852000 RNO852000:RNR852000 RXK852000:RXN852000 SHG852000:SHJ852000 SRC852000:SRF852000 TAY852000:TBB852000 TKU852000:TKX852000 TUQ852000:TUT852000 UEM852000:UEP852000 UOI852000:UOL852000 UYE852000:UYH852000 VIA852000:VID852000 VRW852000:VRZ852000 WBS852000:WBV852000 WLO852000:WLR852000 WVK852000:WVN852000 D917536:G917536 IY917536:JB917536 SU917536:SX917536 ACQ917536:ACT917536 AMM917536:AMP917536 AWI917536:AWL917536 BGE917536:BGH917536 BQA917536:BQD917536 BZW917536:BZZ917536 CJS917536:CJV917536 CTO917536:CTR917536 DDK917536:DDN917536 DNG917536:DNJ917536 DXC917536:DXF917536 EGY917536:EHB917536 EQU917536:EQX917536 FAQ917536:FAT917536 FKM917536:FKP917536 FUI917536:FUL917536 GEE917536:GEH917536 GOA917536:GOD917536 GXW917536:GXZ917536 HHS917536:HHV917536 HRO917536:HRR917536 IBK917536:IBN917536 ILG917536:ILJ917536 IVC917536:IVF917536 JEY917536:JFB917536 JOU917536:JOX917536 JYQ917536:JYT917536 KIM917536:KIP917536 KSI917536:KSL917536 LCE917536:LCH917536 LMA917536:LMD917536 LVW917536:LVZ917536 MFS917536:MFV917536 MPO917536:MPR917536 MZK917536:MZN917536 NJG917536:NJJ917536 NTC917536:NTF917536 OCY917536:ODB917536 OMU917536:OMX917536 OWQ917536:OWT917536 PGM917536:PGP917536 PQI917536:PQL917536 QAE917536:QAH917536 QKA917536:QKD917536 QTW917536:QTZ917536 RDS917536:RDV917536 RNO917536:RNR917536 RXK917536:RXN917536 SHG917536:SHJ917536 SRC917536:SRF917536 TAY917536:TBB917536 TKU917536:TKX917536 TUQ917536:TUT917536 UEM917536:UEP917536 UOI917536:UOL917536 UYE917536:UYH917536 VIA917536:VID917536 VRW917536:VRZ917536 WBS917536:WBV917536 WLO917536:WLR917536 WVK917536:WVN917536 D983072:G983072 IY983072:JB983072 SU983072:SX983072 ACQ983072:ACT983072 AMM983072:AMP983072 AWI983072:AWL983072 BGE983072:BGH983072 BQA983072:BQD983072 BZW983072:BZZ983072 CJS983072:CJV983072 CTO983072:CTR983072 DDK983072:DDN983072 DNG983072:DNJ983072 DXC983072:DXF983072 EGY983072:EHB983072 EQU983072:EQX983072 FAQ983072:FAT983072 FKM983072:FKP983072 FUI983072:FUL983072 GEE983072:GEH983072 GOA983072:GOD983072 GXW983072:GXZ983072 HHS983072:HHV983072 HRO983072:HRR983072 IBK983072:IBN983072 ILG983072:ILJ983072 IVC983072:IVF983072 JEY983072:JFB983072 JOU983072:JOX983072 JYQ983072:JYT983072 KIM983072:KIP983072 KSI983072:KSL983072 LCE983072:LCH983072 LMA983072:LMD983072 LVW983072:LVZ983072 MFS983072:MFV983072 MPO983072:MPR983072 MZK983072:MZN983072 NJG983072:NJJ983072 NTC983072:NTF983072 OCY983072:ODB983072 OMU983072:OMX983072 OWQ983072:OWT983072 PGM983072:PGP983072 PQI983072:PQL983072 QAE983072:QAH983072 QKA983072:QKD983072 QTW983072:QTZ983072 RDS983072:RDV983072 RNO983072:RNR983072 RXK983072:RXN983072 SHG983072:SHJ983072 SRC983072:SRF983072 TAY983072:TBB983072 TKU983072:TKX983072 TUQ983072:TUT983072 UEM983072:UEP983072 UOI983072:UOL983072 UYE983072:UYH983072 VIA983072:VID983072 VRW983072:VRZ983072 WBS983072:WBV983072 WLO983072:WLR983072">
      <formula1>#REF!</formula1>
    </dataValidation>
    <dataValidation type="list" allowBlank="1" showInputMessage="1" showErrorMessage="1" promptTitle="Lokasi Usaha" prompt="Pilih lokasi usaha sesuai dengan hasil verifikasi di lapangan" sqref="D65567:G65567 WVK983071:WVN983071 WLO983071:WLR983071 WBS983071:WBV983071 VRW983071:VRZ983071 VIA983071:VID983071 UYE983071:UYH983071 UOI983071:UOL983071 UEM983071:UEP983071 TUQ983071:TUT983071 TKU983071:TKX983071 TAY983071:TBB983071 SRC983071:SRF983071 SHG983071:SHJ983071 RXK983071:RXN983071 RNO983071:RNR983071 RDS983071:RDV983071 QTW983071:QTZ983071 QKA983071:QKD983071 QAE983071:QAH983071 PQI983071:PQL983071 PGM983071:PGP983071 OWQ983071:OWT983071 OMU983071:OMX983071 OCY983071:ODB983071 NTC983071:NTF983071 NJG983071:NJJ983071 MZK983071:MZN983071 MPO983071:MPR983071 MFS983071:MFV983071 LVW983071:LVZ983071 LMA983071:LMD983071 LCE983071:LCH983071 KSI983071:KSL983071 KIM983071:KIP983071 JYQ983071:JYT983071 JOU983071:JOX983071 JEY983071:JFB983071 IVC983071:IVF983071 ILG983071:ILJ983071 IBK983071:IBN983071 HRO983071:HRR983071 HHS983071:HHV983071 GXW983071:GXZ983071 GOA983071:GOD983071 GEE983071:GEH983071 FUI983071:FUL983071 FKM983071:FKP983071 FAQ983071:FAT983071 EQU983071:EQX983071 EGY983071:EHB983071 DXC983071:DXF983071 DNG983071:DNJ983071 DDK983071:DDN983071 CTO983071:CTR983071 CJS983071:CJV983071 BZW983071:BZZ983071 BQA983071:BQD983071 BGE983071:BGH983071 AWI983071:AWL983071 AMM983071:AMP983071 ACQ983071:ACT983071 SU983071:SX983071 IY983071:JB983071 D983071:G983071 WVK917535:WVN917535 WLO917535:WLR917535 WBS917535:WBV917535 VRW917535:VRZ917535 VIA917535:VID917535 UYE917535:UYH917535 UOI917535:UOL917535 UEM917535:UEP917535 TUQ917535:TUT917535 TKU917535:TKX917535 TAY917535:TBB917535 SRC917535:SRF917535 SHG917535:SHJ917535 RXK917535:RXN917535 RNO917535:RNR917535 RDS917535:RDV917535 QTW917535:QTZ917535 QKA917535:QKD917535 QAE917535:QAH917535 PQI917535:PQL917535 PGM917535:PGP917535 OWQ917535:OWT917535 OMU917535:OMX917535 OCY917535:ODB917535 NTC917535:NTF917535 NJG917535:NJJ917535 MZK917535:MZN917535 MPO917535:MPR917535 MFS917535:MFV917535 LVW917535:LVZ917535 LMA917535:LMD917535 LCE917535:LCH917535 KSI917535:KSL917535 KIM917535:KIP917535 JYQ917535:JYT917535 JOU917535:JOX917535 JEY917535:JFB917535 IVC917535:IVF917535 ILG917535:ILJ917535 IBK917535:IBN917535 HRO917535:HRR917535 HHS917535:HHV917535 GXW917535:GXZ917535 GOA917535:GOD917535 GEE917535:GEH917535 FUI917535:FUL917535 FKM917535:FKP917535 FAQ917535:FAT917535 EQU917535:EQX917535 EGY917535:EHB917535 DXC917535:DXF917535 DNG917535:DNJ917535 DDK917535:DDN917535 CTO917535:CTR917535 CJS917535:CJV917535 BZW917535:BZZ917535 BQA917535:BQD917535 BGE917535:BGH917535 AWI917535:AWL917535 AMM917535:AMP917535 ACQ917535:ACT917535 SU917535:SX917535 IY917535:JB917535 D917535:G917535 WVK851999:WVN851999 WLO851999:WLR851999 WBS851999:WBV851999 VRW851999:VRZ851999 VIA851999:VID851999 UYE851999:UYH851999 UOI851999:UOL851999 UEM851999:UEP851999 TUQ851999:TUT851999 TKU851999:TKX851999 TAY851999:TBB851999 SRC851999:SRF851999 SHG851999:SHJ851999 RXK851999:RXN851999 RNO851999:RNR851999 RDS851999:RDV851999 QTW851999:QTZ851999 QKA851999:QKD851999 QAE851999:QAH851999 PQI851999:PQL851999 PGM851999:PGP851999 OWQ851999:OWT851999 OMU851999:OMX851999 OCY851999:ODB851999 NTC851999:NTF851999 NJG851999:NJJ851999 MZK851999:MZN851999 MPO851999:MPR851999 MFS851999:MFV851999 LVW851999:LVZ851999 LMA851999:LMD851999 LCE851999:LCH851999 KSI851999:KSL851999 KIM851999:KIP851999 JYQ851999:JYT851999 JOU851999:JOX851999 JEY851999:JFB851999 IVC851999:IVF851999 ILG851999:ILJ851999 IBK851999:IBN851999 HRO851999:HRR851999 HHS851999:HHV851999 GXW851999:GXZ851999 GOA851999:GOD851999 GEE851999:GEH851999 FUI851999:FUL851999 FKM851999:FKP851999 FAQ851999:FAT851999 EQU851999:EQX851999 EGY851999:EHB851999 DXC851999:DXF851999 DNG851999:DNJ851999 DDK851999:DDN851999 CTO851999:CTR851999 CJS851999:CJV851999 BZW851999:BZZ851999 BQA851999:BQD851999 BGE851999:BGH851999 AWI851999:AWL851999 AMM851999:AMP851999 ACQ851999:ACT851999 SU851999:SX851999 IY851999:JB851999 D851999:G851999 WVK786463:WVN786463 WLO786463:WLR786463 WBS786463:WBV786463 VRW786463:VRZ786463 VIA786463:VID786463 UYE786463:UYH786463 UOI786463:UOL786463 UEM786463:UEP786463 TUQ786463:TUT786463 TKU786463:TKX786463 TAY786463:TBB786463 SRC786463:SRF786463 SHG786463:SHJ786463 RXK786463:RXN786463 RNO786463:RNR786463 RDS786463:RDV786463 QTW786463:QTZ786463 QKA786463:QKD786463 QAE786463:QAH786463 PQI786463:PQL786463 PGM786463:PGP786463 OWQ786463:OWT786463 OMU786463:OMX786463 OCY786463:ODB786463 NTC786463:NTF786463 NJG786463:NJJ786463 MZK786463:MZN786463 MPO786463:MPR786463 MFS786463:MFV786463 LVW786463:LVZ786463 LMA786463:LMD786463 LCE786463:LCH786463 KSI786463:KSL786463 KIM786463:KIP786463 JYQ786463:JYT786463 JOU786463:JOX786463 JEY786463:JFB786463 IVC786463:IVF786463 ILG786463:ILJ786463 IBK786463:IBN786463 HRO786463:HRR786463 HHS786463:HHV786463 GXW786463:GXZ786463 GOA786463:GOD786463 GEE786463:GEH786463 FUI786463:FUL786463 FKM786463:FKP786463 FAQ786463:FAT786463 EQU786463:EQX786463 EGY786463:EHB786463 DXC786463:DXF786463 DNG786463:DNJ786463 DDK786463:DDN786463 CTO786463:CTR786463 CJS786463:CJV786463 BZW786463:BZZ786463 BQA786463:BQD786463 BGE786463:BGH786463 AWI786463:AWL786463 AMM786463:AMP786463 ACQ786463:ACT786463 SU786463:SX786463 IY786463:JB786463 D786463:G786463 WVK720927:WVN720927 WLO720927:WLR720927 WBS720927:WBV720927 VRW720927:VRZ720927 VIA720927:VID720927 UYE720927:UYH720927 UOI720927:UOL720927 UEM720927:UEP720927 TUQ720927:TUT720927 TKU720927:TKX720927 TAY720927:TBB720927 SRC720927:SRF720927 SHG720927:SHJ720927 RXK720927:RXN720927 RNO720927:RNR720927 RDS720927:RDV720927 QTW720927:QTZ720927 QKA720927:QKD720927 QAE720927:QAH720927 PQI720927:PQL720927 PGM720927:PGP720927 OWQ720927:OWT720927 OMU720927:OMX720927 OCY720927:ODB720927 NTC720927:NTF720927 NJG720927:NJJ720927 MZK720927:MZN720927 MPO720927:MPR720927 MFS720927:MFV720927 LVW720927:LVZ720927 LMA720927:LMD720927 LCE720927:LCH720927 KSI720927:KSL720927 KIM720927:KIP720927 JYQ720927:JYT720927 JOU720927:JOX720927 JEY720927:JFB720927 IVC720927:IVF720927 ILG720927:ILJ720927 IBK720927:IBN720927 HRO720927:HRR720927 HHS720927:HHV720927 GXW720927:GXZ720927 GOA720927:GOD720927 GEE720927:GEH720927 FUI720927:FUL720927 FKM720927:FKP720927 FAQ720927:FAT720927 EQU720927:EQX720927 EGY720927:EHB720927 DXC720927:DXF720927 DNG720927:DNJ720927 DDK720927:DDN720927 CTO720927:CTR720927 CJS720927:CJV720927 BZW720927:BZZ720927 BQA720927:BQD720927 BGE720927:BGH720927 AWI720927:AWL720927 AMM720927:AMP720927 ACQ720927:ACT720927 SU720927:SX720927 IY720927:JB720927 D720927:G720927 WVK655391:WVN655391 WLO655391:WLR655391 WBS655391:WBV655391 VRW655391:VRZ655391 VIA655391:VID655391 UYE655391:UYH655391 UOI655391:UOL655391 UEM655391:UEP655391 TUQ655391:TUT655391 TKU655391:TKX655391 TAY655391:TBB655391 SRC655391:SRF655391 SHG655391:SHJ655391 RXK655391:RXN655391 RNO655391:RNR655391 RDS655391:RDV655391 QTW655391:QTZ655391 QKA655391:QKD655391 QAE655391:QAH655391 PQI655391:PQL655391 PGM655391:PGP655391 OWQ655391:OWT655391 OMU655391:OMX655391 OCY655391:ODB655391 NTC655391:NTF655391 NJG655391:NJJ655391 MZK655391:MZN655391 MPO655391:MPR655391 MFS655391:MFV655391 LVW655391:LVZ655391 LMA655391:LMD655391 LCE655391:LCH655391 KSI655391:KSL655391 KIM655391:KIP655391 JYQ655391:JYT655391 JOU655391:JOX655391 JEY655391:JFB655391 IVC655391:IVF655391 ILG655391:ILJ655391 IBK655391:IBN655391 HRO655391:HRR655391 HHS655391:HHV655391 GXW655391:GXZ655391 GOA655391:GOD655391 GEE655391:GEH655391 FUI655391:FUL655391 FKM655391:FKP655391 FAQ655391:FAT655391 EQU655391:EQX655391 EGY655391:EHB655391 DXC655391:DXF655391 DNG655391:DNJ655391 DDK655391:DDN655391 CTO655391:CTR655391 CJS655391:CJV655391 BZW655391:BZZ655391 BQA655391:BQD655391 BGE655391:BGH655391 AWI655391:AWL655391 AMM655391:AMP655391 ACQ655391:ACT655391 SU655391:SX655391 IY655391:JB655391 D655391:G655391 WVK589855:WVN589855 WLO589855:WLR589855 WBS589855:WBV589855 VRW589855:VRZ589855 VIA589855:VID589855 UYE589855:UYH589855 UOI589855:UOL589855 UEM589855:UEP589855 TUQ589855:TUT589855 TKU589855:TKX589855 TAY589855:TBB589855 SRC589855:SRF589855 SHG589855:SHJ589855 RXK589855:RXN589855 RNO589855:RNR589855 RDS589855:RDV589855 QTW589855:QTZ589855 QKA589855:QKD589855 QAE589855:QAH589855 PQI589855:PQL589855 PGM589855:PGP589855 OWQ589855:OWT589855 OMU589855:OMX589855 OCY589855:ODB589855 NTC589855:NTF589855 NJG589855:NJJ589855 MZK589855:MZN589855 MPO589855:MPR589855 MFS589855:MFV589855 LVW589855:LVZ589855 LMA589855:LMD589855 LCE589855:LCH589855 KSI589855:KSL589855 KIM589855:KIP589855 JYQ589855:JYT589855 JOU589855:JOX589855 JEY589855:JFB589855 IVC589855:IVF589855 ILG589855:ILJ589855 IBK589855:IBN589855 HRO589855:HRR589855 HHS589855:HHV589855 GXW589855:GXZ589855 GOA589855:GOD589855 GEE589855:GEH589855 FUI589855:FUL589855 FKM589855:FKP589855 FAQ589855:FAT589855 EQU589855:EQX589855 EGY589855:EHB589855 DXC589855:DXF589855 DNG589855:DNJ589855 DDK589855:DDN589855 CTO589855:CTR589855 CJS589855:CJV589855 BZW589855:BZZ589855 BQA589855:BQD589855 BGE589855:BGH589855 AWI589855:AWL589855 AMM589855:AMP589855 ACQ589855:ACT589855 SU589855:SX589855 IY589855:JB589855 D589855:G589855 WVK524319:WVN524319 WLO524319:WLR524319 WBS524319:WBV524319 VRW524319:VRZ524319 VIA524319:VID524319 UYE524319:UYH524319 UOI524319:UOL524319 UEM524319:UEP524319 TUQ524319:TUT524319 TKU524319:TKX524319 TAY524319:TBB524319 SRC524319:SRF524319 SHG524319:SHJ524319 RXK524319:RXN524319 RNO524319:RNR524319 RDS524319:RDV524319 QTW524319:QTZ524319 QKA524319:QKD524319 QAE524319:QAH524319 PQI524319:PQL524319 PGM524319:PGP524319 OWQ524319:OWT524319 OMU524319:OMX524319 OCY524319:ODB524319 NTC524319:NTF524319 NJG524319:NJJ524319 MZK524319:MZN524319 MPO524319:MPR524319 MFS524319:MFV524319 LVW524319:LVZ524319 LMA524319:LMD524319 LCE524319:LCH524319 KSI524319:KSL524319 KIM524319:KIP524319 JYQ524319:JYT524319 JOU524319:JOX524319 JEY524319:JFB524319 IVC524319:IVF524319 ILG524319:ILJ524319 IBK524319:IBN524319 HRO524319:HRR524319 HHS524319:HHV524319 GXW524319:GXZ524319 GOA524319:GOD524319 GEE524319:GEH524319 FUI524319:FUL524319 FKM524319:FKP524319 FAQ524319:FAT524319 EQU524319:EQX524319 EGY524319:EHB524319 DXC524319:DXF524319 DNG524319:DNJ524319 DDK524319:DDN524319 CTO524319:CTR524319 CJS524319:CJV524319 BZW524319:BZZ524319 BQA524319:BQD524319 BGE524319:BGH524319 AWI524319:AWL524319 AMM524319:AMP524319 ACQ524319:ACT524319 SU524319:SX524319 IY524319:JB524319 D524319:G524319 WVK458783:WVN458783 WLO458783:WLR458783 WBS458783:WBV458783 VRW458783:VRZ458783 VIA458783:VID458783 UYE458783:UYH458783 UOI458783:UOL458783 UEM458783:UEP458783 TUQ458783:TUT458783 TKU458783:TKX458783 TAY458783:TBB458783 SRC458783:SRF458783 SHG458783:SHJ458783 RXK458783:RXN458783 RNO458783:RNR458783 RDS458783:RDV458783 QTW458783:QTZ458783 QKA458783:QKD458783 QAE458783:QAH458783 PQI458783:PQL458783 PGM458783:PGP458783 OWQ458783:OWT458783 OMU458783:OMX458783 OCY458783:ODB458783 NTC458783:NTF458783 NJG458783:NJJ458783 MZK458783:MZN458783 MPO458783:MPR458783 MFS458783:MFV458783 LVW458783:LVZ458783 LMA458783:LMD458783 LCE458783:LCH458783 KSI458783:KSL458783 KIM458783:KIP458783 JYQ458783:JYT458783 JOU458783:JOX458783 JEY458783:JFB458783 IVC458783:IVF458783 ILG458783:ILJ458783 IBK458783:IBN458783 HRO458783:HRR458783 HHS458783:HHV458783 GXW458783:GXZ458783 GOA458783:GOD458783 GEE458783:GEH458783 FUI458783:FUL458783 FKM458783:FKP458783 FAQ458783:FAT458783 EQU458783:EQX458783 EGY458783:EHB458783 DXC458783:DXF458783 DNG458783:DNJ458783 DDK458783:DDN458783 CTO458783:CTR458783 CJS458783:CJV458783 BZW458783:BZZ458783 BQA458783:BQD458783 BGE458783:BGH458783 AWI458783:AWL458783 AMM458783:AMP458783 ACQ458783:ACT458783 SU458783:SX458783 IY458783:JB458783 D458783:G458783 WVK393247:WVN393247 WLO393247:WLR393247 WBS393247:WBV393247 VRW393247:VRZ393247 VIA393247:VID393247 UYE393247:UYH393247 UOI393247:UOL393247 UEM393247:UEP393247 TUQ393247:TUT393247 TKU393247:TKX393247 TAY393247:TBB393247 SRC393247:SRF393247 SHG393247:SHJ393247 RXK393247:RXN393247 RNO393247:RNR393247 RDS393247:RDV393247 QTW393247:QTZ393247 QKA393247:QKD393247 QAE393247:QAH393247 PQI393247:PQL393247 PGM393247:PGP393247 OWQ393247:OWT393247 OMU393247:OMX393247 OCY393247:ODB393247 NTC393247:NTF393247 NJG393247:NJJ393247 MZK393247:MZN393247 MPO393247:MPR393247 MFS393247:MFV393247 LVW393247:LVZ393247 LMA393247:LMD393247 LCE393247:LCH393247 KSI393247:KSL393247 KIM393247:KIP393247 JYQ393247:JYT393247 JOU393247:JOX393247 JEY393247:JFB393247 IVC393247:IVF393247 ILG393247:ILJ393247 IBK393247:IBN393247 HRO393247:HRR393247 HHS393247:HHV393247 GXW393247:GXZ393247 GOA393247:GOD393247 GEE393247:GEH393247 FUI393247:FUL393247 FKM393247:FKP393247 FAQ393247:FAT393247 EQU393247:EQX393247 EGY393247:EHB393247 DXC393247:DXF393247 DNG393247:DNJ393247 DDK393247:DDN393247 CTO393247:CTR393247 CJS393247:CJV393247 BZW393247:BZZ393247 BQA393247:BQD393247 BGE393247:BGH393247 AWI393247:AWL393247 AMM393247:AMP393247 ACQ393247:ACT393247 SU393247:SX393247 IY393247:JB393247 D393247:G393247 WVK327711:WVN327711 WLO327711:WLR327711 WBS327711:WBV327711 VRW327711:VRZ327711 VIA327711:VID327711 UYE327711:UYH327711 UOI327711:UOL327711 UEM327711:UEP327711 TUQ327711:TUT327711 TKU327711:TKX327711 TAY327711:TBB327711 SRC327711:SRF327711 SHG327711:SHJ327711 RXK327711:RXN327711 RNO327711:RNR327711 RDS327711:RDV327711 QTW327711:QTZ327711 QKA327711:QKD327711 QAE327711:QAH327711 PQI327711:PQL327711 PGM327711:PGP327711 OWQ327711:OWT327711 OMU327711:OMX327711 OCY327711:ODB327711 NTC327711:NTF327711 NJG327711:NJJ327711 MZK327711:MZN327711 MPO327711:MPR327711 MFS327711:MFV327711 LVW327711:LVZ327711 LMA327711:LMD327711 LCE327711:LCH327711 KSI327711:KSL327711 KIM327711:KIP327711 JYQ327711:JYT327711 JOU327711:JOX327711 JEY327711:JFB327711 IVC327711:IVF327711 ILG327711:ILJ327711 IBK327711:IBN327711 HRO327711:HRR327711 HHS327711:HHV327711 GXW327711:GXZ327711 GOA327711:GOD327711 GEE327711:GEH327711 FUI327711:FUL327711 FKM327711:FKP327711 FAQ327711:FAT327711 EQU327711:EQX327711 EGY327711:EHB327711 DXC327711:DXF327711 DNG327711:DNJ327711 DDK327711:DDN327711 CTO327711:CTR327711 CJS327711:CJV327711 BZW327711:BZZ327711 BQA327711:BQD327711 BGE327711:BGH327711 AWI327711:AWL327711 AMM327711:AMP327711 ACQ327711:ACT327711 SU327711:SX327711 IY327711:JB327711 D327711:G327711 WVK262175:WVN262175 WLO262175:WLR262175 WBS262175:WBV262175 VRW262175:VRZ262175 VIA262175:VID262175 UYE262175:UYH262175 UOI262175:UOL262175 UEM262175:UEP262175 TUQ262175:TUT262175 TKU262175:TKX262175 TAY262175:TBB262175 SRC262175:SRF262175 SHG262175:SHJ262175 RXK262175:RXN262175 RNO262175:RNR262175 RDS262175:RDV262175 QTW262175:QTZ262175 QKA262175:QKD262175 QAE262175:QAH262175 PQI262175:PQL262175 PGM262175:PGP262175 OWQ262175:OWT262175 OMU262175:OMX262175 OCY262175:ODB262175 NTC262175:NTF262175 NJG262175:NJJ262175 MZK262175:MZN262175 MPO262175:MPR262175 MFS262175:MFV262175 LVW262175:LVZ262175 LMA262175:LMD262175 LCE262175:LCH262175 KSI262175:KSL262175 KIM262175:KIP262175 JYQ262175:JYT262175 JOU262175:JOX262175 JEY262175:JFB262175 IVC262175:IVF262175 ILG262175:ILJ262175 IBK262175:IBN262175 HRO262175:HRR262175 HHS262175:HHV262175 GXW262175:GXZ262175 GOA262175:GOD262175 GEE262175:GEH262175 FUI262175:FUL262175 FKM262175:FKP262175 FAQ262175:FAT262175 EQU262175:EQX262175 EGY262175:EHB262175 DXC262175:DXF262175 DNG262175:DNJ262175 DDK262175:DDN262175 CTO262175:CTR262175 CJS262175:CJV262175 BZW262175:BZZ262175 BQA262175:BQD262175 BGE262175:BGH262175 AWI262175:AWL262175 AMM262175:AMP262175 ACQ262175:ACT262175 SU262175:SX262175 IY262175:JB262175 D262175:G262175 WVK196639:WVN196639 WLO196639:WLR196639 WBS196639:WBV196639 VRW196639:VRZ196639 VIA196639:VID196639 UYE196639:UYH196639 UOI196639:UOL196639 UEM196639:UEP196639 TUQ196639:TUT196639 TKU196639:TKX196639 TAY196639:TBB196639 SRC196639:SRF196639 SHG196639:SHJ196639 RXK196639:RXN196639 RNO196639:RNR196639 RDS196639:RDV196639 QTW196639:QTZ196639 QKA196639:QKD196639 QAE196639:QAH196639 PQI196639:PQL196639 PGM196639:PGP196639 OWQ196639:OWT196639 OMU196639:OMX196639 OCY196639:ODB196639 NTC196639:NTF196639 NJG196639:NJJ196639 MZK196639:MZN196639 MPO196639:MPR196639 MFS196639:MFV196639 LVW196639:LVZ196639 LMA196639:LMD196639 LCE196639:LCH196639 KSI196639:KSL196639 KIM196639:KIP196639 JYQ196639:JYT196639 JOU196639:JOX196639 JEY196639:JFB196639 IVC196639:IVF196639 ILG196639:ILJ196639 IBK196639:IBN196639 HRO196639:HRR196639 HHS196639:HHV196639 GXW196639:GXZ196639 GOA196639:GOD196639 GEE196639:GEH196639 FUI196639:FUL196639 FKM196639:FKP196639 FAQ196639:FAT196639 EQU196639:EQX196639 EGY196639:EHB196639 DXC196639:DXF196639 DNG196639:DNJ196639 DDK196639:DDN196639 CTO196639:CTR196639 CJS196639:CJV196639 BZW196639:BZZ196639 BQA196639:BQD196639 BGE196639:BGH196639 AWI196639:AWL196639 AMM196639:AMP196639 ACQ196639:ACT196639 SU196639:SX196639 IY196639:JB196639 D196639:G196639 WVK131103:WVN131103 WLO131103:WLR131103 WBS131103:WBV131103 VRW131103:VRZ131103 VIA131103:VID131103 UYE131103:UYH131103 UOI131103:UOL131103 UEM131103:UEP131103 TUQ131103:TUT131103 TKU131103:TKX131103 TAY131103:TBB131103 SRC131103:SRF131103 SHG131103:SHJ131103 RXK131103:RXN131103 RNO131103:RNR131103 RDS131103:RDV131103 QTW131103:QTZ131103 QKA131103:QKD131103 QAE131103:QAH131103 PQI131103:PQL131103 PGM131103:PGP131103 OWQ131103:OWT131103 OMU131103:OMX131103 OCY131103:ODB131103 NTC131103:NTF131103 NJG131103:NJJ131103 MZK131103:MZN131103 MPO131103:MPR131103 MFS131103:MFV131103 LVW131103:LVZ131103 LMA131103:LMD131103 LCE131103:LCH131103 KSI131103:KSL131103 KIM131103:KIP131103 JYQ131103:JYT131103 JOU131103:JOX131103 JEY131103:JFB131103 IVC131103:IVF131103 ILG131103:ILJ131103 IBK131103:IBN131103 HRO131103:HRR131103 HHS131103:HHV131103 GXW131103:GXZ131103 GOA131103:GOD131103 GEE131103:GEH131103 FUI131103:FUL131103 FKM131103:FKP131103 FAQ131103:FAT131103 EQU131103:EQX131103 EGY131103:EHB131103 DXC131103:DXF131103 DNG131103:DNJ131103 DDK131103:DDN131103 CTO131103:CTR131103 CJS131103:CJV131103 BZW131103:BZZ131103 BQA131103:BQD131103 BGE131103:BGH131103 AWI131103:AWL131103 AMM131103:AMP131103 ACQ131103:ACT131103 SU131103:SX131103 IY131103:JB131103 D131103:G131103 WVK65567:WVN65567 WLO65567:WLR65567 WBS65567:WBV65567 VRW65567:VRZ65567 VIA65567:VID65567 UYE65567:UYH65567 UOI65567:UOL65567 UEM65567:UEP65567 TUQ65567:TUT65567 TKU65567:TKX65567 TAY65567:TBB65567 SRC65567:SRF65567 SHG65567:SHJ65567 RXK65567:RXN65567 RNO65567:RNR65567 RDS65567:RDV65567 QTW65567:QTZ65567 QKA65567:QKD65567 QAE65567:QAH65567 PQI65567:PQL65567 PGM65567:PGP65567 OWQ65567:OWT65567 OMU65567:OMX65567 OCY65567:ODB65567 NTC65567:NTF65567 NJG65567:NJJ65567 MZK65567:MZN65567 MPO65567:MPR65567 MFS65567:MFV65567 LVW65567:LVZ65567 LMA65567:LMD65567 LCE65567:LCH65567 KSI65567:KSL65567 KIM65567:KIP65567 JYQ65567:JYT65567 JOU65567:JOX65567 JEY65567:JFB65567 IVC65567:IVF65567 ILG65567:ILJ65567 IBK65567:IBN65567 HRO65567:HRR65567 HHS65567:HHV65567 GXW65567:GXZ65567 GOA65567:GOD65567 GEE65567:GEH65567 FUI65567:FUL65567 FKM65567:FKP65567 FAQ65567:FAT65567 EQU65567:EQX65567 EGY65567:EHB65567 DXC65567:DXF65567 DNG65567:DNJ65567 DDK65567:DDN65567 CTO65567:CTR65567 CJS65567:CJV65567 BZW65567:BZZ65567 BQA65567:BQD65567 BGE65567:BGH65567 AWI65567:AWL65567 AMM65567:AMP65567 ACQ65567:ACT65567 SU65567:SX65567 IY65567:JB65567">
      <formula1>#REF!</formula1>
    </dataValidation>
    <dataValidation type="list" allowBlank="1" showInputMessage="1" showErrorMessage="1" promptTitle="Kepemilikan Tempat Usaha" prompt="Dipilih status kepemilikan tempat usaha Pemohon. Apabila memiliki berbagai macam tempat usaha, dipilih status kepemilikan dari tempat usaha yang utama atau tempat usaha yang memiliki kontribusi terbesar atas penjualan" sqref="D65566:G65566 IY65566:JB65566 SU65566:SX65566 ACQ65566:ACT65566 AMM65566:AMP65566 AWI65566:AWL65566 BGE65566:BGH65566 BQA65566:BQD65566 BZW65566:BZZ65566 CJS65566:CJV65566 CTO65566:CTR65566 DDK65566:DDN65566 DNG65566:DNJ65566 DXC65566:DXF65566 EGY65566:EHB65566 EQU65566:EQX65566 FAQ65566:FAT65566 FKM65566:FKP65566 FUI65566:FUL65566 GEE65566:GEH65566 GOA65566:GOD65566 GXW65566:GXZ65566 HHS65566:HHV65566 HRO65566:HRR65566 IBK65566:IBN65566 ILG65566:ILJ65566 IVC65566:IVF65566 JEY65566:JFB65566 JOU65566:JOX65566 JYQ65566:JYT65566 KIM65566:KIP65566 KSI65566:KSL65566 LCE65566:LCH65566 LMA65566:LMD65566 LVW65566:LVZ65566 MFS65566:MFV65566 MPO65566:MPR65566 MZK65566:MZN65566 NJG65566:NJJ65566 NTC65566:NTF65566 OCY65566:ODB65566 OMU65566:OMX65566 OWQ65566:OWT65566 PGM65566:PGP65566 PQI65566:PQL65566 QAE65566:QAH65566 QKA65566:QKD65566 QTW65566:QTZ65566 RDS65566:RDV65566 RNO65566:RNR65566 RXK65566:RXN65566 SHG65566:SHJ65566 SRC65566:SRF65566 TAY65566:TBB65566 TKU65566:TKX65566 TUQ65566:TUT65566 UEM65566:UEP65566 UOI65566:UOL65566 UYE65566:UYH65566 VIA65566:VID65566 VRW65566:VRZ65566 WBS65566:WBV65566 WLO65566:WLR65566 WVK65566:WVN65566 D131102:G131102 IY131102:JB131102 SU131102:SX131102 ACQ131102:ACT131102 AMM131102:AMP131102 AWI131102:AWL131102 BGE131102:BGH131102 BQA131102:BQD131102 BZW131102:BZZ131102 CJS131102:CJV131102 CTO131102:CTR131102 DDK131102:DDN131102 DNG131102:DNJ131102 DXC131102:DXF131102 EGY131102:EHB131102 EQU131102:EQX131102 FAQ131102:FAT131102 FKM131102:FKP131102 FUI131102:FUL131102 GEE131102:GEH131102 GOA131102:GOD131102 GXW131102:GXZ131102 HHS131102:HHV131102 HRO131102:HRR131102 IBK131102:IBN131102 ILG131102:ILJ131102 IVC131102:IVF131102 JEY131102:JFB131102 JOU131102:JOX131102 JYQ131102:JYT131102 KIM131102:KIP131102 KSI131102:KSL131102 LCE131102:LCH131102 LMA131102:LMD131102 LVW131102:LVZ131102 MFS131102:MFV131102 MPO131102:MPR131102 MZK131102:MZN131102 NJG131102:NJJ131102 NTC131102:NTF131102 OCY131102:ODB131102 OMU131102:OMX131102 OWQ131102:OWT131102 PGM131102:PGP131102 PQI131102:PQL131102 QAE131102:QAH131102 QKA131102:QKD131102 QTW131102:QTZ131102 RDS131102:RDV131102 RNO131102:RNR131102 RXK131102:RXN131102 SHG131102:SHJ131102 SRC131102:SRF131102 TAY131102:TBB131102 TKU131102:TKX131102 TUQ131102:TUT131102 UEM131102:UEP131102 UOI131102:UOL131102 UYE131102:UYH131102 VIA131102:VID131102 VRW131102:VRZ131102 WBS131102:WBV131102 WLO131102:WLR131102 WVK131102:WVN131102 D196638:G196638 IY196638:JB196638 SU196638:SX196638 ACQ196638:ACT196638 AMM196638:AMP196638 AWI196638:AWL196638 BGE196638:BGH196638 BQA196638:BQD196638 BZW196638:BZZ196638 CJS196638:CJV196638 CTO196638:CTR196638 DDK196638:DDN196638 DNG196638:DNJ196638 DXC196638:DXF196638 EGY196638:EHB196638 EQU196638:EQX196638 FAQ196638:FAT196638 FKM196638:FKP196638 FUI196638:FUL196638 GEE196638:GEH196638 GOA196638:GOD196638 GXW196638:GXZ196638 HHS196638:HHV196638 HRO196638:HRR196638 IBK196638:IBN196638 ILG196638:ILJ196638 IVC196638:IVF196638 JEY196638:JFB196638 JOU196638:JOX196638 JYQ196638:JYT196638 KIM196638:KIP196638 KSI196638:KSL196638 LCE196638:LCH196638 LMA196638:LMD196638 LVW196638:LVZ196638 MFS196638:MFV196638 MPO196638:MPR196638 MZK196638:MZN196638 NJG196638:NJJ196638 NTC196638:NTF196638 OCY196638:ODB196638 OMU196638:OMX196638 OWQ196638:OWT196638 PGM196638:PGP196638 PQI196638:PQL196638 QAE196638:QAH196638 QKA196638:QKD196638 QTW196638:QTZ196638 RDS196638:RDV196638 RNO196638:RNR196638 RXK196638:RXN196638 SHG196638:SHJ196638 SRC196638:SRF196638 TAY196638:TBB196638 TKU196638:TKX196638 TUQ196638:TUT196638 UEM196638:UEP196638 UOI196638:UOL196638 UYE196638:UYH196638 VIA196638:VID196638 VRW196638:VRZ196638 WBS196638:WBV196638 WLO196638:WLR196638 WVK196638:WVN196638 D262174:G262174 IY262174:JB262174 SU262174:SX262174 ACQ262174:ACT262174 AMM262174:AMP262174 AWI262174:AWL262174 BGE262174:BGH262174 BQA262174:BQD262174 BZW262174:BZZ262174 CJS262174:CJV262174 CTO262174:CTR262174 DDK262174:DDN262174 DNG262174:DNJ262174 DXC262174:DXF262174 EGY262174:EHB262174 EQU262174:EQX262174 FAQ262174:FAT262174 FKM262174:FKP262174 FUI262174:FUL262174 GEE262174:GEH262174 GOA262174:GOD262174 GXW262174:GXZ262174 HHS262174:HHV262174 HRO262174:HRR262174 IBK262174:IBN262174 ILG262174:ILJ262174 IVC262174:IVF262174 JEY262174:JFB262174 JOU262174:JOX262174 JYQ262174:JYT262174 KIM262174:KIP262174 KSI262174:KSL262174 LCE262174:LCH262174 LMA262174:LMD262174 LVW262174:LVZ262174 MFS262174:MFV262174 MPO262174:MPR262174 MZK262174:MZN262174 NJG262174:NJJ262174 NTC262174:NTF262174 OCY262174:ODB262174 OMU262174:OMX262174 OWQ262174:OWT262174 PGM262174:PGP262174 PQI262174:PQL262174 QAE262174:QAH262174 QKA262174:QKD262174 QTW262174:QTZ262174 RDS262174:RDV262174 RNO262174:RNR262174 RXK262174:RXN262174 SHG262174:SHJ262174 SRC262174:SRF262174 TAY262174:TBB262174 TKU262174:TKX262174 TUQ262174:TUT262174 UEM262174:UEP262174 UOI262174:UOL262174 UYE262174:UYH262174 VIA262174:VID262174 VRW262174:VRZ262174 WBS262174:WBV262174 WLO262174:WLR262174 WVK262174:WVN262174 D327710:G327710 IY327710:JB327710 SU327710:SX327710 ACQ327710:ACT327710 AMM327710:AMP327710 AWI327710:AWL327710 BGE327710:BGH327710 BQA327710:BQD327710 BZW327710:BZZ327710 CJS327710:CJV327710 CTO327710:CTR327710 DDK327710:DDN327710 DNG327710:DNJ327710 DXC327710:DXF327710 EGY327710:EHB327710 EQU327710:EQX327710 FAQ327710:FAT327710 FKM327710:FKP327710 FUI327710:FUL327710 GEE327710:GEH327710 GOA327710:GOD327710 GXW327710:GXZ327710 HHS327710:HHV327710 HRO327710:HRR327710 IBK327710:IBN327710 ILG327710:ILJ327710 IVC327710:IVF327710 JEY327710:JFB327710 JOU327710:JOX327710 JYQ327710:JYT327710 KIM327710:KIP327710 KSI327710:KSL327710 LCE327710:LCH327710 LMA327710:LMD327710 LVW327710:LVZ327710 MFS327710:MFV327710 MPO327710:MPR327710 MZK327710:MZN327710 NJG327710:NJJ327710 NTC327710:NTF327710 OCY327710:ODB327710 OMU327710:OMX327710 OWQ327710:OWT327710 PGM327710:PGP327710 PQI327710:PQL327710 QAE327710:QAH327710 QKA327710:QKD327710 QTW327710:QTZ327710 RDS327710:RDV327710 RNO327710:RNR327710 RXK327710:RXN327710 SHG327710:SHJ327710 SRC327710:SRF327710 TAY327710:TBB327710 TKU327710:TKX327710 TUQ327710:TUT327710 UEM327710:UEP327710 UOI327710:UOL327710 UYE327710:UYH327710 VIA327710:VID327710 VRW327710:VRZ327710 WBS327710:WBV327710 WLO327710:WLR327710 WVK327710:WVN327710 D393246:G393246 IY393246:JB393246 SU393246:SX393246 ACQ393246:ACT393246 AMM393246:AMP393246 AWI393246:AWL393246 BGE393246:BGH393246 BQA393246:BQD393246 BZW393246:BZZ393246 CJS393246:CJV393246 CTO393246:CTR393246 DDK393246:DDN393246 DNG393246:DNJ393246 DXC393246:DXF393246 EGY393246:EHB393246 EQU393246:EQX393246 FAQ393246:FAT393246 FKM393246:FKP393246 FUI393246:FUL393246 GEE393246:GEH393246 GOA393246:GOD393246 GXW393246:GXZ393246 HHS393246:HHV393246 HRO393246:HRR393246 IBK393246:IBN393246 ILG393246:ILJ393246 IVC393246:IVF393246 JEY393246:JFB393246 JOU393246:JOX393246 JYQ393246:JYT393246 KIM393246:KIP393246 KSI393246:KSL393246 LCE393246:LCH393246 LMA393246:LMD393246 LVW393246:LVZ393246 MFS393246:MFV393246 MPO393246:MPR393246 MZK393246:MZN393246 NJG393246:NJJ393246 NTC393246:NTF393246 OCY393246:ODB393246 OMU393246:OMX393246 OWQ393246:OWT393246 PGM393246:PGP393246 PQI393246:PQL393246 QAE393246:QAH393246 QKA393246:QKD393246 QTW393246:QTZ393246 RDS393246:RDV393246 RNO393246:RNR393246 RXK393246:RXN393246 SHG393246:SHJ393246 SRC393246:SRF393246 TAY393246:TBB393246 TKU393246:TKX393246 TUQ393246:TUT393246 UEM393246:UEP393246 UOI393246:UOL393246 UYE393246:UYH393246 VIA393246:VID393246 VRW393246:VRZ393246 WBS393246:WBV393246 WLO393246:WLR393246 WVK393246:WVN393246 D458782:G458782 IY458782:JB458782 SU458782:SX458782 ACQ458782:ACT458782 AMM458782:AMP458782 AWI458782:AWL458782 BGE458782:BGH458782 BQA458782:BQD458782 BZW458782:BZZ458782 CJS458782:CJV458782 CTO458782:CTR458782 DDK458782:DDN458782 DNG458782:DNJ458782 DXC458782:DXF458782 EGY458782:EHB458782 EQU458782:EQX458782 FAQ458782:FAT458782 FKM458782:FKP458782 FUI458782:FUL458782 GEE458782:GEH458782 GOA458782:GOD458782 GXW458782:GXZ458782 HHS458782:HHV458782 HRO458782:HRR458782 IBK458782:IBN458782 ILG458782:ILJ458782 IVC458782:IVF458782 JEY458782:JFB458782 JOU458782:JOX458782 JYQ458782:JYT458782 KIM458782:KIP458782 KSI458782:KSL458782 LCE458782:LCH458782 LMA458782:LMD458782 LVW458782:LVZ458782 MFS458782:MFV458782 MPO458782:MPR458782 MZK458782:MZN458782 NJG458782:NJJ458782 NTC458782:NTF458782 OCY458782:ODB458782 OMU458782:OMX458782 OWQ458782:OWT458782 PGM458782:PGP458782 PQI458782:PQL458782 QAE458782:QAH458782 QKA458782:QKD458782 QTW458782:QTZ458782 RDS458782:RDV458782 RNO458782:RNR458782 RXK458782:RXN458782 SHG458782:SHJ458782 SRC458782:SRF458782 TAY458782:TBB458782 TKU458782:TKX458782 TUQ458782:TUT458782 UEM458782:UEP458782 UOI458782:UOL458782 UYE458782:UYH458782 VIA458782:VID458782 VRW458782:VRZ458782 WBS458782:WBV458782 WLO458782:WLR458782 WVK458782:WVN458782 D524318:G524318 IY524318:JB524318 SU524318:SX524318 ACQ524318:ACT524318 AMM524318:AMP524318 AWI524318:AWL524318 BGE524318:BGH524318 BQA524318:BQD524318 BZW524318:BZZ524318 CJS524318:CJV524318 CTO524318:CTR524318 DDK524318:DDN524318 DNG524318:DNJ524318 DXC524318:DXF524318 EGY524318:EHB524318 EQU524318:EQX524318 FAQ524318:FAT524318 FKM524318:FKP524318 FUI524318:FUL524318 GEE524318:GEH524318 GOA524318:GOD524318 GXW524318:GXZ524318 HHS524318:HHV524318 HRO524318:HRR524318 IBK524318:IBN524318 ILG524318:ILJ524318 IVC524318:IVF524318 JEY524318:JFB524318 JOU524318:JOX524318 JYQ524318:JYT524318 KIM524318:KIP524318 KSI524318:KSL524318 LCE524318:LCH524318 LMA524318:LMD524318 LVW524318:LVZ524318 MFS524318:MFV524318 MPO524318:MPR524318 MZK524318:MZN524318 NJG524318:NJJ524318 NTC524318:NTF524318 OCY524318:ODB524318 OMU524318:OMX524318 OWQ524318:OWT524318 PGM524318:PGP524318 PQI524318:PQL524318 QAE524318:QAH524318 QKA524318:QKD524318 QTW524318:QTZ524318 RDS524318:RDV524318 RNO524318:RNR524318 RXK524318:RXN524318 SHG524318:SHJ524318 SRC524318:SRF524318 TAY524318:TBB524318 TKU524318:TKX524318 TUQ524318:TUT524318 UEM524318:UEP524318 UOI524318:UOL524318 UYE524318:UYH524318 VIA524318:VID524318 VRW524318:VRZ524318 WBS524318:WBV524318 WLO524318:WLR524318 WVK524318:WVN524318 D589854:G589854 IY589854:JB589854 SU589854:SX589854 ACQ589854:ACT589854 AMM589854:AMP589854 AWI589854:AWL589854 BGE589854:BGH589854 BQA589854:BQD589854 BZW589854:BZZ589854 CJS589854:CJV589854 CTO589854:CTR589854 DDK589854:DDN589854 DNG589854:DNJ589854 DXC589854:DXF589854 EGY589854:EHB589854 EQU589854:EQX589854 FAQ589854:FAT589854 FKM589854:FKP589854 FUI589854:FUL589854 GEE589854:GEH589854 GOA589854:GOD589854 GXW589854:GXZ589854 HHS589854:HHV589854 HRO589854:HRR589854 IBK589854:IBN589854 ILG589854:ILJ589854 IVC589854:IVF589854 JEY589854:JFB589854 JOU589854:JOX589854 JYQ589854:JYT589854 KIM589854:KIP589854 KSI589854:KSL589854 LCE589854:LCH589854 LMA589854:LMD589854 LVW589854:LVZ589854 MFS589854:MFV589854 MPO589854:MPR589854 MZK589854:MZN589854 NJG589854:NJJ589854 NTC589854:NTF589854 OCY589854:ODB589854 OMU589854:OMX589854 OWQ589854:OWT589854 PGM589854:PGP589854 PQI589854:PQL589854 QAE589854:QAH589854 QKA589854:QKD589854 QTW589854:QTZ589854 RDS589854:RDV589854 RNO589854:RNR589854 RXK589854:RXN589854 SHG589854:SHJ589854 SRC589854:SRF589854 TAY589854:TBB589854 TKU589854:TKX589854 TUQ589854:TUT589854 UEM589854:UEP589854 UOI589854:UOL589854 UYE589854:UYH589854 VIA589854:VID589854 VRW589854:VRZ589854 WBS589854:WBV589854 WLO589854:WLR589854 WVK589854:WVN589854 D655390:G655390 IY655390:JB655390 SU655390:SX655390 ACQ655390:ACT655390 AMM655390:AMP655390 AWI655390:AWL655390 BGE655390:BGH655390 BQA655390:BQD655390 BZW655390:BZZ655390 CJS655390:CJV655390 CTO655390:CTR655390 DDK655390:DDN655390 DNG655390:DNJ655390 DXC655390:DXF655390 EGY655390:EHB655390 EQU655390:EQX655390 FAQ655390:FAT655390 FKM655390:FKP655390 FUI655390:FUL655390 GEE655390:GEH655390 GOA655390:GOD655390 GXW655390:GXZ655390 HHS655390:HHV655390 HRO655390:HRR655390 IBK655390:IBN655390 ILG655390:ILJ655390 IVC655390:IVF655390 JEY655390:JFB655390 JOU655390:JOX655390 JYQ655390:JYT655390 KIM655390:KIP655390 KSI655390:KSL655390 LCE655390:LCH655390 LMA655390:LMD655390 LVW655390:LVZ655390 MFS655390:MFV655390 MPO655390:MPR655390 MZK655390:MZN655390 NJG655390:NJJ655390 NTC655390:NTF655390 OCY655390:ODB655390 OMU655390:OMX655390 OWQ655390:OWT655390 PGM655390:PGP655390 PQI655390:PQL655390 QAE655390:QAH655390 QKA655390:QKD655390 QTW655390:QTZ655390 RDS655390:RDV655390 RNO655390:RNR655390 RXK655390:RXN655390 SHG655390:SHJ655390 SRC655390:SRF655390 TAY655390:TBB655390 TKU655390:TKX655390 TUQ655390:TUT655390 UEM655390:UEP655390 UOI655390:UOL655390 UYE655390:UYH655390 VIA655390:VID655390 VRW655390:VRZ655390 WBS655390:WBV655390 WLO655390:WLR655390 WVK655390:WVN655390 D720926:G720926 IY720926:JB720926 SU720926:SX720926 ACQ720926:ACT720926 AMM720926:AMP720926 AWI720926:AWL720926 BGE720926:BGH720926 BQA720926:BQD720926 BZW720926:BZZ720926 CJS720926:CJV720926 CTO720926:CTR720926 DDK720926:DDN720926 DNG720926:DNJ720926 DXC720926:DXF720926 EGY720926:EHB720926 EQU720926:EQX720926 FAQ720926:FAT720926 FKM720926:FKP720926 FUI720926:FUL720926 GEE720926:GEH720926 GOA720926:GOD720926 GXW720926:GXZ720926 HHS720926:HHV720926 HRO720926:HRR720926 IBK720926:IBN720926 ILG720926:ILJ720926 IVC720926:IVF720926 JEY720926:JFB720926 JOU720926:JOX720926 JYQ720926:JYT720926 KIM720926:KIP720926 KSI720926:KSL720926 LCE720926:LCH720926 LMA720926:LMD720926 LVW720926:LVZ720926 MFS720926:MFV720926 MPO720926:MPR720926 MZK720926:MZN720926 NJG720926:NJJ720926 NTC720926:NTF720926 OCY720926:ODB720926 OMU720926:OMX720926 OWQ720926:OWT720926 PGM720926:PGP720926 PQI720926:PQL720926 QAE720926:QAH720926 QKA720926:QKD720926 QTW720926:QTZ720926 RDS720926:RDV720926 RNO720926:RNR720926 RXK720926:RXN720926 SHG720926:SHJ720926 SRC720926:SRF720926 TAY720926:TBB720926 TKU720926:TKX720926 TUQ720926:TUT720926 UEM720926:UEP720926 UOI720926:UOL720926 UYE720926:UYH720926 VIA720926:VID720926 VRW720926:VRZ720926 WBS720926:WBV720926 WLO720926:WLR720926 WVK720926:WVN720926 D786462:G786462 IY786462:JB786462 SU786462:SX786462 ACQ786462:ACT786462 AMM786462:AMP786462 AWI786462:AWL786462 BGE786462:BGH786462 BQA786462:BQD786462 BZW786462:BZZ786462 CJS786462:CJV786462 CTO786462:CTR786462 DDK786462:DDN786462 DNG786462:DNJ786462 DXC786462:DXF786462 EGY786462:EHB786462 EQU786462:EQX786462 FAQ786462:FAT786462 FKM786462:FKP786462 FUI786462:FUL786462 GEE786462:GEH786462 GOA786462:GOD786462 GXW786462:GXZ786462 HHS786462:HHV786462 HRO786462:HRR786462 IBK786462:IBN786462 ILG786462:ILJ786462 IVC786462:IVF786462 JEY786462:JFB786462 JOU786462:JOX786462 JYQ786462:JYT786462 KIM786462:KIP786462 KSI786462:KSL786462 LCE786462:LCH786462 LMA786462:LMD786462 LVW786462:LVZ786462 MFS786462:MFV786462 MPO786462:MPR786462 MZK786462:MZN786462 NJG786462:NJJ786462 NTC786462:NTF786462 OCY786462:ODB786462 OMU786462:OMX786462 OWQ786462:OWT786462 PGM786462:PGP786462 PQI786462:PQL786462 QAE786462:QAH786462 QKA786462:QKD786462 QTW786462:QTZ786462 RDS786462:RDV786462 RNO786462:RNR786462 RXK786462:RXN786462 SHG786462:SHJ786462 SRC786462:SRF786462 TAY786462:TBB786462 TKU786462:TKX786462 TUQ786462:TUT786462 UEM786462:UEP786462 UOI786462:UOL786462 UYE786462:UYH786462 VIA786462:VID786462 VRW786462:VRZ786462 WBS786462:WBV786462 WLO786462:WLR786462 WVK786462:WVN786462 D851998:G851998 IY851998:JB851998 SU851998:SX851998 ACQ851998:ACT851998 AMM851998:AMP851998 AWI851998:AWL851998 BGE851998:BGH851998 BQA851998:BQD851998 BZW851998:BZZ851998 CJS851998:CJV851998 CTO851998:CTR851998 DDK851998:DDN851998 DNG851998:DNJ851998 DXC851998:DXF851998 EGY851998:EHB851998 EQU851998:EQX851998 FAQ851998:FAT851998 FKM851998:FKP851998 FUI851998:FUL851998 GEE851998:GEH851998 GOA851998:GOD851998 GXW851998:GXZ851998 HHS851998:HHV851998 HRO851998:HRR851998 IBK851998:IBN851998 ILG851998:ILJ851998 IVC851998:IVF851998 JEY851998:JFB851998 JOU851998:JOX851998 JYQ851998:JYT851998 KIM851998:KIP851998 KSI851998:KSL851998 LCE851998:LCH851998 LMA851998:LMD851998 LVW851998:LVZ851998 MFS851998:MFV851998 MPO851998:MPR851998 MZK851998:MZN851998 NJG851998:NJJ851998 NTC851998:NTF851998 OCY851998:ODB851998 OMU851998:OMX851998 OWQ851998:OWT851998 PGM851998:PGP851998 PQI851998:PQL851998 QAE851998:QAH851998 QKA851998:QKD851998 QTW851998:QTZ851998 RDS851998:RDV851998 RNO851998:RNR851998 RXK851998:RXN851998 SHG851998:SHJ851998 SRC851998:SRF851998 TAY851998:TBB851998 TKU851998:TKX851998 TUQ851998:TUT851998 UEM851998:UEP851998 UOI851998:UOL851998 UYE851998:UYH851998 VIA851998:VID851998 VRW851998:VRZ851998 WBS851998:WBV851998 WLO851998:WLR851998 WVK851998:WVN851998 D917534:G917534 IY917534:JB917534 SU917534:SX917534 ACQ917534:ACT917534 AMM917534:AMP917534 AWI917534:AWL917534 BGE917534:BGH917534 BQA917534:BQD917534 BZW917534:BZZ917534 CJS917534:CJV917534 CTO917534:CTR917534 DDK917534:DDN917534 DNG917534:DNJ917534 DXC917534:DXF917534 EGY917534:EHB917534 EQU917534:EQX917534 FAQ917534:FAT917534 FKM917534:FKP917534 FUI917534:FUL917534 GEE917534:GEH917534 GOA917534:GOD917534 GXW917534:GXZ917534 HHS917534:HHV917534 HRO917534:HRR917534 IBK917534:IBN917534 ILG917534:ILJ917534 IVC917534:IVF917534 JEY917534:JFB917534 JOU917534:JOX917534 JYQ917534:JYT917534 KIM917534:KIP917534 KSI917534:KSL917534 LCE917534:LCH917534 LMA917534:LMD917534 LVW917534:LVZ917534 MFS917534:MFV917534 MPO917534:MPR917534 MZK917534:MZN917534 NJG917534:NJJ917534 NTC917534:NTF917534 OCY917534:ODB917534 OMU917534:OMX917534 OWQ917534:OWT917534 PGM917534:PGP917534 PQI917534:PQL917534 QAE917534:QAH917534 QKA917534:QKD917534 QTW917534:QTZ917534 RDS917534:RDV917534 RNO917534:RNR917534 RXK917534:RXN917534 SHG917534:SHJ917534 SRC917534:SRF917534 TAY917534:TBB917534 TKU917534:TKX917534 TUQ917534:TUT917534 UEM917534:UEP917534 UOI917534:UOL917534 UYE917534:UYH917534 VIA917534:VID917534 VRW917534:VRZ917534 WBS917534:WBV917534 WLO917534:WLR917534 WVK917534:WVN917534 D983070:G983070 IY983070:JB983070 SU983070:SX983070 ACQ983070:ACT983070 AMM983070:AMP983070 AWI983070:AWL983070 BGE983070:BGH983070 BQA983070:BQD983070 BZW983070:BZZ983070 CJS983070:CJV983070 CTO983070:CTR983070 DDK983070:DDN983070 DNG983070:DNJ983070 DXC983070:DXF983070 EGY983070:EHB983070 EQU983070:EQX983070 FAQ983070:FAT983070 FKM983070:FKP983070 FUI983070:FUL983070 GEE983070:GEH983070 GOA983070:GOD983070 GXW983070:GXZ983070 HHS983070:HHV983070 HRO983070:HRR983070 IBK983070:IBN983070 ILG983070:ILJ983070 IVC983070:IVF983070 JEY983070:JFB983070 JOU983070:JOX983070 JYQ983070:JYT983070 KIM983070:KIP983070 KSI983070:KSL983070 LCE983070:LCH983070 LMA983070:LMD983070 LVW983070:LVZ983070 MFS983070:MFV983070 MPO983070:MPR983070 MZK983070:MZN983070 NJG983070:NJJ983070 NTC983070:NTF983070 OCY983070:ODB983070 OMU983070:OMX983070 OWQ983070:OWT983070 PGM983070:PGP983070 PQI983070:PQL983070 QAE983070:QAH983070 QKA983070:QKD983070 QTW983070:QTZ983070 RDS983070:RDV983070 RNO983070:RNR983070 RXK983070:RXN983070 SHG983070:SHJ983070 SRC983070:SRF983070 TAY983070:TBB983070 TKU983070:TKX983070 TUQ983070:TUT983070 UEM983070:UEP983070 UOI983070:UOL983070 UYE983070:UYH983070 VIA983070:VID983070 VRW983070:VRZ983070 WBS983070:WBV983070 WLO983070:WLR983070 WVK983070:WVN983070">
      <formula1>$M$43:$M$43</formula1>
    </dataValidation>
    <dataValidation type="list" allowBlank="1" showInputMessage="1" showErrorMessage="1" promptTitle="Sistem Penjualan" prompt="Dipilih sistem penjualan produk/jasa yang dilakukan oleh Pemohon." sqref="WVK983068:WVN983068 WLO983068:WLR983068 WBS983068:WBV983068 VRW983068:VRZ983068 VIA983068:VID983068 UYE983068:UYH983068 UOI983068:UOL983068 UEM983068:UEP983068 TUQ983068:TUT983068 TKU983068:TKX983068 TAY983068:TBB983068 SRC983068:SRF983068 SHG983068:SHJ983068 RXK983068:RXN983068 RNO983068:RNR983068 RDS983068:RDV983068 QTW983068:QTZ983068 QKA983068:QKD983068 QAE983068:QAH983068 PQI983068:PQL983068 PGM983068:PGP983068 OWQ983068:OWT983068 OMU983068:OMX983068 OCY983068:ODB983068 NTC983068:NTF983068 NJG983068:NJJ983068 MZK983068:MZN983068 MPO983068:MPR983068 MFS983068:MFV983068 LVW983068:LVZ983068 LMA983068:LMD983068 LCE983068:LCH983068 KSI983068:KSL983068 KIM983068:KIP983068 JYQ983068:JYT983068 JOU983068:JOX983068 JEY983068:JFB983068 IVC983068:IVF983068 ILG983068:ILJ983068 IBK983068:IBN983068 HRO983068:HRR983068 HHS983068:HHV983068 GXW983068:GXZ983068 GOA983068:GOD983068 GEE983068:GEH983068 FUI983068:FUL983068 FKM983068:FKP983068 FAQ983068:FAT983068 EQU983068:EQX983068 EGY983068:EHB983068 DXC983068:DXF983068 DNG983068:DNJ983068 DDK983068:DDN983068 CTO983068:CTR983068 CJS983068:CJV983068 BZW983068:BZZ983068 BQA983068:BQD983068 BGE983068:BGH983068 AWI983068:AWL983068 AMM983068:AMP983068 ACQ983068:ACT983068 SU983068:SX983068 IY983068:JB983068 D983068:G983068 WVK917532:WVN917532 WLO917532:WLR917532 WBS917532:WBV917532 VRW917532:VRZ917532 VIA917532:VID917532 UYE917532:UYH917532 UOI917532:UOL917532 UEM917532:UEP917532 TUQ917532:TUT917532 TKU917532:TKX917532 TAY917532:TBB917532 SRC917532:SRF917532 SHG917532:SHJ917532 RXK917532:RXN917532 RNO917532:RNR917532 RDS917532:RDV917532 QTW917532:QTZ917532 QKA917532:QKD917532 QAE917532:QAH917532 PQI917532:PQL917532 PGM917532:PGP917532 OWQ917532:OWT917532 OMU917532:OMX917532 OCY917532:ODB917532 NTC917532:NTF917532 NJG917532:NJJ917532 MZK917532:MZN917532 MPO917532:MPR917532 MFS917532:MFV917532 LVW917532:LVZ917532 LMA917532:LMD917532 LCE917532:LCH917532 KSI917532:KSL917532 KIM917532:KIP917532 JYQ917532:JYT917532 JOU917532:JOX917532 JEY917532:JFB917532 IVC917532:IVF917532 ILG917532:ILJ917532 IBK917532:IBN917532 HRO917532:HRR917532 HHS917532:HHV917532 GXW917532:GXZ917532 GOA917532:GOD917532 GEE917532:GEH917532 FUI917532:FUL917532 FKM917532:FKP917532 FAQ917532:FAT917532 EQU917532:EQX917532 EGY917532:EHB917532 DXC917532:DXF917532 DNG917532:DNJ917532 DDK917532:DDN917532 CTO917532:CTR917532 CJS917532:CJV917532 BZW917532:BZZ917532 BQA917532:BQD917532 BGE917532:BGH917532 AWI917532:AWL917532 AMM917532:AMP917532 ACQ917532:ACT917532 SU917532:SX917532 IY917532:JB917532 D917532:G917532 WVK851996:WVN851996 WLO851996:WLR851996 WBS851996:WBV851996 VRW851996:VRZ851996 VIA851996:VID851996 UYE851996:UYH851996 UOI851996:UOL851996 UEM851996:UEP851996 TUQ851996:TUT851996 TKU851996:TKX851996 TAY851996:TBB851996 SRC851996:SRF851996 SHG851996:SHJ851996 RXK851996:RXN851996 RNO851996:RNR851996 RDS851996:RDV851996 QTW851996:QTZ851996 QKA851996:QKD851996 QAE851996:QAH851996 PQI851996:PQL851996 PGM851996:PGP851996 OWQ851996:OWT851996 OMU851996:OMX851996 OCY851996:ODB851996 NTC851996:NTF851996 NJG851996:NJJ851996 MZK851996:MZN851996 MPO851996:MPR851996 MFS851996:MFV851996 LVW851996:LVZ851996 LMA851996:LMD851996 LCE851996:LCH851996 KSI851996:KSL851996 KIM851996:KIP851996 JYQ851996:JYT851996 JOU851996:JOX851996 JEY851996:JFB851996 IVC851996:IVF851996 ILG851996:ILJ851996 IBK851996:IBN851996 HRO851996:HRR851996 HHS851996:HHV851996 GXW851996:GXZ851996 GOA851996:GOD851996 GEE851996:GEH851996 FUI851996:FUL851996 FKM851996:FKP851996 FAQ851996:FAT851996 EQU851996:EQX851996 EGY851996:EHB851996 DXC851996:DXF851996 DNG851996:DNJ851996 DDK851996:DDN851996 CTO851996:CTR851996 CJS851996:CJV851996 BZW851996:BZZ851996 BQA851996:BQD851996 BGE851996:BGH851996 AWI851996:AWL851996 AMM851996:AMP851996 ACQ851996:ACT851996 SU851996:SX851996 IY851996:JB851996 D851996:G851996 WVK786460:WVN786460 WLO786460:WLR786460 WBS786460:WBV786460 VRW786460:VRZ786460 VIA786460:VID786460 UYE786460:UYH786460 UOI786460:UOL786460 UEM786460:UEP786460 TUQ786460:TUT786460 TKU786460:TKX786460 TAY786460:TBB786460 SRC786460:SRF786460 SHG786460:SHJ786460 RXK786460:RXN786460 RNO786460:RNR786460 RDS786460:RDV786460 QTW786460:QTZ786460 QKA786460:QKD786460 QAE786460:QAH786460 PQI786460:PQL786460 PGM786460:PGP786460 OWQ786460:OWT786460 OMU786460:OMX786460 OCY786460:ODB786460 NTC786460:NTF786460 NJG786460:NJJ786460 MZK786460:MZN786460 MPO786460:MPR786460 MFS786460:MFV786460 LVW786460:LVZ786460 LMA786460:LMD786460 LCE786460:LCH786460 KSI786460:KSL786460 KIM786460:KIP786460 JYQ786460:JYT786460 JOU786460:JOX786460 JEY786460:JFB786460 IVC786460:IVF786460 ILG786460:ILJ786460 IBK786460:IBN786460 HRO786460:HRR786460 HHS786460:HHV786460 GXW786460:GXZ786460 GOA786460:GOD786460 GEE786460:GEH786460 FUI786460:FUL786460 FKM786460:FKP786460 FAQ786460:FAT786460 EQU786460:EQX786460 EGY786460:EHB786460 DXC786460:DXF786460 DNG786460:DNJ786460 DDK786460:DDN786460 CTO786460:CTR786460 CJS786460:CJV786460 BZW786460:BZZ786460 BQA786460:BQD786460 BGE786460:BGH786460 AWI786460:AWL786460 AMM786460:AMP786460 ACQ786460:ACT786460 SU786460:SX786460 IY786460:JB786460 D786460:G786460 WVK720924:WVN720924 WLO720924:WLR720924 WBS720924:WBV720924 VRW720924:VRZ720924 VIA720924:VID720924 UYE720924:UYH720924 UOI720924:UOL720924 UEM720924:UEP720924 TUQ720924:TUT720924 TKU720924:TKX720924 TAY720924:TBB720924 SRC720924:SRF720924 SHG720924:SHJ720924 RXK720924:RXN720924 RNO720924:RNR720924 RDS720924:RDV720924 QTW720924:QTZ720924 QKA720924:QKD720924 QAE720924:QAH720924 PQI720924:PQL720924 PGM720924:PGP720924 OWQ720924:OWT720924 OMU720924:OMX720924 OCY720924:ODB720924 NTC720924:NTF720924 NJG720924:NJJ720924 MZK720924:MZN720924 MPO720924:MPR720924 MFS720924:MFV720924 LVW720924:LVZ720924 LMA720924:LMD720924 LCE720924:LCH720924 KSI720924:KSL720924 KIM720924:KIP720924 JYQ720924:JYT720924 JOU720924:JOX720924 JEY720924:JFB720924 IVC720924:IVF720924 ILG720924:ILJ720924 IBK720924:IBN720924 HRO720924:HRR720924 HHS720924:HHV720924 GXW720924:GXZ720924 GOA720924:GOD720924 GEE720924:GEH720924 FUI720924:FUL720924 FKM720924:FKP720924 FAQ720924:FAT720924 EQU720924:EQX720924 EGY720924:EHB720924 DXC720924:DXF720924 DNG720924:DNJ720924 DDK720924:DDN720924 CTO720924:CTR720924 CJS720924:CJV720924 BZW720924:BZZ720924 BQA720924:BQD720924 BGE720924:BGH720924 AWI720924:AWL720924 AMM720924:AMP720924 ACQ720924:ACT720924 SU720924:SX720924 IY720924:JB720924 D720924:G720924 WVK655388:WVN655388 WLO655388:WLR655388 WBS655388:WBV655388 VRW655388:VRZ655388 VIA655388:VID655388 UYE655388:UYH655388 UOI655388:UOL655388 UEM655388:UEP655388 TUQ655388:TUT655388 TKU655388:TKX655388 TAY655388:TBB655388 SRC655388:SRF655388 SHG655388:SHJ655388 RXK655388:RXN655388 RNO655388:RNR655388 RDS655388:RDV655388 QTW655388:QTZ655388 QKA655388:QKD655388 QAE655388:QAH655388 PQI655388:PQL655388 PGM655388:PGP655388 OWQ655388:OWT655388 OMU655388:OMX655388 OCY655388:ODB655388 NTC655388:NTF655388 NJG655388:NJJ655388 MZK655388:MZN655388 MPO655388:MPR655388 MFS655388:MFV655388 LVW655388:LVZ655388 LMA655388:LMD655388 LCE655388:LCH655388 KSI655388:KSL655388 KIM655388:KIP655388 JYQ655388:JYT655388 JOU655388:JOX655388 JEY655388:JFB655388 IVC655388:IVF655388 ILG655388:ILJ655388 IBK655388:IBN655388 HRO655388:HRR655388 HHS655388:HHV655388 GXW655388:GXZ655388 GOA655388:GOD655388 GEE655388:GEH655388 FUI655388:FUL655388 FKM655388:FKP655388 FAQ655388:FAT655388 EQU655388:EQX655388 EGY655388:EHB655388 DXC655388:DXF655388 DNG655388:DNJ655388 DDK655388:DDN655388 CTO655388:CTR655388 CJS655388:CJV655388 BZW655388:BZZ655388 BQA655388:BQD655388 BGE655388:BGH655388 AWI655388:AWL655388 AMM655388:AMP655388 ACQ655388:ACT655388 SU655388:SX655388 IY655388:JB655388 D655388:G655388 WVK589852:WVN589852 WLO589852:WLR589852 WBS589852:WBV589852 VRW589852:VRZ589852 VIA589852:VID589852 UYE589852:UYH589852 UOI589852:UOL589852 UEM589852:UEP589852 TUQ589852:TUT589852 TKU589852:TKX589852 TAY589852:TBB589852 SRC589852:SRF589852 SHG589852:SHJ589852 RXK589852:RXN589852 RNO589852:RNR589852 RDS589852:RDV589852 QTW589852:QTZ589852 QKA589852:QKD589852 QAE589852:QAH589852 PQI589852:PQL589852 PGM589852:PGP589852 OWQ589852:OWT589852 OMU589852:OMX589852 OCY589852:ODB589852 NTC589852:NTF589852 NJG589852:NJJ589852 MZK589852:MZN589852 MPO589852:MPR589852 MFS589852:MFV589852 LVW589852:LVZ589852 LMA589852:LMD589852 LCE589852:LCH589852 KSI589852:KSL589852 KIM589852:KIP589852 JYQ589852:JYT589852 JOU589852:JOX589852 JEY589852:JFB589852 IVC589852:IVF589852 ILG589852:ILJ589852 IBK589852:IBN589852 HRO589852:HRR589852 HHS589852:HHV589852 GXW589852:GXZ589852 GOA589852:GOD589852 GEE589852:GEH589852 FUI589852:FUL589852 FKM589852:FKP589852 FAQ589852:FAT589852 EQU589852:EQX589852 EGY589852:EHB589852 DXC589852:DXF589852 DNG589852:DNJ589852 DDK589852:DDN589852 CTO589852:CTR589852 CJS589852:CJV589852 BZW589852:BZZ589852 BQA589852:BQD589852 BGE589852:BGH589852 AWI589852:AWL589852 AMM589852:AMP589852 ACQ589852:ACT589852 SU589852:SX589852 IY589852:JB589852 D589852:G589852 WVK524316:WVN524316 WLO524316:WLR524316 WBS524316:WBV524316 VRW524316:VRZ524316 VIA524316:VID524316 UYE524316:UYH524316 UOI524316:UOL524316 UEM524316:UEP524316 TUQ524316:TUT524316 TKU524316:TKX524316 TAY524316:TBB524316 SRC524316:SRF524316 SHG524316:SHJ524316 RXK524316:RXN524316 RNO524316:RNR524316 RDS524316:RDV524316 QTW524316:QTZ524316 QKA524316:QKD524316 QAE524316:QAH524316 PQI524316:PQL524316 PGM524316:PGP524316 OWQ524316:OWT524316 OMU524316:OMX524316 OCY524316:ODB524316 NTC524316:NTF524316 NJG524316:NJJ524316 MZK524316:MZN524316 MPO524316:MPR524316 MFS524316:MFV524316 LVW524316:LVZ524316 LMA524316:LMD524316 LCE524316:LCH524316 KSI524316:KSL524316 KIM524316:KIP524316 JYQ524316:JYT524316 JOU524316:JOX524316 JEY524316:JFB524316 IVC524316:IVF524316 ILG524316:ILJ524316 IBK524316:IBN524316 HRO524316:HRR524316 HHS524316:HHV524316 GXW524316:GXZ524316 GOA524316:GOD524316 GEE524316:GEH524316 FUI524316:FUL524316 FKM524316:FKP524316 FAQ524316:FAT524316 EQU524316:EQX524316 EGY524316:EHB524316 DXC524316:DXF524316 DNG524316:DNJ524316 DDK524316:DDN524316 CTO524316:CTR524316 CJS524316:CJV524316 BZW524316:BZZ524316 BQA524316:BQD524316 BGE524316:BGH524316 AWI524316:AWL524316 AMM524316:AMP524316 ACQ524316:ACT524316 SU524316:SX524316 IY524316:JB524316 D524316:G524316 WVK458780:WVN458780 WLO458780:WLR458780 WBS458780:WBV458780 VRW458780:VRZ458780 VIA458780:VID458780 UYE458780:UYH458780 UOI458780:UOL458780 UEM458780:UEP458780 TUQ458780:TUT458780 TKU458780:TKX458780 TAY458780:TBB458780 SRC458780:SRF458780 SHG458780:SHJ458780 RXK458780:RXN458780 RNO458780:RNR458780 RDS458780:RDV458780 QTW458780:QTZ458780 QKA458780:QKD458780 QAE458780:QAH458780 PQI458780:PQL458780 PGM458780:PGP458780 OWQ458780:OWT458780 OMU458780:OMX458780 OCY458780:ODB458780 NTC458780:NTF458780 NJG458780:NJJ458780 MZK458780:MZN458780 MPO458780:MPR458780 MFS458780:MFV458780 LVW458780:LVZ458780 LMA458780:LMD458780 LCE458780:LCH458780 KSI458780:KSL458780 KIM458780:KIP458780 JYQ458780:JYT458780 JOU458780:JOX458780 JEY458780:JFB458780 IVC458780:IVF458780 ILG458780:ILJ458780 IBK458780:IBN458780 HRO458780:HRR458780 HHS458780:HHV458780 GXW458780:GXZ458780 GOA458780:GOD458780 GEE458780:GEH458780 FUI458780:FUL458780 FKM458780:FKP458780 FAQ458780:FAT458780 EQU458780:EQX458780 EGY458780:EHB458780 DXC458780:DXF458780 DNG458780:DNJ458780 DDK458780:DDN458780 CTO458780:CTR458780 CJS458780:CJV458780 BZW458780:BZZ458780 BQA458780:BQD458780 BGE458780:BGH458780 AWI458780:AWL458780 AMM458780:AMP458780 ACQ458780:ACT458780 SU458780:SX458780 IY458780:JB458780 D458780:G458780 WVK393244:WVN393244 WLO393244:WLR393244 WBS393244:WBV393244 VRW393244:VRZ393244 VIA393244:VID393244 UYE393244:UYH393244 UOI393244:UOL393244 UEM393244:UEP393244 TUQ393244:TUT393244 TKU393244:TKX393244 TAY393244:TBB393244 SRC393244:SRF393244 SHG393244:SHJ393244 RXK393244:RXN393244 RNO393244:RNR393244 RDS393244:RDV393244 QTW393244:QTZ393244 QKA393244:QKD393244 QAE393244:QAH393244 PQI393244:PQL393244 PGM393244:PGP393244 OWQ393244:OWT393244 OMU393244:OMX393244 OCY393244:ODB393244 NTC393244:NTF393244 NJG393244:NJJ393244 MZK393244:MZN393244 MPO393244:MPR393244 MFS393244:MFV393244 LVW393244:LVZ393244 LMA393244:LMD393244 LCE393244:LCH393244 KSI393244:KSL393244 KIM393244:KIP393244 JYQ393244:JYT393244 JOU393244:JOX393244 JEY393244:JFB393244 IVC393244:IVF393244 ILG393244:ILJ393244 IBK393244:IBN393244 HRO393244:HRR393244 HHS393244:HHV393244 GXW393244:GXZ393244 GOA393244:GOD393244 GEE393244:GEH393244 FUI393244:FUL393244 FKM393244:FKP393244 FAQ393244:FAT393244 EQU393244:EQX393244 EGY393244:EHB393244 DXC393244:DXF393244 DNG393244:DNJ393244 DDK393244:DDN393244 CTO393244:CTR393244 CJS393244:CJV393244 BZW393244:BZZ393244 BQA393244:BQD393244 BGE393244:BGH393244 AWI393244:AWL393244 AMM393244:AMP393244 ACQ393244:ACT393244 SU393244:SX393244 IY393244:JB393244 D393244:G393244 WVK327708:WVN327708 WLO327708:WLR327708 WBS327708:WBV327708 VRW327708:VRZ327708 VIA327708:VID327708 UYE327708:UYH327708 UOI327708:UOL327708 UEM327708:UEP327708 TUQ327708:TUT327708 TKU327708:TKX327708 TAY327708:TBB327708 SRC327708:SRF327708 SHG327708:SHJ327708 RXK327708:RXN327708 RNO327708:RNR327708 RDS327708:RDV327708 QTW327708:QTZ327708 QKA327708:QKD327708 QAE327708:QAH327708 PQI327708:PQL327708 PGM327708:PGP327708 OWQ327708:OWT327708 OMU327708:OMX327708 OCY327708:ODB327708 NTC327708:NTF327708 NJG327708:NJJ327708 MZK327708:MZN327708 MPO327708:MPR327708 MFS327708:MFV327708 LVW327708:LVZ327708 LMA327708:LMD327708 LCE327708:LCH327708 KSI327708:KSL327708 KIM327708:KIP327708 JYQ327708:JYT327708 JOU327708:JOX327708 JEY327708:JFB327708 IVC327708:IVF327708 ILG327708:ILJ327708 IBK327708:IBN327708 HRO327708:HRR327708 HHS327708:HHV327708 GXW327708:GXZ327708 GOA327708:GOD327708 GEE327708:GEH327708 FUI327708:FUL327708 FKM327708:FKP327708 FAQ327708:FAT327708 EQU327708:EQX327708 EGY327708:EHB327708 DXC327708:DXF327708 DNG327708:DNJ327708 DDK327708:DDN327708 CTO327708:CTR327708 CJS327708:CJV327708 BZW327708:BZZ327708 BQA327708:BQD327708 BGE327708:BGH327708 AWI327708:AWL327708 AMM327708:AMP327708 ACQ327708:ACT327708 SU327708:SX327708 IY327708:JB327708 D327708:G327708 WVK262172:WVN262172 WLO262172:WLR262172 WBS262172:WBV262172 VRW262172:VRZ262172 VIA262172:VID262172 UYE262172:UYH262172 UOI262172:UOL262172 UEM262172:UEP262172 TUQ262172:TUT262172 TKU262172:TKX262172 TAY262172:TBB262172 SRC262172:SRF262172 SHG262172:SHJ262172 RXK262172:RXN262172 RNO262172:RNR262172 RDS262172:RDV262172 QTW262172:QTZ262172 QKA262172:QKD262172 QAE262172:QAH262172 PQI262172:PQL262172 PGM262172:PGP262172 OWQ262172:OWT262172 OMU262172:OMX262172 OCY262172:ODB262172 NTC262172:NTF262172 NJG262172:NJJ262172 MZK262172:MZN262172 MPO262172:MPR262172 MFS262172:MFV262172 LVW262172:LVZ262172 LMA262172:LMD262172 LCE262172:LCH262172 KSI262172:KSL262172 KIM262172:KIP262172 JYQ262172:JYT262172 JOU262172:JOX262172 JEY262172:JFB262172 IVC262172:IVF262172 ILG262172:ILJ262172 IBK262172:IBN262172 HRO262172:HRR262172 HHS262172:HHV262172 GXW262172:GXZ262172 GOA262172:GOD262172 GEE262172:GEH262172 FUI262172:FUL262172 FKM262172:FKP262172 FAQ262172:FAT262172 EQU262172:EQX262172 EGY262172:EHB262172 DXC262172:DXF262172 DNG262172:DNJ262172 DDK262172:DDN262172 CTO262172:CTR262172 CJS262172:CJV262172 BZW262172:BZZ262172 BQA262172:BQD262172 BGE262172:BGH262172 AWI262172:AWL262172 AMM262172:AMP262172 ACQ262172:ACT262172 SU262172:SX262172 IY262172:JB262172 D262172:G262172 WVK196636:WVN196636 WLO196636:WLR196636 WBS196636:WBV196636 VRW196636:VRZ196636 VIA196636:VID196636 UYE196636:UYH196636 UOI196636:UOL196636 UEM196636:UEP196636 TUQ196636:TUT196636 TKU196636:TKX196636 TAY196636:TBB196636 SRC196636:SRF196636 SHG196636:SHJ196636 RXK196636:RXN196636 RNO196636:RNR196636 RDS196636:RDV196636 QTW196636:QTZ196636 QKA196636:QKD196636 QAE196636:QAH196636 PQI196636:PQL196636 PGM196636:PGP196636 OWQ196636:OWT196636 OMU196636:OMX196636 OCY196636:ODB196636 NTC196636:NTF196636 NJG196636:NJJ196636 MZK196636:MZN196636 MPO196636:MPR196636 MFS196636:MFV196636 LVW196636:LVZ196636 LMA196636:LMD196636 LCE196636:LCH196636 KSI196636:KSL196636 KIM196636:KIP196636 JYQ196636:JYT196636 JOU196636:JOX196636 JEY196636:JFB196636 IVC196636:IVF196636 ILG196636:ILJ196636 IBK196636:IBN196636 HRO196636:HRR196636 HHS196636:HHV196636 GXW196636:GXZ196636 GOA196636:GOD196636 GEE196636:GEH196636 FUI196636:FUL196636 FKM196636:FKP196636 FAQ196636:FAT196636 EQU196636:EQX196636 EGY196636:EHB196636 DXC196636:DXF196636 DNG196636:DNJ196636 DDK196636:DDN196636 CTO196636:CTR196636 CJS196636:CJV196636 BZW196636:BZZ196636 BQA196636:BQD196636 BGE196636:BGH196636 AWI196636:AWL196636 AMM196636:AMP196636 ACQ196636:ACT196636 SU196636:SX196636 IY196636:JB196636 D196636:G196636 WVK131100:WVN131100 WLO131100:WLR131100 WBS131100:WBV131100 VRW131100:VRZ131100 VIA131100:VID131100 UYE131100:UYH131100 UOI131100:UOL131100 UEM131100:UEP131100 TUQ131100:TUT131100 TKU131100:TKX131100 TAY131100:TBB131100 SRC131100:SRF131100 SHG131100:SHJ131100 RXK131100:RXN131100 RNO131100:RNR131100 RDS131100:RDV131100 QTW131100:QTZ131100 QKA131100:QKD131100 QAE131100:QAH131100 PQI131100:PQL131100 PGM131100:PGP131100 OWQ131100:OWT131100 OMU131100:OMX131100 OCY131100:ODB131100 NTC131100:NTF131100 NJG131100:NJJ131100 MZK131100:MZN131100 MPO131100:MPR131100 MFS131100:MFV131100 LVW131100:LVZ131100 LMA131100:LMD131100 LCE131100:LCH131100 KSI131100:KSL131100 KIM131100:KIP131100 JYQ131100:JYT131100 JOU131100:JOX131100 JEY131100:JFB131100 IVC131100:IVF131100 ILG131100:ILJ131100 IBK131100:IBN131100 HRO131100:HRR131100 HHS131100:HHV131100 GXW131100:GXZ131100 GOA131100:GOD131100 GEE131100:GEH131100 FUI131100:FUL131100 FKM131100:FKP131100 FAQ131100:FAT131100 EQU131100:EQX131100 EGY131100:EHB131100 DXC131100:DXF131100 DNG131100:DNJ131100 DDK131100:DDN131100 CTO131100:CTR131100 CJS131100:CJV131100 BZW131100:BZZ131100 BQA131100:BQD131100 BGE131100:BGH131100 AWI131100:AWL131100 AMM131100:AMP131100 ACQ131100:ACT131100 SU131100:SX131100 IY131100:JB131100 D131100:G131100 WVK65564:WVN65564 WLO65564:WLR65564 WBS65564:WBV65564 VRW65564:VRZ65564 VIA65564:VID65564 UYE65564:UYH65564 UOI65564:UOL65564 UEM65564:UEP65564 TUQ65564:TUT65564 TKU65564:TKX65564 TAY65564:TBB65564 SRC65564:SRF65564 SHG65564:SHJ65564 RXK65564:RXN65564 RNO65564:RNR65564 RDS65564:RDV65564 QTW65564:QTZ65564 QKA65564:QKD65564 QAE65564:QAH65564 PQI65564:PQL65564 PGM65564:PGP65564 OWQ65564:OWT65564 OMU65564:OMX65564 OCY65564:ODB65564 NTC65564:NTF65564 NJG65564:NJJ65564 MZK65564:MZN65564 MPO65564:MPR65564 MFS65564:MFV65564 LVW65564:LVZ65564 LMA65564:LMD65564 LCE65564:LCH65564 KSI65564:KSL65564 KIM65564:KIP65564 JYQ65564:JYT65564 JOU65564:JOX65564 JEY65564:JFB65564 IVC65564:IVF65564 ILG65564:ILJ65564 IBK65564:IBN65564 HRO65564:HRR65564 HHS65564:HHV65564 GXW65564:GXZ65564 GOA65564:GOD65564 GEE65564:GEH65564 FUI65564:FUL65564 FKM65564:FKP65564 FAQ65564:FAT65564 EQU65564:EQX65564 EGY65564:EHB65564 DXC65564:DXF65564 DNG65564:DNJ65564 DDK65564:DDN65564 CTO65564:CTR65564 CJS65564:CJV65564 BZW65564:BZZ65564 BQA65564:BQD65564 BGE65564:BGH65564 AWI65564:AWL65564 AMM65564:AMP65564 ACQ65564:ACT65564 SU65564:SX65564 IY65564:JB65564 D65564:G65564">
      <formula1>$M$36:$M$42</formula1>
    </dataValidation>
    <dataValidation allowBlank="1" showInputMessage="1" showErrorMessage="1" promptTitle="Tahun" prompt="Diisi data jumlah tahun menjadi Nasabah / Debitur (apabila pilihan &quot;Ya&quot;" sqref="F65575 JA65575 SW65575 ACS65575 AMO65575 AWK65575 BGG65575 BQC65575 BZY65575 CJU65575 CTQ65575 DDM65575 DNI65575 DXE65575 EHA65575 EQW65575 FAS65575 FKO65575 FUK65575 GEG65575 GOC65575 GXY65575 HHU65575 HRQ65575 IBM65575 ILI65575 IVE65575 JFA65575 JOW65575 JYS65575 KIO65575 KSK65575 LCG65575 LMC65575 LVY65575 MFU65575 MPQ65575 MZM65575 NJI65575 NTE65575 ODA65575 OMW65575 OWS65575 PGO65575 PQK65575 QAG65575 QKC65575 QTY65575 RDU65575 RNQ65575 RXM65575 SHI65575 SRE65575 TBA65575 TKW65575 TUS65575 UEO65575 UOK65575 UYG65575 VIC65575 VRY65575 WBU65575 WLQ65575 WVM65575 F131111 JA131111 SW131111 ACS131111 AMO131111 AWK131111 BGG131111 BQC131111 BZY131111 CJU131111 CTQ131111 DDM131111 DNI131111 DXE131111 EHA131111 EQW131111 FAS131111 FKO131111 FUK131111 GEG131111 GOC131111 GXY131111 HHU131111 HRQ131111 IBM131111 ILI131111 IVE131111 JFA131111 JOW131111 JYS131111 KIO131111 KSK131111 LCG131111 LMC131111 LVY131111 MFU131111 MPQ131111 MZM131111 NJI131111 NTE131111 ODA131111 OMW131111 OWS131111 PGO131111 PQK131111 QAG131111 QKC131111 QTY131111 RDU131111 RNQ131111 RXM131111 SHI131111 SRE131111 TBA131111 TKW131111 TUS131111 UEO131111 UOK131111 UYG131111 VIC131111 VRY131111 WBU131111 WLQ131111 WVM131111 F196647 JA196647 SW196647 ACS196647 AMO196647 AWK196647 BGG196647 BQC196647 BZY196647 CJU196647 CTQ196647 DDM196647 DNI196647 DXE196647 EHA196647 EQW196647 FAS196647 FKO196647 FUK196647 GEG196647 GOC196647 GXY196647 HHU196647 HRQ196647 IBM196647 ILI196647 IVE196647 JFA196647 JOW196647 JYS196647 KIO196647 KSK196647 LCG196647 LMC196647 LVY196647 MFU196647 MPQ196647 MZM196647 NJI196647 NTE196647 ODA196647 OMW196647 OWS196647 PGO196647 PQK196647 QAG196647 QKC196647 QTY196647 RDU196647 RNQ196647 RXM196647 SHI196647 SRE196647 TBA196647 TKW196647 TUS196647 UEO196647 UOK196647 UYG196647 VIC196647 VRY196647 WBU196647 WLQ196647 WVM196647 F262183 JA262183 SW262183 ACS262183 AMO262183 AWK262183 BGG262183 BQC262183 BZY262183 CJU262183 CTQ262183 DDM262183 DNI262183 DXE262183 EHA262183 EQW262183 FAS262183 FKO262183 FUK262183 GEG262183 GOC262183 GXY262183 HHU262183 HRQ262183 IBM262183 ILI262183 IVE262183 JFA262183 JOW262183 JYS262183 KIO262183 KSK262183 LCG262183 LMC262183 LVY262183 MFU262183 MPQ262183 MZM262183 NJI262183 NTE262183 ODA262183 OMW262183 OWS262183 PGO262183 PQK262183 QAG262183 QKC262183 QTY262183 RDU262183 RNQ262183 RXM262183 SHI262183 SRE262183 TBA262183 TKW262183 TUS262183 UEO262183 UOK262183 UYG262183 VIC262183 VRY262183 WBU262183 WLQ262183 WVM262183 F327719 JA327719 SW327719 ACS327719 AMO327719 AWK327719 BGG327719 BQC327719 BZY327719 CJU327719 CTQ327719 DDM327719 DNI327719 DXE327719 EHA327719 EQW327719 FAS327719 FKO327719 FUK327719 GEG327719 GOC327719 GXY327719 HHU327719 HRQ327719 IBM327719 ILI327719 IVE327719 JFA327719 JOW327719 JYS327719 KIO327719 KSK327719 LCG327719 LMC327719 LVY327719 MFU327719 MPQ327719 MZM327719 NJI327719 NTE327719 ODA327719 OMW327719 OWS327719 PGO327719 PQK327719 QAG327719 QKC327719 QTY327719 RDU327719 RNQ327719 RXM327719 SHI327719 SRE327719 TBA327719 TKW327719 TUS327719 UEO327719 UOK327719 UYG327719 VIC327719 VRY327719 WBU327719 WLQ327719 WVM327719 F393255 JA393255 SW393255 ACS393255 AMO393255 AWK393255 BGG393255 BQC393255 BZY393255 CJU393255 CTQ393255 DDM393255 DNI393255 DXE393255 EHA393255 EQW393255 FAS393255 FKO393255 FUK393255 GEG393255 GOC393255 GXY393255 HHU393255 HRQ393255 IBM393255 ILI393255 IVE393255 JFA393255 JOW393255 JYS393255 KIO393255 KSK393255 LCG393255 LMC393255 LVY393255 MFU393255 MPQ393255 MZM393255 NJI393255 NTE393255 ODA393255 OMW393255 OWS393255 PGO393255 PQK393255 QAG393255 QKC393255 QTY393255 RDU393255 RNQ393255 RXM393255 SHI393255 SRE393255 TBA393255 TKW393255 TUS393255 UEO393255 UOK393255 UYG393255 VIC393255 VRY393255 WBU393255 WLQ393255 WVM393255 F458791 JA458791 SW458791 ACS458791 AMO458791 AWK458791 BGG458791 BQC458791 BZY458791 CJU458791 CTQ458791 DDM458791 DNI458791 DXE458791 EHA458791 EQW458791 FAS458791 FKO458791 FUK458791 GEG458791 GOC458791 GXY458791 HHU458791 HRQ458791 IBM458791 ILI458791 IVE458791 JFA458791 JOW458791 JYS458791 KIO458791 KSK458791 LCG458791 LMC458791 LVY458791 MFU458791 MPQ458791 MZM458791 NJI458791 NTE458791 ODA458791 OMW458791 OWS458791 PGO458791 PQK458791 QAG458791 QKC458791 QTY458791 RDU458791 RNQ458791 RXM458791 SHI458791 SRE458791 TBA458791 TKW458791 TUS458791 UEO458791 UOK458791 UYG458791 VIC458791 VRY458791 WBU458791 WLQ458791 WVM458791 F524327 JA524327 SW524327 ACS524327 AMO524327 AWK524327 BGG524327 BQC524327 BZY524327 CJU524327 CTQ524327 DDM524327 DNI524327 DXE524327 EHA524327 EQW524327 FAS524327 FKO524327 FUK524327 GEG524327 GOC524327 GXY524327 HHU524327 HRQ524327 IBM524327 ILI524327 IVE524327 JFA524327 JOW524327 JYS524327 KIO524327 KSK524327 LCG524327 LMC524327 LVY524327 MFU524327 MPQ524327 MZM524327 NJI524327 NTE524327 ODA524327 OMW524327 OWS524327 PGO524327 PQK524327 QAG524327 QKC524327 QTY524327 RDU524327 RNQ524327 RXM524327 SHI524327 SRE524327 TBA524327 TKW524327 TUS524327 UEO524327 UOK524327 UYG524327 VIC524327 VRY524327 WBU524327 WLQ524327 WVM524327 F589863 JA589863 SW589863 ACS589863 AMO589863 AWK589863 BGG589863 BQC589863 BZY589863 CJU589863 CTQ589863 DDM589863 DNI589863 DXE589863 EHA589863 EQW589863 FAS589863 FKO589863 FUK589863 GEG589863 GOC589863 GXY589863 HHU589863 HRQ589863 IBM589863 ILI589863 IVE589863 JFA589863 JOW589863 JYS589863 KIO589863 KSK589863 LCG589863 LMC589863 LVY589863 MFU589863 MPQ589863 MZM589863 NJI589863 NTE589863 ODA589863 OMW589863 OWS589863 PGO589863 PQK589863 QAG589863 QKC589863 QTY589863 RDU589863 RNQ589863 RXM589863 SHI589863 SRE589863 TBA589863 TKW589863 TUS589863 UEO589863 UOK589863 UYG589863 VIC589863 VRY589863 WBU589863 WLQ589863 WVM589863 F655399 JA655399 SW655399 ACS655399 AMO655399 AWK655399 BGG655399 BQC655399 BZY655399 CJU655399 CTQ655399 DDM655399 DNI655399 DXE655399 EHA655399 EQW655399 FAS655399 FKO655399 FUK655399 GEG655399 GOC655399 GXY655399 HHU655399 HRQ655399 IBM655399 ILI655399 IVE655399 JFA655399 JOW655399 JYS655399 KIO655399 KSK655399 LCG655399 LMC655399 LVY655399 MFU655399 MPQ655399 MZM655399 NJI655399 NTE655399 ODA655399 OMW655399 OWS655399 PGO655399 PQK655399 QAG655399 QKC655399 QTY655399 RDU655399 RNQ655399 RXM655399 SHI655399 SRE655399 TBA655399 TKW655399 TUS655399 UEO655399 UOK655399 UYG655399 VIC655399 VRY655399 WBU655399 WLQ655399 WVM655399 F720935 JA720935 SW720935 ACS720935 AMO720935 AWK720935 BGG720935 BQC720935 BZY720935 CJU720935 CTQ720935 DDM720935 DNI720935 DXE720935 EHA720935 EQW720935 FAS720935 FKO720935 FUK720935 GEG720935 GOC720935 GXY720935 HHU720935 HRQ720935 IBM720935 ILI720935 IVE720935 JFA720935 JOW720935 JYS720935 KIO720935 KSK720935 LCG720935 LMC720935 LVY720935 MFU720935 MPQ720935 MZM720935 NJI720935 NTE720935 ODA720935 OMW720935 OWS720935 PGO720935 PQK720935 QAG720935 QKC720935 QTY720935 RDU720935 RNQ720935 RXM720935 SHI720935 SRE720935 TBA720935 TKW720935 TUS720935 UEO720935 UOK720935 UYG720935 VIC720935 VRY720935 WBU720935 WLQ720935 WVM720935 F786471 JA786471 SW786471 ACS786471 AMO786471 AWK786471 BGG786471 BQC786471 BZY786471 CJU786471 CTQ786471 DDM786471 DNI786471 DXE786471 EHA786471 EQW786471 FAS786471 FKO786471 FUK786471 GEG786471 GOC786471 GXY786471 HHU786471 HRQ786471 IBM786471 ILI786471 IVE786471 JFA786471 JOW786471 JYS786471 KIO786471 KSK786471 LCG786471 LMC786471 LVY786471 MFU786471 MPQ786471 MZM786471 NJI786471 NTE786471 ODA786471 OMW786471 OWS786471 PGO786471 PQK786471 QAG786471 QKC786471 QTY786471 RDU786471 RNQ786471 RXM786471 SHI786471 SRE786471 TBA786471 TKW786471 TUS786471 UEO786471 UOK786471 UYG786471 VIC786471 VRY786471 WBU786471 WLQ786471 WVM786471 F852007 JA852007 SW852007 ACS852007 AMO852007 AWK852007 BGG852007 BQC852007 BZY852007 CJU852007 CTQ852007 DDM852007 DNI852007 DXE852007 EHA852007 EQW852007 FAS852007 FKO852007 FUK852007 GEG852007 GOC852007 GXY852007 HHU852007 HRQ852007 IBM852007 ILI852007 IVE852007 JFA852007 JOW852007 JYS852007 KIO852007 KSK852007 LCG852007 LMC852007 LVY852007 MFU852007 MPQ852007 MZM852007 NJI852007 NTE852007 ODA852007 OMW852007 OWS852007 PGO852007 PQK852007 QAG852007 QKC852007 QTY852007 RDU852007 RNQ852007 RXM852007 SHI852007 SRE852007 TBA852007 TKW852007 TUS852007 UEO852007 UOK852007 UYG852007 VIC852007 VRY852007 WBU852007 WLQ852007 WVM852007 F917543 JA917543 SW917543 ACS917543 AMO917543 AWK917543 BGG917543 BQC917543 BZY917543 CJU917543 CTQ917543 DDM917543 DNI917543 DXE917543 EHA917543 EQW917543 FAS917543 FKO917543 FUK917543 GEG917543 GOC917543 GXY917543 HHU917543 HRQ917543 IBM917543 ILI917543 IVE917543 JFA917543 JOW917543 JYS917543 KIO917543 KSK917543 LCG917543 LMC917543 LVY917543 MFU917543 MPQ917543 MZM917543 NJI917543 NTE917543 ODA917543 OMW917543 OWS917543 PGO917543 PQK917543 QAG917543 QKC917543 QTY917543 RDU917543 RNQ917543 RXM917543 SHI917543 SRE917543 TBA917543 TKW917543 TUS917543 UEO917543 UOK917543 UYG917543 VIC917543 VRY917543 WBU917543 WLQ917543 WVM917543 F983079 JA983079 SW983079 ACS983079 AMO983079 AWK983079 BGG983079 BQC983079 BZY983079 CJU983079 CTQ983079 DDM983079 DNI983079 DXE983079 EHA983079 EQW983079 FAS983079 FKO983079 FUK983079 GEG983079 GOC983079 GXY983079 HHU983079 HRQ983079 IBM983079 ILI983079 IVE983079 JFA983079 JOW983079 JYS983079 KIO983079 KSK983079 LCG983079 LMC983079 LVY983079 MFU983079 MPQ983079 MZM983079 NJI983079 NTE983079 ODA983079 OMW983079 OWS983079 PGO983079 PQK983079 QAG983079 QKC983079 QTY983079 RDU983079 RNQ983079 RXM983079 SHI983079 SRE983079 TBA983079 TKW983079 TUS983079 UEO983079 UOK983079 UYG983079 VIC983079 VRY983079 WBU983079 WLQ983079 WVM983079"/>
    <dataValidation allowBlank="1" showInputMessage="1" showErrorMessage="1" promptTitle="Saldo Pokok" prompt="Diisi data saldo pokok / bakidebet pinjaman yang dinikmati oleh Pemohon dari Bank / Lembaga Keuangan Lain (termasuk dari Bank Jabar Banten)" sqref="D65582:F65587 IY65582:JA65587 SU65582:SW65587 ACQ65582:ACS65587 AMM65582:AMO65587 AWI65582:AWK65587 BGE65582:BGG65587 BQA65582:BQC65587 BZW65582:BZY65587 CJS65582:CJU65587 CTO65582:CTQ65587 DDK65582:DDM65587 DNG65582:DNI65587 DXC65582:DXE65587 EGY65582:EHA65587 EQU65582:EQW65587 FAQ65582:FAS65587 FKM65582:FKO65587 FUI65582:FUK65587 GEE65582:GEG65587 GOA65582:GOC65587 GXW65582:GXY65587 HHS65582:HHU65587 HRO65582:HRQ65587 IBK65582:IBM65587 ILG65582:ILI65587 IVC65582:IVE65587 JEY65582:JFA65587 JOU65582:JOW65587 JYQ65582:JYS65587 KIM65582:KIO65587 KSI65582:KSK65587 LCE65582:LCG65587 LMA65582:LMC65587 LVW65582:LVY65587 MFS65582:MFU65587 MPO65582:MPQ65587 MZK65582:MZM65587 NJG65582:NJI65587 NTC65582:NTE65587 OCY65582:ODA65587 OMU65582:OMW65587 OWQ65582:OWS65587 PGM65582:PGO65587 PQI65582:PQK65587 QAE65582:QAG65587 QKA65582:QKC65587 QTW65582:QTY65587 RDS65582:RDU65587 RNO65582:RNQ65587 RXK65582:RXM65587 SHG65582:SHI65587 SRC65582:SRE65587 TAY65582:TBA65587 TKU65582:TKW65587 TUQ65582:TUS65587 UEM65582:UEO65587 UOI65582:UOK65587 UYE65582:UYG65587 VIA65582:VIC65587 VRW65582:VRY65587 WBS65582:WBU65587 WLO65582:WLQ65587 WVK65582:WVM65587 D131118:F131123 IY131118:JA131123 SU131118:SW131123 ACQ131118:ACS131123 AMM131118:AMO131123 AWI131118:AWK131123 BGE131118:BGG131123 BQA131118:BQC131123 BZW131118:BZY131123 CJS131118:CJU131123 CTO131118:CTQ131123 DDK131118:DDM131123 DNG131118:DNI131123 DXC131118:DXE131123 EGY131118:EHA131123 EQU131118:EQW131123 FAQ131118:FAS131123 FKM131118:FKO131123 FUI131118:FUK131123 GEE131118:GEG131123 GOA131118:GOC131123 GXW131118:GXY131123 HHS131118:HHU131123 HRO131118:HRQ131123 IBK131118:IBM131123 ILG131118:ILI131123 IVC131118:IVE131123 JEY131118:JFA131123 JOU131118:JOW131123 JYQ131118:JYS131123 KIM131118:KIO131123 KSI131118:KSK131123 LCE131118:LCG131123 LMA131118:LMC131123 LVW131118:LVY131123 MFS131118:MFU131123 MPO131118:MPQ131123 MZK131118:MZM131123 NJG131118:NJI131123 NTC131118:NTE131123 OCY131118:ODA131123 OMU131118:OMW131123 OWQ131118:OWS131123 PGM131118:PGO131123 PQI131118:PQK131123 QAE131118:QAG131123 QKA131118:QKC131123 QTW131118:QTY131123 RDS131118:RDU131123 RNO131118:RNQ131123 RXK131118:RXM131123 SHG131118:SHI131123 SRC131118:SRE131123 TAY131118:TBA131123 TKU131118:TKW131123 TUQ131118:TUS131123 UEM131118:UEO131123 UOI131118:UOK131123 UYE131118:UYG131123 VIA131118:VIC131123 VRW131118:VRY131123 WBS131118:WBU131123 WLO131118:WLQ131123 WVK131118:WVM131123 D196654:F196659 IY196654:JA196659 SU196654:SW196659 ACQ196654:ACS196659 AMM196654:AMO196659 AWI196654:AWK196659 BGE196654:BGG196659 BQA196654:BQC196659 BZW196654:BZY196659 CJS196654:CJU196659 CTO196654:CTQ196659 DDK196654:DDM196659 DNG196654:DNI196659 DXC196654:DXE196659 EGY196654:EHA196659 EQU196654:EQW196659 FAQ196654:FAS196659 FKM196654:FKO196659 FUI196654:FUK196659 GEE196654:GEG196659 GOA196654:GOC196659 GXW196654:GXY196659 HHS196654:HHU196659 HRO196654:HRQ196659 IBK196654:IBM196659 ILG196654:ILI196659 IVC196654:IVE196659 JEY196654:JFA196659 JOU196654:JOW196659 JYQ196654:JYS196659 KIM196654:KIO196659 KSI196654:KSK196659 LCE196654:LCG196659 LMA196654:LMC196659 LVW196654:LVY196659 MFS196654:MFU196659 MPO196654:MPQ196659 MZK196654:MZM196659 NJG196654:NJI196659 NTC196654:NTE196659 OCY196654:ODA196659 OMU196654:OMW196659 OWQ196654:OWS196659 PGM196654:PGO196659 PQI196654:PQK196659 QAE196654:QAG196659 QKA196654:QKC196659 QTW196654:QTY196659 RDS196654:RDU196659 RNO196654:RNQ196659 RXK196654:RXM196659 SHG196654:SHI196659 SRC196654:SRE196659 TAY196654:TBA196659 TKU196654:TKW196659 TUQ196654:TUS196659 UEM196654:UEO196659 UOI196654:UOK196659 UYE196654:UYG196659 VIA196654:VIC196659 VRW196654:VRY196659 WBS196654:WBU196659 WLO196654:WLQ196659 WVK196654:WVM196659 D262190:F262195 IY262190:JA262195 SU262190:SW262195 ACQ262190:ACS262195 AMM262190:AMO262195 AWI262190:AWK262195 BGE262190:BGG262195 BQA262190:BQC262195 BZW262190:BZY262195 CJS262190:CJU262195 CTO262190:CTQ262195 DDK262190:DDM262195 DNG262190:DNI262195 DXC262190:DXE262195 EGY262190:EHA262195 EQU262190:EQW262195 FAQ262190:FAS262195 FKM262190:FKO262195 FUI262190:FUK262195 GEE262190:GEG262195 GOA262190:GOC262195 GXW262190:GXY262195 HHS262190:HHU262195 HRO262190:HRQ262195 IBK262190:IBM262195 ILG262190:ILI262195 IVC262190:IVE262195 JEY262190:JFA262195 JOU262190:JOW262195 JYQ262190:JYS262195 KIM262190:KIO262195 KSI262190:KSK262195 LCE262190:LCG262195 LMA262190:LMC262195 LVW262190:LVY262195 MFS262190:MFU262195 MPO262190:MPQ262195 MZK262190:MZM262195 NJG262190:NJI262195 NTC262190:NTE262195 OCY262190:ODA262195 OMU262190:OMW262195 OWQ262190:OWS262195 PGM262190:PGO262195 PQI262190:PQK262195 QAE262190:QAG262195 QKA262190:QKC262195 QTW262190:QTY262195 RDS262190:RDU262195 RNO262190:RNQ262195 RXK262190:RXM262195 SHG262190:SHI262195 SRC262190:SRE262195 TAY262190:TBA262195 TKU262190:TKW262195 TUQ262190:TUS262195 UEM262190:UEO262195 UOI262190:UOK262195 UYE262190:UYG262195 VIA262190:VIC262195 VRW262190:VRY262195 WBS262190:WBU262195 WLO262190:WLQ262195 WVK262190:WVM262195 D327726:F327731 IY327726:JA327731 SU327726:SW327731 ACQ327726:ACS327731 AMM327726:AMO327731 AWI327726:AWK327731 BGE327726:BGG327731 BQA327726:BQC327731 BZW327726:BZY327731 CJS327726:CJU327731 CTO327726:CTQ327731 DDK327726:DDM327731 DNG327726:DNI327731 DXC327726:DXE327731 EGY327726:EHA327731 EQU327726:EQW327731 FAQ327726:FAS327731 FKM327726:FKO327731 FUI327726:FUK327731 GEE327726:GEG327731 GOA327726:GOC327731 GXW327726:GXY327731 HHS327726:HHU327731 HRO327726:HRQ327731 IBK327726:IBM327731 ILG327726:ILI327731 IVC327726:IVE327731 JEY327726:JFA327731 JOU327726:JOW327731 JYQ327726:JYS327731 KIM327726:KIO327731 KSI327726:KSK327731 LCE327726:LCG327731 LMA327726:LMC327731 LVW327726:LVY327731 MFS327726:MFU327731 MPO327726:MPQ327731 MZK327726:MZM327731 NJG327726:NJI327731 NTC327726:NTE327731 OCY327726:ODA327731 OMU327726:OMW327731 OWQ327726:OWS327731 PGM327726:PGO327731 PQI327726:PQK327731 QAE327726:QAG327731 QKA327726:QKC327731 QTW327726:QTY327731 RDS327726:RDU327731 RNO327726:RNQ327731 RXK327726:RXM327731 SHG327726:SHI327731 SRC327726:SRE327731 TAY327726:TBA327731 TKU327726:TKW327731 TUQ327726:TUS327731 UEM327726:UEO327731 UOI327726:UOK327731 UYE327726:UYG327731 VIA327726:VIC327731 VRW327726:VRY327731 WBS327726:WBU327731 WLO327726:WLQ327731 WVK327726:WVM327731 D393262:F393267 IY393262:JA393267 SU393262:SW393267 ACQ393262:ACS393267 AMM393262:AMO393267 AWI393262:AWK393267 BGE393262:BGG393267 BQA393262:BQC393267 BZW393262:BZY393267 CJS393262:CJU393267 CTO393262:CTQ393267 DDK393262:DDM393267 DNG393262:DNI393267 DXC393262:DXE393267 EGY393262:EHA393267 EQU393262:EQW393267 FAQ393262:FAS393267 FKM393262:FKO393267 FUI393262:FUK393267 GEE393262:GEG393267 GOA393262:GOC393267 GXW393262:GXY393267 HHS393262:HHU393267 HRO393262:HRQ393267 IBK393262:IBM393267 ILG393262:ILI393267 IVC393262:IVE393267 JEY393262:JFA393267 JOU393262:JOW393267 JYQ393262:JYS393267 KIM393262:KIO393267 KSI393262:KSK393267 LCE393262:LCG393267 LMA393262:LMC393267 LVW393262:LVY393267 MFS393262:MFU393267 MPO393262:MPQ393267 MZK393262:MZM393267 NJG393262:NJI393267 NTC393262:NTE393267 OCY393262:ODA393267 OMU393262:OMW393267 OWQ393262:OWS393267 PGM393262:PGO393267 PQI393262:PQK393267 QAE393262:QAG393267 QKA393262:QKC393267 QTW393262:QTY393267 RDS393262:RDU393267 RNO393262:RNQ393267 RXK393262:RXM393267 SHG393262:SHI393267 SRC393262:SRE393267 TAY393262:TBA393267 TKU393262:TKW393267 TUQ393262:TUS393267 UEM393262:UEO393267 UOI393262:UOK393267 UYE393262:UYG393267 VIA393262:VIC393267 VRW393262:VRY393267 WBS393262:WBU393267 WLO393262:WLQ393267 WVK393262:WVM393267 D458798:F458803 IY458798:JA458803 SU458798:SW458803 ACQ458798:ACS458803 AMM458798:AMO458803 AWI458798:AWK458803 BGE458798:BGG458803 BQA458798:BQC458803 BZW458798:BZY458803 CJS458798:CJU458803 CTO458798:CTQ458803 DDK458798:DDM458803 DNG458798:DNI458803 DXC458798:DXE458803 EGY458798:EHA458803 EQU458798:EQW458803 FAQ458798:FAS458803 FKM458798:FKO458803 FUI458798:FUK458803 GEE458798:GEG458803 GOA458798:GOC458803 GXW458798:GXY458803 HHS458798:HHU458803 HRO458798:HRQ458803 IBK458798:IBM458803 ILG458798:ILI458803 IVC458798:IVE458803 JEY458798:JFA458803 JOU458798:JOW458803 JYQ458798:JYS458803 KIM458798:KIO458803 KSI458798:KSK458803 LCE458798:LCG458803 LMA458798:LMC458803 LVW458798:LVY458803 MFS458798:MFU458803 MPO458798:MPQ458803 MZK458798:MZM458803 NJG458798:NJI458803 NTC458798:NTE458803 OCY458798:ODA458803 OMU458798:OMW458803 OWQ458798:OWS458803 PGM458798:PGO458803 PQI458798:PQK458803 QAE458798:QAG458803 QKA458798:QKC458803 QTW458798:QTY458803 RDS458798:RDU458803 RNO458798:RNQ458803 RXK458798:RXM458803 SHG458798:SHI458803 SRC458798:SRE458803 TAY458798:TBA458803 TKU458798:TKW458803 TUQ458798:TUS458803 UEM458798:UEO458803 UOI458798:UOK458803 UYE458798:UYG458803 VIA458798:VIC458803 VRW458798:VRY458803 WBS458798:WBU458803 WLO458798:WLQ458803 WVK458798:WVM458803 D524334:F524339 IY524334:JA524339 SU524334:SW524339 ACQ524334:ACS524339 AMM524334:AMO524339 AWI524334:AWK524339 BGE524334:BGG524339 BQA524334:BQC524339 BZW524334:BZY524339 CJS524334:CJU524339 CTO524334:CTQ524339 DDK524334:DDM524339 DNG524334:DNI524339 DXC524334:DXE524339 EGY524334:EHA524339 EQU524334:EQW524339 FAQ524334:FAS524339 FKM524334:FKO524339 FUI524334:FUK524339 GEE524334:GEG524339 GOA524334:GOC524339 GXW524334:GXY524339 HHS524334:HHU524339 HRO524334:HRQ524339 IBK524334:IBM524339 ILG524334:ILI524339 IVC524334:IVE524339 JEY524334:JFA524339 JOU524334:JOW524339 JYQ524334:JYS524339 KIM524334:KIO524339 KSI524334:KSK524339 LCE524334:LCG524339 LMA524334:LMC524339 LVW524334:LVY524339 MFS524334:MFU524339 MPO524334:MPQ524339 MZK524334:MZM524339 NJG524334:NJI524339 NTC524334:NTE524339 OCY524334:ODA524339 OMU524334:OMW524339 OWQ524334:OWS524339 PGM524334:PGO524339 PQI524334:PQK524339 QAE524334:QAG524339 QKA524334:QKC524339 QTW524334:QTY524339 RDS524334:RDU524339 RNO524334:RNQ524339 RXK524334:RXM524339 SHG524334:SHI524339 SRC524334:SRE524339 TAY524334:TBA524339 TKU524334:TKW524339 TUQ524334:TUS524339 UEM524334:UEO524339 UOI524334:UOK524339 UYE524334:UYG524339 VIA524334:VIC524339 VRW524334:VRY524339 WBS524334:WBU524339 WLO524334:WLQ524339 WVK524334:WVM524339 D589870:F589875 IY589870:JA589875 SU589870:SW589875 ACQ589870:ACS589875 AMM589870:AMO589875 AWI589870:AWK589875 BGE589870:BGG589875 BQA589870:BQC589875 BZW589870:BZY589875 CJS589870:CJU589875 CTO589870:CTQ589875 DDK589870:DDM589875 DNG589870:DNI589875 DXC589870:DXE589875 EGY589870:EHA589875 EQU589870:EQW589875 FAQ589870:FAS589875 FKM589870:FKO589875 FUI589870:FUK589875 GEE589870:GEG589875 GOA589870:GOC589875 GXW589870:GXY589875 HHS589870:HHU589875 HRO589870:HRQ589875 IBK589870:IBM589875 ILG589870:ILI589875 IVC589870:IVE589875 JEY589870:JFA589875 JOU589870:JOW589875 JYQ589870:JYS589875 KIM589870:KIO589875 KSI589870:KSK589875 LCE589870:LCG589875 LMA589870:LMC589875 LVW589870:LVY589875 MFS589870:MFU589875 MPO589870:MPQ589875 MZK589870:MZM589875 NJG589870:NJI589875 NTC589870:NTE589875 OCY589870:ODA589875 OMU589870:OMW589875 OWQ589870:OWS589875 PGM589870:PGO589875 PQI589870:PQK589875 QAE589870:QAG589875 QKA589870:QKC589875 QTW589870:QTY589875 RDS589870:RDU589875 RNO589870:RNQ589875 RXK589870:RXM589875 SHG589870:SHI589875 SRC589870:SRE589875 TAY589870:TBA589875 TKU589870:TKW589875 TUQ589870:TUS589875 UEM589870:UEO589875 UOI589870:UOK589875 UYE589870:UYG589875 VIA589870:VIC589875 VRW589870:VRY589875 WBS589870:WBU589875 WLO589870:WLQ589875 WVK589870:WVM589875 D655406:F655411 IY655406:JA655411 SU655406:SW655411 ACQ655406:ACS655411 AMM655406:AMO655411 AWI655406:AWK655411 BGE655406:BGG655411 BQA655406:BQC655411 BZW655406:BZY655411 CJS655406:CJU655411 CTO655406:CTQ655411 DDK655406:DDM655411 DNG655406:DNI655411 DXC655406:DXE655411 EGY655406:EHA655411 EQU655406:EQW655411 FAQ655406:FAS655411 FKM655406:FKO655411 FUI655406:FUK655411 GEE655406:GEG655411 GOA655406:GOC655411 GXW655406:GXY655411 HHS655406:HHU655411 HRO655406:HRQ655411 IBK655406:IBM655411 ILG655406:ILI655411 IVC655406:IVE655411 JEY655406:JFA655411 JOU655406:JOW655411 JYQ655406:JYS655411 KIM655406:KIO655411 KSI655406:KSK655411 LCE655406:LCG655411 LMA655406:LMC655411 LVW655406:LVY655411 MFS655406:MFU655411 MPO655406:MPQ655411 MZK655406:MZM655411 NJG655406:NJI655411 NTC655406:NTE655411 OCY655406:ODA655411 OMU655406:OMW655411 OWQ655406:OWS655411 PGM655406:PGO655411 PQI655406:PQK655411 QAE655406:QAG655411 QKA655406:QKC655411 QTW655406:QTY655411 RDS655406:RDU655411 RNO655406:RNQ655411 RXK655406:RXM655411 SHG655406:SHI655411 SRC655406:SRE655411 TAY655406:TBA655411 TKU655406:TKW655411 TUQ655406:TUS655411 UEM655406:UEO655411 UOI655406:UOK655411 UYE655406:UYG655411 VIA655406:VIC655411 VRW655406:VRY655411 WBS655406:WBU655411 WLO655406:WLQ655411 WVK655406:WVM655411 D720942:F720947 IY720942:JA720947 SU720942:SW720947 ACQ720942:ACS720947 AMM720942:AMO720947 AWI720942:AWK720947 BGE720942:BGG720947 BQA720942:BQC720947 BZW720942:BZY720947 CJS720942:CJU720947 CTO720942:CTQ720947 DDK720942:DDM720947 DNG720942:DNI720947 DXC720942:DXE720947 EGY720942:EHA720947 EQU720942:EQW720947 FAQ720942:FAS720947 FKM720942:FKO720947 FUI720942:FUK720947 GEE720942:GEG720947 GOA720942:GOC720947 GXW720942:GXY720947 HHS720942:HHU720947 HRO720942:HRQ720947 IBK720942:IBM720947 ILG720942:ILI720947 IVC720942:IVE720947 JEY720942:JFA720947 JOU720942:JOW720947 JYQ720942:JYS720947 KIM720942:KIO720947 KSI720942:KSK720947 LCE720942:LCG720947 LMA720942:LMC720947 LVW720942:LVY720947 MFS720942:MFU720947 MPO720942:MPQ720947 MZK720942:MZM720947 NJG720942:NJI720947 NTC720942:NTE720947 OCY720942:ODA720947 OMU720942:OMW720947 OWQ720942:OWS720947 PGM720942:PGO720947 PQI720942:PQK720947 QAE720942:QAG720947 QKA720942:QKC720947 QTW720942:QTY720947 RDS720942:RDU720947 RNO720942:RNQ720947 RXK720942:RXM720947 SHG720942:SHI720947 SRC720942:SRE720947 TAY720942:TBA720947 TKU720942:TKW720947 TUQ720942:TUS720947 UEM720942:UEO720947 UOI720942:UOK720947 UYE720942:UYG720947 VIA720942:VIC720947 VRW720942:VRY720947 WBS720942:WBU720947 WLO720942:WLQ720947 WVK720942:WVM720947 D786478:F786483 IY786478:JA786483 SU786478:SW786483 ACQ786478:ACS786483 AMM786478:AMO786483 AWI786478:AWK786483 BGE786478:BGG786483 BQA786478:BQC786483 BZW786478:BZY786483 CJS786478:CJU786483 CTO786478:CTQ786483 DDK786478:DDM786483 DNG786478:DNI786483 DXC786478:DXE786483 EGY786478:EHA786483 EQU786478:EQW786483 FAQ786478:FAS786483 FKM786478:FKO786483 FUI786478:FUK786483 GEE786478:GEG786483 GOA786478:GOC786483 GXW786478:GXY786483 HHS786478:HHU786483 HRO786478:HRQ786483 IBK786478:IBM786483 ILG786478:ILI786483 IVC786478:IVE786483 JEY786478:JFA786483 JOU786478:JOW786483 JYQ786478:JYS786483 KIM786478:KIO786483 KSI786478:KSK786483 LCE786478:LCG786483 LMA786478:LMC786483 LVW786478:LVY786483 MFS786478:MFU786483 MPO786478:MPQ786483 MZK786478:MZM786483 NJG786478:NJI786483 NTC786478:NTE786483 OCY786478:ODA786483 OMU786478:OMW786483 OWQ786478:OWS786483 PGM786478:PGO786483 PQI786478:PQK786483 QAE786478:QAG786483 QKA786478:QKC786483 QTW786478:QTY786483 RDS786478:RDU786483 RNO786478:RNQ786483 RXK786478:RXM786483 SHG786478:SHI786483 SRC786478:SRE786483 TAY786478:TBA786483 TKU786478:TKW786483 TUQ786478:TUS786483 UEM786478:UEO786483 UOI786478:UOK786483 UYE786478:UYG786483 VIA786478:VIC786483 VRW786478:VRY786483 WBS786478:WBU786483 WLO786478:WLQ786483 WVK786478:WVM786483 D852014:F852019 IY852014:JA852019 SU852014:SW852019 ACQ852014:ACS852019 AMM852014:AMO852019 AWI852014:AWK852019 BGE852014:BGG852019 BQA852014:BQC852019 BZW852014:BZY852019 CJS852014:CJU852019 CTO852014:CTQ852019 DDK852014:DDM852019 DNG852014:DNI852019 DXC852014:DXE852019 EGY852014:EHA852019 EQU852014:EQW852019 FAQ852014:FAS852019 FKM852014:FKO852019 FUI852014:FUK852019 GEE852014:GEG852019 GOA852014:GOC852019 GXW852014:GXY852019 HHS852014:HHU852019 HRO852014:HRQ852019 IBK852014:IBM852019 ILG852014:ILI852019 IVC852014:IVE852019 JEY852014:JFA852019 JOU852014:JOW852019 JYQ852014:JYS852019 KIM852014:KIO852019 KSI852014:KSK852019 LCE852014:LCG852019 LMA852014:LMC852019 LVW852014:LVY852019 MFS852014:MFU852019 MPO852014:MPQ852019 MZK852014:MZM852019 NJG852014:NJI852019 NTC852014:NTE852019 OCY852014:ODA852019 OMU852014:OMW852019 OWQ852014:OWS852019 PGM852014:PGO852019 PQI852014:PQK852019 QAE852014:QAG852019 QKA852014:QKC852019 QTW852014:QTY852019 RDS852014:RDU852019 RNO852014:RNQ852019 RXK852014:RXM852019 SHG852014:SHI852019 SRC852014:SRE852019 TAY852014:TBA852019 TKU852014:TKW852019 TUQ852014:TUS852019 UEM852014:UEO852019 UOI852014:UOK852019 UYE852014:UYG852019 VIA852014:VIC852019 VRW852014:VRY852019 WBS852014:WBU852019 WLO852014:WLQ852019 WVK852014:WVM852019 D917550:F917555 IY917550:JA917555 SU917550:SW917555 ACQ917550:ACS917555 AMM917550:AMO917555 AWI917550:AWK917555 BGE917550:BGG917555 BQA917550:BQC917555 BZW917550:BZY917555 CJS917550:CJU917555 CTO917550:CTQ917555 DDK917550:DDM917555 DNG917550:DNI917555 DXC917550:DXE917555 EGY917550:EHA917555 EQU917550:EQW917555 FAQ917550:FAS917555 FKM917550:FKO917555 FUI917550:FUK917555 GEE917550:GEG917555 GOA917550:GOC917555 GXW917550:GXY917555 HHS917550:HHU917555 HRO917550:HRQ917555 IBK917550:IBM917555 ILG917550:ILI917555 IVC917550:IVE917555 JEY917550:JFA917555 JOU917550:JOW917555 JYQ917550:JYS917555 KIM917550:KIO917555 KSI917550:KSK917555 LCE917550:LCG917555 LMA917550:LMC917555 LVW917550:LVY917555 MFS917550:MFU917555 MPO917550:MPQ917555 MZK917550:MZM917555 NJG917550:NJI917555 NTC917550:NTE917555 OCY917550:ODA917555 OMU917550:OMW917555 OWQ917550:OWS917555 PGM917550:PGO917555 PQI917550:PQK917555 QAE917550:QAG917555 QKA917550:QKC917555 QTW917550:QTY917555 RDS917550:RDU917555 RNO917550:RNQ917555 RXK917550:RXM917555 SHG917550:SHI917555 SRC917550:SRE917555 TAY917550:TBA917555 TKU917550:TKW917555 TUQ917550:TUS917555 UEM917550:UEO917555 UOI917550:UOK917555 UYE917550:UYG917555 VIA917550:VIC917555 VRW917550:VRY917555 WBS917550:WBU917555 WLO917550:WLQ917555 WVK917550:WVM917555 D983086:F983091 IY983086:JA983091 SU983086:SW983091 ACQ983086:ACS983091 AMM983086:AMO983091 AWI983086:AWK983091 BGE983086:BGG983091 BQA983086:BQC983091 BZW983086:BZY983091 CJS983086:CJU983091 CTO983086:CTQ983091 DDK983086:DDM983091 DNG983086:DNI983091 DXC983086:DXE983091 EGY983086:EHA983091 EQU983086:EQW983091 FAQ983086:FAS983091 FKM983086:FKO983091 FUI983086:FUK983091 GEE983086:GEG983091 GOA983086:GOC983091 GXW983086:GXY983091 HHS983086:HHU983091 HRO983086:HRQ983091 IBK983086:IBM983091 ILG983086:ILI983091 IVC983086:IVE983091 JEY983086:JFA983091 JOU983086:JOW983091 JYQ983086:JYS983091 KIM983086:KIO983091 KSI983086:KSK983091 LCE983086:LCG983091 LMA983086:LMC983091 LVW983086:LVY983091 MFS983086:MFU983091 MPO983086:MPQ983091 MZK983086:MZM983091 NJG983086:NJI983091 NTC983086:NTE983091 OCY983086:ODA983091 OMU983086:OMW983091 OWQ983086:OWS983091 PGM983086:PGO983091 PQI983086:PQK983091 QAE983086:QAG983091 QKA983086:QKC983091 QTW983086:QTY983091 RDS983086:RDU983091 RNO983086:RNQ983091 RXK983086:RXM983091 SHG983086:SHI983091 SRC983086:SRE983091 TAY983086:TBA983091 TKU983086:TKW983091 TUQ983086:TUS983091 UEM983086:UEO983091 UOI983086:UOK983091 UYE983086:UYG983091 VIA983086:VIC983091 VRW983086:VRY983091 WBS983086:WBU983091 WLO983086:WLQ983091 WVK983086:WVM983091"/>
    <dataValidation allowBlank="1" showInputMessage="1" showErrorMessage="1" promptTitle="Jumlah Angsuran" prompt="Diisi data jumlah angsuran yang dibayarkan oleh Pemohon setiap bulan atas pinjaman yang diterima dari Bank / Lembaga Keuangan (termasuk pinjaman dari Bank Jabar Banten)" sqref="JB65582:JE65587 SX65582:TA65587 ACT65582:ACW65587 AMP65582:AMS65587 AWL65582:AWO65587 BGH65582:BGK65587 BQD65582:BQG65587 BZZ65582:CAC65587 CJV65582:CJY65587 CTR65582:CTU65587 DDN65582:DDQ65587 DNJ65582:DNM65587 DXF65582:DXI65587 EHB65582:EHE65587 EQX65582:ERA65587 FAT65582:FAW65587 FKP65582:FKS65587 FUL65582:FUO65587 GEH65582:GEK65587 GOD65582:GOG65587 GXZ65582:GYC65587 HHV65582:HHY65587 HRR65582:HRU65587 IBN65582:IBQ65587 ILJ65582:ILM65587 IVF65582:IVI65587 JFB65582:JFE65587 JOX65582:JPA65587 JYT65582:JYW65587 KIP65582:KIS65587 KSL65582:KSO65587 LCH65582:LCK65587 LMD65582:LMG65587 LVZ65582:LWC65587 MFV65582:MFY65587 MPR65582:MPU65587 MZN65582:MZQ65587 NJJ65582:NJM65587 NTF65582:NTI65587 ODB65582:ODE65587 OMX65582:ONA65587 OWT65582:OWW65587 PGP65582:PGS65587 PQL65582:PQO65587 QAH65582:QAK65587 QKD65582:QKG65587 QTZ65582:QUC65587 RDV65582:RDY65587 RNR65582:RNU65587 RXN65582:RXQ65587 SHJ65582:SHM65587 SRF65582:SRI65587 TBB65582:TBE65587 TKX65582:TLA65587 TUT65582:TUW65587 UEP65582:UES65587 UOL65582:UOO65587 UYH65582:UYK65587 VID65582:VIG65587 VRZ65582:VSC65587 WBV65582:WBY65587 WLR65582:WLU65587 WVN65582:WVQ65587 JB131118:JE131123 SX131118:TA131123 ACT131118:ACW131123 AMP131118:AMS131123 AWL131118:AWO131123 BGH131118:BGK131123 BQD131118:BQG131123 BZZ131118:CAC131123 CJV131118:CJY131123 CTR131118:CTU131123 DDN131118:DDQ131123 DNJ131118:DNM131123 DXF131118:DXI131123 EHB131118:EHE131123 EQX131118:ERA131123 FAT131118:FAW131123 FKP131118:FKS131123 FUL131118:FUO131123 GEH131118:GEK131123 GOD131118:GOG131123 GXZ131118:GYC131123 HHV131118:HHY131123 HRR131118:HRU131123 IBN131118:IBQ131123 ILJ131118:ILM131123 IVF131118:IVI131123 JFB131118:JFE131123 JOX131118:JPA131123 JYT131118:JYW131123 KIP131118:KIS131123 KSL131118:KSO131123 LCH131118:LCK131123 LMD131118:LMG131123 LVZ131118:LWC131123 MFV131118:MFY131123 MPR131118:MPU131123 MZN131118:MZQ131123 NJJ131118:NJM131123 NTF131118:NTI131123 ODB131118:ODE131123 OMX131118:ONA131123 OWT131118:OWW131123 PGP131118:PGS131123 PQL131118:PQO131123 QAH131118:QAK131123 QKD131118:QKG131123 QTZ131118:QUC131123 RDV131118:RDY131123 RNR131118:RNU131123 RXN131118:RXQ131123 SHJ131118:SHM131123 SRF131118:SRI131123 TBB131118:TBE131123 TKX131118:TLA131123 TUT131118:TUW131123 UEP131118:UES131123 UOL131118:UOO131123 UYH131118:UYK131123 VID131118:VIG131123 VRZ131118:VSC131123 WBV131118:WBY131123 WLR131118:WLU131123 WVN131118:WVQ131123 JB196654:JE196659 SX196654:TA196659 ACT196654:ACW196659 AMP196654:AMS196659 AWL196654:AWO196659 BGH196654:BGK196659 BQD196654:BQG196659 BZZ196654:CAC196659 CJV196654:CJY196659 CTR196654:CTU196659 DDN196654:DDQ196659 DNJ196654:DNM196659 DXF196654:DXI196659 EHB196654:EHE196659 EQX196654:ERA196659 FAT196654:FAW196659 FKP196654:FKS196659 FUL196654:FUO196659 GEH196654:GEK196659 GOD196654:GOG196659 GXZ196654:GYC196659 HHV196654:HHY196659 HRR196654:HRU196659 IBN196654:IBQ196659 ILJ196654:ILM196659 IVF196654:IVI196659 JFB196654:JFE196659 JOX196654:JPA196659 JYT196654:JYW196659 KIP196654:KIS196659 KSL196654:KSO196659 LCH196654:LCK196659 LMD196654:LMG196659 LVZ196654:LWC196659 MFV196654:MFY196659 MPR196654:MPU196659 MZN196654:MZQ196659 NJJ196654:NJM196659 NTF196654:NTI196659 ODB196654:ODE196659 OMX196654:ONA196659 OWT196654:OWW196659 PGP196654:PGS196659 PQL196654:PQO196659 QAH196654:QAK196659 QKD196654:QKG196659 QTZ196654:QUC196659 RDV196654:RDY196659 RNR196654:RNU196659 RXN196654:RXQ196659 SHJ196654:SHM196659 SRF196654:SRI196659 TBB196654:TBE196659 TKX196654:TLA196659 TUT196654:TUW196659 UEP196654:UES196659 UOL196654:UOO196659 UYH196654:UYK196659 VID196654:VIG196659 VRZ196654:VSC196659 WBV196654:WBY196659 WLR196654:WLU196659 WVN196654:WVQ196659 JB262190:JE262195 SX262190:TA262195 ACT262190:ACW262195 AMP262190:AMS262195 AWL262190:AWO262195 BGH262190:BGK262195 BQD262190:BQG262195 BZZ262190:CAC262195 CJV262190:CJY262195 CTR262190:CTU262195 DDN262190:DDQ262195 DNJ262190:DNM262195 DXF262190:DXI262195 EHB262190:EHE262195 EQX262190:ERA262195 FAT262190:FAW262195 FKP262190:FKS262195 FUL262190:FUO262195 GEH262190:GEK262195 GOD262190:GOG262195 GXZ262190:GYC262195 HHV262190:HHY262195 HRR262190:HRU262195 IBN262190:IBQ262195 ILJ262190:ILM262195 IVF262190:IVI262195 JFB262190:JFE262195 JOX262190:JPA262195 JYT262190:JYW262195 KIP262190:KIS262195 KSL262190:KSO262195 LCH262190:LCK262195 LMD262190:LMG262195 LVZ262190:LWC262195 MFV262190:MFY262195 MPR262190:MPU262195 MZN262190:MZQ262195 NJJ262190:NJM262195 NTF262190:NTI262195 ODB262190:ODE262195 OMX262190:ONA262195 OWT262190:OWW262195 PGP262190:PGS262195 PQL262190:PQO262195 QAH262190:QAK262195 QKD262190:QKG262195 QTZ262190:QUC262195 RDV262190:RDY262195 RNR262190:RNU262195 RXN262190:RXQ262195 SHJ262190:SHM262195 SRF262190:SRI262195 TBB262190:TBE262195 TKX262190:TLA262195 TUT262190:TUW262195 UEP262190:UES262195 UOL262190:UOO262195 UYH262190:UYK262195 VID262190:VIG262195 VRZ262190:VSC262195 WBV262190:WBY262195 WLR262190:WLU262195 WVN262190:WVQ262195 JB327726:JE327731 SX327726:TA327731 ACT327726:ACW327731 AMP327726:AMS327731 AWL327726:AWO327731 BGH327726:BGK327731 BQD327726:BQG327731 BZZ327726:CAC327731 CJV327726:CJY327731 CTR327726:CTU327731 DDN327726:DDQ327731 DNJ327726:DNM327731 DXF327726:DXI327731 EHB327726:EHE327731 EQX327726:ERA327731 FAT327726:FAW327731 FKP327726:FKS327731 FUL327726:FUO327731 GEH327726:GEK327731 GOD327726:GOG327731 GXZ327726:GYC327731 HHV327726:HHY327731 HRR327726:HRU327731 IBN327726:IBQ327731 ILJ327726:ILM327731 IVF327726:IVI327731 JFB327726:JFE327731 JOX327726:JPA327731 JYT327726:JYW327731 KIP327726:KIS327731 KSL327726:KSO327731 LCH327726:LCK327731 LMD327726:LMG327731 LVZ327726:LWC327731 MFV327726:MFY327731 MPR327726:MPU327731 MZN327726:MZQ327731 NJJ327726:NJM327731 NTF327726:NTI327731 ODB327726:ODE327731 OMX327726:ONA327731 OWT327726:OWW327731 PGP327726:PGS327731 PQL327726:PQO327731 QAH327726:QAK327731 QKD327726:QKG327731 QTZ327726:QUC327731 RDV327726:RDY327731 RNR327726:RNU327731 RXN327726:RXQ327731 SHJ327726:SHM327731 SRF327726:SRI327731 TBB327726:TBE327731 TKX327726:TLA327731 TUT327726:TUW327731 UEP327726:UES327731 UOL327726:UOO327731 UYH327726:UYK327731 VID327726:VIG327731 VRZ327726:VSC327731 WBV327726:WBY327731 WLR327726:WLU327731 WVN327726:WVQ327731 JB393262:JE393267 SX393262:TA393267 ACT393262:ACW393267 AMP393262:AMS393267 AWL393262:AWO393267 BGH393262:BGK393267 BQD393262:BQG393267 BZZ393262:CAC393267 CJV393262:CJY393267 CTR393262:CTU393267 DDN393262:DDQ393267 DNJ393262:DNM393267 DXF393262:DXI393267 EHB393262:EHE393267 EQX393262:ERA393267 FAT393262:FAW393267 FKP393262:FKS393267 FUL393262:FUO393267 GEH393262:GEK393267 GOD393262:GOG393267 GXZ393262:GYC393267 HHV393262:HHY393267 HRR393262:HRU393267 IBN393262:IBQ393267 ILJ393262:ILM393267 IVF393262:IVI393267 JFB393262:JFE393267 JOX393262:JPA393267 JYT393262:JYW393267 KIP393262:KIS393267 KSL393262:KSO393267 LCH393262:LCK393267 LMD393262:LMG393267 LVZ393262:LWC393267 MFV393262:MFY393267 MPR393262:MPU393267 MZN393262:MZQ393267 NJJ393262:NJM393267 NTF393262:NTI393267 ODB393262:ODE393267 OMX393262:ONA393267 OWT393262:OWW393267 PGP393262:PGS393267 PQL393262:PQO393267 QAH393262:QAK393267 QKD393262:QKG393267 QTZ393262:QUC393267 RDV393262:RDY393267 RNR393262:RNU393267 RXN393262:RXQ393267 SHJ393262:SHM393267 SRF393262:SRI393267 TBB393262:TBE393267 TKX393262:TLA393267 TUT393262:TUW393267 UEP393262:UES393267 UOL393262:UOO393267 UYH393262:UYK393267 VID393262:VIG393267 VRZ393262:VSC393267 WBV393262:WBY393267 WLR393262:WLU393267 WVN393262:WVQ393267 JB458798:JE458803 SX458798:TA458803 ACT458798:ACW458803 AMP458798:AMS458803 AWL458798:AWO458803 BGH458798:BGK458803 BQD458798:BQG458803 BZZ458798:CAC458803 CJV458798:CJY458803 CTR458798:CTU458803 DDN458798:DDQ458803 DNJ458798:DNM458803 DXF458798:DXI458803 EHB458798:EHE458803 EQX458798:ERA458803 FAT458798:FAW458803 FKP458798:FKS458803 FUL458798:FUO458803 GEH458798:GEK458803 GOD458798:GOG458803 GXZ458798:GYC458803 HHV458798:HHY458803 HRR458798:HRU458803 IBN458798:IBQ458803 ILJ458798:ILM458803 IVF458798:IVI458803 JFB458798:JFE458803 JOX458798:JPA458803 JYT458798:JYW458803 KIP458798:KIS458803 KSL458798:KSO458803 LCH458798:LCK458803 LMD458798:LMG458803 LVZ458798:LWC458803 MFV458798:MFY458803 MPR458798:MPU458803 MZN458798:MZQ458803 NJJ458798:NJM458803 NTF458798:NTI458803 ODB458798:ODE458803 OMX458798:ONA458803 OWT458798:OWW458803 PGP458798:PGS458803 PQL458798:PQO458803 QAH458798:QAK458803 QKD458798:QKG458803 QTZ458798:QUC458803 RDV458798:RDY458803 RNR458798:RNU458803 RXN458798:RXQ458803 SHJ458798:SHM458803 SRF458798:SRI458803 TBB458798:TBE458803 TKX458798:TLA458803 TUT458798:TUW458803 UEP458798:UES458803 UOL458798:UOO458803 UYH458798:UYK458803 VID458798:VIG458803 VRZ458798:VSC458803 WBV458798:WBY458803 WLR458798:WLU458803 WVN458798:WVQ458803 JB524334:JE524339 SX524334:TA524339 ACT524334:ACW524339 AMP524334:AMS524339 AWL524334:AWO524339 BGH524334:BGK524339 BQD524334:BQG524339 BZZ524334:CAC524339 CJV524334:CJY524339 CTR524334:CTU524339 DDN524334:DDQ524339 DNJ524334:DNM524339 DXF524334:DXI524339 EHB524334:EHE524339 EQX524334:ERA524339 FAT524334:FAW524339 FKP524334:FKS524339 FUL524334:FUO524339 GEH524334:GEK524339 GOD524334:GOG524339 GXZ524334:GYC524339 HHV524334:HHY524339 HRR524334:HRU524339 IBN524334:IBQ524339 ILJ524334:ILM524339 IVF524334:IVI524339 JFB524334:JFE524339 JOX524334:JPA524339 JYT524334:JYW524339 KIP524334:KIS524339 KSL524334:KSO524339 LCH524334:LCK524339 LMD524334:LMG524339 LVZ524334:LWC524339 MFV524334:MFY524339 MPR524334:MPU524339 MZN524334:MZQ524339 NJJ524334:NJM524339 NTF524334:NTI524339 ODB524334:ODE524339 OMX524334:ONA524339 OWT524334:OWW524339 PGP524334:PGS524339 PQL524334:PQO524339 QAH524334:QAK524339 QKD524334:QKG524339 QTZ524334:QUC524339 RDV524334:RDY524339 RNR524334:RNU524339 RXN524334:RXQ524339 SHJ524334:SHM524339 SRF524334:SRI524339 TBB524334:TBE524339 TKX524334:TLA524339 TUT524334:TUW524339 UEP524334:UES524339 UOL524334:UOO524339 UYH524334:UYK524339 VID524334:VIG524339 VRZ524334:VSC524339 WBV524334:WBY524339 WLR524334:WLU524339 WVN524334:WVQ524339 JB589870:JE589875 SX589870:TA589875 ACT589870:ACW589875 AMP589870:AMS589875 AWL589870:AWO589875 BGH589870:BGK589875 BQD589870:BQG589875 BZZ589870:CAC589875 CJV589870:CJY589875 CTR589870:CTU589875 DDN589870:DDQ589875 DNJ589870:DNM589875 DXF589870:DXI589875 EHB589870:EHE589875 EQX589870:ERA589875 FAT589870:FAW589875 FKP589870:FKS589875 FUL589870:FUO589875 GEH589870:GEK589875 GOD589870:GOG589875 GXZ589870:GYC589875 HHV589870:HHY589875 HRR589870:HRU589875 IBN589870:IBQ589875 ILJ589870:ILM589875 IVF589870:IVI589875 JFB589870:JFE589875 JOX589870:JPA589875 JYT589870:JYW589875 KIP589870:KIS589875 KSL589870:KSO589875 LCH589870:LCK589875 LMD589870:LMG589875 LVZ589870:LWC589875 MFV589870:MFY589875 MPR589870:MPU589875 MZN589870:MZQ589875 NJJ589870:NJM589875 NTF589870:NTI589875 ODB589870:ODE589875 OMX589870:ONA589875 OWT589870:OWW589875 PGP589870:PGS589875 PQL589870:PQO589875 QAH589870:QAK589875 QKD589870:QKG589875 QTZ589870:QUC589875 RDV589870:RDY589875 RNR589870:RNU589875 RXN589870:RXQ589875 SHJ589870:SHM589875 SRF589870:SRI589875 TBB589870:TBE589875 TKX589870:TLA589875 TUT589870:TUW589875 UEP589870:UES589875 UOL589870:UOO589875 UYH589870:UYK589875 VID589870:VIG589875 VRZ589870:VSC589875 WBV589870:WBY589875 WLR589870:WLU589875 WVN589870:WVQ589875 JB655406:JE655411 SX655406:TA655411 ACT655406:ACW655411 AMP655406:AMS655411 AWL655406:AWO655411 BGH655406:BGK655411 BQD655406:BQG655411 BZZ655406:CAC655411 CJV655406:CJY655411 CTR655406:CTU655411 DDN655406:DDQ655411 DNJ655406:DNM655411 DXF655406:DXI655411 EHB655406:EHE655411 EQX655406:ERA655411 FAT655406:FAW655411 FKP655406:FKS655411 FUL655406:FUO655411 GEH655406:GEK655411 GOD655406:GOG655411 GXZ655406:GYC655411 HHV655406:HHY655411 HRR655406:HRU655411 IBN655406:IBQ655411 ILJ655406:ILM655411 IVF655406:IVI655411 JFB655406:JFE655411 JOX655406:JPA655411 JYT655406:JYW655411 KIP655406:KIS655411 KSL655406:KSO655411 LCH655406:LCK655411 LMD655406:LMG655411 LVZ655406:LWC655411 MFV655406:MFY655411 MPR655406:MPU655411 MZN655406:MZQ655411 NJJ655406:NJM655411 NTF655406:NTI655411 ODB655406:ODE655411 OMX655406:ONA655411 OWT655406:OWW655411 PGP655406:PGS655411 PQL655406:PQO655411 QAH655406:QAK655411 QKD655406:QKG655411 QTZ655406:QUC655411 RDV655406:RDY655411 RNR655406:RNU655411 RXN655406:RXQ655411 SHJ655406:SHM655411 SRF655406:SRI655411 TBB655406:TBE655411 TKX655406:TLA655411 TUT655406:TUW655411 UEP655406:UES655411 UOL655406:UOO655411 UYH655406:UYK655411 VID655406:VIG655411 VRZ655406:VSC655411 WBV655406:WBY655411 WLR655406:WLU655411 WVN655406:WVQ655411 JB720942:JE720947 SX720942:TA720947 ACT720942:ACW720947 AMP720942:AMS720947 AWL720942:AWO720947 BGH720942:BGK720947 BQD720942:BQG720947 BZZ720942:CAC720947 CJV720942:CJY720947 CTR720942:CTU720947 DDN720942:DDQ720947 DNJ720942:DNM720947 DXF720942:DXI720947 EHB720942:EHE720947 EQX720942:ERA720947 FAT720942:FAW720947 FKP720942:FKS720947 FUL720942:FUO720947 GEH720942:GEK720947 GOD720942:GOG720947 GXZ720942:GYC720947 HHV720942:HHY720947 HRR720942:HRU720947 IBN720942:IBQ720947 ILJ720942:ILM720947 IVF720942:IVI720947 JFB720942:JFE720947 JOX720942:JPA720947 JYT720942:JYW720947 KIP720942:KIS720947 KSL720942:KSO720947 LCH720942:LCK720947 LMD720942:LMG720947 LVZ720942:LWC720947 MFV720942:MFY720947 MPR720942:MPU720947 MZN720942:MZQ720947 NJJ720942:NJM720947 NTF720942:NTI720947 ODB720942:ODE720947 OMX720942:ONA720947 OWT720942:OWW720947 PGP720942:PGS720947 PQL720942:PQO720947 QAH720942:QAK720947 QKD720942:QKG720947 QTZ720942:QUC720947 RDV720942:RDY720947 RNR720942:RNU720947 RXN720942:RXQ720947 SHJ720942:SHM720947 SRF720942:SRI720947 TBB720942:TBE720947 TKX720942:TLA720947 TUT720942:TUW720947 UEP720942:UES720947 UOL720942:UOO720947 UYH720942:UYK720947 VID720942:VIG720947 VRZ720942:VSC720947 WBV720942:WBY720947 WLR720942:WLU720947 WVN720942:WVQ720947 JB786478:JE786483 SX786478:TA786483 ACT786478:ACW786483 AMP786478:AMS786483 AWL786478:AWO786483 BGH786478:BGK786483 BQD786478:BQG786483 BZZ786478:CAC786483 CJV786478:CJY786483 CTR786478:CTU786483 DDN786478:DDQ786483 DNJ786478:DNM786483 DXF786478:DXI786483 EHB786478:EHE786483 EQX786478:ERA786483 FAT786478:FAW786483 FKP786478:FKS786483 FUL786478:FUO786483 GEH786478:GEK786483 GOD786478:GOG786483 GXZ786478:GYC786483 HHV786478:HHY786483 HRR786478:HRU786483 IBN786478:IBQ786483 ILJ786478:ILM786483 IVF786478:IVI786483 JFB786478:JFE786483 JOX786478:JPA786483 JYT786478:JYW786483 KIP786478:KIS786483 KSL786478:KSO786483 LCH786478:LCK786483 LMD786478:LMG786483 LVZ786478:LWC786483 MFV786478:MFY786483 MPR786478:MPU786483 MZN786478:MZQ786483 NJJ786478:NJM786483 NTF786478:NTI786483 ODB786478:ODE786483 OMX786478:ONA786483 OWT786478:OWW786483 PGP786478:PGS786483 PQL786478:PQO786483 QAH786478:QAK786483 QKD786478:QKG786483 QTZ786478:QUC786483 RDV786478:RDY786483 RNR786478:RNU786483 RXN786478:RXQ786483 SHJ786478:SHM786483 SRF786478:SRI786483 TBB786478:TBE786483 TKX786478:TLA786483 TUT786478:TUW786483 UEP786478:UES786483 UOL786478:UOO786483 UYH786478:UYK786483 VID786478:VIG786483 VRZ786478:VSC786483 WBV786478:WBY786483 WLR786478:WLU786483 WVN786478:WVQ786483 JB852014:JE852019 SX852014:TA852019 ACT852014:ACW852019 AMP852014:AMS852019 AWL852014:AWO852019 BGH852014:BGK852019 BQD852014:BQG852019 BZZ852014:CAC852019 CJV852014:CJY852019 CTR852014:CTU852019 DDN852014:DDQ852019 DNJ852014:DNM852019 DXF852014:DXI852019 EHB852014:EHE852019 EQX852014:ERA852019 FAT852014:FAW852019 FKP852014:FKS852019 FUL852014:FUO852019 GEH852014:GEK852019 GOD852014:GOG852019 GXZ852014:GYC852019 HHV852014:HHY852019 HRR852014:HRU852019 IBN852014:IBQ852019 ILJ852014:ILM852019 IVF852014:IVI852019 JFB852014:JFE852019 JOX852014:JPA852019 JYT852014:JYW852019 KIP852014:KIS852019 KSL852014:KSO852019 LCH852014:LCK852019 LMD852014:LMG852019 LVZ852014:LWC852019 MFV852014:MFY852019 MPR852014:MPU852019 MZN852014:MZQ852019 NJJ852014:NJM852019 NTF852014:NTI852019 ODB852014:ODE852019 OMX852014:ONA852019 OWT852014:OWW852019 PGP852014:PGS852019 PQL852014:PQO852019 QAH852014:QAK852019 QKD852014:QKG852019 QTZ852014:QUC852019 RDV852014:RDY852019 RNR852014:RNU852019 RXN852014:RXQ852019 SHJ852014:SHM852019 SRF852014:SRI852019 TBB852014:TBE852019 TKX852014:TLA852019 TUT852014:TUW852019 UEP852014:UES852019 UOL852014:UOO852019 UYH852014:UYK852019 VID852014:VIG852019 VRZ852014:VSC852019 WBV852014:WBY852019 WLR852014:WLU852019 WVN852014:WVQ852019 JB917550:JE917555 SX917550:TA917555 ACT917550:ACW917555 AMP917550:AMS917555 AWL917550:AWO917555 BGH917550:BGK917555 BQD917550:BQG917555 BZZ917550:CAC917555 CJV917550:CJY917555 CTR917550:CTU917555 DDN917550:DDQ917555 DNJ917550:DNM917555 DXF917550:DXI917555 EHB917550:EHE917555 EQX917550:ERA917555 FAT917550:FAW917555 FKP917550:FKS917555 FUL917550:FUO917555 GEH917550:GEK917555 GOD917550:GOG917555 GXZ917550:GYC917555 HHV917550:HHY917555 HRR917550:HRU917555 IBN917550:IBQ917555 ILJ917550:ILM917555 IVF917550:IVI917555 JFB917550:JFE917555 JOX917550:JPA917555 JYT917550:JYW917555 KIP917550:KIS917555 KSL917550:KSO917555 LCH917550:LCK917555 LMD917550:LMG917555 LVZ917550:LWC917555 MFV917550:MFY917555 MPR917550:MPU917555 MZN917550:MZQ917555 NJJ917550:NJM917555 NTF917550:NTI917555 ODB917550:ODE917555 OMX917550:ONA917555 OWT917550:OWW917555 PGP917550:PGS917555 PQL917550:PQO917555 QAH917550:QAK917555 QKD917550:QKG917555 QTZ917550:QUC917555 RDV917550:RDY917555 RNR917550:RNU917555 RXN917550:RXQ917555 SHJ917550:SHM917555 SRF917550:SRI917555 TBB917550:TBE917555 TKX917550:TLA917555 TUT917550:TUW917555 UEP917550:UES917555 UOL917550:UOO917555 UYH917550:UYK917555 VID917550:VIG917555 VRZ917550:VSC917555 WBV917550:WBY917555 WLR917550:WLU917555 WVN917550:WVQ917555 JB983086:JE983091 SX983086:TA983091 ACT983086:ACW983091 AMP983086:AMS983091 AWL983086:AWO983091 BGH983086:BGK983091 BQD983086:BQG983091 BZZ983086:CAC983091 CJV983086:CJY983091 CTR983086:CTU983091 DDN983086:DDQ983091 DNJ983086:DNM983091 DXF983086:DXI983091 EHB983086:EHE983091 EQX983086:ERA983091 FAT983086:FAW983091 FKP983086:FKS983091 FUL983086:FUO983091 GEH983086:GEK983091 GOD983086:GOG983091 GXZ983086:GYC983091 HHV983086:HHY983091 HRR983086:HRU983091 IBN983086:IBQ983091 ILJ983086:ILM983091 IVF983086:IVI983091 JFB983086:JFE983091 JOX983086:JPA983091 JYT983086:JYW983091 KIP983086:KIS983091 KSL983086:KSO983091 LCH983086:LCK983091 LMD983086:LMG983091 LVZ983086:LWC983091 MFV983086:MFY983091 MPR983086:MPU983091 MZN983086:MZQ983091 NJJ983086:NJM983091 NTF983086:NTI983091 ODB983086:ODE983091 OMX983086:ONA983091 OWT983086:OWW983091 PGP983086:PGS983091 PQL983086:PQO983091 QAH983086:QAK983091 QKD983086:QKG983091 QTZ983086:QUC983091 RDV983086:RDY983091 RNR983086:RNU983091 RXN983086:RXQ983091 SHJ983086:SHM983091 SRF983086:SRI983091 TBB983086:TBE983091 TKX983086:TLA983091 TUT983086:TUW983091 UEP983086:UES983091 UOL983086:UOO983091 UYH983086:UYK983091 VID983086:VIG983091 VRZ983086:VSC983091 WBV983086:WBY983091 WLR983086:WLU983091 WVN983086:WVQ983091 G983086:J983091 G917550:J917555 G852014:J852019 G786478:J786483 G720942:J720947 G655406:J655411 G589870:J589875 G524334:J524339 G458798:J458803 G393262:J393267 G327726:J327731 G262190:J262195 G196654:J196659 G131118:J131123 G65582:J65587"/>
    <dataValidation allowBlank="1" showInputMessage="1" showErrorMessage="1" promptTitle="Pinjaman dari Bank / Lembaga " prompt="Diisi nama Bank/Koperasi/Lembaga keuangan lain/pihak ketiga (rentenir) yang memberikan pinjaman kepada Pemohon" sqref="B65583:B65587 IW65583:IW65587 SS65583:SS65587 ACO65583:ACO65587 AMK65583:AMK65587 AWG65583:AWG65587 BGC65583:BGC65587 BPY65583:BPY65587 BZU65583:BZU65587 CJQ65583:CJQ65587 CTM65583:CTM65587 DDI65583:DDI65587 DNE65583:DNE65587 DXA65583:DXA65587 EGW65583:EGW65587 EQS65583:EQS65587 FAO65583:FAO65587 FKK65583:FKK65587 FUG65583:FUG65587 GEC65583:GEC65587 GNY65583:GNY65587 GXU65583:GXU65587 HHQ65583:HHQ65587 HRM65583:HRM65587 IBI65583:IBI65587 ILE65583:ILE65587 IVA65583:IVA65587 JEW65583:JEW65587 JOS65583:JOS65587 JYO65583:JYO65587 KIK65583:KIK65587 KSG65583:KSG65587 LCC65583:LCC65587 LLY65583:LLY65587 LVU65583:LVU65587 MFQ65583:MFQ65587 MPM65583:MPM65587 MZI65583:MZI65587 NJE65583:NJE65587 NTA65583:NTA65587 OCW65583:OCW65587 OMS65583:OMS65587 OWO65583:OWO65587 PGK65583:PGK65587 PQG65583:PQG65587 QAC65583:QAC65587 QJY65583:QJY65587 QTU65583:QTU65587 RDQ65583:RDQ65587 RNM65583:RNM65587 RXI65583:RXI65587 SHE65583:SHE65587 SRA65583:SRA65587 TAW65583:TAW65587 TKS65583:TKS65587 TUO65583:TUO65587 UEK65583:UEK65587 UOG65583:UOG65587 UYC65583:UYC65587 VHY65583:VHY65587 VRU65583:VRU65587 WBQ65583:WBQ65587 WLM65583:WLM65587 WVI65583:WVI65587 B131119:B131123 IW131119:IW131123 SS131119:SS131123 ACO131119:ACO131123 AMK131119:AMK131123 AWG131119:AWG131123 BGC131119:BGC131123 BPY131119:BPY131123 BZU131119:BZU131123 CJQ131119:CJQ131123 CTM131119:CTM131123 DDI131119:DDI131123 DNE131119:DNE131123 DXA131119:DXA131123 EGW131119:EGW131123 EQS131119:EQS131123 FAO131119:FAO131123 FKK131119:FKK131123 FUG131119:FUG131123 GEC131119:GEC131123 GNY131119:GNY131123 GXU131119:GXU131123 HHQ131119:HHQ131123 HRM131119:HRM131123 IBI131119:IBI131123 ILE131119:ILE131123 IVA131119:IVA131123 JEW131119:JEW131123 JOS131119:JOS131123 JYO131119:JYO131123 KIK131119:KIK131123 KSG131119:KSG131123 LCC131119:LCC131123 LLY131119:LLY131123 LVU131119:LVU131123 MFQ131119:MFQ131123 MPM131119:MPM131123 MZI131119:MZI131123 NJE131119:NJE131123 NTA131119:NTA131123 OCW131119:OCW131123 OMS131119:OMS131123 OWO131119:OWO131123 PGK131119:PGK131123 PQG131119:PQG131123 QAC131119:QAC131123 QJY131119:QJY131123 QTU131119:QTU131123 RDQ131119:RDQ131123 RNM131119:RNM131123 RXI131119:RXI131123 SHE131119:SHE131123 SRA131119:SRA131123 TAW131119:TAW131123 TKS131119:TKS131123 TUO131119:TUO131123 UEK131119:UEK131123 UOG131119:UOG131123 UYC131119:UYC131123 VHY131119:VHY131123 VRU131119:VRU131123 WBQ131119:WBQ131123 WLM131119:WLM131123 WVI131119:WVI131123 B196655:B196659 IW196655:IW196659 SS196655:SS196659 ACO196655:ACO196659 AMK196655:AMK196659 AWG196655:AWG196659 BGC196655:BGC196659 BPY196655:BPY196659 BZU196655:BZU196659 CJQ196655:CJQ196659 CTM196655:CTM196659 DDI196655:DDI196659 DNE196655:DNE196659 DXA196655:DXA196659 EGW196655:EGW196659 EQS196655:EQS196659 FAO196655:FAO196659 FKK196655:FKK196659 FUG196655:FUG196659 GEC196655:GEC196659 GNY196655:GNY196659 GXU196655:GXU196659 HHQ196655:HHQ196659 HRM196655:HRM196659 IBI196655:IBI196659 ILE196655:ILE196659 IVA196655:IVA196659 JEW196655:JEW196659 JOS196655:JOS196659 JYO196655:JYO196659 KIK196655:KIK196659 KSG196655:KSG196659 LCC196655:LCC196659 LLY196655:LLY196659 LVU196655:LVU196659 MFQ196655:MFQ196659 MPM196655:MPM196659 MZI196655:MZI196659 NJE196655:NJE196659 NTA196655:NTA196659 OCW196655:OCW196659 OMS196655:OMS196659 OWO196655:OWO196659 PGK196655:PGK196659 PQG196655:PQG196659 QAC196655:QAC196659 QJY196655:QJY196659 QTU196655:QTU196659 RDQ196655:RDQ196659 RNM196655:RNM196659 RXI196655:RXI196659 SHE196655:SHE196659 SRA196655:SRA196659 TAW196655:TAW196659 TKS196655:TKS196659 TUO196655:TUO196659 UEK196655:UEK196659 UOG196655:UOG196659 UYC196655:UYC196659 VHY196655:VHY196659 VRU196655:VRU196659 WBQ196655:WBQ196659 WLM196655:WLM196659 WVI196655:WVI196659 B262191:B262195 IW262191:IW262195 SS262191:SS262195 ACO262191:ACO262195 AMK262191:AMK262195 AWG262191:AWG262195 BGC262191:BGC262195 BPY262191:BPY262195 BZU262191:BZU262195 CJQ262191:CJQ262195 CTM262191:CTM262195 DDI262191:DDI262195 DNE262191:DNE262195 DXA262191:DXA262195 EGW262191:EGW262195 EQS262191:EQS262195 FAO262191:FAO262195 FKK262191:FKK262195 FUG262191:FUG262195 GEC262191:GEC262195 GNY262191:GNY262195 GXU262191:GXU262195 HHQ262191:HHQ262195 HRM262191:HRM262195 IBI262191:IBI262195 ILE262191:ILE262195 IVA262191:IVA262195 JEW262191:JEW262195 JOS262191:JOS262195 JYO262191:JYO262195 KIK262191:KIK262195 KSG262191:KSG262195 LCC262191:LCC262195 LLY262191:LLY262195 LVU262191:LVU262195 MFQ262191:MFQ262195 MPM262191:MPM262195 MZI262191:MZI262195 NJE262191:NJE262195 NTA262191:NTA262195 OCW262191:OCW262195 OMS262191:OMS262195 OWO262191:OWO262195 PGK262191:PGK262195 PQG262191:PQG262195 QAC262191:QAC262195 QJY262191:QJY262195 QTU262191:QTU262195 RDQ262191:RDQ262195 RNM262191:RNM262195 RXI262191:RXI262195 SHE262191:SHE262195 SRA262191:SRA262195 TAW262191:TAW262195 TKS262191:TKS262195 TUO262191:TUO262195 UEK262191:UEK262195 UOG262191:UOG262195 UYC262191:UYC262195 VHY262191:VHY262195 VRU262191:VRU262195 WBQ262191:WBQ262195 WLM262191:WLM262195 WVI262191:WVI262195 B327727:B327731 IW327727:IW327731 SS327727:SS327731 ACO327727:ACO327731 AMK327727:AMK327731 AWG327727:AWG327731 BGC327727:BGC327731 BPY327727:BPY327731 BZU327727:BZU327731 CJQ327727:CJQ327731 CTM327727:CTM327731 DDI327727:DDI327731 DNE327727:DNE327731 DXA327727:DXA327731 EGW327727:EGW327731 EQS327727:EQS327731 FAO327727:FAO327731 FKK327727:FKK327731 FUG327727:FUG327731 GEC327727:GEC327731 GNY327727:GNY327731 GXU327727:GXU327731 HHQ327727:HHQ327731 HRM327727:HRM327731 IBI327727:IBI327731 ILE327727:ILE327731 IVA327727:IVA327731 JEW327727:JEW327731 JOS327727:JOS327731 JYO327727:JYO327731 KIK327727:KIK327731 KSG327727:KSG327731 LCC327727:LCC327731 LLY327727:LLY327731 LVU327727:LVU327731 MFQ327727:MFQ327731 MPM327727:MPM327731 MZI327727:MZI327731 NJE327727:NJE327731 NTA327727:NTA327731 OCW327727:OCW327731 OMS327727:OMS327731 OWO327727:OWO327731 PGK327727:PGK327731 PQG327727:PQG327731 QAC327727:QAC327731 QJY327727:QJY327731 QTU327727:QTU327731 RDQ327727:RDQ327731 RNM327727:RNM327731 RXI327727:RXI327731 SHE327727:SHE327731 SRA327727:SRA327731 TAW327727:TAW327731 TKS327727:TKS327731 TUO327727:TUO327731 UEK327727:UEK327731 UOG327727:UOG327731 UYC327727:UYC327731 VHY327727:VHY327731 VRU327727:VRU327731 WBQ327727:WBQ327731 WLM327727:WLM327731 WVI327727:WVI327731 B393263:B393267 IW393263:IW393267 SS393263:SS393267 ACO393263:ACO393267 AMK393263:AMK393267 AWG393263:AWG393267 BGC393263:BGC393267 BPY393263:BPY393267 BZU393263:BZU393267 CJQ393263:CJQ393267 CTM393263:CTM393267 DDI393263:DDI393267 DNE393263:DNE393267 DXA393263:DXA393267 EGW393263:EGW393267 EQS393263:EQS393267 FAO393263:FAO393267 FKK393263:FKK393267 FUG393263:FUG393267 GEC393263:GEC393267 GNY393263:GNY393267 GXU393263:GXU393267 HHQ393263:HHQ393267 HRM393263:HRM393267 IBI393263:IBI393267 ILE393263:ILE393267 IVA393263:IVA393267 JEW393263:JEW393267 JOS393263:JOS393267 JYO393263:JYO393267 KIK393263:KIK393267 KSG393263:KSG393267 LCC393263:LCC393267 LLY393263:LLY393267 LVU393263:LVU393267 MFQ393263:MFQ393267 MPM393263:MPM393267 MZI393263:MZI393267 NJE393263:NJE393267 NTA393263:NTA393267 OCW393263:OCW393267 OMS393263:OMS393267 OWO393263:OWO393267 PGK393263:PGK393267 PQG393263:PQG393267 QAC393263:QAC393267 QJY393263:QJY393267 QTU393263:QTU393267 RDQ393263:RDQ393267 RNM393263:RNM393267 RXI393263:RXI393267 SHE393263:SHE393267 SRA393263:SRA393267 TAW393263:TAW393267 TKS393263:TKS393267 TUO393263:TUO393267 UEK393263:UEK393267 UOG393263:UOG393267 UYC393263:UYC393267 VHY393263:VHY393267 VRU393263:VRU393267 WBQ393263:WBQ393267 WLM393263:WLM393267 WVI393263:WVI393267 B458799:B458803 IW458799:IW458803 SS458799:SS458803 ACO458799:ACO458803 AMK458799:AMK458803 AWG458799:AWG458803 BGC458799:BGC458803 BPY458799:BPY458803 BZU458799:BZU458803 CJQ458799:CJQ458803 CTM458799:CTM458803 DDI458799:DDI458803 DNE458799:DNE458803 DXA458799:DXA458803 EGW458799:EGW458803 EQS458799:EQS458803 FAO458799:FAO458803 FKK458799:FKK458803 FUG458799:FUG458803 GEC458799:GEC458803 GNY458799:GNY458803 GXU458799:GXU458803 HHQ458799:HHQ458803 HRM458799:HRM458803 IBI458799:IBI458803 ILE458799:ILE458803 IVA458799:IVA458803 JEW458799:JEW458803 JOS458799:JOS458803 JYO458799:JYO458803 KIK458799:KIK458803 KSG458799:KSG458803 LCC458799:LCC458803 LLY458799:LLY458803 LVU458799:LVU458803 MFQ458799:MFQ458803 MPM458799:MPM458803 MZI458799:MZI458803 NJE458799:NJE458803 NTA458799:NTA458803 OCW458799:OCW458803 OMS458799:OMS458803 OWO458799:OWO458803 PGK458799:PGK458803 PQG458799:PQG458803 QAC458799:QAC458803 QJY458799:QJY458803 QTU458799:QTU458803 RDQ458799:RDQ458803 RNM458799:RNM458803 RXI458799:RXI458803 SHE458799:SHE458803 SRA458799:SRA458803 TAW458799:TAW458803 TKS458799:TKS458803 TUO458799:TUO458803 UEK458799:UEK458803 UOG458799:UOG458803 UYC458799:UYC458803 VHY458799:VHY458803 VRU458799:VRU458803 WBQ458799:WBQ458803 WLM458799:WLM458803 WVI458799:WVI458803 B524335:B524339 IW524335:IW524339 SS524335:SS524339 ACO524335:ACO524339 AMK524335:AMK524339 AWG524335:AWG524339 BGC524335:BGC524339 BPY524335:BPY524339 BZU524335:BZU524339 CJQ524335:CJQ524339 CTM524335:CTM524339 DDI524335:DDI524339 DNE524335:DNE524339 DXA524335:DXA524339 EGW524335:EGW524339 EQS524335:EQS524339 FAO524335:FAO524339 FKK524335:FKK524339 FUG524335:FUG524339 GEC524335:GEC524339 GNY524335:GNY524339 GXU524335:GXU524339 HHQ524335:HHQ524339 HRM524335:HRM524339 IBI524335:IBI524339 ILE524335:ILE524339 IVA524335:IVA524339 JEW524335:JEW524339 JOS524335:JOS524339 JYO524335:JYO524339 KIK524335:KIK524339 KSG524335:KSG524339 LCC524335:LCC524339 LLY524335:LLY524339 LVU524335:LVU524339 MFQ524335:MFQ524339 MPM524335:MPM524339 MZI524335:MZI524339 NJE524335:NJE524339 NTA524335:NTA524339 OCW524335:OCW524339 OMS524335:OMS524339 OWO524335:OWO524339 PGK524335:PGK524339 PQG524335:PQG524339 QAC524335:QAC524339 QJY524335:QJY524339 QTU524335:QTU524339 RDQ524335:RDQ524339 RNM524335:RNM524339 RXI524335:RXI524339 SHE524335:SHE524339 SRA524335:SRA524339 TAW524335:TAW524339 TKS524335:TKS524339 TUO524335:TUO524339 UEK524335:UEK524339 UOG524335:UOG524339 UYC524335:UYC524339 VHY524335:VHY524339 VRU524335:VRU524339 WBQ524335:WBQ524339 WLM524335:WLM524339 WVI524335:WVI524339 B589871:B589875 IW589871:IW589875 SS589871:SS589875 ACO589871:ACO589875 AMK589871:AMK589875 AWG589871:AWG589875 BGC589871:BGC589875 BPY589871:BPY589875 BZU589871:BZU589875 CJQ589871:CJQ589875 CTM589871:CTM589875 DDI589871:DDI589875 DNE589871:DNE589875 DXA589871:DXA589875 EGW589871:EGW589875 EQS589871:EQS589875 FAO589871:FAO589875 FKK589871:FKK589875 FUG589871:FUG589875 GEC589871:GEC589875 GNY589871:GNY589875 GXU589871:GXU589875 HHQ589871:HHQ589875 HRM589871:HRM589875 IBI589871:IBI589875 ILE589871:ILE589875 IVA589871:IVA589875 JEW589871:JEW589875 JOS589871:JOS589875 JYO589871:JYO589875 KIK589871:KIK589875 KSG589871:KSG589875 LCC589871:LCC589875 LLY589871:LLY589875 LVU589871:LVU589875 MFQ589871:MFQ589875 MPM589871:MPM589875 MZI589871:MZI589875 NJE589871:NJE589875 NTA589871:NTA589875 OCW589871:OCW589875 OMS589871:OMS589875 OWO589871:OWO589875 PGK589871:PGK589875 PQG589871:PQG589875 QAC589871:QAC589875 QJY589871:QJY589875 QTU589871:QTU589875 RDQ589871:RDQ589875 RNM589871:RNM589875 RXI589871:RXI589875 SHE589871:SHE589875 SRA589871:SRA589875 TAW589871:TAW589875 TKS589871:TKS589875 TUO589871:TUO589875 UEK589871:UEK589875 UOG589871:UOG589875 UYC589871:UYC589875 VHY589871:VHY589875 VRU589871:VRU589875 WBQ589871:WBQ589875 WLM589871:WLM589875 WVI589871:WVI589875 B655407:B655411 IW655407:IW655411 SS655407:SS655411 ACO655407:ACO655411 AMK655407:AMK655411 AWG655407:AWG655411 BGC655407:BGC655411 BPY655407:BPY655411 BZU655407:BZU655411 CJQ655407:CJQ655411 CTM655407:CTM655411 DDI655407:DDI655411 DNE655407:DNE655411 DXA655407:DXA655411 EGW655407:EGW655411 EQS655407:EQS655411 FAO655407:FAO655411 FKK655407:FKK655411 FUG655407:FUG655411 GEC655407:GEC655411 GNY655407:GNY655411 GXU655407:GXU655411 HHQ655407:HHQ655411 HRM655407:HRM655411 IBI655407:IBI655411 ILE655407:ILE655411 IVA655407:IVA655411 JEW655407:JEW655411 JOS655407:JOS655411 JYO655407:JYO655411 KIK655407:KIK655411 KSG655407:KSG655411 LCC655407:LCC655411 LLY655407:LLY655411 LVU655407:LVU655411 MFQ655407:MFQ655411 MPM655407:MPM655411 MZI655407:MZI655411 NJE655407:NJE655411 NTA655407:NTA655411 OCW655407:OCW655411 OMS655407:OMS655411 OWO655407:OWO655411 PGK655407:PGK655411 PQG655407:PQG655411 QAC655407:QAC655411 QJY655407:QJY655411 QTU655407:QTU655411 RDQ655407:RDQ655411 RNM655407:RNM655411 RXI655407:RXI655411 SHE655407:SHE655411 SRA655407:SRA655411 TAW655407:TAW655411 TKS655407:TKS655411 TUO655407:TUO655411 UEK655407:UEK655411 UOG655407:UOG655411 UYC655407:UYC655411 VHY655407:VHY655411 VRU655407:VRU655411 WBQ655407:WBQ655411 WLM655407:WLM655411 WVI655407:WVI655411 B720943:B720947 IW720943:IW720947 SS720943:SS720947 ACO720943:ACO720947 AMK720943:AMK720947 AWG720943:AWG720947 BGC720943:BGC720947 BPY720943:BPY720947 BZU720943:BZU720947 CJQ720943:CJQ720947 CTM720943:CTM720947 DDI720943:DDI720947 DNE720943:DNE720947 DXA720943:DXA720947 EGW720943:EGW720947 EQS720943:EQS720947 FAO720943:FAO720947 FKK720943:FKK720947 FUG720943:FUG720947 GEC720943:GEC720947 GNY720943:GNY720947 GXU720943:GXU720947 HHQ720943:HHQ720947 HRM720943:HRM720947 IBI720943:IBI720947 ILE720943:ILE720947 IVA720943:IVA720947 JEW720943:JEW720947 JOS720943:JOS720947 JYO720943:JYO720947 KIK720943:KIK720947 KSG720943:KSG720947 LCC720943:LCC720947 LLY720943:LLY720947 LVU720943:LVU720947 MFQ720943:MFQ720947 MPM720943:MPM720947 MZI720943:MZI720947 NJE720943:NJE720947 NTA720943:NTA720947 OCW720943:OCW720947 OMS720943:OMS720947 OWO720943:OWO720947 PGK720943:PGK720947 PQG720943:PQG720947 QAC720943:QAC720947 QJY720943:QJY720947 QTU720943:QTU720947 RDQ720943:RDQ720947 RNM720943:RNM720947 RXI720943:RXI720947 SHE720943:SHE720947 SRA720943:SRA720947 TAW720943:TAW720947 TKS720943:TKS720947 TUO720943:TUO720947 UEK720943:UEK720947 UOG720943:UOG720947 UYC720943:UYC720947 VHY720943:VHY720947 VRU720943:VRU720947 WBQ720943:WBQ720947 WLM720943:WLM720947 WVI720943:WVI720947 B786479:B786483 IW786479:IW786483 SS786479:SS786483 ACO786479:ACO786483 AMK786479:AMK786483 AWG786479:AWG786483 BGC786479:BGC786483 BPY786479:BPY786483 BZU786479:BZU786483 CJQ786479:CJQ786483 CTM786479:CTM786483 DDI786479:DDI786483 DNE786479:DNE786483 DXA786479:DXA786483 EGW786479:EGW786483 EQS786479:EQS786483 FAO786479:FAO786483 FKK786479:FKK786483 FUG786479:FUG786483 GEC786479:GEC786483 GNY786479:GNY786483 GXU786479:GXU786483 HHQ786479:HHQ786483 HRM786479:HRM786483 IBI786479:IBI786483 ILE786479:ILE786483 IVA786479:IVA786483 JEW786479:JEW786483 JOS786479:JOS786483 JYO786479:JYO786483 KIK786479:KIK786483 KSG786479:KSG786483 LCC786479:LCC786483 LLY786479:LLY786483 LVU786479:LVU786483 MFQ786479:MFQ786483 MPM786479:MPM786483 MZI786479:MZI786483 NJE786479:NJE786483 NTA786479:NTA786483 OCW786479:OCW786483 OMS786479:OMS786483 OWO786479:OWO786483 PGK786479:PGK786483 PQG786479:PQG786483 QAC786479:QAC786483 QJY786479:QJY786483 QTU786479:QTU786483 RDQ786479:RDQ786483 RNM786479:RNM786483 RXI786479:RXI786483 SHE786479:SHE786483 SRA786479:SRA786483 TAW786479:TAW786483 TKS786479:TKS786483 TUO786479:TUO786483 UEK786479:UEK786483 UOG786479:UOG786483 UYC786479:UYC786483 VHY786479:VHY786483 VRU786479:VRU786483 WBQ786479:WBQ786483 WLM786479:WLM786483 WVI786479:WVI786483 B852015:B852019 IW852015:IW852019 SS852015:SS852019 ACO852015:ACO852019 AMK852015:AMK852019 AWG852015:AWG852019 BGC852015:BGC852019 BPY852015:BPY852019 BZU852015:BZU852019 CJQ852015:CJQ852019 CTM852015:CTM852019 DDI852015:DDI852019 DNE852015:DNE852019 DXA852015:DXA852019 EGW852015:EGW852019 EQS852015:EQS852019 FAO852015:FAO852019 FKK852015:FKK852019 FUG852015:FUG852019 GEC852015:GEC852019 GNY852015:GNY852019 GXU852015:GXU852019 HHQ852015:HHQ852019 HRM852015:HRM852019 IBI852015:IBI852019 ILE852015:ILE852019 IVA852015:IVA852019 JEW852015:JEW852019 JOS852015:JOS852019 JYO852015:JYO852019 KIK852015:KIK852019 KSG852015:KSG852019 LCC852015:LCC852019 LLY852015:LLY852019 LVU852015:LVU852019 MFQ852015:MFQ852019 MPM852015:MPM852019 MZI852015:MZI852019 NJE852015:NJE852019 NTA852015:NTA852019 OCW852015:OCW852019 OMS852015:OMS852019 OWO852015:OWO852019 PGK852015:PGK852019 PQG852015:PQG852019 QAC852015:QAC852019 QJY852015:QJY852019 QTU852015:QTU852019 RDQ852015:RDQ852019 RNM852015:RNM852019 RXI852015:RXI852019 SHE852015:SHE852019 SRA852015:SRA852019 TAW852015:TAW852019 TKS852015:TKS852019 TUO852015:TUO852019 UEK852015:UEK852019 UOG852015:UOG852019 UYC852015:UYC852019 VHY852015:VHY852019 VRU852015:VRU852019 WBQ852015:WBQ852019 WLM852015:WLM852019 WVI852015:WVI852019 B917551:B917555 IW917551:IW917555 SS917551:SS917555 ACO917551:ACO917555 AMK917551:AMK917555 AWG917551:AWG917555 BGC917551:BGC917555 BPY917551:BPY917555 BZU917551:BZU917555 CJQ917551:CJQ917555 CTM917551:CTM917555 DDI917551:DDI917555 DNE917551:DNE917555 DXA917551:DXA917555 EGW917551:EGW917555 EQS917551:EQS917555 FAO917551:FAO917555 FKK917551:FKK917555 FUG917551:FUG917555 GEC917551:GEC917555 GNY917551:GNY917555 GXU917551:GXU917555 HHQ917551:HHQ917555 HRM917551:HRM917555 IBI917551:IBI917555 ILE917551:ILE917555 IVA917551:IVA917555 JEW917551:JEW917555 JOS917551:JOS917555 JYO917551:JYO917555 KIK917551:KIK917555 KSG917551:KSG917555 LCC917551:LCC917555 LLY917551:LLY917555 LVU917551:LVU917555 MFQ917551:MFQ917555 MPM917551:MPM917555 MZI917551:MZI917555 NJE917551:NJE917555 NTA917551:NTA917555 OCW917551:OCW917555 OMS917551:OMS917555 OWO917551:OWO917555 PGK917551:PGK917555 PQG917551:PQG917555 QAC917551:QAC917555 QJY917551:QJY917555 QTU917551:QTU917555 RDQ917551:RDQ917555 RNM917551:RNM917555 RXI917551:RXI917555 SHE917551:SHE917555 SRA917551:SRA917555 TAW917551:TAW917555 TKS917551:TKS917555 TUO917551:TUO917555 UEK917551:UEK917555 UOG917551:UOG917555 UYC917551:UYC917555 VHY917551:VHY917555 VRU917551:VRU917555 WBQ917551:WBQ917555 WLM917551:WLM917555 WVI917551:WVI917555 B983087:B983091 IW983087:IW983091 SS983087:SS983091 ACO983087:ACO983091 AMK983087:AMK983091 AWG983087:AWG983091 BGC983087:BGC983091 BPY983087:BPY983091 BZU983087:BZU983091 CJQ983087:CJQ983091 CTM983087:CTM983091 DDI983087:DDI983091 DNE983087:DNE983091 DXA983087:DXA983091 EGW983087:EGW983091 EQS983087:EQS983091 FAO983087:FAO983091 FKK983087:FKK983091 FUG983087:FUG983091 GEC983087:GEC983091 GNY983087:GNY983091 GXU983087:GXU983091 HHQ983087:HHQ983091 HRM983087:HRM983091 IBI983087:IBI983091 ILE983087:ILE983091 IVA983087:IVA983091 JEW983087:JEW983091 JOS983087:JOS983091 JYO983087:JYO983091 KIK983087:KIK983091 KSG983087:KSG983091 LCC983087:LCC983091 LLY983087:LLY983091 LVU983087:LVU983091 MFQ983087:MFQ983091 MPM983087:MPM983091 MZI983087:MZI983091 NJE983087:NJE983091 NTA983087:NTA983091 OCW983087:OCW983091 OMS983087:OMS983091 OWO983087:OWO983091 PGK983087:PGK983091 PQG983087:PQG983091 QAC983087:QAC983091 QJY983087:QJY983091 QTU983087:QTU983091 RDQ983087:RDQ983091 RNM983087:RNM983091 RXI983087:RXI983091 SHE983087:SHE983091 SRA983087:SRA983091 TAW983087:TAW983091 TKS983087:TKS983091 TUO983087:TUO983091 UEK983087:UEK983091 UOG983087:UOG983091 UYC983087:UYC983091 VHY983087:VHY983091 VRU983087:VRU983091 WBQ983087:WBQ983091 WLM983087:WLM983091 WVI983087:WVI983091"/>
    <dataValidation allowBlank="1" showInputMessage="1" showErrorMessage="1" promptTitle="Jenis  Produk / Jasa Bank" prompt="Diisi dengan informasi mengenai jenis produk / jasa Bank yang pernah atau sedang dinikmati oleh Pemohon. Dipilih dengan mencantumkan &quot;X&quot; pada kolom yang disediakan dan pilihan dapat lebih dari 1 (satu)" sqref="IY65578:JD65581 SU65578:SZ65581 ACQ65578:ACV65581 AMM65578:AMR65581 AWI65578:AWN65581 BGE65578:BGJ65581 BQA65578:BQF65581 BZW65578:CAB65581 CJS65578:CJX65581 CTO65578:CTT65581 DDK65578:DDP65581 DNG65578:DNL65581 DXC65578:DXH65581 EGY65578:EHD65581 EQU65578:EQZ65581 FAQ65578:FAV65581 FKM65578:FKR65581 FUI65578:FUN65581 GEE65578:GEJ65581 GOA65578:GOF65581 GXW65578:GYB65581 HHS65578:HHX65581 HRO65578:HRT65581 IBK65578:IBP65581 ILG65578:ILL65581 IVC65578:IVH65581 JEY65578:JFD65581 JOU65578:JOZ65581 JYQ65578:JYV65581 KIM65578:KIR65581 KSI65578:KSN65581 LCE65578:LCJ65581 LMA65578:LMF65581 LVW65578:LWB65581 MFS65578:MFX65581 MPO65578:MPT65581 MZK65578:MZP65581 NJG65578:NJL65581 NTC65578:NTH65581 OCY65578:ODD65581 OMU65578:OMZ65581 OWQ65578:OWV65581 PGM65578:PGR65581 PQI65578:PQN65581 QAE65578:QAJ65581 QKA65578:QKF65581 QTW65578:QUB65581 RDS65578:RDX65581 RNO65578:RNT65581 RXK65578:RXP65581 SHG65578:SHL65581 SRC65578:SRH65581 TAY65578:TBD65581 TKU65578:TKZ65581 TUQ65578:TUV65581 UEM65578:UER65581 UOI65578:UON65581 UYE65578:UYJ65581 VIA65578:VIF65581 VRW65578:VSB65581 WBS65578:WBX65581 WLO65578:WLT65581 WVK65578:WVP65581 IY131114:JD131117 SU131114:SZ131117 ACQ131114:ACV131117 AMM131114:AMR131117 AWI131114:AWN131117 BGE131114:BGJ131117 BQA131114:BQF131117 BZW131114:CAB131117 CJS131114:CJX131117 CTO131114:CTT131117 DDK131114:DDP131117 DNG131114:DNL131117 DXC131114:DXH131117 EGY131114:EHD131117 EQU131114:EQZ131117 FAQ131114:FAV131117 FKM131114:FKR131117 FUI131114:FUN131117 GEE131114:GEJ131117 GOA131114:GOF131117 GXW131114:GYB131117 HHS131114:HHX131117 HRO131114:HRT131117 IBK131114:IBP131117 ILG131114:ILL131117 IVC131114:IVH131117 JEY131114:JFD131117 JOU131114:JOZ131117 JYQ131114:JYV131117 KIM131114:KIR131117 KSI131114:KSN131117 LCE131114:LCJ131117 LMA131114:LMF131117 LVW131114:LWB131117 MFS131114:MFX131117 MPO131114:MPT131117 MZK131114:MZP131117 NJG131114:NJL131117 NTC131114:NTH131117 OCY131114:ODD131117 OMU131114:OMZ131117 OWQ131114:OWV131117 PGM131114:PGR131117 PQI131114:PQN131117 QAE131114:QAJ131117 QKA131114:QKF131117 QTW131114:QUB131117 RDS131114:RDX131117 RNO131114:RNT131117 RXK131114:RXP131117 SHG131114:SHL131117 SRC131114:SRH131117 TAY131114:TBD131117 TKU131114:TKZ131117 TUQ131114:TUV131117 UEM131114:UER131117 UOI131114:UON131117 UYE131114:UYJ131117 VIA131114:VIF131117 VRW131114:VSB131117 WBS131114:WBX131117 WLO131114:WLT131117 WVK131114:WVP131117 IY196650:JD196653 SU196650:SZ196653 ACQ196650:ACV196653 AMM196650:AMR196653 AWI196650:AWN196653 BGE196650:BGJ196653 BQA196650:BQF196653 BZW196650:CAB196653 CJS196650:CJX196653 CTO196650:CTT196653 DDK196650:DDP196653 DNG196650:DNL196653 DXC196650:DXH196653 EGY196650:EHD196653 EQU196650:EQZ196653 FAQ196650:FAV196653 FKM196650:FKR196653 FUI196650:FUN196653 GEE196650:GEJ196653 GOA196650:GOF196653 GXW196650:GYB196653 HHS196650:HHX196653 HRO196650:HRT196653 IBK196650:IBP196653 ILG196650:ILL196653 IVC196650:IVH196653 JEY196650:JFD196653 JOU196650:JOZ196653 JYQ196650:JYV196653 KIM196650:KIR196653 KSI196650:KSN196653 LCE196650:LCJ196653 LMA196650:LMF196653 LVW196650:LWB196653 MFS196650:MFX196653 MPO196650:MPT196653 MZK196650:MZP196653 NJG196650:NJL196653 NTC196650:NTH196653 OCY196650:ODD196653 OMU196650:OMZ196653 OWQ196650:OWV196653 PGM196650:PGR196653 PQI196650:PQN196653 QAE196650:QAJ196653 QKA196650:QKF196653 QTW196650:QUB196653 RDS196650:RDX196653 RNO196650:RNT196653 RXK196650:RXP196653 SHG196650:SHL196653 SRC196650:SRH196653 TAY196650:TBD196653 TKU196650:TKZ196653 TUQ196650:TUV196653 UEM196650:UER196653 UOI196650:UON196653 UYE196650:UYJ196653 VIA196650:VIF196653 VRW196650:VSB196653 WBS196650:WBX196653 WLO196650:WLT196653 WVK196650:WVP196653 IY262186:JD262189 SU262186:SZ262189 ACQ262186:ACV262189 AMM262186:AMR262189 AWI262186:AWN262189 BGE262186:BGJ262189 BQA262186:BQF262189 BZW262186:CAB262189 CJS262186:CJX262189 CTO262186:CTT262189 DDK262186:DDP262189 DNG262186:DNL262189 DXC262186:DXH262189 EGY262186:EHD262189 EQU262186:EQZ262189 FAQ262186:FAV262189 FKM262186:FKR262189 FUI262186:FUN262189 GEE262186:GEJ262189 GOA262186:GOF262189 GXW262186:GYB262189 HHS262186:HHX262189 HRO262186:HRT262189 IBK262186:IBP262189 ILG262186:ILL262189 IVC262186:IVH262189 JEY262186:JFD262189 JOU262186:JOZ262189 JYQ262186:JYV262189 KIM262186:KIR262189 KSI262186:KSN262189 LCE262186:LCJ262189 LMA262186:LMF262189 LVW262186:LWB262189 MFS262186:MFX262189 MPO262186:MPT262189 MZK262186:MZP262189 NJG262186:NJL262189 NTC262186:NTH262189 OCY262186:ODD262189 OMU262186:OMZ262189 OWQ262186:OWV262189 PGM262186:PGR262189 PQI262186:PQN262189 QAE262186:QAJ262189 QKA262186:QKF262189 QTW262186:QUB262189 RDS262186:RDX262189 RNO262186:RNT262189 RXK262186:RXP262189 SHG262186:SHL262189 SRC262186:SRH262189 TAY262186:TBD262189 TKU262186:TKZ262189 TUQ262186:TUV262189 UEM262186:UER262189 UOI262186:UON262189 UYE262186:UYJ262189 VIA262186:VIF262189 VRW262186:VSB262189 WBS262186:WBX262189 WLO262186:WLT262189 WVK262186:WVP262189 IY327722:JD327725 SU327722:SZ327725 ACQ327722:ACV327725 AMM327722:AMR327725 AWI327722:AWN327725 BGE327722:BGJ327725 BQA327722:BQF327725 BZW327722:CAB327725 CJS327722:CJX327725 CTO327722:CTT327725 DDK327722:DDP327725 DNG327722:DNL327725 DXC327722:DXH327725 EGY327722:EHD327725 EQU327722:EQZ327725 FAQ327722:FAV327725 FKM327722:FKR327725 FUI327722:FUN327725 GEE327722:GEJ327725 GOA327722:GOF327725 GXW327722:GYB327725 HHS327722:HHX327725 HRO327722:HRT327725 IBK327722:IBP327725 ILG327722:ILL327725 IVC327722:IVH327725 JEY327722:JFD327725 JOU327722:JOZ327725 JYQ327722:JYV327725 KIM327722:KIR327725 KSI327722:KSN327725 LCE327722:LCJ327725 LMA327722:LMF327725 LVW327722:LWB327725 MFS327722:MFX327725 MPO327722:MPT327725 MZK327722:MZP327725 NJG327722:NJL327725 NTC327722:NTH327725 OCY327722:ODD327725 OMU327722:OMZ327725 OWQ327722:OWV327725 PGM327722:PGR327725 PQI327722:PQN327725 QAE327722:QAJ327725 QKA327722:QKF327725 QTW327722:QUB327725 RDS327722:RDX327725 RNO327722:RNT327725 RXK327722:RXP327725 SHG327722:SHL327725 SRC327722:SRH327725 TAY327722:TBD327725 TKU327722:TKZ327725 TUQ327722:TUV327725 UEM327722:UER327725 UOI327722:UON327725 UYE327722:UYJ327725 VIA327722:VIF327725 VRW327722:VSB327725 WBS327722:WBX327725 WLO327722:WLT327725 WVK327722:WVP327725 IY393258:JD393261 SU393258:SZ393261 ACQ393258:ACV393261 AMM393258:AMR393261 AWI393258:AWN393261 BGE393258:BGJ393261 BQA393258:BQF393261 BZW393258:CAB393261 CJS393258:CJX393261 CTO393258:CTT393261 DDK393258:DDP393261 DNG393258:DNL393261 DXC393258:DXH393261 EGY393258:EHD393261 EQU393258:EQZ393261 FAQ393258:FAV393261 FKM393258:FKR393261 FUI393258:FUN393261 GEE393258:GEJ393261 GOA393258:GOF393261 GXW393258:GYB393261 HHS393258:HHX393261 HRO393258:HRT393261 IBK393258:IBP393261 ILG393258:ILL393261 IVC393258:IVH393261 JEY393258:JFD393261 JOU393258:JOZ393261 JYQ393258:JYV393261 KIM393258:KIR393261 KSI393258:KSN393261 LCE393258:LCJ393261 LMA393258:LMF393261 LVW393258:LWB393261 MFS393258:MFX393261 MPO393258:MPT393261 MZK393258:MZP393261 NJG393258:NJL393261 NTC393258:NTH393261 OCY393258:ODD393261 OMU393258:OMZ393261 OWQ393258:OWV393261 PGM393258:PGR393261 PQI393258:PQN393261 QAE393258:QAJ393261 QKA393258:QKF393261 QTW393258:QUB393261 RDS393258:RDX393261 RNO393258:RNT393261 RXK393258:RXP393261 SHG393258:SHL393261 SRC393258:SRH393261 TAY393258:TBD393261 TKU393258:TKZ393261 TUQ393258:TUV393261 UEM393258:UER393261 UOI393258:UON393261 UYE393258:UYJ393261 VIA393258:VIF393261 VRW393258:VSB393261 WBS393258:WBX393261 WLO393258:WLT393261 WVK393258:WVP393261 IY458794:JD458797 SU458794:SZ458797 ACQ458794:ACV458797 AMM458794:AMR458797 AWI458794:AWN458797 BGE458794:BGJ458797 BQA458794:BQF458797 BZW458794:CAB458797 CJS458794:CJX458797 CTO458794:CTT458797 DDK458794:DDP458797 DNG458794:DNL458797 DXC458794:DXH458797 EGY458794:EHD458797 EQU458794:EQZ458797 FAQ458794:FAV458797 FKM458794:FKR458797 FUI458794:FUN458797 GEE458794:GEJ458797 GOA458794:GOF458797 GXW458794:GYB458797 HHS458794:HHX458797 HRO458794:HRT458797 IBK458794:IBP458797 ILG458794:ILL458797 IVC458794:IVH458797 JEY458794:JFD458797 JOU458794:JOZ458797 JYQ458794:JYV458797 KIM458794:KIR458797 KSI458794:KSN458797 LCE458794:LCJ458797 LMA458794:LMF458797 LVW458794:LWB458797 MFS458794:MFX458797 MPO458794:MPT458797 MZK458794:MZP458797 NJG458794:NJL458797 NTC458794:NTH458797 OCY458794:ODD458797 OMU458794:OMZ458797 OWQ458794:OWV458797 PGM458794:PGR458797 PQI458794:PQN458797 QAE458794:QAJ458797 QKA458794:QKF458797 QTW458794:QUB458797 RDS458794:RDX458797 RNO458794:RNT458797 RXK458794:RXP458797 SHG458794:SHL458797 SRC458794:SRH458797 TAY458794:TBD458797 TKU458794:TKZ458797 TUQ458794:TUV458797 UEM458794:UER458797 UOI458794:UON458797 UYE458794:UYJ458797 VIA458794:VIF458797 VRW458794:VSB458797 WBS458794:WBX458797 WLO458794:WLT458797 WVK458794:WVP458797 IY524330:JD524333 SU524330:SZ524333 ACQ524330:ACV524333 AMM524330:AMR524333 AWI524330:AWN524333 BGE524330:BGJ524333 BQA524330:BQF524333 BZW524330:CAB524333 CJS524330:CJX524333 CTO524330:CTT524333 DDK524330:DDP524333 DNG524330:DNL524333 DXC524330:DXH524333 EGY524330:EHD524333 EQU524330:EQZ524333 FAQ524330:FAV524333 FKM524330:FKR524333 FUI524330:FUN524333 GEE524330:GEJ524333 GOA524330:GOF524333 GXW524330:GYB524333 HHS524330:HHX524333 HRO524330:HRT524333 IBK524330:IBP524333 ILG524330:ILL524333 IVC524330:IVH524333 JEY524330:JFD524333 JOU524330:JOZ524333 JYQ524330:JYV524333 KIM524330:KIR524333 KSI524330:KSN524333 LCE524330:LCJ524333 LMA524330:LMF524333 LVW524330:LWB524333 MFS524330:MFX524333 MPO524330:MPT524333 MZK524330:MZP524333 NJG524330:NJL524333 NTC524330:NTH524333 OCY524330:ODD524333 OMU524330:OMZ524333 OWQ524330:OWV524333 PGM524330:PGR524333 PQI524330:PQN524333 QAE524330:QAJ524333 QKA524330:QKF524333 QTW524330:QUB524333 RDS524330:RDX524333 RNO524330:RNT524333 RXK524330:RXP524333 SHG524330:SHL524333 SRC524330:SRH524333 TAY524330:TBD524333 TKU524330:TKZ524333 TUQ524330:TUV524333 UEM524330:UER524333 UOI524330:UON524333 UYE524330:UYJ524333 VIA524330:VIF524333 VRW524330:VSB524333 WBS524330:WBX524333 WLO524330:WLT524333 WVK524330:WVP524333 IY589866:JD589869 SU589866:SZ589869 ACQ589866:ACV589869 AMM589866:AMR589869 AWI589866:AWN589869 BGE589866:BGJ589869 BQA589866:BQF589869 BZW589866:CAB589869 CJS589866:CJX589869 CTO589866:CTT589869 DDK589866:DDP589869 DNG589866:DNL589869 DXC589866:DXH589869 EGY589866:EHD589869 EQU589866:EQZ589869 FAQ589866:FAV589869 FKM589866:FKR589869 FUI589866:FUN589869 GEE589866:GEJ589869 GOA589866:GOF589869 GXW589866:GYB589869 HHS589866:HHX589869 HRO589866:HRT589869 IBK589866:IBP589869 ILG589866:ILL589869 IVC589866:IVH589869 JEY589866:JFD589869 JOU589866:JOZ589869 JYQ589866:JYV589869 KIM589866:KIR589869 KSI589866:KSN589869 LCE589866:LCJ589869 LMA589866:LMF589869 LVW589866:LWB589869 MFS589866:MFX589869 MPO589866:MPT589869 MZK589866:MZP589869 NJG589866:NJL589869 NTC589866:NTH589869 OCY589866:ODD589869 OMU589866:OMZ589869 OWQ589866:OWV589869 PGM589866:PGR589869 PQI589866:PQN589869 QAE589866:QAJ589869 QKA589866:QKF589869 QTW589866:QUB589869 RDS589866:RDX589869 RNO589866:RNT589869 RXK589866:RXP589869 SHG589866:SHL589869 SRC589866:SRH589869 TAY589866:TBD589869 TKU589866:TKZ589869 TUQ589866:TUV589869 UEM589866:UER589869 UOI589866:UON589869 UYE589866:UYJ589869 VIA589866:VIF589869 VRW589866:VSB589869 WBS589866:WBX589869 WLO589866:WLT589869 WVK589866:WVP589869 IY655402:JD655405 SU655402:SZ655405 ACQ655402:ACV655405 AMM655402:AMR655405 AWI655402:AWN655405 BGE655402:BGJ655405 BQA655402:BQF655405 BZW655402:CAB655405 CJS655402:CJX655405 CTO655402:CTT655405 DDK655402:DDP655405 DNG655402:DNL655405 DXC655402:DXH655405 EGY655402:EHD655405 EQU655402:EQZ655405 FAQ655402:FAV655405 FKM655402:FKR655405 FUI655402:FUN655405 GEE655402:GEJ655405 GOA655402:GOF655405 GXW655402:GYB655405 HHS655402:HHX655405 HRO655402:HRT655405 IBK655402:IBP655405 ILG655402:ILL655405 IVC655402:IVH655405 JEY655402:JFD655405 JOU655402:JOZ655405 JYQ655402:JYV655405 KIM655402:KIR655405 KSI655402:KSN655405 LCE655402:LCJ655405 LMA655402:LMF655405 LVW655402:LWB655405 MFS655402:MFX655405 MPO655402:MPT655405 MZK655402:MZP655405 NJG655402:NJL655405 NTC655402:NTH655405 OCY655402:ODD655405 OMU655402:OMZ655405 OWQ655402:OWV655405 PGM655402:PGR655405 PQI655402:PQN655405 QAE655402:QAJ655405 QKA655402:QKF655405 QTW655402:QUB655405 RDS655402:RDX655405 RNO655402:RNT655405 RXK655402:RXP655405 SHG655402:SHL655405 SRC655402:SRH655405 TAY655402:TBD655405 TKU655402:TKZ655405 TUQ655402:TUV655405 UEM655402:UER655405 UOI655402:UON655405 UYE655402:UYJ655405 VIA655402:VIF655405 VRW655402:VSB655405 WBS655402:WBX655405 WLO655402:WLT655405 WVK655402:WVP655405 IY720938:JD720941 SU720938:SZ720941 ACQ720938:ACV720941 AMM720938:AMR720941 AWI720938:AWN720941 BGE720938:BGJ720941 BQA720938:BQF720941 BZW720938:CAB720941 CJS720938:CJX720941 CTO720938:CTT720941 DDK720938:DDP720941 DNG720938:DNL720941 DXC720938:DXH720941 EGY720938:EHD720941 EQU720938:EQZ720941 FAQ720938:FAV720941 FKM720938:FKR720941 FUI720938:FUN720941 GEE720938:GEJ720941 GOA720938:GOF720941 GXW720938:GYB720941 HHS720938:HHX720941 HRO720938:HRT720941 IBK720938:IBP720941 ILG720938:ILL720941 IVC720938:IVH720941 JEY720938:JFD720941 JOU720938:JOZ720941 JYQ720938:JYV720941 KIM720938:KIR720941 KSI720938:KSN720941 LCE720938:LCJ720941 LMA720938:LMF720941 LVW720938:LWB720941 MFS720938:MFX720941 MPO720938:MPT720941 MZK720938:MZP720941 NJG720938:NJL720941 NTC720938:NTH720941 OCY720938:ODD720941 OMU720938:OMZ720941 OWQ720938:OWV720941 PGM720938:PGR720941 PQI720938:PQN720941 QAE720938:QAJ720941 QKA720938:QKF720941 QTW720938:QUB720941 RDS720938:RDX720941 RNO720938:RNT720941 RXK720938:RXP720941 SHG720938:SHL720941 SRC720938:SRH720941 TAY720938:TBD720941 TKU720938:TKZ720941 TUQ720938:TUV720941 UEM720938:UER720941 UOI720938:UON720941 UYE720938:UYJ720941 VIA720938:VIF720941 VRW720938:VSB720941 WBS720938:WBX720941 WLO720938:WLT720941 WVK720938:WVP720941 IY786474:JD786477 SU786474:SZ786477 ACQ786474:ACV786477 AMM786474:AMR786477 AWI786474:AWN786477 BGE786474:BGJ786477 BQA786474:BQF786477 BZW786474:CAB786477 CJS786474:CJX786477 CTO786474:CTT786477 DDK786474:DDP786477 DNG786474:DNL786477 DXC786474:DXH786477 EGY786474:EHD786477 EQU786474:EQZ786477 FAQ786474:FAV786477 FKM786474:FKR786477 FUI786474:FUN786477 GEE786474:GEJ786477 GOA786474:GOF786477 GXW786474:GYB786477 HHS786474:HHX786477 HRO786474:HRT786477 IBK786474:IBP786477 ILG786474:ILL786477 IVC786474:IVH786477 JEY786474:JFD786477 JOU786474:JOZ786477 JYQ786474:JYV786477 KIM786474:KIR786477 KSI786474:KSN786477 LCE786474:LCJ786477 LMA786474:LMF786477 LVW786474:LWB786477 MFS786474:MFX786477 MPO786474:MPT786477 MZK786474:MZP786477 NJG786474:NJL786477 NTC786474:NTH786477 OCY786474:ODD786477 OMU786474:OMZ786477 OWQ786474:OWV786477 PGM786474:PGR786477 PQI786474:PQN786477 QAE786474:QAJ786477 QKA786474:QKF786477 QTW786474:QUB786477 RDS786474:RDX786477 RNO786474:RNT786477 RXK786474:RXP786477 SHG786474:SHL786477 SRC786474:SRH786477 TAY786474:TBD786477 TKU786474:TKZ786477 TUQ786474:TUV786477 UEM786474:UER786477 UOI786474:UON786477 UYE786474:UYJ786477 VIA786474:VIF786477 VRW786474:VSB786477 WBS786474:WBX786477 WLO786474:WLT786477 WVK786474:WVP786477 IY852010:JD852013 SU852010:SZ852013 ACQ852010:ACV852013 AMM852010:AMR852013 AWI852010:AWN852013 BGE852010:BGJ852013 BQA852010:BQF852013 BZW852010:CAB852013 CJS852010:CJX852013 CTO852010:CTT852013 DDK852010:DDP852013 DNG852010:DNL852013 DXC852010:DXH852013 EGY852010:EHD852013 EQU852010:EQZ852013 FAQ852010:FAV852013 FKM852010:FKR852013 FUI852010:FUN852013 GEE852010:GEJ852013 GOA852010:GOF852013 GXW852010:GYB852013 HHS852010:HHX852013 HRO852010:HRT852013 IBK852010:IBP852013 ILG852010:ILL852013 IVC852010:IVH852013 JEY852010:JFD852013 JOU852010:JOZ852013 JYQ852010:JYV852013 KIM852010:KIR852013 KSI852010:KSN852013 LCE852010:LCJ852013 LMA852010:LMF852013 LVW852010:LWB852013 MFS852010:MFX852013 MPO852010:MPT852013 MZK852010:MZP852013 NJG852010:NJL852013 NTC852010:NTH852013 OCY852010:ODD852013 OMU852010:OMZ852013 OWQ852010:OWV852013 PGM852010:PGR852013 PQI852010:PQN852013 QAE852010:QAJ852013 QKA852010:QKF852013 QTW852010:QUB852013 RDS852010:RDX852013 RNO852010:RNT852013 RXK852010:RXP852013 SHG852010:SHL852013 SRC852010:SRH852013 TAY852010:TBD852013 TKU852010:TKZ852013 TUQ852010:TUV852013 UEM852010:UER852013 UOI852010:UON852013 UYE852010:UYJ852013 VIA852010:VIF852013 VRW852010:VSB852013 WBS852010:WBX852013 WLO852010:WLT852013 WVK852010:WVP852013 IY917546:JD917549 SU917546:SZ917549 ACQ917546:ACV917549 AMM917546:AMR917549 AWI917546:AWN917549 BGE917546:BGJ917549 BQA917546:BQF917549 BZW917546:CAB917549 CJS917546:CJX917549 CTO917546:CTT917549 DDK917546:DDP917549 DNG917546:DNL917549 DXC917546:DXH917549 EGY917546:EHD917549 EQU917546:EQZ917549 FAQ917546:FAV917549 FKM917546:FKR917549 FUI917546:FUN917549 GEE917546:GEJ917549 GOA917546:GOF917549 GXW917546:GYB917549 HHS917546:HHX917549 HRO917546:HRT917549 IBK917546:IBP917549 ILG917546:ILL917549 IVC917546:IVH917549 JEY917546:JFD917549 JOU917546:JOZ917549 JYQ917546:JYV917549 KIM917546:KIR917549 KSI917546:KSN917549 LCE917546:LCJ917549 LMA917546:LMF917549 LVW917546:LWB917549 MFS917546:MFX917549 MPO917546:MPT917549 MZK917546:MZP917549 NJG917546:NJL917549 NTC917546:NTH917549 OCY917546:ODD917549 OMU917546:OMZ917549 OWQ917546:OWV917549 PGM917546:PGR917549 PQI917546:PQN917549 QAE917546:QAJ917549 QKA917546:QKF917549 QTW917546:QUB917549 RDS917546:RDX917549 RNO917546:RNT917549 RXK917546:RXP917549 SHG917546:SHL917549 SRC917546:SRH917549 TAY917546:TBD917549 TKU917546:TKZ917549 TUQ917546:TUV917549 UEM917546:UER917549 UOI917546:UON917549 UYE917546:UYJ917549 VIA917546:VIF917549 VRW917546:VSB917549 WBS917546:WBX917549 WLO917546:WLT917549 WVK917546:WVP917549 IY983082:JD983085 SU983082:SZ983085 ACQ983082:ACV983085 AMM983082:AMR983085 AWI983082:AWN983085 BGE983082:BGJ983085 BQA983082:BQF983085 BZW983082:CAB983085 CJS983082:CJX983085 CTO983082:CTT983085 DDK983082:DDP983085 DNG983082:DNL983085 DXC983082:DXH983085 EGY983082:EHD983085 EQU983082:EQZ983085 FAQ983082:FAV983085 FKM983082:FKR983085 FUI983082:FUN983085 GEE983082:GEJ983085 GOA983082:GOF983085 GXW983082:GYB983085 HHS983082:HHX983085 HRO983082:HRT983085 IBK983082:IBP983085 ILG983082:ILL983085 IVC983082:IVH983085 JEY983082:JFD983085 JOU983082:JOZ983085 JYQ983082:JYV983085 KIM983082:KIR983085 KSI983082:KSN983085 LCE983082:LCJ983085 LMA983082:LMF983085 LVW983082:LWB983085 MFS983082:MFX983085 MPO983082:MPT983085 MZK983082:MZP983085 NJG983082:NJL983085 NTC983082:NTH983085 OCY983082:ODD983085 OMU983082:OMZ983085 OWQ983082:OWV983085 PGM983082:PGR983085 PQI983082:PQN983085 QAE983082:QAJ983085 QKA983082:QKF983085 QTW983082:QUB983085 RDS983082:RDX983085 RNO983082:RNT983085 RXK983082:RXP983085 SHG983082:SHL983085 SRC983082:SRH983085 TAY983082:TBD983085 TKU983082:TKZ983085 TUQ983082:TUV983085 UEM983082:UER983085 UOI983082:UON983085 UYE983082:UYJ983085 VIA983082:VIF983085 VRW983082:VSB983085 WBS983082:WBX983085 WLO983082:WLT983085 WVK983082:WVP983085 J65581 JE65581 TA65581 ACW65581 AMS65581 AWO65581 BGK65581 BQG65581 CAC65581 CJY65581 CTU65581 DDQ65581 DNM65581 DXI65581 EHE65581 ERA65581 FAW65581 FKS65581 FUO65581 GEK65581 GOG65581 GYC65581 HHY65581 HRU65581 IBQ65581 ILM65581 IVI65581 JFE65581 JPA65581 JYW65581 KIS65581 KSO65581 LCK65581 LMG65581 LWC65581 MFY65581 MPU65581 MZQ65581 NJM65581 NTI65581 ODE65581 ONA65581 OWW65581 PGS65581 PQO65581 QAK65581 QKG65581 QUC65581 RDY65581 RNU65581 RXQ65581 SHM65581 SRI65581 TBE65581 TLA65581 TUW65581 UES65581 UOO65581 UYK65581 VIG65581 VSC65581 WBY65581 WLU65581 WVQ65581 J131117 JE131117 TA131117 ACW131117 AMS131117 AWO131117 BGK131117 BQG131117 CAC131117 CJY131117 CTU131117 DDQ131117 DNM131117 DXI131117 EHE131117 ERA131117 FAW131117 FKS131117 FUO131117 GEK131117 GOG131117 GYC131117 HHY131117 HRU131117 IBQ131117 ILM131117 IVI131117 JFE131117 JPA131117 JYW131117 KIS131117 KSO131117 LCK131117 LMG131117 LWC131117 MFY131117 MPU131117 MZQ131117 NJM131117 NTI131117 ODE131117 ONA131117 OWW131117 PGS131117 PQO131117 QAK131117 QKG131117 QUC131117 RDY131117 RNU131117 RXQ131117 SHM131117 SRI131117 TBE131117 TLA131117 TUW131117 UES131117 UOO131117 UYK131117 VIG131117 VSC131117 WBY131117 WLU131117 WVQ131117 J196653 JE196653 TA196653 ACW196653 AMS196653 AWO196653 BGK196653 BQG196653 CAC196653 CJY196653 CTU196653 DDQ196653 DNM196653 DXI196653 EHE196653 ERA196653 FAW196653 FKS196653 FUO196653 GEK196653 GOG196653 GYC196653 HHY196653 HRU196653 IBQ196653 ILM196653 IVI196653 JFE196653 JPA196653 JYW196653 KIS196653 KSO196653 LCK196653 LMG196653 LWC196653 MFY196653 MPU196653 MZQ196653 NJM196653 NTI196653 ODE196653 ONA196653 OWW196653 PGS196653 PQO196653 QAK196653 QKG196653 QUC196653 RDY196653 RNU196653 RXQ196653 SHM196653 SRI196653 TBE196653 TLA196653 TUW196653 UES196653 UOO196653 UYK196653 VIG196653 VSC196653 WBY196653 WLU196653 WVQ196653 J262189 JE262189 TA262189 ACW262189 AMS262189 AWO262189 BGK262189 BQG262189 CAC262189 CJY262189 CTU262189 DDQ262189 DNM262189 DXI262189 EHE262189 ERA262189 FAW262189 FKS262189 FUO262189 GEK262189 GOG262189 GYC262189 HHY262189 HRU262189 IBQ262189 ILM262189 IVI262189 JFE262189 JPA262189 JYW262189 KIS262189 KSO262189 LCK262189 LMG262189 LWC262189 MFY262189 MPU262189 MZQ262189 NJM262189 NTI262189 ODE262189 ONA262189 OWW262189 PGS262189 PQO262189 QAK262189 QKG262189 QUC262189 RDY262189 RNU262189 RXQ262189 SHM262189 SRI262189 TBE262189 TLA262189 TUW262189 UES262189 UOO262189 UYK262189 VIG262189 VSC262189 WBY262189 WLU262189 WVQ262189 J327725 JE327725 TA327725 ACW327725 AMS327725 AWO327725 BGK327725 BQG327725 CAC327725 CJY327725 CTU327725 DDQ327725 DNM327725 DXI327725 EHE327725 ERA327725 FAW327725 FKS327725 FUO327725 GEK327725 GOG327725 GYC327725 HHY327725 HRU327725 IBQ327725 ILM327725 IVI327725 JFE327725 JPA327725 JYW327725 KIS327725 KSO327725 LCK327725 LMG327725 LWC327725 MFY327725 MPU327725 MZQ327725 NJM327725 NTI327725 ODE327725 ONA327725 OWW327725 PGS327725 PQO327725 QAK327725 QKG327725 QUC327725 RDY327725 RNU327725 RXQ327725 SHM327725 SRI327725 TBE327725 TLA327725 TUW327725 UES327725 UOO327725 UYK327725 VIG327725 VSC327725 WBY327725 WLU327725 WVQ327725 J393261 JE393261 TA393261 ACW393261 AMS393261 AWO393261 BGK393261 BQG393261 CAC393261 CJY393261 CTU393261 DDQ393261 DNM393261 DXI393261 EHE393261 ERA393261 FAW393261 FKS393261 FUO393261 GEK393261 GOG393261 GYC393261 HHY393261 HRU393261 IBQ393261 ILM393261 IVI393261 JFE393261 JPA393261 JYW393261 KIS393261 KSO393261 LCK393261 LMG393261 LWC393261 MFY393261 MPU393261 MZQ393261 NJM393261 NTI393261 ODE393261 ONA393261 OWW393261 PGS393261 PQO393261 QAK393261 QKG393261 QUC393261 RDY393261 RNU393261 RXQ393261 SHM393261 SRI393261 TBE393261 TLA393261 TUW393261 UES393261 UOO393261 UYK393261 VIG393261 VSC393261 WBY393261 WLU393261 WVQ393261 J458797 JE458797 TA458797 ACW458797 AMS458797 AWO458797 BGK458797 BQG458797 CAC458797 CJY458797 CTU458797 DDQ458797 DNM458797 DXI458797 EHE458797 ERA458797 FAW458797 FKS458797 FUO458797 GEK458797 GOG458797 GYC458797 HHY458797 HRU458797 IBQ458797 ILM458797 IVI458797 JFE458797 JPA458797 JYW458797 KIS458797 KSO458797 LCK458797 LMG458797 LWC458797 MFY458797 MPU458797 MZQ458797 NJM458797 NTI458797 ODE458797 ONA458797 OWW458797 PGS458797 PQO458797 QAK458797 QKG458797 QUC458797 RDY458797 RNU458797 RXQ458797 SHM458797 SRI458797 TBE458797 TLA458797 TUW458797 UES458797 UOO458797 UYK458797 VIG458797 VSC458797 WBY458797 WLU458797 WVQ458797 J524333 JE524333 TA524333 ACW524333 AMS524333 AWO524333 BGK524333 BQG524333 CAC524333 CJY524333 CTU524333 DDQ524333 DNM524333 DXI524333 EHE524333 ERA524333 FAW524333 FKS524333 FUO524333 GEK524333 GOG524333 GYC524333 HHY524333 HRU524333 IBQ524333 ILM524333 IVI524333 JFE524333 JPA524333 JYW524333 KIS524333 KSO524333 LCK524333 LMG524333 LWC524333 MFY524333 MPU524333 MZQ524333 NJM524333 NTI524333 ODE524333 ONA524333 OWW524333 PGS524333 PQO524333 QAK524333 QKG524333 QUC524333 RDY524333 RNU524333 RXQ524333 SHM524333 SRI524333 TBE524333 TLA524333 TUW524333 UES524333 UOO524333 UYK524333 VIG524333 VSC524333 WBY524333 WLU524333 WVQ524333 J589869 JE589869 TA589869 ACW589869 AMS589869 AWO589869 BGK589869 BQG589869 CAC589869 CJY589869 CTU589869 DDQ589869 DNM589869 DXI589869 EHE589869 ERA589869 FAW589869 FKS589869 FUO589869 GEK589869 GOG589869 GYC589869 HHY589869 HRU589869 IBQ589869 ILM589869 IVI589869 JFE589869 JPA589869 JYW589869 KIS589869 KSO589869 LCK589869 LMG589869 LWC589869 MFY589869 MPU589869 MZQ589869 NJM589869 NTI589869 ODE589869 ONA589869 OWW589869 PGS589869 PQO589869 QAK589869 QKG589869 QUC589869 RDY589869 RNU589869 RXQ589869 SHM589869 SRI589869 TBE589869 TLA589869 TUW589869 UES589869 UOO589869 UYK589869 VIG589869 VSC589869 WBY589869 WLU589869 WVQ589869 J655405 JE655405 TA655405 ACW655405 AMS655405 AWO655405 BGK655405 BQG655405 CAC655405 CJY655405 CTU655405 DDQ655405 DNM655405 DXI655405 EHE655405 ERA655405 FAW655405 FKS655405 FUO655405 GEK655405 GOG655405 GYC655405 HHY655405 HRU655405 IBQ655405 ILM655405 IVI655405 JFE655405 JPA655405 JYW655405 KIS655405 KSO655405 LCK655405 LMG655405 LWC655405 MFY655405 MPU655405 MZQ655405 NJM655405 NTI655405 ODE655405 ONA655405 OWW655405 PGS655405 PQO655405 QAK655405 QKG655405 QUC655405 RDY655405 RNU655405 RXQ655405 SHM655405 SRI655405 TBE655405 TLA655405 TUW655405 UES655405 UOO655405 UYK655405 VIG655405 VSC655405 WBY655405 WLU655405 WVQ655405 J720941 JE720941 TA720941 ACW720941 AMS720941 AWO720941 BGK720941 BQG720941 CAC720941 CJY720941 CTU720941 DDQ720941 DNM720941 DXI720941 EHE720941 ERA720941 FAW720941 FKS720941 FUO720941 GEK720941 GOG720941 GYC720941 HHY720941 HRU720941 IBQ720941 ILM720941 IVI720941 JFE720941 JPA720941 JYW720941 KIS720941 KSO720941 LCK720941 LMG720941 LWC720941 MFY720941 MPU720941 MZQ720941 NJM720941 NTI720941 ODE720941 ONA720941 OWW720941 PGS720941 PQO720941 QAK720941 QKG720941 QUC720941 RDY720941 RNU720941 RXQ720941 SHM720941 SRI720941 TBE720941 TLA720941 TUW720941 UES720941 UOO720941 UYK720941 VIG720941 VSC720941 WBY720941 WLU720941 WVQ720941 J786477 JE786477 TA786477 ACW786477 AMS786477 AWO786477 BGK786477 BQG786477 CAC786477 CJY786477 CTU786477 DDQ786477 DNM786477 DXI786477 EHE786477 ERA786477 FAW786477 FKS786477 FUO786477 GEK786477 GOG786477 GYC786477 HHY786477 HRU786477 IBQ786477 ILM786477 IVI786477 JFE786477 JPA786477 JYW786477 KIS786477 KSO786477 LCK786477 LMG786477 LWC786477 MFY786477 MPU786477 MZQ786477 NJM786477 NTI786477 ODE786477 ONA786477 OWW786477 PGS786477 PQO786477 QAK786477 QKG786477 QUC786477 RDY786477 RNU786477 RXQ786477 SHM786477 SRI786477 TBE786477 TLA786477 TUW786477 UES786477 UOO786477 UYK786477 VIG786477 VSC786477 WBY786477 WLU786477 WVQ786477 J852013 JE852013 TA852013 ACW852013 AMS852013 AWO852013 BGK852013 BQG852013 CAC852013 CJY852013 CTU852013 DDQ852013 DNM852013 DXI852013 EHE852013 ERA852013 FAW852013 FKS852013 FUO852013 GEK852013 GOG852013 GYC852013 HHY852013 HRU852013 IBQ852013 ILM852013 IVI852013 JFE852013 JPA852013 JYW852013 KIS852013 KSO852013 LCK852013 LMG852013 LWC852013 MFY852013 MPU852013 MZQ852013 NJM852013 NTI852013 ODE852013 ONA852013 OWW852013 PGS852013 PQO852013 QAK852013 QKG852013 QUC852013 RDY852013 RNU852013 RXQ852013 SHM852013 SRI852013 TBE852013 TLA852013 TUW852013 UES852013 UOO852013 UYK852013 VIG852013 VSC852013 WBY852013 WLU852013 WVQ852013 J917549 JE917549 TA917549 ACW917549 AMS917549 AWO917549 BGK917549 BQG917549 CAC917549 CJY917549 CTU917549 DDQ917549 DNM917549 DXI917549 EHE917549 ERA917549 FAW917549 FKS917549 FUO917549 GEK917549 GOG917549 GYC917549 HHY917549 HRU917549 IBQ917549 ILM917549 IVI917549 JFE917549 JPA917549 JYW917549 KIS917549 KSO917549 LCK917549 LMG917549 LWC917549 MFY917549 MPU917549 MZQ917549 NJM917549 NTI917549 ODE917549 ONA917549 OWW917549 PGS917549 PQO917549 QAK917549 QKG917549 QUC917549 RDY917549 RNU917549 RXQ917549 SHM917549 SRI917549 TBE917549 TLA917549 TUW917549 UES917549 UOO917549 UYK917549 VIG917549 VSC917549 WBY917549 WLU917549 WVQ917549 J983085 JE983085 TA983085 ACW983085 AMS983085 AWO983085 BGK983085 BQG983085 CAC983085 CJY983085 CTU983085 DDQ983085 DNM983085 DXI983085 EHE983085 ERA983085 FAW983085 FKS983085 FUO983085 GEK983085 GOG983085 GYC983085 HHY983085 HRU983085 IBQ983085 ILM983085 IVI983085 JFE983085 JPA983085 JYW983085 KIS983085 KSO983085 LCK983085 LMG983085 LWC983085 MFY983085 MPU983085 MZQ983085 NJM983085 NTI983085 ODE983085 ONA983085 OWW983085 PGS983085 PQO983085 QAK983085 QKG983085 QUC983085 RDY983085 RNU983085 RXQ983085 SHM983085 SRI983085 TBE983085 TLA983085 TUW983085 UES983085 UOO983085 UYK983085 VIG983085 VSC983085 WBY983085 WLU983085 WVQ983085 J65578:J65579 JE65578:JE65579 TA65578:TA65579 ACW65578:ACW65579 AMS65578:AMS65579 AWO65578:AWO65579 BGK65578:BGK65579 BQG65578:BQG65579 CAC65578:CAC65579 CJY65578:CJY65579 CTU65578:CTU65579 DDQ65578:DDQ65579 DNM65578:DNM65579 DXI65578:DXI65579 EHE65578:EHE65579 ERA65578:ERA65579 FAW65578:FAW65579 FKS65578:FKS65579 FUO65578:FUO65579 GEK65578:GEK65579 GOG65578:GOG65579 GYC65578:GYC65579 HHY65578:HHY65579 HRU65578:HRU65579 IBQ65578:IBQ65579 ILM65578:ILM65579 IVI65578:IVI65579 JFE65578:JFE65579 JPA65578:JPA65579 JYW65578:JYW65579 KIS65578:KIS65579 KSO65578:KSO65579 LCK65578:LCK65579 LMG65578:LMG65579 LWC65578:LWC65579 MFY65578:MFY65579 MPU65578:MPU65579 MZQ65578:MZQ65579 NJM65578:NJM65579 NTI65578:NTI65579 ODE65578:ODE65579 ONA65578:ONA65579 OWW65578:OWW65579 PGS65578:PGS65579 PQO65578:PQO65579 QAK65578:QAK65579 QKG65578:QKG65579 QUC65578:QUC65579 RDY65578:RDY65579 RNU65578:RNU65579 RXQ65578:RXQ65579 SHM65578:SHM65579 SRI65578:SRI65579 TBE65578:TBE65579 TLA65578:TLA65579 TUW65578:TUW65579 UES65578:UES65579 UOO65578:UOO65579 UYK65578:UYK65579 VIG65578:VIG65579 VSC65578:VSC65579 WBY65578:WBY65579 WLU65578:WLU65579 WVQ65578:WVQ65579 J131114:J131115 JE131114:JE131115 TA131114:TA131115 ACW131114:ACW131115 AMS131114:AMS131115 AWO131114:AWO131115 BGK131114:BGK131115 BQG131114:BQG131115 CAC131114:CAC131115 CJY131114:CJY131115 CTU131114:CTU131115 DDQ131114:DDQ131115 DNM131114:DNM131115 DXI131114:DXI131115 EHE131114:EHE131115 ERA131114:ERA131115 FAW131114:FAW131115 FKS131114:FKS131115 FUO131114:FUO131115 GEK131114:GEK131115 GOG131114:GOG131115 GYC131114:GYC131115 HHY131114:HHY131115 HRU131114:HRU131115 IBQ131114:IBQ131115 ILM131114:ILM131115 IVI131114:IVI131115 JFE131114:JFE131115 JPA131114:JPA131115 JYW131114:JYW131115 KIS131114:KIS131115 KSO131114:KSO131115 LCK131114:LCK131115 LMG131114:LMG131115 LWC131114:LWC131115 MFY131114:MFY131115 MPU131114:MPU131115 MZQ131114:MZQ131115 NJM131114:NJM131115 NTI131114:NTI131115 ODE131114:ODE131115 ONA131114:ONA131115 OWW131114:OWW131115 PGS131114:PGS131115 PQO131114:PQO131115 QAK131114:QAK131115 QKG131114:QKG131115 QUC131114:QUC131115 RDY131114:RDY131115 RNU131114:RNU131115 RXQ131114:RXQ131115 SHM131114:SHM131115 SRI131114:SRI131115 TBE131114:TBE131115 TLA131114:TLA131115 TUW131114:TUW131115 UES131114:UES131115 UOO131114:UOO131115 UYK131114:UYK131115 VIG131114:VIG131115 VSC131114:VSC131115 WBY131114:WBY131115 WLU131114:WLU131115 WVQ131114:WVQ131115 J196650:J196651 JE196650:JE196651 TA196650:TA196651 ACW196650:ACW196651 AMS196650:AMS196651 AWO196650:AWO196651 BGK196650:BGK196651 BQG196650:BQG196651 CAC196650:CAC196651 CJY196650:CJY196651 CTU196650:CTU196651 DDQ196650:DDQ196651 DNM196650:DNM196651 DXI196650:DXI196651 EHE196650:EHE196651 ERA196650:ERA196651 FAW196650:FAW196651 FKS196650:FKS196651 FUO196650:FUO196651 GEK196650:GEK196651 GOG196650:GOG196651 GYC196650:GYC196651 HHY196650:HHY196651 HRU196650:HRU196651 IBQ196650:IBQ196651 ILM196650:ILM196651 IVI196650:IVI196651 JFE196650:JFE196651 JPA196650:JPA196651 JYW196650:JYW196651 KIS196650:KIS196651 KSO196650:KSO196651 LCK196650:LCK196651 LMG196650:LMG196651 LWC196650:LWC196651 MFY196650:MFY196651 MPU196650:MPU196651 MZQ196650:MZQ196651 NJM196650:NJM196651 NTI196650:NTI196651 ODE196650:ODE196651 ONA196650:ONA196651 OWW196650:OWW196651 PGS196650:PGS196651 PQO196650:PQO196651 QAK196650:QAK196651 QKG196650:QKG196651 QUC196650:QUC196651 RDY196650:RDY196651 RNU196650:RNU196651 RXQ196650:RXQ196651 SHM196650:SHM196651 SRI196650:SRI196651 TBE196650:TBE196651 TLA196650:TLA196651 TUW196650:TUW196651 UES196650:UES196651 UOO196650:UOO196651 UYK196650:UYK196651 VIG196650:VIG196651 VSC196650:VSC196651 WBY196650:WBY196651 WLU196650:WLU196651 WVQ196650:WVQ196651 J262186:J262187 JE262186:JE262187 TA262186:TA262187 ACW262186:ACW262187 AMS262186:AMS262187 AWO262186:AWO262187 BGK262186:BGK262187 BQG262186:BQG262187 CAC262186:CAC262187 CJY262186:CJY262187 CTU262186:CTU262187 DDQ262186:DDQ262187 DNM262186:DNM262187 DXI262186:DXI262187 EHE262186:EHE262187 ERA262186:ERA262187 FAW262186:FAW262187 FKS262186:FKS262187 FUO262186:FUO262187 GEK262186:GEK262187 GOG262186:GOG262187 GYC262186:GYC262187 HHY262186:HHY262187 HRU262186:HRU262187 IBQ262186:IBQ262187 ILM262186:ILM262187 IVI262186:IVI262187 JFE262186:JFE262187 JPA262186:JPA262187 JYW262186:JYW262187 KIS262186:KIS262187 KSO262186:KSO262187 LCK262186:LCK262187 LMG262186:LMG262187 LWC262186:LWC262187 MFY262186:MFY262187 MPU262186:MPU262187 MZQ262186:MZQ262187 NJM262186:NJM262187 NTI262186:NTI262187 ODE262186:ODE262187 ONA262186:ONA262187 OWW262186:OWW262187 PGS262186:PGS262187 PQO262186:PQO262187 QAK262186:QAK262187 QKG262186:QKG262187 QUC262186:QUC262187 RDY262186:RDY262187 RNU262186:RNU262187 RXQ262186:RXQ262187 SHM262186:SHM262187 SRI262186:SRI262187 TBE262186:TBE262187 TLA262186:TLA262187 TUW262186:TUW262187 UES262186:UES262187 UOO262186:UOO262187 UYK262186:UYK262187 VIG262186:VIG262187 VSC262186:VSC262187 WBY262186:WBY262187 WLU262186:WLU262187 WVQ262186:WVQ262187 J327722:J327723 JE327722:JE327723 TA327722:TA327723 ACW327722:ACW327723 AMS327722:AMS327723 AWO327722:AWO327723 BGK327722:BGK327723 BQG327722:BQG327723 CAC327722:CAC327723 CJY327722:CJY327723 CTU327722:CTU327723 DDQ327722:DDQ327723 DNM327722:DNM327723 DXI327722:DXI327723 EHE327722:EHE327723 ERA327722:ERA327723 FAW327722:FAW327723 FKS327722:FKS327723 FUO327722:FUO327723 GEK327722:GEK327723 GOG327722:GOG327723 GYC327722:GYC327723 HHY327722:HHY327723 HRU327722:HRU327723 IBQ327722:IBQ327723 ILM327722:ILM327723 IVI327722:IVI327723 JFE327722:JFE327723 JPA327722:JPA327723 JYW327722:JYW327723 KIS327722:KIS327723 KSO327722:KSO327723 LCK327722:LCK327723 LMG327722:LMG327723 LWC327722:LWC327723 MFY327722:MFY327723 MPU327722:MPU327723 MZQ327722:MZQ327723 NJM327722:NJM327723 NTI327722:NTI327723 ODE327722:ODE327723 ONA327722:ONA327723 OWW327722:OWW327723 PGS327722:PGS327723 PQO327722:PQO327723 QAK327722:QAK327723 QKG327722:QKG327723 QUC327722:QUC327723 RDY327722:RDY327723 RNU327722:RNU327723 RXQ327722:RXQ327723 SHM327722:SHM327723 SRI327722:SRI327723 TBE327722:TBE327723 TLA327722:TLA327723 TUW327722:TUW327723 UES327722:UES327723 UOO327722:UOO327723 UYK327722:UYK327723 VIG327722:VIG327723 VSC327722:VSC327723 WBY327722:WBY327723 WLU327722:WLU327723 WVQ327722:WVQ327723 J393258:J393259 JE393258:JE393259 TA393258:TA393259 ACW393258:ACW393259 AMS393258:AMS393259 AWO393258:AWO393259 BGK393258:BGK393259 BQG393258:BQG393259 CAC393258:CAC393259 CJY393258:CJY393259 CTU393258:CTU393259 DDQ393258:DDQ393259 DNM393258:DNM393259 DXI393258:DXI393259 EHE393258:EHE393259 ERA393258:ERA393259 FAW393258:FAW393259 FKS393258:FKS393259 FUO393258:FUO393259 GEK393258:GEK393259 GOG393258:GOG393259 GYC393258:GYC393259 HHY393258:HHY393259 HRU393258:HRU393259 IBQ393258:IBQ393259 ILM393258:ILM393259 IVI393258:IVI393259 JFE393258:JFE393259 JPA393258:JPA393259 JYW393258:JYW393259 KIS393258:KIS393259 KSO393258:KSO393259 LCK393258:LCK393259 LMG393258:LMG393259 LWC393258:LWC393259 MFY393258:MFY393259 MPU393258:MPU393259 MZQ393258:MZQ393259 NJM393258:NJM393259 NTI393258:NTI393259 ODE393258:ODE393259 ONA393258:ONA393259 OWW393258:OWW393259 PGS393258:PGS393259 PQO393258:PQO393259 QAK393258:QAK393259 QKG393258:QKG393259 QUC393258:QUC393259 RDY393258:RDY393259 RNU393258:RNU393259 RXQ393258:RXQ393259 SHM393258:SHM393259 SRI393258:SRI393259 TBE393258:TBE393259 TLA393258:TLA393259 TUW393258:TUW393259 UES393258:UES393259 UOO393258:UOO393259 UYK393258:UYK393259 VIG393258:VIG393259 VSC393258:VSC393259 WBY393258:WBY393259 WLU393258:WLU393259 WVQ393258:WVQ393259 J458794:J458795 JE458794:JE458795 TA458794:TA458795 ACW458794:ACW458795 AMS458794:AMS458795 AWO458794:AWO458795 BGK458794:BGK458795 BQG458794:BQG458795 CAC458794:CAC458795 CJY458794:CJY458795 CTU458794:CTU458795 DDQ458794:DDQ458795 DNM458794:DNM458795 DXI458794:DXI458795 EHE458794:EHE458795 ERA458794:ERA458795 FAW458794:FAW458795 FKS458794:FKS458795 FUO458794:FUO458795 GEK458794:GEK458795 GOG458794:GOG458795 GYC458794:GYC458795 HHY458794:HHY458795 HRU458794:HRU458795 IBQ458794:IBQ458795 ILM458794:ILM458795 IVI458794:IVI458795 JFE458794:JFE458795 JPA458794:JPA458795 JYW458794:JYW458795 KIS458794:KIS458795 KSO458794:KSO458795 LCK458794:LCK458795 LMG458794:LMG458795 LWC458794:LWC458795 MFY458794:MFY458795 MPU458794:MPU458795 MZQ458794:MZQ458795 NJM458794:NJM458795 NTI458794:NTI458795 ODE458794:ODE458795 ONA458794:ONA458795 OWW458794:OWW458795 PGS458794:PGS458795 PQO458794:PQO458795 QAK458794:QAK458795 QKG458794:QKG458795 QUC458794:QUC458795 RDY458794:RDY458795 RNU458794:RNU458795 RXQ458794:RXQ458795 SHM458794:SHM458795 SRI458794:SRI458795 TBE458794:TBE458795 TLA458794:TLA458795 TUW458794:TUW458795 UES458794:UES458795 UOO458794:UOO458795 UYK458794:UYK458795 VIG458794:VIG458795 VSC458794:VSC458795 WBY458794:WBY458795 WLU458794:WLU458795 WVQ458794:WVQ458795 J524330:J524331 JE524330:JE524331 TA524330:TA524331 ACW524330:ACW524331 AMS524330:AMS524331 AWO524330:AWO524331 BGK524330:BGK524331 BQG524330:BQG524331 CAC524330:CAC524331 CJY524330:CJY524331 CTU524330:CTU524331 DDQ524330:DDQ524331 DNM524330:DNM524331 DXI524330:DXI524331 EHE524330:EHE524331 ERA524330:ERA524331 FAW524330:FAW524331 FKS524330:FKS524331 FUO524330:FUO524331 GEK524330:GEK524331 GOG524330:GOG524331 GYC524330:GYC524331 HHY524330:HHY524331 HRU524330:HRU524331 IBQ524330:IBQ524331 ILM524330:ILM524331 IVI524330:IVI524331 JFE524330:JFE524331 JPA524330:JPA524331 JYW524330:JYW524331 KIS524330:KIS524331 KSO524330:KSO524331 LCK524330:LCK524331 LMG524330:LMG524331 LWC524330:LWC524331 MFY524330:MFY524331 MPU524330:MPU524331 MZQ524330:MZQ524331 NJM524330:NJM524331 NTI524330:NTI524331 ODE524330:ODE524331 ONA524330:ONA524331 OWW524330:OWW524331 PGS524330:PGS524331 PQO524330:PQO524331 QAK524330:QAK524331 QKG524330:QKG524331 QUC524330:QUC524331 RDY524330:RDY524331 RNU524330:RNU524331 RXQ524330:RXQ524331 SHM524330:SHM524331 SRI524330:SRI524331 TBE524330:TBE524331 TLA524330:TLA524331 TUW524330:TUW524331 UES524330:UES524331 UOO524330:UOO524331 UYK524330:UYK524331 VIG524330:VIG524331 VSC524330:VSC524331 WBY524330:WBY524331 WLU524330:WLU524331 WVQ524330:WVQ524331 J589866:J589867 JE589866:JE589867 TA589866:TA589867 ACW589866:ACW589867 AMS589866:AMS589867 AWO589866:AWO589867 BGK589866:BGK589867 BQG589866:BQG589867 CAC589866:CAC589867 CJY589866:CJY589867 CTU589866:CTU589867 DDQ589866:DDQ589867 DNM589866:DNM589867 DXI589866:DXI589867 EHE589866:EHE589867 ERA589866:ERA589867 FAW589866:FAW589867 FKS589866:FKS589867 FUO589866:FUO589867 GEK589866:GEK589867 GOG589866:GOG589867 GYC589866:GYC589867 HHY589866:HHY589867 HRU589866:HRU589867 IBQ589866:IBQ589867 ILM589866:ILM589867 IVI589866:IVI589867 JFE589866:JFE589867 JPA589866:JPA589867 JYW589866:JYW589867 KIS589866:KIS589867 KSO589866:KSO589867 LCK589866:LCK589867 LMG589866:LMG589867 LWC589866:LWC589867 MFY589866:MFY589867 MPU589866:MPU589867 MZQ589866:MZQ589867 NJM589866:NJM589867 NTI589866:NTI589867 ODE589866:ODE589867 ONA589866:ONA589867 OWW589866:OWW589867 PGS589866:PGS589867 PQO589866:PQO589867 QAK589866:QAK589867 QKG589866:QKG589867 QUC589866:QUC589867 RDY589866:RDY589867 RNU589866:RNU589867 RXQ589866:RXQ589867 SHM589866:SHM589867 SRI589866:SRI589867 TBE589866:TBE589867 TLA589866:TLA589867 TUW589866:TUW589867 UES589866:UES589867 UOO589866:UOO589867 UYK589866:UYK589867 VIG589866:VIG589867 VSC589866:VSC589867 WBY589866:WBY589867 WLU589866:WLU589867 WVQ589866:WVQ589867 J655402:J655403 JE655402:JE655403 TA655402:TA655403 ACW655402:ACW655403 AMS655402:AMS655403 AWO655402:AWO655403 BGK655402:BGK655403 BQG655402:BQG655403 CAC655402:CAC655403 CJY655402:CJY655403 CTU655402:CTU655403 DDQ655402:DDQ655403 DNM655402:DNM655403 DXI655402:DXI655403 EHE655402:EHE655403 ERA655402:ERA655403 FAW655402:FAW655403 FKS655402:FKS655403 FUO655402:FUO655403 GEK655402:GEK655403 GOG655402:GOG655403 GYC655402:GYC655403 HHY655402:HHY655403 HRU655402:HRU655403 IBQ655402:IBQ655403 ILM655402:ILM655403 IVI655402:IVI655403 JFE655402:JFE655403 JPA655402:JPA655403 JYW655402:JYW655403 KIS655402:KIS655403 KSO655402:KSO655403 LCK655402:LCK655403 LMG655402:LMG655403 LWC655402:LWC655403 MFY655402:MFY655403 MPU655402:MPU655403 MZQ655402:MZQ655403 NJM655402:NJM655403 NTI655402:NTI655403 ODE655402:ODE655403 ONA655402:ONA655403 OWW655402:OWW655403 PGS655402:PGS655403 PQO655402:PQO655403 QAK655402:QAK655403 QKG655402:QKG655403 QUC655402:QUC655403 RDY655402:RDY655403 RNU655402:RNU655403 RXQ655402:RXQ655403 SHM655402:SHM655403 SRI655402:SRI655403 TBE655402:TBE655403 TLA655402:TLA655403 TUW655402:TUW655403 UES655402:UES655403 UOO655402:UOO655403 UYK655402:UYK655403 VIG655402:VIG655403 VSC655402:VSC655403 WBY655402:WBY655403 WLU655402:WLU655403 WVQ655402:WVQ655403 J720938:J720939 JE720938:JE720939 TA720938:TA720939 ACW720938:ACW720939 AMS720938:AMS720939 AWO720938:AWO720939 BGK720938:BGK720939 BQG720938:BQG720939 CAC720938:CAC720939 CJY720938:CJY720939 CTU720938:CTU720939 DDQ720938:DDQ720939 DNM720938:DNM720939 DXI720938:DXI720939 EHE720938:EHE720939 ERA720938:ERA720939 FAW720938:FAW720939 FKS720938:FKS720939 FUO720938:FUO720939 GEK720938:GEK720939 GOG720938:GOG720939 GYC720938:GYC720939 HHY720938:HHY720939 HRU720938:HRU720939 IBQ720938:IBQ720939 ILM720938:ILM720939 IVI720938:IVI720939 JFE720938:JFE720939 JPA720938:JPA720939 JYW720938:JYW720939 KIS720938:KIS720939 KSO720938:KSO720939 LCK720938:LCK720939 LMG720938:LMG720939 LWC720938:LWC720939 MFY720938:MFY720939 MPU720938:MPU720939 MZQ720938:MZQ720939 NJM720938:NJM720939 NTI720938:NTI720939 ODE720938:ODE720939 ONA720938:ONA720939 OWW720938:OWW720939 PGS720938:PGS720939 PQO720938:PQO720939 QAK720938:QAK720939 QKG720938:QKG720939 QUC720938:QUC720939 RDY720938:RDY720939 RNU720938:RNU720939 RXQ720938:RXQ720939 SHM720938:SHM720939 SRI720938:SRI720939 TBE720938:TBE720939 TLA720938:TLA720939 TUW720938:TUW720939 UES720938:UES720939 UOO720938:UOO720939 UYK720938:UYK720939 VIG720938:VIG720939 VSC720938:VSC720939 WBY720938:WBY720939 WLU720938:WLU720939 WVQ720938:WVQ720939 J786474:J786475 JE786474:JE786475 TA786474:TA786475 ACW786474:ACW786475 AMS786474:AMS786475 AWO786474:AWO786475 BGK786474:BGK786475 BQG786474:BQG786475 CAC786474:CAC786475 CJY786474:CJY786475 CTU786474:CTU786475 DDQ786474:DDQ786475 DNM786474:DNM786475 DXI786474:DXI786475 EHE786474:EHE786475 ERA786474:ERA786475 FAW786474:FAW786475 FKS786474:FKS786475 FUO786474:FUO786475 GEK786474:GEK786475 GOG786474:GOG786475 GYC786474:GYC786475 HHY786474:HHY786475 HRU786474:HRU786475 IBQ786474:IBQ786475 ILM786474:ILM786475 IVI786474:IVI786475 JFE786474:JFE786475 JPA786474:JPA786475 JYW786474:JYW786475 KIS786474:KIS786475 KSO786474:KSO786475 LCK786474:LCK786475 LMG786474:LMG786475 LWC786474:LWC786475 MFY786474:MFY786475 MPU786474:MPU786475 MZQ786474:MZQ786475 NJM786474:NJM786475 NTI786474:NTI786475 ODE786474:ODE786475 ONA786474:ONA786475 OWW786474:OWW786475 PGS786474:PGS786475 PQO786474:PQO786475 QAK786474:QAK786475 QKG786474:QKG786475 QUC786474:QUC786475 RDY786474:RDY786475 RNU786474:RNU786475 RXQ786474:RXQ786475 SHM786474:SHM786475 SRI786474:SRI786475 TBE786474:TBE786475 TLA786474:TLA786475 TUW786474:TUW786475 UES786474:UES786475 UOO786474:UOO786475 UYK786474:UYK786475 VIG786474:VIG786475 VSC786474:VSC786475 WBY786474:WBY786475 WLU786474:WLU786475 WVQ786474:WVQ786475 J852010:J852011 JE852010:JE852011 TA852010:TA852011 ACW852010:ACW852011 AMS852010:AMS852011 AWO852010:AWO852011 BGK852010:BGK852011 BQG852010:BQG852011 CAC852010:CAC852011 CJY852010:CJY852011 CTU852010:CTU852011 DDQ852010:DDQ852011 DNM852010:DNM852011 DXI852010:DXI852011 EHE852010:EHE852011 ERA852010:ERA852011 FAW852010:FAW852011 FKS852010:FKS852011 FUO852010:FUO852011 GEK852010:GEK852011 GOG852010:GOG852011 GYC852010:GYC852011 HHY852010:HHY852011 HRU852010:HRU852011 IBQ852010:IBQ852011 ILM852010:ILM852011 IVI852010:IVI852011 JFE852010:JFE852011 JPA852010:JPA852011 JYW852010:JYW852011 KIS852010:KIS852011 KSO852010:KSO852011 LCK852010:LCK852011 LMG852010:LMG852011 LWC852010:LWC852011 MFY852010:MFY852011 MPU852010:MPU852011 MZQ852010:MZQ852011 NJM852010:NJM852011 NTI852010:NTI852011 ODE852010:ODE852011 ONA852010:ONA852011 OWW852010:OWW852011 PGS852010:PGS852011 PQO852010:PQO852011 QAK852010:QAK852011 QKG852010:QKG852011 QUC852010:QUC852011 RDY852010:RDY852011 RNU852010:RNU852011 RXQ852010:RXQ852011 SHM852010:SHM852011 SRI852010:SRI852011 TBE852010:TBE852011 TLA852010:TLA852011 TUW852010:TUW852011 UES852010:UES852011 UOO852010:UOO852011 UYK852010:UYK852011 VIG852010:VIG852011 VSC852010:VSC852011 WBY852010:WBY852011 WLU852010:WLU852011 WVQ852010:WVQ852011 J917546:J917547 JE917546:JE917547 TA917546:TA917547 ACW917546:ACW917547 AMS917546:AMS917547 AWO917546:AWO917547 BGK917546:BGK917547 BQG917546:BQG917547 CAC917546:CAC917547 CJY917546:CJY917547 CTU917546:CTU917547 DDQ917546:DDQ917547 DNM917546:DNM917547 DXI917546:DXI917547 EHE917546:EHE917547 ERA917546:ERA917547 FAW917546:FAW917547 FKS917546:FKS917547 FUO917546:FUO917547 GEK917546:GEK917547 GOG917546:GOG917547 GYC917546:GYC917547 HHY917546:HHY917547 HRU917546:HRU917547 IBQ917546:IBQ917547 ILM917546:ILM917547 IVI917546:IVI917547 JFE917546:JFE917547 JPA917546:JPA917547 JYW917546:JYW917547 KIS917546:KIS917547 KSO917546:KSO917547 LCK917546:LCK917547 LMG917546:LMG917547 LWC917546:LWC917547 MFY917546:MFY917547 MPU917546:MPU917547 MZQ917546:MZQ917547 NJM917546:NJM917547 NTI917546:NTI917547 ODE917546:ODE917547 ONA917546:ONA917547 OWW917546:OWW917547 PGS917546:PGS917547 PQO917546:PQO917547 QAK917546:QAK917547 QKG917546:QKG917547 QUC917546:QUC917547 RDY917546:RDY917547 RNU917546:RNU917547 RXQ917546:RXQ917547 SHM917546:SHM917547 SRI917546:SRI917547 TBE917546:TBE917547 TLA917546:TLA917547 TUW917546:TUW917547 UES917546:UES917547 UOO917546:UOO917547 UYK917546:UYK917547 VIG917546:VIG917547 VSC917546:VSC917547 WBY917546:WBY917547 WLU917546:WLU917547 WVQ917546:WVQ917547 J983082:J983083 JE983082:JE983083 TA983082:TA983083 ACW983082:ACW983083 AMS983082:AMS983083 AWO983082:AWO983083 BGK983082:BGK983083 BQG983082:BQG983083 CAC983082:CAC983083 CJY983082:CJY983083 CTU983082:CTU983083 DDQ983082:DDQ983083 DNM983082:DNM983083 DXI983082:DXI983083 EHE983082:EHE983083 ERA983082:ERA983083 FAW983082:FAW983083 FKS983082:FKS983083 FUO983082:FUO983083 GEK983082:GEK983083 GOG983082:GOG983083 GYC983082:GYC983083 HHY983082:HHY983083 HRU983082:HRU983083 IBQ983082:IBQ983083 ILM983082:ILM983083 IVI983082:IVI983083 JFE983082:JFE983083 JPA983082:JPA983083 JYW983082:JYW983083 KIS983082:KIS983083 KSO983082:KSO983083 LCK983082:LCK983083 LMG983082:LMG983083 LWC983082:LWC983083 MFY983082:MFY983083 MPU983082:MPU983083 MZQ983082:MZQ983083 NJM983082:NJM983083 NTI983082:NTI983083 ODE983082:ODE983083 ONA983082:ONA983083 OWW983082:OWW983083 PGS983082:PGS983083 PQO983082:PQO983083 QAK983082:QAK983083 QKG983082:QKG983083 QUC983082:QUC983083 RDY983082:RDY983083 RNU983082:RNU983083 RXQ983082:RXQ983083 SHM983082:SHM983083 SRI983082:SRI983083 TBE983082:TBE983083 TLA983082:TLA983083 TUW983082:TUW983083 UES983082:UES983083 UOO983082:UOO983083 UYK983082:UYK983083 VIG983082:VIG983083 VSC983082:VSC983083 WBY983082:WBY983083 WLU983082:WLU983083 WVQ983082:WVQ983083 D983082:I983085 D917546:I917549 D852010:I852013 D786474:I786477 D720938:I720941 D655402:I655405 D589866:I589869 D524330:I524333 D458794:I458797 D393258:I393261 D327722:I327725 D262186:I262189 D196650:I196653 D131114:I131117 D65578:I65581"/>
    <dataValidation allowBlank="1" showInputMessage="1" showErrorMessage="1" promptTitle="Nama Bank" prompt="Diisi nama Bank dan dapat diisi lebih dari 1 (satu) Bank" sqref="IY65577:JE65577 SU65577:TA65577 ACQ65577:ACW65577 AMM65577:AMS65577 AWI65577:AWO65577 BGE65577:BGK65577 BQA65577:BQG65577 BZW65577:CAC65577 CJS65577:CJY65577 CTO65577:CTU65577 DDK65577:DDQ65577 DNG65577:DNM65577 DXC65577:DXI65577 EGY65577:EHE65577 EQU65577:ERA65577 FAQ65577:FAW65577 FKM65577:FKS65577 FUI65577:FUO65577 GEE65577:GEK65577 GOA65577:GOG65577 GXW65577:GYC65577 HHS65577:HHY65577 HRO65577:HRU65577 IBK65577:IBQ65577 ILG65577:ILM65577 IVC65577:IVI65577 JEY65577:JFE65577 JOU65577:JPA65577 JYQ65577:JYW65577 KIM65577:KIS65577 KSI65577:KSO65577 LCE65577:LCK65577 LMA65577:LMG65577 LVW65577:LWC65577 MFS65577:MFY65577 MPO65577:MPU65577 MZK65577:MZQ65577 NJG65577:NJM65577 NTC65577:NTI65577 OCY65577:ODE65577 OMU65577:ONA65577 OWQ65577:OWW65577 PGM65577:PGS65577 PQI65577:PQO65577 QAE65577:QAK65577 QKA65577:QKG65577 QTW65577:QUC65577 RDS65577:RDY65577 RNO65577:RNU65577 RXK65577:RXQ65577 SHG65577:SHM65577 SRC65577:SRI65577 TAY65577:TBE65577 TKU65577:TLA65577 TUQ65577:TUW65577 UEM65577:UES65577 UOI65577:UOO65577 UYE65577:UYK65577 VIA65577:VIG65577 VRW65577:VSC65577 WBS65577:WBY65577 WLO65577:WLU65577 WVK65577:WVQ65577 IY131113:JE131113 SU131113:TA131113 ACQ131113:ACW131113 AMM131113:AMS131113 AWI131113:AWO131113 BGE131113:BGK131113 BQA131113:BQG131113 BZW131113:CAC131113 CJS131113:CJY131113 CTO131113:CTU131113 DDK131113:DDQ131113 DNG131113:DNM131113 DXC131113:DXI131113 EGY131113:EHE131113 EQU131113:ERA131113 FAQ131113:FAW131113 FKM131113:FKS131113 FUI131113:FUO131113 GEE131113:GEK131113 GOA131113:GOG131113 GXW131113:GYC131113 HHS131113:HHY131113 HRO131113:HRU131113 IBK131113:IBQ131113 ILG131113:ILM131113 IVC131113:IVI131113 JEY131113:JFE131113 JOU131113:JPA131113 JYQ131113:JYW131113 KIM131113:KIS131113 KSI131113:KSO131113 LCE131113:LCK131113 LMA131113:LMG131113 LVW131113:LWC131113 MFS131113:MFY131113 MPO131113:MPU131113 MZK131113:MZQ131113 NJG131113:NJM131113 NTC131113:NTI131113 OCY131113:ODE131113 OMU131113:ONA131113 OWQ131113:OWW131113 PGM131113:PGS131113 PQI131113:PQO131113 QAE131113:QAK131113 QKA131113:QKG131113 QTW131113:QUC131113 RDS131113:RDY131113 RNO131113:RNU131113 RXK131113:RXQ131113 SHG131113:SHM131113 SRC131113:SRI131113 TAY131113:TBE131113 TKU131113:TLA131113 TUQ131113:TUW131113 UEM131113:UES131113 UOI131113:UOO131113 UYE131113:UYK131113 VIA131113:VIG131113 VRW131113:VSC131113 WBS131113:WBY131113 WLO131113:WLU131113 WVK131113:WVQ131113 IY196649:JE196649 SU196649:TA196649 ACQ196649:ACW196649 AMM196649:AMS196649 AWI196649:AWO196649 BGE196649:BGK196649 BQA196649:BQG196649 BZW196649:CAC196649 CJS196649:CJY196649 CTO196649:CTU196649 DDK196649:DDQ196649 DNG196649:DNM196649 DXC196649:DXI196649 EGY196649:EHE196649 EQU196649:ERA196649 FAQ196649:FAW196649 FKM196649:FKS196649 FUI196649:FUO196649 GEE196649:GEK196649 GOA196649:GOG196649 GXW196649:GYC196649 HHS196649:HHY196649 HRO196649:HRU196649 IBK196649:IBQ196649 ILG196649:ILM196649 IVC196649:IVI196649 JEY196649:JFE196649 JOU196649:JPA196649 JYQ196649:JYW196649 KIM196649:KIS196649 KSI196649:KSO196649 LCE196649:LCK196649 LMA196649:LMG196649 LVW196649:LWC196649 MFS196649:MFY196649 MPO196649:MPU196649 MZK196649:MZQ196649 NJG196649:NJM196649 NTC196649:NTI196649 OCY196649:ODE196649 OMU196649:ONA196649 OWQ196649:OWW196649 PGM196649:PGS196649 PQI196649:PQO196649 QAE196649:QAK196649 QKA196649:QKG196649 QTW196649:QUC196649 RDS196649:RDY196649 RNO196649:RNU196649 RXK196649:RXQ196649 SHG196649:SHM196649 SRC196649:SRI196649 TAY196649:TBE196649 TKU196649:TLA196649 TUQ196649:TUW196649 UEM196649:UES196649 UOI196649:UOO196649 UYE196649:UYK196649 VIA196649:VIG196649 VRW196649:VSC196649 WBS196649:WBY196649 WLO196649:WLU196649 WVK196649:WVQ196649 IY262185:JE262185 SU262185:TA262185 ACQ262185:ACW262185 AMM262185:AMS262185 AWI262185:AWO262185 BGE262185:BGK262185 BQA262185:BQG262185 BZW262185:CAC262185 CJS262185:CJY262185 CTO262185:CTU262185 DDK262185:DDQ262185 DNG262185:DNM262185 DXC262185:DXI262185 EGY262185:EHE262185 EQU262185:ERA262185 FAQ262185:FAW262185 FKM262185:FKS262185 FUI262185:FUO262185 GEE262185:GEK262185 GOA262185:GOG262185 GXW262185:GYC262185 HHS262185:HHY262185 HRO262185:HRU262185 IBK262185:IBQ262185 ILG262185:ILM262185 IVC262185:IVI262185 JEY262185:JFE262185 JOU262185:JPA262185 JYQ262185:JYW262185 KIM262185:KIS262185 KSI262185:KSO262185 LCE262185:LCK262185 LMA262185:LMG262185 LVW262185:LWC262185 MFS262185:MFY262185 MPO262185:MPU262185 MZK262185:MZQ262185 NJG262185:NJM262185 NTC262185:NTI262185 OCY262185:ODE262185 OMU262185:ONA262185 OWQ262185:OWW262185 PGM262185:PGS262185 PQI262185:PQO262185 QAE262185:QAK262185 QKA262185:QKG262185 QTW262185:QUC262185 RDS262185:RDY262185 RNO262185:RNU262185 RXK262185:RXQ262185 SHG262185:SHM262185 SRC262185:SRI262185 TAY262185:TBE262185 TKU262185:TLA262185 TUQ262185:TUW262185 UEM262185:UES262185 UOI262185:UOO262185 UYE262185:UYK262185 VIA262185:VIG262185 VRW262185:VSC262185 WBS262185:WBY262185 WLO262185:WLU262185 WVK262185:WVQ262185 IY327721:JE327721 SU327721:TA327721 ACQ327721:ACW327721 AMM327721:AMS327721 AWI327721:AWO327721 BGE327721:BGK327721 BQA327721:BQG327721 BZW327721:CAC327721 CJS327721:CJY327721 CTO327721:CTU327721 DDK327721:DDQ327721 DNG327721:DNM327721 DXC327721:DXI327721 EGY327721:EHE327721 EQU327721:ERA327721 FAQ327721:FAW327721 FKM327721:FKS327721 FUI327721:FUO327721 GEE327721:GEK327721 GOA327721:GOG327721 GXW327721:GYC327721 HHS327721:HHY327721 HRO327721:HRU327721 IBK327721:IBQ327721 ILG327721:ILM327721 IVC327721:IVI327721 JEY327721:JFE327721 JOU327721:JPA327721 JYQ327721:JYW327721 KIM327721:KIS327721 KSI327721:KSO327721 LCE327721:LCK327721 LMA327721:LMG327721 LVW327721:LWC327721 MFS327721:MFY327721 MPO327721:MPU327721 MZK327721:MZQ327721 NJG327721:NJM327721 NTC327721:NTI327721 OCY327721:ODE327721 OMU327721:ONA327721 OWQ327721:OWW327721 PGM327721:PGS327721 PQI327721:PQO327721 QAE327721:QAK327721 QKA327721:QKG327721 QTW327721:QUC327721 RDS327721:RDY327721 RNO327721:RNU327721 RXK327721:RXQ327721 SHG327721:SHM327721 SRC327721:SRI327721 TAY327721:TBE327721 TKU327721:TLA327721 TUQ327721:TUW327721 UEM327721:UES327721 UOI327721:UOO327721 UYE327721:UYK327721 VIA327721:VIG327721 VRW327721:VSC327721 WBS327721:WBY327721 WLO327721:WLU327721 WVK327721:WVQ327721 IY393257:JE393257 SU393257:TA393257 ACQ393257:ACW393257 AMM393257:AMS393257 AWI393257:AWO393257 BGE393257:BGK393257 BQA393257:BQG393257 BZW393257:CAC393257 CJS393257:CJY393257 CTO393257:CTU393257 DDK393257:DDQ393257 DNG393257:DNM393257 DXC393257:DXI393257 EGY393257:EHE393257 EQU393257:ERA393257 FAQ393257:FAW393257 FKM393257:FKS393257 FUI393257:FUO393257 GEE393257:GEK393257 GOA393257:GOG393257 GXW393257:GYC393257 HHS393257:HHY393257 HRO393257:HRU393257 IBK393257:IBQ393257 ILG393257:ILM393257 IVC393257:IVI393257 JEY393257:JFE393257 JOU393257:JPA393257 JYQ393257:JYW393257 KIM393257:KIS393257 KSI393257:KSO393257 LCE393257:LCK393257 LMA393257:LMG393257 LVW393257:LWC393257 MFS393257:MFY393257 MPO393257:MPU393257 MZK393257:MZQ393257 NJG393257:NJM393257 NTC393257:NTI393257 OCY393257:ODE393257 OMU393257:ONA393257 OWQ393257:OWW393257 PGM393257:PGS393257 PQI393257:PQO393257 QAE393257:QAK393257 QKA393257:QKG393257 QTW393257:QUC393257 RDS393257:RDY393257 RNO393257:RNU393257 RXK393257:RXQ393257 SHG393257:SHM393257 SRC393257:SRI393257 TAY393257:TBE393257 TKU393257:TLA393257 TUQ393257:TUW393257 UEM393257:UES393257 UOI393257:UOO393257 UYE393257:UYK393257 VIA393257:VIG393257 VRW393257:VSC393257 WBS393257:WBY393257 WLO393257:WLU393257 WVK393257:WVQ393257 IY458793:JE458793 SU458793:TA458793 ACQ458793:ACW458793 AMM458793:AMS458793 AWI458793:AWO458793 BGE458793:BGK458793 BQA458793:BQG458793 BZW458793:CAC458793 CJS458793:CJY458793 CTO458793:CTU458793 DDK458793:DDQ458793 DNG458793:DNM458793 DXC458793:DXI458793 EGY458793:EHE458793 EQU458793:ERA458793 FAQ458793:FAW458793 FKM458793:FKS458793 FUI458793:FUO458793 GEE458793:GEK458793 GOA458793:GOG458793 GXW458793:GYC458793 HHS458793:HHY458793 HRO458793:HRU458793 IBK458793:IBQ458793 ILG458793:ILM458793 IVC458793:IVI458793 JEY458793:JFE458793 JOU458793:JPA458793 JYQ458793:JYW458793 KIM458793:KIS458793 KSI458793:KSO458793 LCE458793:LCK458793 LMA458793:LMG458793 LVW458793:LWC458793 MFS458793:MFY458793 MPO458793:MPU458793 MZK458793:MZQ458793 NJG458793:NJM458793 NTC458793:NTI458793 OCY458793:ODE458793 OMU458793:ONA458793 OWQ458793:OWW458793 PGM458793:PGS458793 PQI458793:PQO458793 QAE458793:QAK458793 QKA458793:QKG458793 QTW458793:QUC458793 RDS458793:RDY458793 RNO458793:RNU458793 RXK458793:RXQ458793 SHG458793:SHM458793 SRC458793:SRI458793 TAY458793:TBE458793 TKU458793:TLA458793 TUQ458793:TUW458793 UEM458793:UES458793 UOI458793:UOO458793 UYE458793:UYK458793 VIA458793:VIG458793 VRW458793:VSC458793 WBS458793:WBY458793 WLO458793:WLU458793 WVK458793:WVQ458793 IY524329:JE524329 SU524329:TA524329 ACQ524329:ACW524329 AMM524329:AMS524329 AWI524329:AWO524329 BGE524329:BGK524329 BQA524329:BQG524329 BZW524329:CAC524329 CJS524329:CJY524329 CTO524329:CTU524329 DDK524329:DDQ524329 DNG524329:DNM524329 DXC524329:DXI524329 EGY524329:EHE524329 EQU524329:ERA524329 FAQ524329:FAW524329 FKM524329:FKS524329 FUI524329:FUO524329 GEE524329:GEK524329 GOA524329:GOG524329 GXW524329:GYC524329 HHS524329:HHY524329 HRO524329:HRU524329 IBK524329:IBQ524329 ILG524329:ILM524329 IVC524329:IVI524329 JEY524329:JFE524329 JOU524329:JPA524329 JYQ524329:JYW524329 KIM524329:KIS524329 KSI524329:KSO524329 LCE524329:LCK524329 LMA524329:LMG524329 LVW524329:LWC524329 MFS524329:MFY524329 MPO524329:MPU524329 MZK524329:MZQ524329 NJG524329:NJM524329 NTC524329:NTI524329 OCY524329:ODE524329 OMU524329:ONA524329 OWQ524329:OWW524329 PGM524329:PGS524329 PQI524329:PQO524329 QAE524329:QAK524329 QKA524329:QKG524329 QTW524329:QUC524329 RDS524329:RDY524329 RNO524329:RNU524329 RXK524329:RXQ524329 SHG524329:SHM524329 SRC524329:SRI524329 TAY524329:TBE524329 TKU524329:TLA524329 TUQ524329:TUW524329 UEM524329:UES524329 UOI524329:UOO524329 UYE524329:UYK524329 VIA524329:VIG524329 VRW524329:VSC524329 WBS524329:WBY524329 WLO524329:WLU524329 WVK524329:WVQ524329 IY589865:JE589865 SU589865:TA589865 ACQ589865:ACW589865 AMM589865:AMS589865 AWI589865:AWO589865 BGE589865:BGK589865 BQA589865:BQG589865 BZW589865:CAC589865 CJS589865:CJY589865 CTO589865:CTU589865 DDK589865:DDQ589865 DNG589865:DNM589865 DXC589865:DXI589865 EGY589865:EHE589865 EQU589865:ERA589865 FAQ589865:FAW589865 FKM589865:FKS589865 FUI589865:FUO589865 GEE589865:GEK589865 GOA589865:GOG589865 GXW589865:GYC589865 HHS589865:HHY589865 HRO589865:HRU589865 IBK589865:IBQ589865 ILG589865:ILM589865 IVC589865:IVI589865 JEY589865:JFE589865 JOU589865:JPA589865 JYQ589865:JYW589865 KIM589865:KIS589865 KSI589865:KSO589865 LCE589865:LCK589865 LMA589865:LMG589865 LVW589865:LWC589865 MFS589865:MFY589865 MPO589865:MPU589865 MZK589865:MZQ589865 NJG589865:NJM589865 NTC589865:NTI589865 OCY589865:ODE589865 OMU589865:ONA589865 OWQ589865:OWW589865 PGM589865:PGS589865 PQI589865:PQO589865 QAE589865:QAK589865 QKA589865:QKG589865 QTW589865:QUC589865 RDS589865:RDY589865 RNO589865:RNU589865 RXK589865:RXQ589865 SHG589865:SHM589865 SRC589865:SRI589865 TAY589865:TBE589865 TKU589865:TLA589865 TUQ589865:TUW589865 UEM589865:UES589865 UOI589865:UOO589865 UYE589865:UYK589865 VIA589865:VIG589865 VRW589865:VSC589865 WBS589865:WBY589865 WLO589865:WLU589865 WVK589865:WVQ589865 IY655401:JE655401 SU655401:TA655401 ACQ655401:ACW655401 AMM655401:AMS655401 AWI655401:AWO655401 BGE655401:BGK655401 BQA655401:BQG655401 BZW655401:CAC655401 CJS655401:CJY655401 CTO655401:CTU655401 DDK655401:DDQ655401 DNG655401:DNM655401 DXC655401:DXI655401 EGY655401:EHE655401 EQU655401:ERA655401 FAQ655401:FAW655401 FKM655401:FKS655401 FUI655401:FUO655401 GEE655401:GEK655401 GOA655401:GOG655401 GXW655401:GYC655401 HHS655401:HHY655401 HRO655401:HRU655401 IBK655401:IBQ655401 ILG655401:ILM655401 IVC655401:IVI655401 JEY655401:JFE655401 JOU655401:JPA655401 JYQ655401:JYW655401 KIM655401:KIS655401 KSI655401:KSO655401 LCE655401:LCK655401 LMA655401:LMG655401 LVW655401:LWC655401 MFS655401:MFY655401 MPO655401:MPU655401 MZK655401:MZQ655401 NJG655401:NJM655401 NTC655401:NTI655401 OCY655401:ODE655401 OMU655401:ONA655401 OWQ655401:OWW655401 PGM655401:PGS655401 PQI655401:PQO655401 QAE655401:QAK655401 QKA655401:QKG655401 QTW655401:QUC655401 RDS655401:RDY655401 RNO655401:RNU655401 RXK655401:RXQ655401 SHG655401:SHM655401 SRC655401:SRI655401 TAY655401:TBE655401 TKU655401:TLA655401 TUQ655401:TUW655401 UEM655401:UES655401 UOI655401:UOO655401 UYE655401:UYK655401 VIA655401:VIG655401 VRW655401:VSC655401 WBS655401:WBY655401 WLO655401:WLU655401 WVK655401:WVQ655401 IY720937:JE720937 SU720937:TA720937 ACQ720937:ACW720937 AMM720937:AMS720937 AWI720937:AWO720937 BGE720937:BGK720937 BQA720937:BQG720937 BZW720937:CAC720937 CJS720937:CJY720937 CTO720937:CTU720937 DDK720937:DDQ720937 DNG720937:DNM720937 DXC720937:DXI720937 EGY720937:EHE720937 EQU720937:ERA720937 FAQ720937:FAW720937 FKM720937:FKS720937 FUI720937:FUO720937 GEE720937:GEK720937 GOA720937:GOG720937 GXW720937:GYC720937 HHS720937:HHY720937 HRO720937:HRU720937 IBK720937:IBQ720937 ILG720937:ILM720937 IVC720937:IVI720937 JEY720937:JFE720937 JOU720937:JPA720937 JYQ720937:JYW720937 KIM720937:KIS720937 KSI720937:KSO720937 LCE720937:LCK720937 LMA720937:LMG720937 LVW720937:LWC720937 MFS720937:MFY720937 MPO720937:MPU720937 MZK720937:MZQ720937 NJG720937:NJM720937 NTC720937:NTI720937 OCY720937:ODE720937 OMU720937:ONA720937 OWQ720937:OWW720937 PGM720937:PGS720937 PQI720937:PQO720937 QAE720937:QAK720937 QKA720937:QKG720937 QTW720937:QUC720937 RDS720937:RDY720937 RNO720937:RNU720937 RXK720937:RXQ720937 SHG720937:SHM720937 SRC720937:SRI720937 TAY720937:TBE720937 TKU720937:TLA720937 TUQ720937:TUW720937 UEM720937:UES720937 UOI720937:UOO720937 UYE720937:UYK720937 VIA720937:VIG720937 VRW720937:VSC720937 WBS720937:WBY720937 WLO720937:WLU720937 WVK720937:WVQ720937 IY786473:JE786473 SU786473:TA786473 ACQ786473:ACW786473 AMM786473:AMS786473 AWI786473:AWO786473 BGE786473:BGK786473 BQA786473:BQG786473 BZW786473:CAC786473 CJS786473:CJY786473 CTO786473:CTU786473 DDK786473:DDQ786473 DNG786473:DNM786473 DXC786473:DXI786473 EGY786473:EHE786473 EQU786473:ERA786473 FAQ786473:FAW786473 FKM786473:FKS786473 FUI786473:FUO786473 GEE786473:GEK786473 GOA786473:GOG786473 GXW786473:GYC786473 HHS786473:HHY786473 HRO786473:HRU786473 IBK786473:IBQ786473 ILG786473:ILM786473 IVC786473:IVI786473 JEY786473:JFE786473 JOU786473:JPA786473 JYQ786473:JYW786473 KIM786473:KIS786473 KSI786473:KSO786473 LCE786473:LCK786473 LMA786473:LMG786473 LVW786473:LWC786473 MFS786473:MFY786473 MPO786473:MPU786473 MZK786473:MZQ786473 NJG786473:NJM786473 NTC786473:NTI786473 OCY786473:ODE786473 OMU786473:ONA786473 OWQ786473:OWW786473 PGM786473:PGS786473 PQI786473:PQO786473 QAE786473:QAK786473 QKA786473:QKG786473 QTW786473:QUC786473 RDS786473:RDY786473 RNO786473:RNU786473 RXK786473:RXQ786473 SHG786473:SHM786473 SRC786473:SRI786473 TAY786473:TBE786473 TKU786473:TLA786473 TUQ786473:TUW786473 UEM786473:UES786473 UOI786473:UOO786473 UYE786473:UYK786473 VIA786473:VIG786473 VRW786473:VSC786473 WBS786473:WBY786473 WLO786473:WLU786473 WVK786473:WVQ786473 IY852009:JE852009 SU852009:TA852009 ACQ852009:ACW852009 AMM852009:AMS852009 AWI852009:AWO852009 BGE852009:BGK852009 BQA852009:BQG852009 BZW852009:CAC852009 CJS852009:CJY852009 CTO852009:CTU852009 DDK852009:DDQ852009 DNG852009:DNM852009 DXC852009:DXI852009 EGY852009:EHE852009 EQU852009:ERA852009 FAQ852009:FAW852009 FKM852009:FKS852009 FUI852009:FUO852009 GEE852009:GEK852009 GOA852009:GOG852009 GXW852009:GYC852009 HHS852009:HHY852009 HRO852009:HRU852009 IBK852009:IBQ852009 ILG852009:ILM852009 IVC852009:IVI852009 JEY852009:JFE852009 JOU852009:JPA852009 JYQ852009:JYW852009 KIM852009:KIS852009 KSI852009:KSO852009 LCE852009:LCK852009 LMA852009:LMG852009 LVW852009:LWC852009 MFS852009:MFY852009 MPO852009:MPU852009 MZK852009:MZQ852009 NJG852009:NJM852009 NTC852009:NTI852009 OCY852009:ODE852009 OMU852009:ONA852009 OWQ852009:OWW852009 PGM852009:PGS852009 PQI852009:PQO852009 QAE852009:QAK852009 QKA852009:QKG852009 QTW852009:QUC852009 RDS852009:RDY852009 RNO852009:RNU852009 RXK852009:RXQ852009 SHG852009:SHM852009 SRC852009:SRI852009 TAY852009:TBE852009 TKU852009:TLA852009 TUQ852009:TUW852009 UEM852009:UES852009 UOI852009:UOO852009 UYE852009:UYK852009 VIA852009:VIG852009 VRW852009:VSC852009 WBS852009:WBY852009 WLO852009:WLU852009 WVK852009:WVQ852009 IY917545:JE917545 SU917545:TA917545 ACQ917545:ACW917545 AMM917545:AMS917545 AWI917545:AWO917545 BGE917545:BGK917545 BQA917545:BQG917545 BZW917545:CAC917545 CJS917545:CJY917545 CTO917545:CTU917545 DDK917545:DDQ917545 DNG917545:DNM917545 DXC917545:DXI917545 EGY917545:EHE917545 EQU917545:ERA917545 FAQ917545:FAW917545 FKM917545:FKS917545 FUI917545:FUO917545 GEE917545:GEK917545 GOA917545:GOG917545 GXW917545:GYC917545 HHS917545:HHY917545 HRO917545:HRU917545 IBK917545:IBQ917545 ILG917545:ILM917545 IVC917545:IVI917545 JEY917545:JFE917545 JOU917545:JPA917545 JYQ917545:JYW917545 KIM917545:KIS917545 KSI917545:KSO917545 LCE917545:LCK917545 LMA917545:LMG917545 LVW917545:LWC917545 MFS917545:MFY917545 MPO917545:MPU917545 MZK917545:MZQ917545 NJG917545:NJM917545 NTC917545:NTI917545 OCY917545:ODE917545 OMU917545:ONA917545 OWQ917545:OWW917545 PGM917545:PGS917545 PQI917545:PQO917545 QAE917545:QAK917545 QKA917545:QKG917545 QTW917545:QUC917545 RDS917545:RDY917545 RNO917545:RNU917545 RXK917545:RXQ917545 SHG917545:SHM917545 SRC917545:SRI917545 TAY917545:TBE917545 TKU917545:TLA917545 TUQ917545:TUW917545 UEM917545:UES917545 UOI917545:UOO917545 UYE917545:UYK917545 VIA917545:VIG917545 VRW917545:VSC917545 WBS917545:WBY917545 WLO917545:WLU917545 WVK917545:WVQ917545 IY983081:JE983081 SU983081:TA983081 ACQ983081:ACW983081 AMM983081:AMS983081 AWI983081:AWO983081 BGE983081:BGK983081 BQA983081:BQG983081 BZW983081:CAC983081 CJS983081:CJY983081 CTO983081:CTU983081 DDK983081:DDQ983081 DNG983081:DNM983081 DXC983081:DXI983081 EGY983081:EHE983081 EQU983081:ERA983081 FAQ983081:FAW983081 FKM983081:FKS983081 FUI983081:FUO983081 GEE983081:GEK983081 GOA983081:GOG983081 GXW983081:GYC983081 HHS983081:HHY983081 HRO983081:HRU983081 IBK983081:IBQ983081 ILG983081:ILM983081 IVC983081:IVI983081 JEY983081:JFE983081 JOU983081:JPA983081 JYQ983081:JYW983081 KIM983081:KIS983081 KSI983081:KSO983081 LCE983081:LCK983081 LMA983081:LMG983081 LVW983081:LWC983081 MFS983081:MFY983081 MPO983081:MPU983081 MZK983081:MZQ983081 NJG983081:NJM983081 NTC983081:NTI983081 OCY983081:ODE983081 OMU983081:ONA983081 OWQ983081:OWW983081 PGM983081:PGS983081 PQI983081:PQO983081 QAE983081:QAK983081 QKA983081:QKG983081 QTW983081:QUC983081 RDS983081:RDY983081 RNO983081:RNU983081 RXK983081:RXQ983081 SHG983081:SHM983081 SRC983081:SRI983081 TAY983081:TBE983081 TKU983081:TLA983081 TUQ983081:TUW983081 UEM983081:UES983081 UOI983081:UOO983081 UYE983081:UYK983081 VIA983081:VIG983081 VRW983081:VSC983081 WBS983081:WBY983081 WLO983081:WLU983081 WVK983081:WVQ983081 D983081:J983081 D917545:J917545 D852009:J852009 D786473:J786473 D720937:J720937 D655401:J655401 D589865:J589865 D524329:J524329 D458793:J458793 D393257:J393257 D327721:J327721 D262185:J262185 D196649:J196649 D131113:J131113 D65577:J65577"/>
    <dataValidation type="list" allowBlank="1" showInputMessage="1" showErrorMessage="1" promptTitle="Nasabah / Debitur Bank" prompt="Dipilih apakah Pemohon merupakan nasabah / debitur Bank, baik Bank Jabar Banten maupun Bank lain. Apabila pilihan &quot;Ya&quot; masukan berapa lama ybs menjadi nasabah / debitur Bank" sqref="WVK983079 D65575 IY65575 SU65575 ACQ65575 AMM65575 AWI65575 BGE65575 BQA65575 BZW65575 CJS65575 CTO65575 DDK65575 DNG65575 DXC65575 EGY65575 EQU65575 FAQ65575 FKM65575 FUI65575 GEE65575 GOA65575 GXW65575 HHS65575 HRO65575 IBK65575 ILG65575 IVC65575 JEY65575 JOU65575 JYQ65575 KIM65575 KSI65575 LCE65575 LMA65575 LVW65575 MFS65575 MPO65575 MZK65575 NJG65575 NTC65575 OCY65575 OMU65575 OWQ65575 PGM65575 PQI65575 QAE65575 QKA65575 QTW65575 RDS65575 RNO65575 RXK65575 SHG65575 SRC65575 TAY65575 TKU65575 TUQ65575 UEM65575 UOI65575 UYE65575 VIA65575 VRW65575 WBS65575 WLO65575 WVK65575 D131111 IY131111 SU131111 ACQ131111 AMM131111 AWI131111 BGE131111 BQA131111 BZW131111 CJS131111 CTO131111 DDK131111 DNG131111 DXC131111 EGY131111 EQU131111 FAQ131111 FKM131111 FUI131111 GEE131111 GOA131111 GXW131111 HHS131111 HRO131111 IBK131111 ILG131111 IVC131111 JEY131111 JOU131111 JYQ131111 KIM131111 KSI131111 LCE131111 LMA131111 LVW131111 MFS131111 MPO131111 MZK131111 NJG131111 NTC131111 OCY131111 OMU131111 OWQ131111 PGM131111 PQI131111 QAE131111 QKA131111 QTW131111 RDS131111 RNO131111 RXK131111 SHG131111 SRC131111 TAY131111 TKU131111 TUQ131111 UEM131111 UOI131111 UYE131111 VIA131111 VRW131111 WBS131111 WLO131111 WVK131111 D196647 IY196647 SU196647 ACQ196647 AMM196647 AWI196647 BGE196647 BQA196647 BZW196647 CJS196647 CTO196647 DDK196647 DNG196647 DXC196647 EGY196647 EQU196647 FAQ196647 FKM196647 FUI196647 GEE196647 GOA196647 GXW196647 HHS196647 HRO196647 IBK196647 ILG196647 IVC196647 JEY196647 JOU196647 JYQ196647 KIM196647 KSI196647 LCE196647 LMA196647 LVW196647 MFS196647 MPO196647 MZK196647 NJG196647 NTC196647 OCY196647 OMU196647 OWQ196647 PGM196647 PQI196647 QAE196647 QKA196647 QTW196647 RDS196647 RNO196647 RXK196647 SHG196647 SRC196647 TAY196647 TKU196647 TUQ196647 UEM196647 UOI196647 UYE196647 VIA196647 VRW196647 WBS196647 WLO196647 WVK196647 D262183 IY262183 SU262183 ACQ262183 AMM262183 AWI262183 BGE262183 BQA262183 BZW262183 CJS262183 CTO262183 DDK262183 DNG262183 DXC262183 EGY262183 EQU262183 FAQ262183 FKM262183 FUI262183 GEE262183 GOA262183 GXW262183 HHS262183 HRO262183 IBK262183 ILG262183 IVC262183 JEY262183 JOU262183 JYQ262183 KIM262183 KSI262183 LCE262183 LMA262183 LVW262183 MFS262183 MPO262183 MZK262183 NJG262183 NTC262183 OCY262183 OMU262183 OWQ262183 PGM262183 PQI262183 QAE262183 QKA262183 QTW262183 RDS262183 RNO262183 RXK262183 SHG262183 SRC262183 TAY262183 TKU262183 TUQ262183 UEM262183 UOI262183 UYE262183 VIA262183 VRW262183 WBS262183 WLO262183 WVK262183 D327719 IY327719 SU327719 ACQ327719 AMM327719 AWI327719 BGE327719 BQA327719 BZW327719 CJS327719 CTO327719 DDK327719 DNG327719 DXC327719 EGY327719 EQU327719 FAQ327719 FKM327719 FUI327719 GEE327719 GOA327719 GXW327719 HHS327719 HRO327719 IBK327719 ILG327719 IVC327719 JEY327719 JOU327719 JYQ327719 KIM327719 KSI327719 LCE327719 LMA327719 LVW327719 MFS327719 MPO327719 MZK327719 NJG327719 NTC327719 OCY327719 OMU327719 OWQ327719 PGM327719 PQI327719 QAE327719 QKA327719 QTW327719 RDS327719 RNO327719 RXK327719 SHG327719 SRC327719 TAY327719 TKU327719 TUQ327719 UEM327719 UOI327719 UYE327719 VIA327719 VRW327719 WBS327719 WLO327719 WVK327719 D393255 IY393255 SU393255 ACQ393255 AMM393255 AWI393255 BGE393255 BQA393255 BZW393255 CJS393255 CTO393255 DDK393255 DNG393255 DXC393255 EGY393255 EQU393255 FAQ393255 FKM393255 FUI393255 GEE393255 GOA393255 GXW393255 HHS393255 HRO393255 IBK393255 ILG393255 IVC393255 JEY393255 JOU393255 JYQ393255 KIM393255 KSI393255 LCE393255 LMA393255 LVW393255 MFS393255 MPO393255 MZK393255 NJG393255 NTC393255 OCY393255 OMU393255 OWQ393255 PGM393255 PQI393255 QAE393255 QKA393255 QTW393255 RDS393255 RNO393255 RXK393255 SHG393255 SRC393255 TAY393255 TKU393255 TUQ393255 UEM393255 UOI393255 UYE393255 VIA393255 VRW393255 WBS393255 WLO393255 WVK393255 D458791 IY458791 SU458791 ACQ458791 AMM458791 AWI458791 BGE458791 BQA458791 BZW458791 CJS458791 CTO458791 DDK458791 DNG458791 DXC458791 EGY458791 EQU458791 FAQ458791 FKM458791 FUI458791 GEE458791 GOA458791 GXW458791 HHS458791 HRO458791 IBK458791 ILG458791 IVC458791 JEY458791 JOU458791 JYQ458791 KIM458791 KSI458791 LCE458791 LMA458791 LVW458791 MFS458791 MPO458791 MZK458791 NJG458791 NTC458791 OCY458791 OMU458791 OWQ458791 PGM458791 PQI458791 QAE458791 QKA458791 QTW458791 RDS458791 RNO458791 RXK458791 SHG458791 SRC458791 TAY458791 TKU458791 TUQ458791 UEM458791 UOI458791 UYE458791 VIA458791 VRW458791 WBS458791 WLO458791 WVK458791 D524327 IY524327 SU524327 ACQ524327 AMM524327 AWI524327 BGE524327 BQA524327 BZW524327 CJS524327 CTO524327 DDK524327 DNG524327 DXC524327 EGY524327 EQU524327 FAQ524327 FKM524327 FUI524327 GEE524327 GOA524327 GXW524327 HHS524327 HRO524327 IBK524327 ILG524327 IVC524327 JEY524327 JOU524327 JYQ524327 KIM524327 KSI524327 LCE524327 LMA524327 LVW524327 MFS524327 MPO524327 MZK524327 NJG524327 NTC524327 OCY524327 OMU524327 OWQ524327 PGM524327 PQI524327 QAE524327 QKA524327 QTW524327 RDS524327 RNO524327 RXK524327 SHG524327 SRC524327 TAY524327 TKU524327 TUQ524327 UEM524327 UOI524327 UYE524327 VIA524327 VRW524327 WBS524327 WLO524327 WVK524327 D589863 IY589863 SU589863 ACQ589863 AMM589863 AWI589863 BGE589863 BQA589863 BZW589863 CJS589863 CTO589863 DDK589863 DNG589863 DXC589863 EGY589863 EQU589863 FAQ589863 FKM589863 FUI589863 GEE589863 GOA589863 GXW589863 HHS589863 HRO589863 IBK589863 ILG589863 IVC589863 JEY589863 JOU589863 JYQ589863 KIM589863 KSI589863 LCE589863 LMA589863 LVW589863 MFS589863 MPO589863 MZK589863 NJG589863 NTC589863 OCY589863 OMU589863 OWQ589863 PGM589863 PQI589863 QAE589863 QKA589863 QTW589863 RDS589863 RNO589863 RXK589863 SHG589863 SRC589863 TAY589863 TKU589863 TUQ589863 UEM589863 UOI589863 UYE589863 VIA589863 VRW589863 WBS589863 WLO589863 WVK589863 D655399 IY655399 SU655399 ACQ655399 AMM655399 AWI655399 BGE655399 BQA655399 BZW655399 CJS655399 CTO655399 DDK655399 DNG655399 DXC655399 EGY655399 EQU655399 FAQ655399 FKM655399 FUI655399 GEE655399 GOA655399 GXW655399 HHS655399 HRO655399 IBK655399 ILG655399 IVC655399 JEY655399 JOU655399 JYQ655399 KIM655399 KSI655399 LCE655399 LMA655399 LVW655399 MFS655399 MPO655399 MZK655399 NJG655399 NTC655399 OCY655399 OMU655399 OWQ655399 PGM655399 PQI655399 QAE655399 QKA655399 QTW655399 RDS655399 RNO655399 RXK655399 SHG655399 SRC655399 TAY655399 TKU655399 TUQ655399 UEM655399 UOI655399 UYE655399 VIA655399 VRW655399 WBS655399 WLO655399 WVK655399 D720935 IY720935 SU720935 ACQ720935 AMM720935 AWI720935 BGE720935 BQA720935 BZW720935 CJS720935 CTO720935 DDK720935 DNG720935 DXC720935 EGY720935 EQU720935 FAQ720935 FKM720935 FUI720935 GEE720935 GOA720935 GXW720935 HHS720935 HRO720935 IBK720935 ILG720935 IVC720935 JEY720935 JOU720935 JYQ720935 KIM720935 KSI720935 LCE720935 LMA720935 LVW720935 MFS720935 MPO720935 MZK720935 NJG720935 NTC720935 OCY720935 OMU720935 OWQ720935 PGM720935 PQI720935 QAE720935 QKA720935 QTW720935 RDS720935 RNO720935 RXK720935 SHG720935 SRC720935 TAY720935 TKU720935 TUQ720935 UEM720935 UOI720935 UYE720935 VIA720935 VRW720935 WBS720935 WLO720935 WVK720935 D786471 IY786471 SU786471 ACQ786471 AMM786471 AWI786471 BGE786471 BQA786471 BZW786471 CJS786471 CTO786471 DDK786471 DNG786471 DXC786471 EGY786471 EQU786471 FAQ786471 FKM786471 FUI786471 GEE786471 GOA786471 GXW786471 HHS786471 HRO786471 IBK786471 ILG786471 IVC786471 JEY786471 JOU786471 JYQ786471 KIM786471 KSI786471 LCE786471 LMA786471 LVW786471 MFS786471 MPO786471 MZK786471 NJG786471 NTC786471 OCY786471 OMU786471 OWQ786471 PGM786471 PQI786471 QAE786471 QKA786471 QTW786471 RDS786471 RNO786471 RXK786471 SHG786471 SRC786471 TAY786471 TKU786471 TUQ786471 UEM786471 UOI786471 UYE786471 VIA786471 VRW786471 WBS786471 WLO786471 WVK786471 D852007 IY852007 SU852007 ACQ852007 AMM852007 AWI852007 BGE852007 BQA852007 BZW852007 CJS852007 CTO852007 DDK852007 DNG852007 DXC852007 EGY852007 EQU852007 FAQ852007 FKM852007 FUI852007 GEE852007 GOA852007 GXW852007 HHS852007 HRO852007 IBK852007 ILG852007 IVC852007 JEY852007 JOU852007 JYQ852007 KIM852007 KSI852007 LCE852007 LMA852007 LVW852007 MFS852007 MPO852007 MZK852007 NJG852007 NTC852007 OCY852007 OMU852007 OWQ852007 PGM852007 PQI852007 QAE852007 QKA852007 QTW852007 RDS852007 RNO852007 RXK852007 SHG852007 SRC852007 TAY852007 TKU852007 TUQ852007 UEM852007 UOI852007 UYE852007 VIA852007 VRW852007 WBS852007 WLO852007 WVK852007 D917543 IY917543 SU917543 ACQ917543 AMM917543 AWI917543 BGE917543 BQA917543 BZW917543 CJS917543 CTO917543 DDK917543 DNG917543 DXC917543 EGY917543 EQU917543 FAQ917543 FKM917543 FUI917543 GEE917543 GOA917543 GXW917543 HHS917543 HRO917543 IBK917543 ILG917543 IVC917543 JEY917543 JOU917543 JYQ917543 KIM917543 KSI917543 LCE917543 LMA917543 LVW917543 MFS917543 MPO917543 MZK917543 NJG917543 NTC917543 OCY917543 OMU917543 OWQ917543 PGM917543 PQI917543 QAE917543 QKA917543 QTW917543 RDS917543 RNO917543 RXK917543 SHG917543 SRC917543 TAY917543 TKU917543 TUQ917543 UEM917543 UOI917543 UYE917543 VIA917543 VRW917543 WBS917543 WLO917543 WVK917543 D983079 IY983079 SU983079 ACQ983079 AMM983079 AWI983079 BGE983079 BQA983079 BZW983079 CJS983079 CTO983079 DDK983079 DNG983079 DXC983079 EGY983079 EQU983079 FAQ983079 FKM983079 FUI983079 GEE983079 GOA983079 GXW983079 HHS983079 HRO983079 IBK983079 ILG983079 IVC983079 JEY983079 JOU983079 JYQ983079 KIM983079 KSI983079 LCE983079 LMA983079 LVW983079 MFS983079 MPO983079 MZK983079 NJG983079 NTC983079 OCY983079 OMU983079 OWQ983079 PGM983079 PQI983079 QAE983079 QKA983079 QTW983079 RDS983079 RNO983079 RXK983079 SHG983079 SRC983079 TAY983079 TKU983079 TUQ983079 UEM983079 UOI983079 UYE983079 VIA983079 VRW983079 WBS983079 WLO983079">
      <formula1>#REF!</formula1>
    </dataValidation>
    <dataValidation type="list" allowBlank="1" showInputMessage="1" showErrorMessage="1" promptTitle="Pengelolaan Keuangan" prompt="Dipilih pengelolaan Keuangan yang dilakukan oleh Pemohon berdasarkan hasil verifikasi di lapangan." sqref="WVK983074:WVQ983075 IY65570:JE65571 SU65570:TA65571 ACQ65570:ACW65571 AMM65570:AMS65571 AWI65570:AWO65571 BGE65570:BGK65571 BQA65570:BQG65571 BZW65570:CAC65571 CJS65570:CJY65571 CTO65570:CTU65571 DDK65570:DDQ65571 DNG65570:DNM65571 DXC65570:DXI65571 EGY65570:EHE65571 EQU65570:ERA65571 FAQ65570:FAW65571 FKM65570:FKS65571 FUI65570:FUO65571 GEE65570:GEK65571 GOA65570:GOG65571 GXW65570:GYC65571 HHS65570:HHY65571 HRO65570:HRU65571 IBK65570:IBQ65571 ILG65570:ILM65571 IVC65570:IVI65571 JEY65570:JFE65571 JOU65570:JPA65571 JYQ65570:JYW65571 KIM65570:KIS65571 KSI65570:KSO65571 LCE65570:LCK65571 LMA65570:LMG65571 LVW65570:LWC65571 MFS65570:MFY65571 MPO65570:MPU65571 MZK65570:MZQ65571 NJG65570:NJM65571 NTC65570:NTI65571 OCY65570:ODE65571 OMU65570:ONA65571 OWQ65570:OWW65571 PGM65570:PGS65571 PQI65570:PQO65571 QAE65570:QAK65571 QKA65570:QKG65571 QTW65570:QUC65571 RDS65570:RDY65571 RNO65570:RNU65571 RXK65570:RXQ65571 SHG65570:SHM65571 SRC65570:SRI65571 TAY65570:TBE65571 TKU65570:TLA65571 TUQ65570:TUW65571 UEM65570:UES65571 UOI65570:UOO65571 UYE65570:UYK65571 VIA65570:VIG65571 VRW65570:VSC65571 WBS65570:WBY65571 WLO65570:WLU65571 WVK65570:WVQ65571 IY131106:JE131107 SU131106:TA131107 ACQ131106:ACW131107 AMM131106:AMS131107 AWI131106:AWO131107 BGE131106:BGK131107 BQA131106:BQG131107 BZW131106:CAC131107 CJS131106:CJY131107 CTO131106:CTU131107 DDK131106:DDQ131107 DNG131106:DNM131107 DXC131106:DXI131107 EGY131106:EHE131107 EQU131106:ERA131107 FAQ131106:FAW131107 FKM131106:FKS131107 FUI131106:FUO131107 GEE131106:GEK131107 GOA131106:GOG131107 GXW131106:GYC131107 HHS131106:HHY131107 HRO131106:HRU131107 IBK131106:IBQ131107 ILG131106:ILM131107 IVC131106:IVI131107 JEY131106:JFE131107 JOU131106:JPA131107 JYQ131106:JYW131107 KIM131106:KIS131107 KSI131106:KSO131107 LCE131106:LCK131107 LMA131106:LMG131107 LVW131106:LWC131107 MFS131106:MFY131107 MPO131106:MPU131107 MZK131106:MZQ131107 NJG131106:NJM131107 NTC131106:NTI131107 OCY131106:ODE131107 OMU131106:ONA131107 OWQ131106:OWW131107 PGM131106:PGS131107 PQI131106:PQO131107 QAE131106:QAK131107 QKA131106:QKG131107 QTW131106:QUC131107 RDS131106:RDY131107 RNO131106:RNU131107 RXK131106:RXQ131107 SHG131106:SHM131107 SRC131106:SRI131107 TAY131106:TBE131107 TKU131106:TLA131107 TUQ131106:TUW131107 UEM131106:UES131107 UOI131106:UOO131107 UYE131106:UYK131107 VIA131106:VIG131107 VRW131106:VSC131107 WBS131106:WBY131107 WLO131106:WLU131107 WVK131106:WVQ131107 IY196642:JE196643 SU196642:TA196643 ACQ196642:ACW196643 AMM196642:AMS196643 AWI196642:AWO196643 BGE196642:BGK196643 BQA196642:BQG196643 BZW196642:CAC196643 CJS196642:CJY196643 CTO196642:CTU196643 DDK196642:DDQ196643 DNG196642:DNM196643 DXC196642:DXI196643 EGY196642:EHE196643 EQU196642:ERA196643 FAQ196642:FAW196643 FKM196642:FKS196643 FUI196642:FUO196643 GEE196642:GEK196643 GOA196642:GOG196643 GXW196642:GYC196643 HHS196642:HHY196643 HRO196642:HRU196643 IBK196642:IBQ196643 ILG196642:ILM196643 IVC196642:IVI196643 JEY196642:JFE196643 JOU196642:JPA196643 JYQ196642:JYW196643 KIM196642:KIS196643 KSI196642:KSO196643 LCE196642:LCK196643 LMA196642:LMG196643 LVW196642:LWC196643 MFS196642:MFY196643 MPO196642:MPU196643 MZK196642:MZQ196643 NJG196642:NJM196643 NTC196642:NTI196643 OCY196642:ODE196643 OMU196642:ONA196643 OWQ196642:OWW196643 PGM196642:PGS196643 PQI196642:PQO196643 QAE196642:QAK196643 QKA196642:QKG196643 QTW196642:QUC196643 RDS196642:RDY196643 RNO196642:RNU196643 RXK196642:RXQ196643 SHG196642:SHM196643 SRC196642:SRI196643 TAY196642:TBE196643 TKU196642:TLA196643 TUQ196642:TUW196643 UEM196642:UES196643 UOI196642:UOO196643 UYE196642:UYK196643 VIA196642:VIG196643 VRW196642:VSC196643 WBS196642:WBY196643 WLO196642:WLU196643 WVK196642:WVQ196643 IY262178:JE262179 SU262178:TA262179 ACQ262178:ACW262179 AMM262178:AMS262179 AWI262178:AWO262179 BGE262178:BGK262179 BQA262178:BQG262179 BZW262178:CAC262179 CJS262178:CJY262179 CTO262178:CTU262179 DDK262178:DDQ262179 DNG262178:DNM262179 DXC262178:DXI262179 EGY262178:EHE262179 EQU262178:ERA262179 FAQ262178:FAW262179 FKM262178:FKS262179 FUI262178:FUO262179 GEE262178:GEK262179 GOA262178:GOG262179 GXW262178:GYC262179 HHS262178:HHY262179 HRO262178:HRU262179 IBK262178:IBQ262179 ILG262178:ILM262179 IVC262178:IVI262179 JEY262178:JFE262179 JOU262178:JPA262179 JYQ262178:JYW262179 KIM262178:KIS262179 KSI262178:KSO262179 LCE262178:LCK262179 LMA262178:LMG262179 LVW262178:LWC262179 MFS262178:MFY262179 MPO262178:MPU262179 MZK262178:MZQ262179 NJG262178:NJM262179 NTC262178:NTI262179 OCY262178:ODE262179 OMU262178:ONA262179 OWQ262178:OWW262179 PGM262178:PGS262179 PQI262178:PQO262179 QAE262178:QAK262179 QKA262178:QKG262179 QTW262178:QUC262179 RDS262178:RDY262179 RNO262178:RNU262179 RXK262178:RXQ262179 SHG262178:SHM262179 SRC262178:SRI262179 TAY262178:TBE262179 TKU262178:TLA262179 TUQ262178:TUW262179 UEM262178:UES262179 UOI262178:UOO262179 UYE262178:UYK262179 VIA262178:VIG262179 VRW262178:VSC262179 WBS262178:WBY262179 WLO262178:WLU262179 WVK262178:WVQ262179 IY327714:JE327715 SU327714:TA327715 ACQ327714:ACW327715 AMM327714:AMS327715 AWI327714:AWO327715 BGE327714:BGK327715 BQA327714:BQG327715 BZW327714:CAC327715 CJS327714:CJY327715 CTO327714:CTU327715 DDK327714:DDQ327715 DNG327714:DNM327715 DXC327714:DXI327715 EGY327714:EHE327715 EQU327714:ERA327715 FAQ327714:FAW327715 FKM327714:FKS327715 FUI327714:FUO327715 GEE327714:GEK327715 GOA327714:GOG327715 GXW327714:GYC327715 HHS327714:HHY327715 HRO327714:HRU327715 IBK327714:IBQ327715 ILG327714:ILM327715 IVC327714:IVI327715 JEY327714:JFE327715 JOU327714:JPA327715 JYQ327714:JYW327715 KIM327714:KIS327715 KSI327714:KSO327715 LCE327714:LCK327715 LMA327714:LMG327715 LVW327714:LWC327715 MFS327714:MFY327715 MPO327714:MPU327715 MZK327714:MZQ327715 NJG327714:NJM327715 NTC327714:NTI327715 OCY327714:ODE327715 OMU327714:ONA327715 OWQ327714:OWW327715 PGM327714:PGS327715 PQI327714:PQO327715 QAE327714:QAK327715 QKA327714:QKG327715 QTW327714:QUC327715 RDS327714:RDY327715 RNO327714:RNU327715 RXK327714:RXQ327715 SHG327714:SHM327715 SRC327714:SRI327715 TAY327714:TBE327715 TKU327714:TLA327715 TUQ327714:TUW327715 UEM327714:UES327715 UOI327714:UOO327715 UYE327714:UYK327715 VIA327714:VIG327715 VRW327714:VSC327715 WBS327714:WBY327715 WLO327714:WLU327715 WVK327714:WVQ327715 IY393250:JE393251 SU393250:TA393251 ACQ393250:ACW393251 AMM393250:AMS393251 AWI393250:AWO393251 BGE393250:BGK393251 BQA393250:BQG393251 BZW393250:CAC393251 CJS393250:CJY393251 CTO393250:CTU393251 DDK393250:DDQ393251 DNG393250:DNM393251 DXC393250:DXI393251 EGY393250:EHE393251 EQU393250:ERA393251 FAQ393250:FAW393251 FKM393250:FKS393251 FUI393250:FUO393251 GEE393250:GEK393251 GOA393250:GOG393251 GXW393250:GYC393251 HHS393250:HHY393251 HRO393250:HRU393251 IBK393250:IBQ393251 ILG393250:ILM393251 IVC393250:IVI393251 JEY393250:JFE393251 JOU393250:JPA393251 JYQ393250:JYW393251 KIM393250:KIS393251 KSI393250:KSO393251 LCE393250:LCK393251 LMA393250:LMG393251 LVW393250:LWC393251 MFS393250:MFY393251 MPO393250:MPU393251 MZK393250:MZQ393251 NJG393250:NJM393251 NTC393250:NTI393251 OCY393250:ODE393251 OMU393250:ONA393251 OWQ393250:OWW393251 PGM393250:PGS393251 PQI393250:PQO393251 QAE393250:QAK393251 QKA393250:QKG393251 QTW393250:QUC393251 RDS393250:RDY393251 RNO393250:RNU393251 RXK393250:RXQ393251 SHG393250:SHM393251 SRC393250:SRI393251 TAY393250:TBE393251 TKU393250:TLA393251 TUQ393250:TUW393251 UEM393250:UES393251 UOI393250:UOO393251 UYE393250:UYK393251 VIA393250:VIG393251 VRW393250:VSC393251 WBS393250:WBY393251 WLO393250:WLU393251 WVK393250:WVQ393251 IY458786:JE458787 SU458786:TA458787 ACQ458786:ACW458787 AMM458786:AMS458787 AWI458786:AWO458787 BGE458786:BGK458787 BQA458786:BQG458787 BZW458786:CAC458787 CJS458786:CJY458787 CTO458786:CTU458787 DDK458786:DDQ458787 DNG458786:DNM458787 DXC458786:DXI458787 EGY458786:EHE458787 EQU458786:ERA458787 FAQ458786:FAW458787 FKM458786:FKS458787 FUI458786:FUO458787 GEE458786:GEK458787 GOA458786:GOG458787 GXW458786:GYC458787 HHS458786:HHY458787 HRO458786:HRU458787 IBK458786:IBQ458787 ILG458786:ILM458787 IVC458786:IVI458787 JEY458786:JFE458787 JOU458786:JPA458787 JYQ458786:JYW458787 KIM458786:KIS458787 KSI458786:KSO458787 LCE458786:LCK458787 LMA458786:LMG458787 LVW458786:LWC458787 MFS458786:MFY458787 MPO458786:MPU458787 MZK458786:MZQ458787 NJG458786:NJM458787 NTC458786:NTI458787 OCY458786:ODE458787 OMU458786:ONA458787 OWQ458786:OWW458787 PGM458786:PGS458787 PQI458786:PQO458787 QAE458786:QAK458787 QKA458786:QKG458787 QTW458786:QUC458787 RDS458786:RDY458787 RNO458786:RNU458787 RXK458786:RXQ458787 SHG458786:SHM458787 SRC458786:SRI458787 TAY458786:TBE458787 TKU458786:TLA458787 TUQ458786:TUW458787 UEM458786:UES458787 UOI458786:UOO458787 UYE458786:UYK458787 VIA458786:VIG458787 VRW458786:VSC458787 WBS458786:WBY458787 WLO458786:WLU458787 WVK458786:WVQ458787 IY524322:JE524323 SU524322:TA524323 ACQ524322:ACW524323 AMM524322:AMS524323 AWI524322:AWO524323 BGE524322:BGK524323 BQA524322:BQG524323 BZW524322:CAC524323 CJS524322:CJY524323 CTO524322:CTU524323 DDK524322:DDQ524323 DNG524322:DNM524323 DXC524322:DXI524323 EGY524322:EHE524323 EQU524322:ERA524323 FAQ524322:FAW524323 FKM524322:FKS524323 FUI524322:FUO524323 GEE524322:GEK524323 GOA524322:GOG524323 GXW524322:GYC524323 HHS524322:HHY524323 HRO524322:HRU524323 IBK524322:IBQ524323 ILG524322:ILM524323 IVC524322:IVI524323 JEY524322:JFE524323 JOU524322:JPA524323 JYQ524322:JYW524323 KIM524322:KIS524323 KSI524322:KSO524323 LCE524322:LCK524323 LMA524322:LMG524323 LVW524322:LWC524323 MFS524322:MFY524323 MPO524322:MPU524323 MZK524322:MZQ524323 NJG524322:NJM524323 NTC524322:NTI524323 OCY524322:ODE524323 OMU524322:ONA524323 OWQ524322:OWW524323 PGM524322:PGS524323 PQI524322:PQO524323 QAE524322:QAK524323 QKA524322:QKG524323 QTW524322:QUC524323 RDS524322:RDY524323 RNO524322:RNU524323 RXK524322:RXQ524323 SHG524322:SHM524323 SRC524322:SRI524323 TAY524322:TBE524323 TKU524322:TLA524323 TUQ524322:TUW524323 UEM524322:UES524323 UOI524322:UOO524323 UYE524322:UYK524323 VIA524322:VIG524323 VRW524322:VSC524323 WBS524322:WBY524323 WLO524322:WLU524323 WVK524322:WVQ524323 IY589858:JE589859 SU589858:TA589859 ACQ589858:ACW589859 AMM589858:AMS589859 AWI589858:AWO589859 BGE589858:BGK589859 BQA589858:BQG589859 BZW589858:CAC589859 CJS589858:CJY589859 CTO589858:CTU589859 DDK589858:DDQ589859 DNG589858:DNM589859 DXC589858:DXI589859 EGY589858:EHE589859 EQU589858:ERA589859 FAQ589858:FAW589859 FKM589858:FKS589859 FUI589858:FUO589859 GEE589858:GEK589859 GOA589858:GOG589859 GXW589858:GYC589859 HHS589858:HHY589859 HRO589858:HRU589859 IBK589858:IBQ589859 ILG589858:ILM589859 IVC589858:IVI589859 JEY589858:JFE589859 JOU589858:JPA589859 JYQ589858:JYW589859 KIM589858:KIS589859 KSI589858:KSO589859 LCE589858:LCK589859 LMA589858:LMG589859 LVW589858:LWC589859 MFS589858:MFY589859 MPO589858:MPU589859 MZK589858:MZQ589859 NJG589858:NJM589859 NTC589858:NTI589859 OCY589858:ODE589859 OMU589858:ONA589859 OWQ589858:OWW589859 PGM589858:PGS589859 PQI589858:PQO589859 QAE589858:QAK589859 QKA589858:QKG589859 QTW589858:QUC589859 RDS589858:RDY589859 RNO589858:RNU589859 RXK589858:RXQ589859 SHG589858:SHM589859 SRC589858:SRI589859 TAY589858:TBE589859 TKU589858:TLA589859 TUQ589858:TUW589859 UEM589858:UES589859 UOI589858:UOO589859 UYE589858:UYK589859 VIA589858:VIG589859 VRW589858:VSC589859 WBS589858:WBY589859 WLO589858:WLU589859 WVK589858:WVQ589859 IY655394:JE655395 SU655394:TA655395 ACQ655394:ACW655395 AMM655394:AMS655395 AWI655394:AWO655395 BGE655394:BGK655395 BQA655394:BQG655395 BZW655394:CAC655395 CJS655394:CJY655395 CTO655394:CTU655395 DDK655394:DDQ655395 DNG655394:DNM655395 DXC655394:DXI655395 EGY655394:EHE655395 EQU655394:ERA655395 FAQ655394:FAW655395 FKM655394:FKS655395 FUI655394:FUO655395 GEE655394:GEK655395 GOA655394:GOG655395 GXW655394:GYC655395 HHS655394:HHY655395 HRO655394:HRU655395 IBK655394:IBQ655395 ILG655394:ILM655395 IVC655394:IVI655395 JEY655394:JFE655395 JOU655394:JPA655395 JYQ655394:JYW655395 KIM655394:KIS655395 KSI655394:KSO655395 LCE655394:LCK655395 LMA655394:LMG655395 LVW655394:LWC655395 MFS655394:MFY655395 MPO655394:MPU655395 MZK655394:MZQ655395 NJG655394:NJM655395 NTC655394:NTI655395 OCY655394:ODE655395 OMU655394:ONA655395 OWQ655394:OWW655395 PGM655394:PGS655395 PQI655394:PQO655395 QAE655394:QAK655395 QKA655394:QKG655395 QTW655394:QUC655395 RDS655394:RDY655395 RNO655394:RNU655395 RXK655394:RXQ655395 SHG655394:SHM655395 SRC655394:SRI655395 TAY655394:TBE655395 TKU655394:TLA655395 TUQ655394:TUW655395 UEM655394:UES655395 UOI655394:UOO655395 UYE655394:UYK655395 VIA655394:VIG655395 VRW655394:VSC655395 WBS655394:WBY655395 WLO655394:WLU655395 WVK655394:WVQ655395 IY720930:JE720931 SU720930:TA720931 ACQ720930:ACW720931 AMM720930:AMS720931 AWI720930:AWO720931 BGE720930:BGK720931 BQA720930:BQG720931 BZW720930:CAC720931 CJS720930:CJY720931 CTO720930:CTU720931 DDK720930:DDQ720931 DNG720930:DNM720931 DXC720930:DXI720931 EGY720930:EHE720931 EQU720930:ERA720931 FAQ720930:FAW720931 FKM720930:FKS720931 FUI720930:FUO720931 GEE720930:GEK720931 GOA720930:GOG720931 GXW720930:GYC720931 HHS720930:HHY720931 HRO720930:HRU720931 IBK720930:IBQ720931 ILG720930:ILM720931 IVC720930:IVI720931 JEY720930:JFE720931 JOU720930:JPA720931 JYQ720930:JYW720931 KIM720930:KIS720931 KSI720930:KSO720931 LCE720930:LCK720931 LMA720930:LMG720931 LVW720930:LWC720931 MFS720930:MFY720931 MPO720930:MPU720931 MZK720930:MZQ720931 NJG720930:NJM720931 NTC720930:NTI720931 OCY720930:ODE720931 OMU720930:ONA720931 OWQ720930:OWW720931 PGM720930:PGS720931 PQI720930:PQO720931 QAE720930:QAK720931 QKA720930:QKG720931 QTW720930:QUC720931 RDS720930:RDY720931 RNO720930:RNU720931 RXK720930:RXQ720931 SHG720930:SHM720931 SRC720930:SRI720931 TAY720930:TBE720931 TKU720930:TLA720931 TUQ720930:TUW720931 UEM720930:UES720931 UOI720930:UOO720931 UYE720930:UYK720931 VIA720930:VIG720931 VRW720930:VSC720931 WBS720930:WBY720931 WLO720930:WLU720931 WVK720930:WVQ720931 IY786466:JE786467 SU786466:TA786467 ACQ786466:ACW786467 AMM786466:AMS786467 AWI786466:AWO786467 BGE786466:BGK786467 BQA786466:BQG786467 BZW786466:CAC786467 CJS786466:CJY786467 CTO786466:CTU786467 DDK786466:DDQ786467 DNG786466:DNM786467 DXC786466:DXI786467 EGY786466:EHE786467 EQU786466:ERA786467 FAQ786466:FAW786467 FKM786466:FKS786467 FUI786466:FUO786467 GEE786466:GEK786467 GOA786466:GOG786467 GXW786466:GYC786467 HHS786466:HHY786467 HRO786466:HRU786467 IBK786466:IBQ786467 ILG786466:ILM786467 IVC786466:IVI786467 JEY786466:JFE786467 JOU786466:JPA786467 JYQ786466:JYW786467 KIM786466:KIS786467 KSI786466:KSO786467 LCE786466:LCK786467 LMA786466:LMG786467 LVW786466:LWC786467 MFS786466:MFY786467 MPO786466:MPU786467 MZK786466:MZQ786467 NJG786466:NJM786467 NTC786466:NTI786467 OCY786466:ODE786467 OMU786466:ONA786467 OWQ786466:OWW786467 PGM786466:PGS786467 PQI786466:PQO786467 QAE786466:QAK786467 QKA786466:QKG786467 QTW786466:QUC786467 RDS786466:RDY786467 RNO786466:RNU786467 RXK786466:RXQ786467 SHG786466:SHM786467 SRC786466:SRI786467 TAY786466:TBE786467 TKU786466:TLA786467 TUQ786466:TUW786467 UEM786466:UES786467 UOI786466:UOO786467 UYE786466:UYK786467 VIA786466:VIG786467 VRW786466:VSC786467 WBS786466:WBY786467 WLO786466:WLU786467 WVK786466:WVQ786467 IY852002:JE852003 SU852002:TA852003 ACQ852002:ACW852003 AMM852002:AMS852003 AWI852002:AWO852003 BGE852002:BGK852003 BQA852002:BQG852003 BZW852002:CAC852003 CJS852002:CJY852003 CTO852002:CTU852003 DDK852002:DDQ852003 DNG852002:DNM852003 DXC852002:DXI852003 EGY852002:EHE852003 EQU852002:ERA852003 FAQ852002:FAW852003 FKM852002:FKS852003 FUI852002:FUO852003 GEE852002:GEK852003 GOA852002:GOG852003 GXW852002:GYC852003 HHS852002:HHY852003 HRO852002:HRU852003 IBK852002:IBQ852003 ILG852002:ILM852003 IVC852002:IVI852003 JEY852002:JFE852003 JOU852002:JPA852003 JYQ852002:JYW852003 KIM852002:KIS852003 KSI852002:KSO852003 LCE852002:LCK852003 LMA852002:LMG852003 LVW852002:LWC852003 MFS852002:MFY852003 MPO852002:MPU852003 MZK852002:MZQ852003 NJG852002:NJM852003 NTC852002:NTI852003 OCY852002:ODE852003 OMU852002:ONA852003 OWQ852002:OWW852003 PGM852002:PGS852003 PQI852002:PQO852003 QAE852002:QAK852003 QKA852002:QKG852003 QTW852002:QUC852003 RDS852002:RDY852003 RNO852002:RNU852003 RXK852002:RXQ852003 SHG852002:SHM852003 SRC852002:SRI852003 TAY852002:TBE852003 TKU852002:TLA852003 TUQ852002:TUW852003 UEM852002:UES852003 UOI852002:UOO852003 UYE852002:UYK852003 VIA852002:VIG852003 VRW852002:VSC852003 WBS852002:WBY852003 WLO852002:WLU852003 WVK852002:WVQ852003 IY917538:JE917539 SU917538:TA917539 ACQ917538:ACW917539 AMM917538:AMS917539 AWI917538:AWO917539 BGE917538:BGK917539 BQA917538:BQG917539 BZW917538:CAC917539 CJS917538:CJY917539 CTO917538:CTU917539 DDK917538:DDQ917539 DNG917538:DNM917539 DXC917538:DXI917539 EGY917538:EHE917539 EQU917538:ERA917539 FAQ917538:FAW917539 FKM917538:FKS917539 FUI917538:FUO917539 GEE917538:GEK917539 GOA917538:GOG917539 GXW917538:GYC917539 HHS917538:HHY917539 HRO917538:HRU917539 IBK917538:IBQ917539 ILG917538:ILM917539 IVC917538:IVI917539 JEY917538:JFE917539 JOU917538:JPA917539 JYQ917538:JYW917539 KIM917538:KIS917539 KSI917538:KSO917539 LCE917538:LCK917539 LMA917538:LMG917539 LVW917538:LWC917539 MFS917538:MFY917539 MPO917538:MPU917539 MZK917538:MZQ917539 NJG917538:NJM917539 NTC917538:NTI917539 OCY917538:ODE917539 OMU917538:ONA917539 OWQ917538:OWW917539 PGM917538:PGS917539 PQI917538:PQO917539 QAE917538:QAK917539 QKA917538:QKG917539 QTW917538:QUC917539 RDS917538:RDY917539 RNO917538:RNU917539 RXK917538:RXQ917539 SHG917538:SHM917539 SRC917538:SRI917539 TAY917538:TBE917539 TKU917538:TLA917539 TUQ917538:TUW917539 UEM917538:UES917539 UOI917538:UOO917539 UYE917538:UYK917539 VIA917538:VIG917539 VRW917538:VSC917539 WBS917538:WBY917539 WLO917538:WLU917539 WVK917538:WVQ917539 IY983074:JE983075 SU983074:TA983075 ACQ983074:ACW983075 AMM983074:AMS983075 AWI983074:AWO983075 BGE983074:BGK983075 BQA983074:BQG983075 BZW983074:CAC983075 CJS983074:CJY983075 CTO983074:CTU983075 DDK983074:DDQ983075 DNG983074:DNM983075 DXC983074:DXI983075 EGY983074:EHE983075 EQU983074:ERA983075 FAQ983074:FAW983075 FKM983074:FKS983075 FUI983074:FUO983075 GEE983074:GEK983075 GOA983074:GOG983075 GXW983074:GYC983075 HHS983074:HHY983075 HRO983074:HRU983075 IBK983074:IBQ983075 ILG983074:ILM983075 IVC983074:IVI983075 JEY983074:JFE983075 JOU983074:JPA983075 JYQ983074:JYW983075 KIM983074:KIS983075 KSI983074:KSO983075 LCE983074:LCK983075 LMA983074:LMG983075 LVW983074:LWC983075 MFS983074:MFY983075 MPO983074:MPU983075 MZK983074:MZQ983075 NJG983074:NJM983075 NTC983074:NTI983075 OCY983074:ODE983075 OMU983074:ONA983075 OWQ983074:OWW983075 PGM983074:PGS983075 PQI983074:PQO983075 QAE983074:QAK983075 QKA983074:QKG983075 QTW983074:QUC983075 RDS983074:RDY983075 RNO983074:RNU983075 RXK983074:RXQ983075 SHG983074:SHM983075 SRC983074:SRI983075 TAY983074:TBE983075 TKU983074:TLA983075 TUQ983074:TUW983075 UEM983074:UES983075 UOI983074:UOO983075 UYE983074:UYK983075 VIA983074:VIG983075 VRW983074:VSC983075 WBS983074:WBY983075 WLO983074:WLU983075 D65570:J65571 D983074:J983075 D917538:J917539 D852002:J852003 D786466:J786467 D720930:J720931 D655394:J655395 D589858:J589859 D524322:J524323 D458786:J458787 D393250:J393251 D327714:J327715 D262178:J262179 D196642:J196643 D131106:J131107">
      <formula1>#REF!</formula1>
    </dataValidation>
    <dataValidation type="list" allowBlank="1" showInputMessage="1" showErrorMessage="1" sqref="D60:E60">
      <formula1>"Modal Kerja,Investasi,Konsumtif"</formula1>
    </dataValidation>
    <dataValidation type="list" allowBlank="1" showInputMessage="1" showErrorMessage="1" sqref="D2:G2">
      <formula1>"PUSAT,CABANG"</formula1>
    </dataValidation>
    <dataValidation type="list" allowBlank="1" showInputMessage="1" showErrorMessage="1" sqref="D54:E54">
      <formula1>"Ada, Tidak Ada"</formula1>
    </dataValidation>
    <dataValidation type="list" allowBlank="1" showInputMessage="1" showErrorMessage="1" promptTitle="Nama" prompt="Ketik Nama Lengkap Pemohon sesuai dengan KTP yang masih berlaku" sqref="D10:E10">
      <formula1>"Walk In Customer,Solisitasi,Referral"</formula1>
    </dataValidation>
    <dataValidation type="list" allowBlank="1" showInputMessage="1" showErrorMessage="1" sqref="E57">
      <formula1>"Flat,Efektif"</formula1>
    </dataValidation>
    <dataValidation type="list" allowBlank="1" showInputMessage="1" showErrorMessage="1" sqref="D12:E12">
      <formula1>"Pria,Wanita"</formula1>
    </dataValidation>
  </dataValidations>
  <pageMargins left="0.7" right="0.3" top="0.4" bottom="0.3" header="0.31496062992126" footer="0.31496062992126"/>
  <pageSetup paperSize="10000" scale="84" fitToWidth="0" orientation="portrait" r:id="rId1"/>
  <rowBreaks count="1" manualBreakCount="1">
    <brk id="67" max="16383" man="1"/>
  </rowBreaks>
  <extLst>
    <ext xmlns:x14="http://schemas.microsoft.com/office/spreadsheetml/2009/9/main" uri="{CCE6A557-97BC-4b89-ADB6-D9C93CAAB3DF}">
      <x14:dataValidations xmlns:xm="http://schemas.microsoft.com/office/excel/2006/main" xWindow="761" yWindow="541" count="17">
        <x14:dataValidation type="list" allowBlank="1" showInputMessage="1" showErrorMessage="1" promptTitle="Handphone" prompt="Diisi Nomor Handphone Pemohon (apabila memiliki) dan diisi 'N/A' apabila tidak memiliki HP. Untuk Pemohon yang memiliki lebih dari 1 nomor HP agar diinput seluruhnya dengan format penulisan {HP1} / {HP2} / {HP3} / .....dst">
          <x14:formula1>
            <xm:f>Parameter!$E$11:$E$13</xm:f>
          </x14:formula1>
          <xm:sqref>D21</xm:sqref>
        </x14:dataValidation>
        <x14:dataValidation type="list" allowBlank="1" showInputMessage="1" showErrorMessage="1" promptTitle="Jumlah Tanggungan" prompt="Diisi dengan angka, jumlah orang yang menjadi tanggungan Pemohon (isteri/anak/orangtua/saudara) yang untuk keperluan sehari-harinya bergantung kepada Pemohon">
          <x14:formula1>
            <xm:f>Parameter!$E$15:$E$18</xm:f>
          </x14:formula1>
          <xm:sqref>D22</xm:sqref>
        </x14:dataValidation>
        <x14:dataValidation type="list" allowBlank="1" showInputMessage="1" showErrorMessage="1">
          <x14:formula1>
            <xm:f>Parameter!$E$20:$E$23</xm:f>
          </x14:formula1>
          <xm:sqref>D23</xm:sqref>
        </x14:dataValidation>
        <x14:dataValidation type="list" allowBlank="1" showInputMessage="1" showErrorMessage="1">
          <x14:formula1>
            <xm:f>Parameter!$E$27:$E$30</xm:f>
          </x14:formula1>
          <xm:sqref>D24:G24</xm:sqref>
        </x14:dataValidation>
        <x14:dataValidation type="list" allowBlank="1" showInputMessage="1" showErrorMessage="1">
          <x14:formula1>
            <xm:f>Parameter!$E$82:$E$85</xm:f>
          </x14:formula1>
          <xm:sqref>D48</xm:sqref>
        </x14:dataValidation>
        <x14:dataValidation type="list" allowBlank="1" showInputMessage="1" showErrorMessage="1" promptTitle="Tanggal Permohonan" prompt="Diisi tanggal permohonan sebagaimana yang tertera dalam Formulir Permohonan KMU atau tanggal lain saat persyaratan administrasi untuk keperluan pemrosesan permohonan kredit dinyatakan lengkap._x000a_Format Penulisan : DD/MM/YYYY">
          <x14:formula1>
            <xm:f>Parameter!$E$87:$E$90</xm:f>
          </x14:formula1>
          <xm:sqref>D49</xm:sqref>
        </x14:dataValidation>
        <x14:dataValidation type="list" allowBlank="1" showInputMessage="1" showErrorMessage="1">
          <x14:formula1>
            <xm:f>Parameter!$D$246:$D$250</xm:f>
          </x14:formula1>
          <xm:sqref>D59:E59</xm:sqref>
        </x14:dataValidation>
        <x14:dataValidation type="list" allowBlank="1" showInputMessage="1" showErrorMessage="1">
          <x14:formula1>
            <xm:f>Parameter!$E$50:$E$53</xm:f>
          </x14:formula1>
          <xm:sqref>D34:G34</xm:sqref>
        </x14:dataValidation>
        <x14:dataValidation type="list" allowBlank="1" showInputMessage="1" showErrorMessage="1">
          <x14:formula1>
            <xm:f>Parameter!$E$38:$E$42</xm:f>
          </x14:formula1>
          <xm:sqref>D26:G26</xm:sqref>
        </x14:dataValidation>
        <x14:dataValidation type="list" allowBlank="1" showInputMessage="1" showErrorMessage="1">
          <x14:formula1>
            <xm:f>Parameter!$E$62:$E$63</xm:f>
          </x14:formula1>
          <xm:sqref>D29:G29</xm:sqref>
        </x14:dataValidation>
        <x14:dataValidation type="list" allowBlank="1" showInputMessage="1" showErrorMessage="1">
          <x14:formula1>
            <xm:f>Parameter!$E$66:$E$67</xm:f>
          </x14:formula1>
          <xm:sqref>D30:G30</xm:sqref>
        </x14:dataValidation>
        <x14:dataValidation type="list" allowBlank="1" showInputMessage="1" showErrorMessage="1">
          <x14:formula1>
            <xm:f>Parameter!$E$71:$E$72</xm:f>
          </x14:formula1>
          <xm:sqref>D31:G31</xm:sqref>
        </x14:dataValidation>
        <x14:dataValidation type="list" allowBlank="1" showInputMessage="1" showErrorMessage="1">
          <x14:formula1>
            <xm:f>Parameter!$E$44:$E$46</xm:f>
          </x14:formula1>
          <xm:sqref>D27:G27</xm:sqref>
        </x14:dataValidation>
        <x14:dataValidation type="list" allowBlank="1" showInputMessage="1" showErrorMessage="1">
          <x14:formula1>
            <xm:f>Parameter!$E$125:$E$126</xm:f>
          </x14:formula1>
          <xm:sqref>D32:G32</xm:sqref>
        </x14:dataValidation>
        <x14:dataValidation type="list" allowBlank="1" showInputMessage="1" showErrorMessage="1">
          <x14:formula1>
            <xm:f>Parameter!$E$129:$E$130</xm:f>
          </x14:formula1>
          <xm:sqref>D33:G33</xm:sqref>
        </x14:dataValidation>
        <x14:dataValidation type="list" allowBlank="1" showInputMessage="1" showErrorMessage="1">
          <x14:formula1>
            <xm:f>Parameter!$E$32:$E$36</xm:f>
          </x14:formula1>
          <xm:sqref>D25:G25</xm:sqref>
        </x14:dataValidation>
        <x14:dataValidation type="list" allowBlank="1" showInputMessage="1" showErrorMessage="1">
          <x14:formula1>
            <xm:f>'Usulan Pembiayaan'!$AB$3:$AB$14</xm:f>
          </x14:formula1>
          <xm:sqref>D58:E58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AL330"/>
  <sheetViews>
    <sheetView topLeftCell="A77" zoomScaleNormal="100" workbookViewId="0">
      <selection activeCell="F14" sqref="F14"/>
    </sheetView>
  </sheetViews>
  <sheetFormatPr defaultColWidth="8.85546875" defaultRowHeight="15"/>
  <cols>
    <col min="1" max="1" width="2.85546875" customWidth="1"/>
    <col min="2" max="2" width="7.140625" customWidth="1"/>
    <col min="3" max="5" width="3.42578125" customWidth="1"/>
    <col min="6" max="6" width="7.85546875" customWidth="1"/>
    <col min="7" max="7" width="7.7109375" customWidth="1"/>
    <col min="8" max="8" width="4.7109375" customWidth="1"/>
    <col min="9" max="9" width="3.42578125" customWidth="1"/>
    <col min="10" max="10" width="4" customWidth="1"/>
    <col min="11" max="11" width="4.42578125" customWidth="1"/>
    <col min="12" max="12" width="5.140625" customWidth="1"/>
    <col min="13" max="13" width="5.42578125" customWidth="1"/>
    <col min="14" max="14" width="9.42578125" customWidth="1"/>
    <col min="15" max="15" width="5.7109375" customWidth="1"/>
    <col min="16" max="16" width="9.28515625" customWidth="1"/>
    <col min="17" max="17" width="10.42578125" customWidth="1"/>
    <col min="18" max="18" width="4.42578125" customWidth="1"/>
    <col min="19" max="19" width="4.28515625" customWidth="1"/>
    <col min="20" max="20" width="1.7109375" bestFit="1" customWidth="1"/>
    <col min="21" max="21" width="2.42578125" customWidth="1"/>
    <col min="22" max="23" width="3.42578125" customWidth="1"/>
    <col min="24" max="24" width="2.7109375" customWidth="1"/>
    <col min="25" max="25" width="5" customWidth="1"/>
    <col min="26" max="26" width="13.28515625" customWidth="1"/>
    <col min="27" max="27" width="2.140625" customWidth="1"/>
    <col min="28" max="28" width="12.42578125" hidden="1" customWidth="1"/>
    <col min="29" max="29" width="12.85546875" hidden="1" customWidth="1"/>
    <col min="30" max="32" width="3.140625" hidden="1" customWidth="1"/>
    <col min="33" max="33" width="9.140625" hidden="1" customWidth="1"/>
    <col min="34" max="34" width="14.85546875" hidden="1" customWidth="1"/>
    <col min="35" max="38" width="9.140625" hidden="1" customWidth="1"/>
    <col min="39" max="51" width="0" hidden="1" customWidth="1"/>
  </cols>
  <sheetData>
    <row r="1" spans="1:26" ht="17.25" customHeight="1" thickBot="1">
      <c r="A1" s="1205" t="s">
        <v>40</v>
      </c>
      <c r="B1" s="1206"/>
      <c r="C1" s="1206"/>
      <c r="D1" s="1206"/>
      <c r="E1" s="1206"/>
      <c r="F1" s="1206"/>
      <c r="G1" s="1206"/>
      <c r="H1" s="1206"/>
      <c r="I1" s="1206"/>
      <c r="J1" s="1206"/>
      <c r="K1" s="1206"/>
      <c r="L1" s="1206"/>
      <c r="M1" s="1206"/>
      <c r="N1" s="1206"/>
      <c r="O1" s="1206"/>
      <c r="P1" s="1206"/>
      <c r="Q1" s="1206"/>
      <c r="R1" s="1206"/>
      <c r="S1" s="1206"/>
      <c r="T1" s="1206"/>
      <c r="U1" s="1206"/>
      <c r="V1" s="1206"/>
      <c r="W1" s="1206"/>
      <c r="X1" s="1206"/>
      <c r="Y1" s="1206"/>
      <c r="Z1" s="1207"/>
    </row>
    <row r="2" spans="1:26" ht="6" customHeight="1" thickBot="1">
      <c r="A2" s="94"/>
      <c r="B2" s="54"/>
      <c r="C2" s="54"/>
      <c r="D2" s="54"/>
      <c r="E2" s="54"/>
      <c r="F2" s="54"/>
      <c r="G2" s="54"/>
      <c r="H2" s="54"/>
      <c r="I2" s="54"/>
      <c r="J2" s="54"/>
      <c r="K2" s="54"/>
      <c r="L2" s="54"/>
      <c r="M2" s="54"/>
      <c r="N2" s="54"/>
      <c r="O2" s="54"/>
      <c r="P2" s="54"/>
      <c r="Q2" s="54"/>
      <c r="R2" s="54"/>
      <c r="S2" s="54"/>
      <c r="T2" s="54"/>
      <c r="U2" s="54"/>
      <c r="V2" s="54"/>
      <c r="W2" s="54"/>
      <c r="X2" s="54"/>
      <c r="Y2" s="54"/>
      <c r="Z2" s="95"/>
    </row>
    <row r="3" spans="1:26" ht="19.5" thickBot="1">
      <c r="A3" s="1196" t="s">
        <v>41</v>
      </c>
      <c r="B3" s="1197"/>
      <c r="C3" s="1197"/>
      <c r="D3" s="1197"/>
      <c r="E3" s="1197"/>
      <c r="F3" s="1197"/>
      <c r="G3" s="1197"/>
      <c r="H3" s="1197"/>
      <c r="I3" s="1197"/>
      <c r="J3" s="1197"/>
      <c r="K3" s="1197"/>
      <c r="L3" s="1197"/>
      <c r="M3" s="1197"/>
      <c r="N3" s="1197"/>
      <c r="O3" s="1197"/>
      <c r="P3" s="1197"/>
      <c r="Q3" s="1197"/>
      <c r="R3" s="1197"/>
      <c r="S3" s="1197"/>
      <c r="T3" s="1197"/>
      <c r="U3" s="1197"/>
      <c r="V3" s="1197"/>
      <c r="W3" s="1197"/>
      <c r="X3" s="1197"/>
      <c r="Y3" s="1197"/>
      <c r="Z3" s="1198"/>
    </row>
    <row r="4" spans="1:26" ht="15" customHeight="1">
      <c r="A4" s="576" t="s">
        <v>42</v>
      </c>
      <c r="B4" s="575" t="s">
        <v>903</v>
      </c>
      <c r="C4" s="573"/>
      <c r="D4" s="573"/>
      <c r="E4" s="573"/>
      <c r="F4" s="573"/>
      <c r="G4" s="573"/>
      <c r="H4" s="573"/>
      <c r="I4" s="573"/>
      <c r="J4" s="500"/>
      <c r="K4" s="124"/>
      <c r="L4" s="117"/>
      <c r="M4" s="117"/>
      <c r="N4" s="117"/>
      <c r="O4" s="117"/>
      <c r="P4" s="117"/>
      <c r="Q4" s="117"/>
      <c r="R4" s="117"/>
      <c r="S4" s="117"/>
      <c r="T4" s="117"/>
      <c r="U4" s="117"/>
      <c r="V4" s="117"/>
      <c r="W4" s="117"/>
      <c r="X4" s="117"/>
      <c r="Y4" s="117"/>
      <c r="Z4" s="158"/>
    </row>
    <row r="5" ht="15" customHeight="1">
      <c r="A5" s="637" t="s">
        <v>7</v>
      </c>
      <c r="B5" s="977"/>
      <c r="C5" s="1022"/>
      <c r="D5" s="975"/>
      <c r="E5" s="975"/>
      <c r="F5" s="975"/>
      <c r="G5" s="975"/>
      <c r="H5" s="975"/>
      <c r="I5" s="975"/>
      <c r="J5" s="975"/>
      <c r="K5" s="975"/>
      <c r="L5" s="975"/>
      <c r="M5" s="975"/>
      <c r="N5" s="975"/>
      <c r="O5" s="975"/>
      <c r="P5" s="975"/>
      <c r="Q5" s="975"/>
      <c r="R5" s="975"/>
      <c r="S5" s="975"/>
      <c r="T5" s="975"/>
      <c r="U5" s="975"/>
      <c r="V5" s="975"/>
      <c r="W5" s="975"/>
      <c r="X5" s="975"/>
      <c r="Y5" s="975"/>
      <c r="Z5" s="175"/>
    </row>
    <row r="6" ht="15" customHeight="1">
      <c r="A6" s="637" t="s">
        <v>7</v>
      </c>
      <c r="B6" s="992"/>
      <c r="C6" s="1023"/>
      <c r="D6" s="832"/>
      <c r="E6" s="832"/>
      <c r="F6" s="832"/>
      <c r="G6" s="832"/>
      <c r="H6" s="832"/>
      <c r="I6" s="832"/>
      <c r="J6" s="832"/>
      <c r="K6" s="832"/>
      <c r="L6" s="832"/>
      <c r="M6" s="832"/>
      <c r="N6" s="832"/>
      <c r="O6" s="832"/>
      <c r="P6" s="832"/>
      <c r="Q6" s="832"/>
      <c r="R6" s="832"/>
      <c r="S6" s="832"/>
      <c r="T6" s="832"/>
      <c r="U6" s="832"/>
      <c r="V6" s="832"/>
      <c r="W6" s="978"/>
      <c r="X6" s="978"/>
      <c r="Y6" s="978"/>
      <c r="Z6" s="158"/>
    </row>
    <row r="7" ht="15" customHeight="1">
      <c r="A7" s="637"/>
      <c r="B7" s="992"/>
      <c r="C7" s="1023"/>
      <c r="D7" s="832"/>
      <c r="E7" s="832"/>
      <c r="F7" s="832"/>
      <c r="G7" s="832"/>
      <c r="H7" s="832"/>
      <c r="I7" s="832"/>
      <c r="J7" s="832"/>
      <c r="K7" s="832"/>
      <c r="L7" s="832"/>
      <c r="M7" s="832"/>
      <c r="N7" s="832"/>
      <c r="O7" s="832"/>
      <c r="P7" s="832"/>
      <c r="Q7" s="832"/>
      <c r="R7" s="832"/>
      <c r="S7" s="832"/>
      <c r="T7" s="832"/>
      <c r="U7" s="832"/>
      <c r="V7" s="832"/>
      <c r="W7" s="978"/>
      <c r="X7" s="978"/>
      <c r="Y7" s="978"/>
      <c r="Z7" s="158"/>
    </row>
    <row r="8" ht="15" customHeight="1">
      <c r="A8" s="637"/>
      <c r="B8" s="992"/>
      <c r="C8" s="1023"/>
      <c r="D8" s="832"/>
      <c r="E8" s="832"/>
      <c r="F8" s="832"/>
      <c r="G8" s="832"/>
      <c r="H8" s="832"/>
      <c r="I8" s="832"/>
      <c r="J8" s="832"/>
      <c r="K8" s="832"/>
      <c r="L8" s="832"/>
      <c r="M8" s="832"/>
      <c r="N8" s="832"/>
      <c r="O8" s="832"/>
      <c r="P8" s="832"/>
      <c r="Q8" s="832"/>
      <c r="R8" s="832"/>
      <c r="S8" s="832"/>
      <c r="T8" s="832"/>
      <c r="U8" s="832"/>
      <c r="V8" s="832"/>
      <c r="W8" s="978"/>
      <c r="X8" s="978"/>
      <c r="Y8" s="978"/>
      <c r="Z8" s="158"/>
    </row>
    <row r="9" ht="15" customHeight="1">
      <c r="A9" s="637"/>
      <c r="B9" s="992"/>
      <c r="C9" s="1023"/>
      <c r="D9" s="832"/>
      <c r="E9" s="832"/>
      <c r="F9" s="832"/>
      <c r="G9" s="832"/>
      <c r="H9" s="832"/>
      <c r="I9" s="832"/>
      <c r="J9" s="832"/>
      <c r="K9" s="832"/>
      <c r="L9" s="832"/>
      <c r="M9" s="832"/>
      <c r="N9" s="832"/>
      <c r="O9" s="832"/>
      <c r="P9" s="832"/>
      <c r="Q9" s="832"/>
      <c r="R9" s="832"/>
      <c r="S9" s="832"/>
      <c r="T9" s="832"/>
      <c r="U9" s="832"/>
      <c r="V9" s="832"/>
      <c r="W9" s="978"/>
      <c r="X9" s="978"/>
      <c r="Y9" s="978"/>
      <c r="Z9" s="158"/>
    </row>
    <row r="10" ht="15" customHeight="1">
      <c r="A10" s="637" t="s">
        <v>7</v>
      </c>
      <c r="B10" s="992"/>
      <c r="C10" s="1023"/>
      <c r="D10" s="832"/>
      <c r="E10" s="832"/>
      <c r="F10" s="832"/>
      <c r="G10" s="832"/>
      <c r="H10" s="832"/>
      <c r="I10" s="832"/>
      <c r="J10" s="832"/>
      <c r="K10" s="832"/>
      <c r="L10" s="832"/>
      <c r="M10" s="832"/>
      <c r="N10" s="832"/>
      <c r="O10" s="832"/>
      <c r="P10" s="832"/>
      <c r="Q10" s="832"/>
      <c r="R10" s="832"/>
      <c r="S10" s="832"/>
      <c r="T10" s="832"/>
      <c r="U10" s="832"/>
      <c r="V10" s="832"/>
      <c r="W10" s="978"/>
      <c r="X10" s="978"/>
      <c r="Y10" s="978"/>
      <c r="Z10" s="158"/>
    </row>
    <row r="11" ht="15" customHeight="1">
      <c r="A11" s="637"/>
      <c r="B11" s="992"/>
      <c r="C11" s="1023"/>
      <c r="D11" s="832"/>
      <c r="E11" s="832"/>
      <c r="F11" s="832"/>
      <c r="G11" s="832"/>
      <c r="H11" s="832"/>
      <c r="I11" s="832"/>
      <c r="J11" s="832"/>
      <c r="K11" s="832"/>
      <c r="L11" s="832"/>
      <c r="M11" s="832"/>
      <c r="N11" s="832"/>
      <c r="O11" s="832"/>
      <c r="P11" s="832"/>
      <c r="Q11" s="832"/>
      <c r="R11" s="832"/>
      <c r="S11" s="832"/>
      <c r="T11" s="832"/>
      <c r="U11" s="832"/>
      <c r="V11" s="832"/>
      <c r="W11" s="978"/>
      <c r="X11" s="978"/>
      <c r="Y11" s="978"/>
      <c r="Z11" s="158"/>
    </row>
    <row r="12" ht="15" customHeight="1">
      <c r="A12" s="637"/>
      <c r="B12" s="992"/>
      <c r="C12" s="1023"/>
      <c r="D12" s="832"/>
      <c r="E12" s="832"/>
      <c r="F12" s="832"/>
      <c r="G12" s="832"/>
      <c r="H12" s="832"/>
      <c r="I12" s="832"/>
      <c r="J12" s="832"/>
      <c r="K12" s="832"/>
      <c r="L12" s="832"/>
      <c r="M12" s="832"/>
      <c r="N12" s="832"/>
      <c r="O12" s="832"/>
      <c r="P12" s="832"/>
      <c r="Q12" s="832"/>
      <c r="R12" s="832"/>
      <c r="S12" s="832"/>
      <c r="T12" s="832"/>
      <c r="U12" s="832"/>
      <c r="V12" s="832"/>
      <c r="W12" s="978"/>
      <c r="X12" s="978"/>
      <c r="Y12" s="978"/>
      <c r="Z12" s="158"/>
    </row>
    <row r="13" ht="15" customHeight="1">
      <c r="A13" s="637" t="s">
        <v>7</v>
      </c>
      <c r="B13" s="992"/>
      <c r="C13" s="832"/>
      <c r="D13" s="832"/>
      <c r="E13" s="832"/>
      <c r="F13" s="832"/>
      <c r="G13" s="832"/>
      <c r="H13" s="832"/>
      <c r="I13" s="832"/>
      <c r="J13" s="832"/>
      <c r="K13" s="832"/>
      <c r="L13" s="832"/>
      <c r="M13" s="832"/>
      <c r="N13" s="832"/>
      <c r="O13" s="832"/>
      <c r="P13" s="832"/>
      <c r="Q13" s="832"/>
      <c r="R13" s="832"/>
      <c r="S13" s="832"/>
      <c r="T13" s="832"/>
      <c r="U13" s="832"/>
      <c r="V13" s="832"/>
      <c r="W13" s="978"/>
      <c r="X13" s="978"/>
      <c r="Y13" s="978"/>
      <c r="Z13" s="158"/>
    </row>
    <row r="14" ht="15.75">
      <c r="A14" s="637"/>
      <c r="B14" s="993"/>
      <c r="C14" s="976"/>
      <c r="D14" s="976"/>
      <c r="E14" s="976"/>
      <c r="F14" s="976"/>
      <c r="G14" s="976"/>
      <c r="H14" s="976"/>
      <c r="I14" s="976"/>
      <c r="J14" s="976"/>
      <c r="K14" s="976"/>
      <c r="L14" s="976"/>
      <c r="M14" s="976"/>
      <c r="N14" s="976"/>
      <c r="O14" s="976"/>
      <c r="P14" s="976"/>
      <c r="Q14" s="976"/>
      <c r="R14" s="976"/>
      <c r="S14" s="976"/>
      <c r="T14" s="976"/>
      <c r="U14" s="976"/>
      <c r="V14" s="976"/>
      <c r="W14" s="976"/>
      <c r="X14" s="976"/>
      <c r="Y14" s="976"/>
      <c r="Z14" s="173"/>
    </row>
    <row r="15" spans="1:26">
      <c r="A15" s="577"/>
      <c r="B15" s="574"/>
      <c r="C15" s="574"/>
      <c r="D15" s="574"/>
      <c r="E15" s="574"/>
      <c r="F15" s="574"/>
      <c r="G15" s="574"/>
      <c r="H15" s="574"/>
      <c r="I15" s="574"/>
      <c r="J15" s="500"/>
      <c r="K15" s="172"/>
      <c r="L15" s="172"/>
      <c r="M15" s="172"/>
      <c r="N15" s="172"/>
      <c r="O15" s="172"/>
      <c r="P15" s="172"/>
      <c r="Q15" s="172"/>
      <c r="R15" s="172"/>
      <c r="S15" s="172"/>
      <c r="T15" s="172"/>
      <c r="U15" s="172"/>
      <c r="V15" s="172"/>
      <c r="W15" s="172"/>
      <c r="X15" s="172"/>
      <c r="Y15" s="172"/>
      <c r="Z15" s="173"/>
    </row>
    <row r="16" ht="15" customHeight="1">
      <c r="A16" s="1208" t="s">
        <v>43</v>
      </c>
      <c r="B16" s="1210" t="s">
        <v>904</v>
      </c>
      <c r="C16" s="1211"/>
      <c r="D16" s="1211"/>
      <c r="E16" s="1211"/>
      <c r="F16" s="1211"/>
      <c r="G16" s="1211"/>
      <c r="H16" s="1211"/>
      <c r="I16" s="1211"/>
      <c r="J16" s="1212" t="s">
        <v>0</v>
      </c>
      <c r="K16" s="1213"/>
      <c r="L16" s="1214"/>
      <c r="M16" s="1214"/>
      <c r="N16" s="1214"/>
      <c r="O16" s="1214"/>
      <c r="P16" s="1214"/>
      <c r="Q16" s="1214"/>
      <c r="R16" s="1214"/>
      <c r="S16" s="1214"/>
      <c r="T16" s="1214"/>
      <c r="U16" s="1214"/>
      <c r="V16" s="1214"/>
      <c r="W16" s="1214"/>
      <c r="X16" s="1214"/>
      <c r="Y16" s="1214"/>
      <c r="Z16" s="1215"/>
    </row>
    <row r="17" spans="1:30">
      <c r="A17" s="1209"/>
      <c r="B17" s="1211"/>
      <c r="C17" s="1211"/>
      <c r="D17" s="1211"/>
      <c r="E17" s="1211"/>
      <c r="F17" s="1211"/>
      <c r="G17" s="1211"/>
      <c r="H17" s="1211"/>
      <c r="I17" s="1211"/>
      <c r="J17" s="1212"/>
      <c r="K17" s="1216"/>
      <c r="L17" s="1217"/>
      <c r="M17" s="1217"/>
      <c r="N17" s="1217"/>
      <c r="O17" s="1217"/>
      <c r="P17" s="1217"/>
      <c r="Q17" s="1217"/>
      <c r="R17" s="1217"/>
      <c r="S17" s="1217"/>
      <c r="T17" s="1217"/>
      <c r="U17" s="1217"/>
      <c r="V17" s="1217"/>
      <c r="W17" s="1217"/>
      <c r="X17" s="1217"/>
      <c r="Y17" s="1217"/>
      <c r="Z17" s="1218"/>
    </row>
    <row r="18" spans="1:30">
      <c r="A18" s="1209"/>
      <c r="B18" s="1211"/>
      <c r="C18" s="1211"/>
      <c r="D18" s="1211"/>
      <c r="E18" s="1211"/>
      <c r="F18" s="1211"/>
      <c r="G18" s="1211"/>
      <c r="H18" s="1211"/>
      <c r="I18" s="1211"/>
      <c r="J18" s="1212"/>
      <c r="K18" s="1219"/>
      <c r="L18" s="1220"/>
      <c r="M18" s="1220"/>
      <c r="N18" s="1220"/>
      <c r="O18" s="1220"/>
      <c r="P18" s="1220"/>
      <c r="Q18" s="1220"/>
      <c r="R18" s="1220"/>
      <c r="S18" s="1220"/>
      <c r="T18" s="1220"/>
      <c r="U18" s="1220"/>
      <c r="V18" s="1220"/>
      <c r="W18" s="1220"/>
      <c r="X18" s="1220"/>
      <c r="Y18" s="1220"/>
      <c r="Z18" s="1221"/>
    </row>
    <row r="19" ht="15" customHeight="1">
      <c r="A19" s="1208" t="s">
        <v>44</v>
      </c>
      <c r="B19" s="1210" t="s">
        <v>682</v>
      </c>
      <c r="C19" s="1211"/>
      <c r="D19" s="1211"/>
      <c r="E19" s="1211"/>
      <c r="F19" s="1211"/>
      <c r="G19" s="1211"/>
      <c r="H19" s="1211"/>
      <c r="I19" s="1211"/>
      <c r="J19" s="1212" t="s">
        <v>0</v>
      </c>
      <c r="K19" s="1213"/>
      <c r="L19" s="1222"/>
      <c r="M19" s="1222"/>
      <c r="N19" s="1222"/>
      <c r="O19" s="1222"/>
      <c r="P19" s="1222"/>
      <c r="Q19" s="1222"/>
      <c r="R19" s="1222"/>
      <c r="S19" s="1222"/>
      <c r="T19" s="1222"/>
      <c r="U19" s="1222"/>
      <c r="V19" s="1222"/>
      <c r="W19" s="1222"/>
      <c r="X19" s="1222"/>
      <c r="Y19" s="1222"/>
      <c r="Z19" s="1223"/>
    </row>
    <row r="20" spans="1:30">
      <c r="A20" s="1209"/>
      <c r="B20" s="1211"/>
      <c r="C20" s="1211"/>
      <c r="D20" s="1211"/>
      <c r="E20" s="1211"/>
      <c r="F20" s="1211"/>
      <c r="G20" s="1211"/>
      <c r="H20" s="1211"/>
      <c r="I20" s="1211"/>
      <c r="J20" s="1212"/>
      <c r="K20" s="1224"/>
      <c r="L20" s="1225"/>
      <c r="M20" s="1225"/>
      <c r="N20" s="1225"/>
      <c r="O20" s="1225"/>
      <c r="P20" s="1225"/>
      <c r="Q20" s="1225"/>
      <c r="R20" s="1225"/>
      <c r="S20" s="1225"/>
      <c r="T20" s="1225"/>
      <c r="U20" s="1225"/>
      <c r="V20" s="1225"/>
      <c r="W20" s="1225"/>
      <c r="X20" s="1225"/>
      <c r="Y20" s="1225"/>
      <c r="Z20" s="1226"/>
    </row>
    <row r="21" spans="1:30">
      <c r="A21" s="1209"/>
      <c r="B21" s="1211"/>
      <c r="C21" s="1211"/>
      <c r="D21" s="1211"/>
      <c r="E21" s="1211"/>
      <c r="F21" s="1211"/>
      <c r="G21" s="1211"/>
      <c r="H21" s="1211"/>
      <c r="I21" s="1211"/>
      <c r="J21" s="1212"/>
      <c r="K21" s="1227"/>
      <c r="L21" s="1228"/>
      <c r="M21" s="1228"/>
      <c r="N21" s="1228"/>
      <c r="O21" s="1228"/>
      <c r="P21" s="1228"/>
      <c r="Q21" s="1228"/>
      <c r="R21" s="1228"/>
      <c r="S21" s="1228"/>
      <c r="T21" s="1228"/>
      <c r="U21" s="1228"/>
      <c r="V21" s="1228"/>
      <c r="W21" s="1228"/>
      <c r="X21" s="1228"/>
      <c r="Y21" s="1228"/>
      <c r="Z21" s="1229"/>
    </row>
    <row r="22" spans="1:30" ht="18" customHeight="1">
      <c r="A22" s="94"/>
      <c r="B22" s="499"/>
      <c r="C22" s="497"/>
      <c r="D22" s="498"/>
      <c r="E22" s="498"/>
      <c r="F22" s="498"/>
      <c r="G22" s="498"/>
      <c r="H22" s="498"/>
      <c r="I22" s="498"/>
      <c r="J22" s="498"/>
      <c r="K22" s="498"/>
      <c r="L22" s="124"/>
      <c r="M22" s="499"/>
      <c r="N22" s="117"/>
      <c r="O22" s="500"/>
      <c r="P22" s="500"/>
      <c r="Q22" s="500"/>
      <c r="R22" s="497"/>
      <c r="S22" s="498"/>
      <c r="T22" s="498"/>
      <c r="U22" s="498"/>
      <c r="V22" s="498"/>
      <c r="W22" s="498"/>
      <c r="X22" s="498"/>
      <c r="Y22" s="498"/>
      <c r="Z22" s="578"/>
    </row>
    <row r="23" spans="1:30" ht="18.75">
      <c r="A23" s="94"/>
      <c r="B23" s="54"/>
      <c r="C23" s="673"/>
      <c r="D23" s="673"/>
      <c r="E23" s="673"/>
      <c r="F23" s="673"/>
      <c r="G23" s="1109" t="s">
        <v>911</v>
      </c>
      <c r="H23" s="1110"/>
      <c r="I23" s="1110"/>
      <c r="J23" s="1110"/>
      <c r="K23" s="1110"/>
      <c r="L23" s="1110"/>
      <c r="M23" s="1110"/>
      <c r="N23" s="1110"/>
      <c r="O23" s="1110"/>
      <c r="P23" s="1110"/>
      <c r="Q23" s="1110"/>
      <c r="R23" s="1111"/>
      <c r="S23" s="673"/>
      <c r="T23" s="673"/>
      <c r="U23" s="673"/>
      <c r="V23" s="673"/>
      <c r="W23" s="673"/>
      <c r="X23" s="673"/>
      <c r="Y23" s="673"/>
      <c r="Z23" s="673"/>
      <c r="AA23" s="675"/>
    </row>
    <row r="24">
      <c r="A24" s="94"/>
      <c r="B24" s="54"/>
      <c r="C24" s="500"/>
      <c r="D24" s="500"/>
      <c r="E24" s="671"/>
      <c r="F24" s="670"/>
      <c r="G24" s="1112" t="s">
        <v>686</v>
      </c>
      <c r="H24" s="1113"/>
      <c r="I24" s="1113"/>
      <c r="J24" s="1113"/>
      <c r="K24" s="1113"/>
      <c r="L24" s="1113"/>
      <c r="M24" s="674" t="s">
        <v>0</v>
      </c>
      <c r="N24" s="1114"/>
      <c r="O24" s="1114"/>
      <c r="P24" s="1114"/>
      <c r="Q24" s="1114"/>
      <c r="R24" s="1115"/>
      <c r="S24" s="670"/>
      <c r="T24" s="670"/>
      <c r="U24" s="670"/>
      <c r="V24" s="670"/>
      <c r="W24" s="670"/>
      <c r="X24" s="670"/>
      <c r="Y24" s="670"/>
      <c r="Z24" s="670"/>
      <c r="AA24" s="675"/>
    </row>
    <row r="25">
      <c r="A25" s="94"/>
      <c r="B25" s="54"/>
      <c r="C25" s="500"/>
      <c r="D25" s="500"/>
      <c r="E25" s="671"/>
      <c r="F25" s="670"/>
      <c r="G25" s="1112" t="s">
        <v>687</v>
      </c>
      <c r="H25" s="1113"/>
      <c r="I25" s="1113"/>
      <c r="J25" s="1113"/>
      <c r="K25" s="1113"/>
      <c r="L25" s="1113"/>
      <c r="M25" s="674" t="s">
        <v>0</v>
      </c>
      <c r="N25" s="1114"/>
      <c r="O25" s="1114"/>
      <c r="P25" s="1114"/>
      <c r="Q25" s="1114"/>
      <c r="R25" s="1115"/>
      <c r="S25" s="670"/>
      <c r="T25" s="670"/>
      <c r="U25" s="670"/>
      <c r="V25" s="670"/>
      <c r="W25" s="670"/>
      <c r="X25" s="670"/>
      <c r="Y25" s="670"/>
      <c r="Z25" s="670"/>
      <c r="AA25" s="675"/>
    </row>
    <row r="26">
      <c r="A26" s="94"/>
      <c r="B26" s="54"/>
      <c r="C26" s="500"/>
      <c r="D26" s="500"/>
      <c r="E26" s="671"/>
      <c r="F26" s="672"/>
      <c r="G26" s="1112" t="s">
        <v>101</v>
      </c>
      <c r="H26" s="1113"/>
      <c r="I26" s="1113"/>
      <c r="J26" s="1113"/>
      <c r="K26" s="1113"/>
      <c r="L26" s="1113"/>
      <c r="M26" s="674" t="s">
        <v>0</v>
      </c>
      <c r="N26" s="1116"/>
      <c r="O26" s="1116"/>
      <c r="P26" s="1116"/>
      <c r="Q26" s="1116"/>
      <c r="R26" s="1117"/>
      <c r="S26" s="670"/>
      <c r="T26" s="670"/>
      <c r="U26" s="670"/>
      <c r="V26" s="670"/>
      <c r="W26" s="670"/>
      <c r="X26" s="670"/>
      <c r="Y26" s="670"/>
      <c r="Z26" s="670"/>
      <c r="AA26" s="675"/>
    </row>
    <row r="27">
      <c r="A27" s="94"/>
      <c r="B27" s="54"/>
      <c r="C27" s="500"/>
      <c r="D27" s="500"/>
      <c r="E27" s="671"/>
      <c r="F27" s="670"/>
      <c r="G27" s="1112" t="s">
        <v>688</v>
      </c>
      <c r="H27" s="1113"/>
      <c r="I27" s="1113"/>
      <c r="J27" s="1113"/>
      <c r="K27" s="1113"/>
      <c r="L27" s="1113"/>
      <c r="M27" s="674" t="s">
        <v>0</v>
      </c>
      <c r="N27" s="1114"/>
      <c r="O27" s="1114"/>
      <c r="P27" s="1114"/>
      <c r="Q27" s="1114"/>
      <c r="R27" s="1115"/>
      <c r="S27" s="670"/>
      <c r="T27" s="670"/>
      <c r="U27" s="670"/>
      <c r="V27" s="670"/>
      <c r="W27" s="670"/>
      <c r="X27" s="670"/>
      <c r="Y27" s="670"/>
      <c r="Z27" s="670"/>
      <c r="AA27" s="675"/>
    </row>
    <row r="28" spans="1:30" ht="18" customHeight="1" thickBot="1">
      <c r="A28" s="52"/>
      <c r="B28" s="54"/>
      <c r="C28" s="54"/>
      <c r="D28" s="54"/>
      <c r="E28" s="54"/>
      <c r="F28" s="54"/>
      <c r="G28" s="54"/>
      <c r="H28" s="54"/>
      <c r="I28" s="54"/>
      <c r="J28" s="54"/>
      <c r="K28" s="54"/>
      <c r="L28" s="54"/>
      <c r="M28" s="54"/>
      <c r="N28" s="54"/>
      <c r="O28" s="54"/>
      <c r="P28" s="54"/>
      <c r="Q28" s="54"/>
      <c r="R28" s="54"/>
      <c r="S28" s="54"/>
      <c r="T28" s="54"/>
      <c r="U28" s="53"/>
      <c r="V28" s="53"/>
      <c r="W28" s="53"/>
      <c r="X28" s="53"/>
      <c r="Y28" s="53"/>
      <c r="Z28" s="579"/>
    </row>
    <row r="29" spans="1:30" ht="19.5" thickBot="1">
      <c r="A29" s="1196" t="s">
        <v>902</v>
      </c>
      <c r="B29" s="1197"/>
      <c r="C29" s="1197"/>
      <c r="D29" s="1197"/>
      <c r="E29" s="1197"/>
      <c r="F29" s="1197"/>
      <c r="G29" s="1197"/>
      <c r="H29" s="1197"/>
      <c r="I29" s="1197"/>
      <c r="J29" s="1197"/>
      <c r="K29" s="1197"/>
      <c r="L29" s="1197"/>
      <c r="M29" s="1197"/>
      <c r="N29" s="1197"/>
      <c r="O29" s="1197"/>
      <c r="P29" s="1197"/>
      <c r="Q29" s="1197"/>
      <c r="R29" s="1197"/>
      <c r="S29" s="1197"/>
      <c r="T29" s="1197"/>
      <c r="U29" s="1197"/>
      <c r="V29" s="1197"/>
      <c r="W29" s="1197"/>
      <c r="X29" s="1197"/>
      <c r="Y29" s="1197"/>
      <c r="Z29" s="1198"/>
    </row>
    <row r="30" spans="1:30" s="117" customFormat="1">
      <c r="A30" s="583"/>
      <c r="AA30" s="170"/>
      <c r="AD30" s="656"/>
    </row>
    <row r="31" spans="1:30" s="117" customFormat="1" ht="12.75" customHeight="1">
      <c r="A31" s="873" t="s">
        <v>813</v>
      </c>
      <c r="AA31" s="170"/>
      <c r="AD31" s="656"/>
    </row>
    <row r="32" spans="1:30" s="117" customFormat="1" ht="12.75" customHeight="1">
      <c r="A32" s="1175" t="s">
        <v>8</v>
      </c>
      <c r="B32" s="1175" t="s">
        <v>869</v>
      </c>
      <c r="C32" s="1175"/>
      <c r="D32" s="1175"/>
      <c r="E32" s="1175"/>
      <c r="F32" s="1175"/>
      <c r="G32" s="1175" t="s">
        <v>613</v>
      </c>
      <c r="H32" s="1175" t="s">
        <v>906</v>
      </c>
      <c r="I32" s="1175"/>
      <c r="J32" s="1175"/>
      <c r="K32" s="1175"/>
      <c r="L32" s="1175" t="s">
        <v>814</v>
      </c>
      <c r="M32" s="1175" t="s">
        <v>815</v>
      </c>
      <c r="N32" s="1178" t="s">
        <v>48</v>
      </c>
      <c r="O32" s="1178"/>
      <c r="P32" s="734" t="s">
        <v>50</v>
      </c>
      <c r="Q32" s="733" t="s">
        <v>816</v>
      </c>
      <c r="R32" s="1199" t="s">
        <v>888</v>
      </c>
      <c r="S32" s="1200"/>
      <c r="T32" s="1200"/>
      <c r="U32" s="1200"/>
      <c r="V32" s="1176" t="s">
        <v>898</v>
      </c>
      <c r="W32" s="1176"/>
      <c r="X32" s="1175" t="s">
        <v>913</v>
      </c>
      <c r="Y32" s="1175"/>
      <c r="Z32" s="1203"/>
      <c r="AA32" s="661"/>
      <c r="AD32" s="656"/>
    </row>
    <row r="33" spans="1:30" s="117" customFormat="1" ht="30" customHeight="1">
      <c r="A33" s="1175"/>
      <c r="B33" s="1175"/>
      <c r="C33" s="1175"/>
      <c r="D33" s="1175"/>
      <c r="E33" s="1175"/>
      <c r="F33" s="1175"/>
      <c r="G33" s="1175"/>
      <c r="H33" s="1175"/>
      <c r="I33" s="1175"/>
      <c r="J33" s="1175"/>
      <c r="K33" s="1175"/>
      <c r="L33" s="1175"/>
      <c r="M33" s="1175"/>
      <c r="N33" s="1204" t="s">
        <v>907</v>
      </c>
      <c r="O33" s="1204"/>
      <c r="P33" s="735" t="s">
        <v>908</v>
      </c>
      <c r="Q33" s="735" t="s">
        <v>890</v>
      </c>
      <c r="R33" s="1201"/>
      <c r="S33" s="1202"/>
      <c r="T33" s="1202"/>
      <c r="U33" s="1202"/>
      <c r="V33" s="1176"/>
      <c r="W33" s="1176"/>
      <c r="X33" s="1175"/>
      <c r="Y33" s="1175"/>
      <c r="Z33" s="1203"/>
      <c r="AA33" s="661"/>
      <c r="AD33" s="656"/>
    </row>
    <row r="34" s="117" customFormat="1" ht="27.75" customHeight="1">
      <c r="A34" s="662">
        <v>1</v>
      </c>
      <c r="B34" s="1179"/>
      <c r="C34" s="1180"/>
      <c r="D34" s="1180"/>
      <c r="E34" s="1180"/>
      <c r="F34" s="1181"/>
      <c r="G34" s="991"/>
      <c r="H34" s="1182"/>
      <c r="I34" s="1183"/>
      <c r="J34" s="1183"/>
      <c r="K34" s="1184"/>
      <c r="L34" s="662"/>
      <c r="M34" s="662"/>
      <c r="N34" s="1169"/>
      <c r="O34" s="1170"/>
      <c r="P34" s="664"/>
      <c r="Q34" s="665"/>
      <c r="R34" s="1185">
        <f>(N34*P34)-Q34</f>
      </c>
      <c r="S34" s="1186"/>
      <c r="T34" s="1186"/>
      <c r="U34" s="1186"/>
      <c r="V34" s="1187"/>
      <c r="W34" s="1187"/>
      <c r="X34" s="1193"/>
      <c r="Y34" s="1194"/>
      <c r="Z34" s="1195"/>
      <c r="AA34" s="666"/>
      <c r="AD34" s="656"/>
    </row>
    <row r="35" s="117" customFormat="1" ht="23.25" customHeight="1">
      <c r="A35" s="662"/>
      <c r="B35" s="1179"/>
      <c r="C35" s="1180"/>
      <c r="D35" s="1180"/>
      <c r="E35" s="1180"/>
      <c r="F35" s="1181"/>
      <c r="G35" s="663"/>
      <c r="H35" s="1182"/>
      <c r="I35" s="1183"/>
      <c r="J35" s="1183"/>
      <c r="K35" s="1184"/>
      <c r="L35" s="662"/>
      <c r="M35" s="662"/>
      <c r="N35" s="1169"/>
      <c r="O35" s="1170"/>
      <c r="P35" s="664"/>
      <c r="Q35" s="667"/>
      <c r="R35" s="1185"/>
      <c r="S35" s="1186"/>
      <c r="T35" s="1186"/>
      <c r="U35" s="1186"/>
      <c r="V35" s="1187"/>
      <c r="W35" s="1187"/>
      <c r="X35" s="1188"/>
      <c r="Y35" s="1188"/>
      <c r="Z35" s="1189"/>
      <c r="AA35" s="666"/>
      <c r="AD35" s="656"/>
    </row>
    <row r="36" s="117" customFormat="1" ht="23.25" hidden="1" customHeight="1">
      <c r="A36" s="662">
        <f t="shared" ref="A36:A40" si="0">A35+1</f>
      </c>
      <c r="B36" s="1179"/>
      <c r="C36" s="1180"/>
      <c r="D36" s="1180"/>
      <c r="E36" s="1180"/>
      <c r="F36" s="1181"/>
      <c r="G36" s="663"/>
      <c r="H36" s="1182"/>
      <c r="I36" s="1183"/>
      <c r="J36" s="1183"/>
      <c r="K36" s="1184"/>
      <c r="L36" s="662"/>
      <c r="M36" s="662"/>
      <c r="N36" s="1169"/>
      <c r="O36" s="1170"/>
      <c r="P36" s="664"/>
      <c r="Q36" s="667"/>
      <c r="R36" s="1185">
        <f t="shared" ref="R36:R40" si="1">(N36*P36)-Q36</f>
      </c>
      <c r="S36" s="1186"/>
      <c r="T36" s="1186"/>
      <c r="U36" s="1186"/>
      <c r="V36" s="1187"/>
      <c r="W36" s="1187"/>
      <c r="X36" s="1188"/>
      <c r="Y36" s="1188"/>
      <c r="Z36" s="1189"/>
      <c r="AA36" s="666"/>
      <c r="AD36" s="656"/>
    </row>
    <row r="37" s="117" customFormat="1" ht="23.25" hidden="1" customHeight="1">
      <c r="A37" s="662">
        <f t="shared" si="0"/>
      </c>
      <c r="B37" s="1179"/>
      <c r="C37" s="1180"/>
      <c r="D37" s="1180"/>
      <c r="E37" s="1180"/>
      <c r="F37" s="1181"/>
      <c r="G37" s="663"/>
      <c r="H37" s="1182"/>
      <c r="I37" s="1183"/>
      <c r="J37" s="1183"/>
      <c r="K37" s="1184"/>
      <c r="L37" s="662"/>
      <c r="M37" s="662"/>
      <c r="N37" s="1169"/>
      <c r="O37" s="1170"/>
      <c r="P37" s="664"/>
      <c r="Q37" s="667"/>
      <c r="R37" s="1185">
        <f t="shared" si="1"/>
      </c>
      <c r="S37" s="1186"/>
      <c r="T37" s="1186"/>
      <c r="U37" s="1186"/>
      <c r="V37" s="1187"/>
      <c r="W37" s="1187"/>
      <c r="X37" s="1188"/>
      <c r="Y37" s="1188"/>
      <c r="Z37" s="1189"/>
      <c r="AA37" s="666"/>
      <c r="AD37" s="656"/>
    </row>
    <row r="38" s="117" customFormat="1" ht="23.25" hidden="1" customHeight="1">
      <c r="A38" s="662">
        <f t="shared" si="0"/>
      </c>
      <c r="B38" s="1179"/>
      <c r="C38" s="1180"/>
      <c r="D38" s="1180"/>
      <c r="E38" s="1180"/>
      <c r="F38" s="1181"/>
      <c r="G38" s="663"/>
      <c r="H38" s="1182"/>
      <c r="I38" s="1183"/>
      <c r="J38" s="1183"/>
      <c r="K38" s="1184"/>
      <c r="L38" s="662"/>
      <c r="M38" s="662"/>
      <c r="N38" s="1169"/>
      <c r="O38" s="1170"/>
      <c r="P38" s="664"/>
      <c r="Q38" s="667"/>
      <c r="R38" s="1185">
        <f t="shared" si="1"/>
      </c>
      <c r="S38" s="1186"/>
      <c r="T38" s="1186"/>
      <c r="U38" s="1186"/>
      <c r="V38" s="1187"/>
      <c r="W38" s="1187"/>
      <c r="X38" s="1188"/>
      <c r="Y38" s="1188"/>
      <c r="Z38" s="1189"/>
      <c r="AA38" s="666"/>
      <c r="AD38" s="656"/>
    </row>
    <row r="39" s="117" customFormat="1" ht="23.25" hidden="1" customHeight="1">
      <c r="A39" s="662">
        <f t="shared" si="0"/>
      </c>
      <c r="B39" s="1179"/>
      <c r="C39" s="1180"/>
      <c r="D39" s="1180"/>
      <c r="E39" s="1180"/>
      <c r="F39" s="1181"/>
      <c r="G39" s="663"/>
      <c r="H39" s="1182"/>
      <c r="I39" s="1183"/>
      <c r="J39" s="1183"/>
      <c r="K39" s="1184"/>
      <c r="L39" s="662"/>
      <c r="M39" s="662"/>
      <c r="N39" s="1169"/>
      <c r="O39" s="1170"/>
      <c r="P39" s="664"/>
      <c r="Q39" s="667"/>
      <c r="R39" s="1185">
        <f t="shared" si="1"/>
      </c>
      <c r="S39" s="1186"/>
      <c r="T39" s="1186"/>
      <c r="U39" s="1186"/>
      <c r="V39" s="1187"/>
      <c r="W39" s="1187"/>
      <c r="X39" s="1188"/>
      <c r="Y39" s="1188"/>
      <c r="Z39" s="1189"/>
      <c r="AA39" s="666"/>
      <c r="AD39" s="656"/>
    </row>
    <row r="40" s="117" customFormat="1" ht="23.25" hidden="1" customHeight="1">
      <c r="A40" s="662">
        <f t="shared" si="0"/>
      </c>
      <c r="B40" s="1179"/>
      <c r="C40" s="1180"/>
      <c r="D40" s="1180"/>
      <c r="E40" s="1180"/>
      <c r="F40" s="1181"/>
      <c r="G40" s="663"/>
      <c r="H40" s="1182"/>
      <c r="I40" s="1183"/>
      <c r="J40" s="1183"/>
      <c r="K40" s="1184"/>
      <c r="L40" s="662"/>
      <c r="M40" s="662"/>
      <c r="N40" s="1169"/>
      <c r="O40" s="1170"/>
      <c r="P40" s="664"/>
      <c r="Q40" s="667"/>
      <c r="R40" s="1185">
        <f t="shared" si="1"/>
      </c>
      <c r="S40" s="1186"/>
      <c r="T40" s="1186"/>
      <c r="U40" s="1186"/>
      <c r="V40" s="1187"/>
      <c r="W40" s="1187"/>
      <c r="X40" s="1188"/>
      <c r="Y40" s="1188"/>
      <c r="Z40" s="1189"/>
      <c r="AA40" s="666"/>
      <c r="AD40" s="656"/>
    </row>
    <row r="41" spans="1:30" s="117" customFormat="1" ht="16.5" customHeight="1">
      <c r="A41" s="1143" t="s">
        <v>870</v>
      </c>
      <c r="B41" s="1144"/>
      <c r="C41" s="1144"/>
      <c r="D41" s="1144"/>
      <c r="E41" s="1144"/>
      <c r="F41" s="1144"/>
      <c r="G41" s="1144"/>
      <c r="H41" s="1144"/>
      <c r="I41" s="1144"/>
      <c r="J41" s="1144"/>
      <c r="K41" s="1144"/>
      <c r="L41" s="1144"/>
      <c r="M41" s="1145"/>
      <c r="N41" s="1190">
        <f>SUM(N34:O40)</f>
      </c>
      <c r="O41" s="1191"/>
      <c r="P41" s="664"/>
      <c r="Q41" s="667"/>
      <c r="R41" s="1192">
        <f>SUM(R34:U40)</f>
      </c>
      <c r="S41" s="1192"/>
      <c r="T41" s="1192"/>
      <c r="U41" s="1146"/>
      <c r="V41" s="1187"/>
      <c r="W41" s="1187"/>
      <c r="X41" s="1188"/>
      <c r="Y41" s="1188"/>
      <c r="Z41" s="1189"/>
      <c r="AA41" s="666"/>
      <c r="AD41" s="656"/>
    </row>
    <row r="42" spans="1:30">
      <c r="A42" s="96"/>
      <c r="B42" s="109"/>
      <c r="C42" s="109"/>
      <c r="D42" s="109"/>
      <c r="E42" s="109"/>
      <c r="F42" s="109"/>
      <c r="G42" s="109"/>
      <c r="H42" s="109"/>
      <c r="I42" s="109"/>
      <c r="J42" s="109"/>
      <c r="K42" s="109"/>
      <c r="L42" s="109"/>
      <c r="M42" s="584"/>
      <c r="N42" s="584"/>
      <c r="O42" s="584"/>
      <c r="P42" s="584"/>
      <c r="Q42" s="97"/>
      <c r="R42" s="584"/>
      <c r="S42" s="584"/>
      <c r="T42" s="584"/>
      <c r="U42" s="584"/>
      <c r="V42" s="584"/>
      <c r="W42" s="584"/>
      <c r="X42" s="584"/>
      <c r="Y42" s="584"/>
      <c r="Z42" s="110"/>
    </row>
    <row r="43" spans="1:30" s="117" customFormat="1" ht="12.75" hidden="1" customHeight="1">
      <c r="A43" s="873" t="s">
        <v>905</v>
      </c>
      <c r="B43" s="750"/>
      <c r="C43" s="750"/>
      <c r="D43" s="750"/>
      <c r="E43" s="750"/>
      <c r="F43" s="750"/>
      <c r="AA43" s="170"/>
      <c r="AD43" s="656"/>
    </row>
    <row r="44" spans="1:30" s="117" customFormat="1" ht="12.75" hidden="1" customHeight="1">
      <c r="A44" s="1175" t="s">
        <v>8</v>
      </c>
      <c r="B44" s="1175" t="s">
        <v>818</v>
      </c>
      <c r="C44" s="1175"/>
      <c r="D44" s="1175"/>
      <c r="E44" s="1175" t="s">
        <v>819</v>
      </c>
      <c r="F44" s="1175"/>
      <c r="G44" s="1175"/>
      <c r="H44" s="1175" t="s">
        <v>820</v>
      </c>
      <c r="I44" s="1176" t="s">
        <v>688</v>
      </c>
      <c r="J44" s="1176"/>
      <c r="K44" s="1176"/>
      <c r="L44" s="1175" t="s">
        <v>821</v>
      </c>
      <c r="M44" s="1175"/>
      <c r="N44" s="1175" t="s">
        <v>822</v>
      </c>
      <c r="O44" s="1178" t="s">
        <v>48</v>
      </c>
      <c r="P44" s="1178"/>
      <c r="Q44" s="733" t="s">
        <v>899</v>
      </c>
      <c r="R44" s="1178" t="s">
        <v>697</v>
      </c>
      <c r="S44" s="1178"/>
      <c r="T44" s="1178"/>
      <c r="U44" s="1178"/>
      <c r="V44" s="1175" t="s">
        <v>888</v>
      </c>
      <c r="W44" s="1175"/>
      <c r="X44" s="1175"/>
      <c r="Y44" s="1175"/>
      <c r="Z44" s="1176" t="s">
        <v>909</v>
      </c>
      <c r="AA44" s="658"/>
      <c r="AD44" s="656"/>
    </row>
    <row r="45" spans="1:30" s="117" customFormat="1" ht="12.75" hidden="1" customHeight="1">
      <c r="A45" s="1175"/>
      <c r="B45" s="1175"/>
      <c r="C45" s="1175"/>
      <c r="D45" s="1175"/>
      <c r="E45" s="1175"/>
      <c r="F45" s="1175"/>
      <c r="G45" s="1175"/>
      <c r="H45" s="1175"/>
      <c r="I45" s="1176"/>
      <c r="J45" s="1176"/>
      <c r="K45" s="1176"/>
      <c r="L45" s="1175"/>
      <c r="M45" s="1175"/>
      <c r="N45" s="1175"/>
      <c r="O45" s="1177" t="s">
        <v>907</v>
      </c>
      <c r="P45" s="1177"/>
      <c r="Q45" s="735" t="s">
        <v>900</v>
      </c>
      <c r="R45" s="1177" t="s">
        <v>890</v>
      </c>
      <c r="S45" s="1177"/>
      <c r="T45" s="1177"/>
      <c r="U45" s="1177"/>
      <c r="V45" s="1175"/>
      <c r="W45" s="1175"/>
      <c r="X45" s="1175"/>
      <c r="Y45" s="1175"/>
      <c r="Z45" s="1176"/>
      <c r="AA45" s="658"/>
      <c r="AD45" s="656"/>
    </row>
    <row r="46" s="117" customFormat="1" ht="23.25" hidden="1" customHeight="1">
      <c r="A46" s="662"/>
      <c r="B46" s="1167"/>
      <c r="C46" s="1167"/>
      <c r="D46" s="1167"/>
      <c r="E46" s="1167"/>
      <c r="F46" s="1167"/>
      <c r="G46" s="1167"/>
      <c r="H46" s="662"/>
      <c r="I46" s="1168"/>
      <c r="J46" s="1168"/>
      <c r="K46" s="1168"/>
      <c r="L46" s="1167"/>
      <c r="M46" s="1167"/>
      <c r="N46" s="663"/>
      <c r="O46" s="1169"/>
      <c r="P46" s="1170"/>
      <c r="Q46" s="664"/>
      <c r="R46" s="1169"/>
      <c r="S46" s="1171"/>
      <c r="T46" s="1171"/>
      <c r="U46" s="1170"/>
      <c r="V46" s="1172"/>
      <c r="W46" s="1173"/>
      <c r="X46" s="1173"/>
      <c r="Y46" s="1174"/>
      <c r="Z46" s="676"/>
      <c r="AA46" s="666"/>
      <c r="AD46" s="656"/>
    </row>
    <row r="47" s="117" customFormat="1" ht="23.25" hidden="1" customHeight="1">
      <c r="A47" s="662">
        <v>2</v>
      </c>
      <c r="B47" s="1167"/>
      <c r="C47" s="1167"/>
      <c r="D47" s="1167"/>
      <c r="E47" s="1167"/>
      <c r="F47" s="1167"/>
      <c r="G47" s="1167"/>
      <c r="H47" s="662"/>
      <c r="I47" s="1168"/>
      <c r="J47" s="1168"/>
      <c r="K47" s="1168"/>
      <c r="L47" s="1167"/>
      <c r="M47" s="1167"/>
      <c r="N47" s="663"/>
      <c r="O47" s="1169"/>
      <c r="P47" s="1170"/>
      <c r="Q47" s="664">
        <v>0.8</v>
      </c>
      <c r="R47" s="1169"/>
      <c r="S47" s="1171"/>
      <c r="T47" s="1171"/>
      <c r="U47" s="1170"/>
      <c r="V47" s="1172">
        <f t="shared" ref="V47:V50" si="2">(O47*Q47)-R47</f>
      </c>
      <c r="W47" s="1173"/>
      <c r="X47" s="1173"/>
      <c r="Y47" s="1174"/>
      <c r="Z47" s="676"/>
      <c r="AA47" s="666"/>
      <c r="AD47" s="656"/>
    </row>
    <row r="48" s="117" customFormat="1" ht="23.25" hidden="1" customHeight="1">
      <c r="A48" s="662">
        <v>3</v>
      </c>
      <c r="B48" s="1167"/>
      <c r="C48" s="1167"/>
      <c r="D48" s="1167"/>
      <c r="E48" s="1167"/>
      <c r="F48" s="1167"/>
      <c r="G48" s="1167"/>
      <c r="H48" s="662"/>
      <c r="I48" s="1168"/>
      <c r="J48" s="1168"/>
      <c r="K48" s="1168"/>
      <c r="L48" s="1167"/>
      <c r="M48" s="1167"/>
      <c r="N48" s="663"/>
      <c r="O48" s="1169"/>
      <c r="P48" s="1170"/>
      <c r="Q48" s="664">
        <v>0.8</v>
      </c>
      <c r="R48" s="1169"/>
      <c r="S48" s="1171"/>
      <c r="T48" s="1171"/>
      <c r="U48" s="1170"/>
      <c r="V48" s="1172">
        <f t="shared" si="2"/>
      </c>
      <c r="W48" s="1173"/>
      <c r="X48" s="1173"/>
      <c r="Y48" s="1174"/>
      <c r="Z48" s="676"/>
      <c r="AA48" s="666"/>
      <c r="AD48" s="656"/>
    </row>
    <row r="49" s="117" customFormat="1" ht="23.25" hidden="1" customHeight="1">
      <c r="A49" s="662">
        <v>4</v>
      </c>
      <c r="B49" s="1167"/>
      <c r="C49" s="1167"/>
      <c r="D49" s="1167"/>
      <c r="E49" s="1167"/>
      <c r="F49" s="1167"/>
      <c r="G49" s="1167"/>
      <c r="H49" s="662"/>
      <c r="I49" s="1168"/>
      <c r="J49" s="1168"/>
      <c r="K49" s="1168"/>
      <c r="L49" s="1167"/>
      <c r="M49" s="1167"/>
      <c r="N49" s="663"/>
      <c r="O49" s="1169"/>
      <c r="P49" s="1170"/>
      <c r="Q49" s="664">
        <v>0.8</v>
      </c>
      <c r="R49" s="1169"/>
      <c r="S49" s="1171"/>
      <c r="T49" s="1171"/>
      <c r="U49" s="1170"/>
      <c r="V49" s="1172">
        <f t="shared" si="2"/>
      </c>
      <c r="W49" s="1173"/>
      <c r="X49" s="1173"/>
      <c r="Y49" s="1174"/>
      <c r="Z49" s="676"/>
      <c r="AA49" s="666"/>
      <c r="AD49" s="656"/>
    </row>
    <row r="50" s="117" customFormat="1" ht="23.25" hidden="1" customHeight="1">
      <c r="A50" s="662">
        <v>5</v>
      </c>
      <c r="B50" s="1167"/>
      <c r="C50" s="1167"/>
      <c r="D50" s="1167"/>
      <c r="E50" s="1167"/>
      <c r="F50" s="1167"/>
      <c r="G50" s="1167"/>
      <c r="H50" s="662"/>
      <c r="I50" s="1168"/>
      <c r="J50" s="1168"/>
      <c r="K50" s="1168"/>
      <c r="L50" s="1167"/>
      <c r="M50" s="1167"/>
      <c r="N50" s="663"/>
      <c r="O50" s="1169"/>
      <c r="P50" s="1170"/>
      <c r="Q50" s="664">
        <v>0.8</v>
      </c>
      <c r="R50" s="1169"/>
      <c r="S50" s="1171"/>
      <c r="T50" s="1171"/>
      <c r="U50" s="1170"/>
      <c r="V50" s="1172">
        <f t="shared" si="2"/>
      </c>
      <c r="W50" s="1173"/>
      <c r="X50" s="1173"/>
      <c r="Y50" s="1174"/>
      <c r="Z50" s="676"/>
      <c r="AA50" s="666"/>
      <c r="AD50" s="656"/>
    </row>
    <row r="51" spans="1:30" s="117" customFormat="1" ht="18" hidden="1" customHeight="1">
      <c r="A51" s="1143" t="s">
        <v>870</v>
      </c>
      <c r="B51" s="1144"/>
      <c r="C51" s="1144"/>
      <c r="D51" s="1144"/>
      <c r="E51" s="1144"/>
      <c r="F51" s="1144"/>
      <c r="G51" s="1144"/>
      <c r="H51" s="1144"/>
      <c r="I51" s="1144"/>
      <c r="J51" s="1144"/>
      <c r="K51" s="1144"/>
      <c r="L51" s="1144"/>
      <c r="M51" s="1144"/>
      <c r="N51" s="1145"/>
      <c r="O51" s="1146">
        <f>SUM(O46:P50)</f>
      </c>
      <c r="P51" s="1147"/>
      <c r="Q51" s="668"/>
      <c r="R51" s="1146">
        <f>SUM(R46:U50)</f>
      </c>
      <c r="S51" s="1148"/>
      <c r="T51" s="1148"/>
      <c r="U51" s="1147"/>
      <c r="V51" s="1146">
        <f>SUM(V46:Y50)</f>
      </c>
      <c r="W51" s="1148"/>
      <c r="X51" s="1148"/>
      <c r="Y51" s="1147"/>
      <c r="Z51" s="677"/>
      <c r="AA51" s="666"/>
      <c r="AD51" s="656"/>
    </row>
    <row r="52" spans="1:30" hidden="1">
      <c r="A52" s="96"/>
      <c r="B52" s="109"/>
      <c r="C52" s="109"/>
      <c r="D52" s="109"/>
      <c r="E52" s="109"/>
      <c r="F52" s="109"/>
      <c r="G52" s="109"/>
      <c r="H52" s="109"/>
      <c r="I52" s="109"/>
      <c r="J52" s="109"/>
      <c r="K52" s="109"/>
      <c r="L52" s="109"/>
      <c r="M52" s="584"/>
      <c r="N52" s="584"/>
      <c r="O52" s="584"/>
      <c r="P52" s="584"/>
      <c r="Q52" s="97"/>
      <c r="R52" s="584"/>
      <c r="S52" s="584"/>
      <c r="T52" s="584"/>
      <c r="U52" s="584"/>
      <c r="V52" s="584"/>
      <c r="W52" s="584"/>
      <c r="X52" s="584"/>
      <c r="Y52" s="584"/>
      <c r="Z52" s="110"/>
    </row>
    <row r="53" spans="1:30" ht="15.75" hidden="1">
      <c r="A53" s="873" t="s">
        <v>823</v>
      </c>
      <c r="B53" s="874"/>
      <c r="C53" s="874"/>
      <c r="D53" s="874"/>
      <c r="E53" s="874"/>
      <c r="F53" s="874"/>
      <c r="G53" s="109"/>
      <c r="H53" s="109"/>
      <c r="I53" s="109"/>
      <c r="J53" s="109"/>
      <c r="K53" s="109"/>
      <c r="L53" s="109"/>
      <c r="M53" s="584"/>
      <c r="N53" s="584"/>
      <c r="O53" s="584"/>
      <c r="P53" s="584"/>
      <c r="Q53" s="97"/>
      <c r="R53" s="584"/>
      <c r="S53" s="584"/>
      <c r="T53" s="584"/>
      <c r="U53" s="584"/>
      <c r="V53" s="584"/>
      <c r="W53" s="584"/>
      <c r="X53" s="584"/>
      <c r="Y53" s="584"/>
      <c r="Z53" s="110"/>
    </row>
    <row r="54" spans="1:30" hidden="1">
      <c r="A54" s="1149" t="s">
        <v>8</v>
      </c>
      <c r="B54" s="1151" t="s">
        <v>824</v>
      </c>
      <c r="C54" s="1152"/>
      <c r="D54" s="1153"/>
      <c r="E54" s="1151" t="s">
        <v>825</v>
      </c>
      <c r="F54" s="1152"/>
      <c r="G54" s="1153"/>
      <c r="H54" s="1151" t="s">
        <v>688</v>
      </c>
      <c r="I54" s="1152"/>
      <c r="J54" s="1152"/>
      <c r="K54" s="1153"/>
      <c r="L54" s="1151" t="s">
        <v>891</v>
      </c>
      <c r="M54" s="1152"/>
      <c r="N54" s="1153"/>
      <c r="O54" s="1157" t="s">
        <v>889</v>
      </c>
      <c r="P54" s="1158"/>
      <c r="Q54" s="1151" t="s">
        <v>816</v>
      </c>
      <c r="R54" s="1153"/>
      <c r="S54" s="1161" t="s">
        <v>888</v>
      </c>
      <c r="T54" s="1162"/>
      <c r="U54" s="1162"/>
      <c r="V54" s="1162"/>
      <c r="W54" s="1163"/>
      <c r="X54" s="584"/>
      <c r="Y54" s="584"/>
      <c r="Z54" s="110"/>
    </row>
    <row r="55" spans="1:30" hidden="1">
      <c r="A55" s="1150"/>
      <c r="B55" s="1154"/>
      <c r="C55" s="1155"/>
      <c r="D55" s="1156"/>
      <c r="E55" s="1154"/>
      <c r="F55" s="1155"/>
      <c r="G55" s="1156"/>
      <c r="H55" s="1154"/>
      <c r="I55" s="1155"/>
      <c r="J55" s="1155"/>
      <c r="K55" s="1156"/>
      <c r="L55" s="1154"/>
      <c r="M55" s="1155"/>
      <c r="N55" s="1156"/>
      <c r="O55" s="1159"/>
      <c r="P55" s="1160"/>
      <c r="Q55" s="1154" t="s">
        <v>890</v>
      </c>
      <c r="R55" s="1156"/>
      <c r="S55" s="1164"/>
      <c r="T55" s="1165"/>
      <c r="U55" s="1165"/>
      <c r="V55" s="1165"/>
      <c r="W55" s="1166"/>
      <c r="X55" s="584"/>
      <c r="Y55" s="584"/>
      <c r="Z55" s="110"/>
    </row>
    <row r="56" ht="16.5" hidden="1">
      <c r="A56" s="669">
        <v>1</v>
      </c>
      <c r="B56" s="1131"/>
      <c r="C56" s="1132"/>
      <c r="D56" s="1133"/>
      <c r="E56" s="1134"/>
      <c r="F56" s="1135"/>
      <c r="G56" s="1136"/>
      <c r="H56" s="1131"/>
      <c r="I56" s="1132"/>
      <c r="J56" s="1132"/>
      <c r="K56" s="1133"/>
      <c r="L56" s="1137"/>
      <c r="M56" s="1138"/>
      <c r="N56" s="1139"/>
      <c r="O56" s="1124">
        <v>1</v>
      </c>
      <c r="P56" s="1125"/>
      <c r="Q56" s="1137"/>
      <c r="R56" s="1139"/>
      <c r="S56" s="1140">
        <f>(L56*O56)-Q56</f>
      </c>
      <c r="T56" s="1141"/>
      <c r="U56" s="1141"/>
      <c r="V56" s="1141"/>
      <c r="W56" s="1142"/>
      <c r="X56" s="584"/>
      <c r="Y56" s="584"/>
      <c r="Z56" s="110"/>
    </row>
    <row r="57" ht="16.5" hidden="1">
      <c r="A57" s="669">
        <v>2</v>
      </c>
      <c r="B57" s="1131"/>
      <c r="C57" s="1132"/>
      <c r="D57" s="1133"/>
      <c r="E57" s="1134"/>
      <c r="F57" s="1135"/>
      <c r="G57" s="1136"/>
      <c r="H57" s="1131"/>
      <c r="I57" s="1132"/>
      <c r="J57" s="1132"/>
      <c r="K57" s="1133"/>
      <c r="L57" s="1137"/>
      <c r="M57" s="1138"/>
      <c r="N57" s="1139"/>
      <c r="O57" s="1124">
        <v>1</v>
      </c>
      <c r="P57" s="1125"/>
      <c r="Q57" s="1137"/>
      <c r="R57" s="1139"/>
      <c r="S57" s="1140">
        <f t="shared" ref="S57:S59" si="3">(L57*O57)-Q57</f>
      </c>
      <c r="T57" s="1141"/>
      <c r="U57" s="1141"/>
      <c r="V57" s="1141"/>
      <c r="W57" s="1142"/>
      <c r="X57" s="584"/>
      <c r="Y57" s="584"/>
      <c r="Z57" s="110"/>
    </row>
    <row r="58" ht="16.5" hidden="1">
      <c r="A58" s="669">
        <v>3</v>
      </c>
      <c r="B58" s="1131"/>
      <c r="C58" s="1132"/>
      <c r="D58" s="1133"/>
      <c r="E58" s="1134"/>
      <c r="F58" s="1135"/>
      <c r="G58" s="1136"/>
      <c r="H58" s="1131"/>
      <c r="I58" s="1132"/>
      <c r="J58" s="1132"/>
      <c r="K58" s="1133"/>
      <c r="L58" s="1137"/>
      <c r="M58" s="1138"/>
      <c r="N58" s="1139"/>
      <c r="O58" s="1124">
        <v>1</v>
      </c>
      <c r="P58" s="1125"/>
      <c r="Q58" s="1137"/>
      <c r="R58" s="1139"/>
      <c r="S58" s="1140">
        <f t="shared" si="3"/>
      </c>
      <c r="T58" s="1141"/>
      <c r="U58" s="1141"/>
      <c r="V58" s="1141"/>
      <c r="W58" s="1142"/>
      <c r="X58" s="584"/>
      <c r="Y58" s="584"/>
      <c r="Z58" s="110"/>
    </row>
    <row r="59" ht="16.5" hidden="1">
      <c r="A59" s="669">
        <v>4</v>
      </c>
      <c r="B59" s="1131"/>
      <c r="C59" s="1132"/>
      <c r="D59" s="1133"/>
      <c r="E59" s="1134"/>
      <c r="F59" s="1135"/>
      <c r="G59" s="1136"/>
      <c r="H59" s="1131"/>
      <c r="I59" s="1132"/>
      <c r="J59" s="1132"/>
      <c r="K59" s="1133"/>
      <c r="L59" s="1137"/>
      <c r="M59" s="1138"/>
      <c r="N59" s="1139"/>
      <c r="O59" s="1124">
        <v>1</v>
      </c>
      <c r="P59" s="1125"/>
      <c r="Q59" s="1137"/>
      <c r="R59" s="1139"/>
      <c r="S59" s="1140">
        <f t="shared" si="3"/>
      </c>
      <c r="T59" s="1141"/>
      <c r="U59" s="1141"/>
      <c r="V59" s="1141"/>
      <c r="W59" s="1142"/>
      <c r="X59" s="584"/>
      <c r="Y59" s="584"/>
      <c r="Z59" s="110"/>
    </row>
    <row r="60" spans="1:30" ht="16.5" hidden="1">
      <c r="A60" s="1118" t="s">
        <v>870</v>
      </c>
      <c r="B60" s="1119"/>
      <c r="C60" s="1119"/>
      <c r="D60" s="1119"/>
      <c r="E60" s="1119"/>
      <c r="F60" s="1119"/>
      <c r="G60" s="1119"/>
      <c r="H60" s="1119"/>
      <c r="I60" s="1119"/>
      <c r="J60" s="1119"/>
      <c r="K60" s="1120"/>
      <c r="L60" s="1121">
        <f>SUM(L56:N59)</f>
      </c>
      <c r="M60" s="1122"/>
      <c r="N60" s="1123"/>
      <c r="O60" s="1124"/>
      <c r="P60" s="1125"/>
      <c r="Q60" s="1121">
        <f>SUM(Q56:R59)</f>
      </c>
      <c r="R60" s="1123"/>
      <c r="S60" s="1126">
        <f>SUM(S56:W59)</f>
      </c>
      <c r="T60" s="1127"/>
      <c r="U60" s="1127"/>
      <c r="V60" s="1127"/>
      <c r="W60" s="1128"/>
      <c r="X60" s="584"/>
      <c r="Y60" s="584"/>
      <c r="Z60" s="110"/>
    </row>
    <row r="61" spans="1:30" ht="11.25" hidden="1" customHeight="1">
      <c r="A61" s="96"/>
      <c r="B61" s="109"/>
      <c r="C61" s="109"/>
      <c r="D61" s="109"/>
      <c r="E61" s="109"/>
      <c r="F61" s="109"/>
      <c r="G61" s="109"/>
      <c r="H61" s="109"/>
      <c r="I61" s="109"/>
      <c r="J61" s="109"/>
      <c r="K61" s="109"/>
      <c r="L61" s="109"/>
      <c r="M61" s="584"/>
      <c r="N61" s="584"/>
      <c r="O61" s="584"/>
      <c r="P61" s="584"/>
      <c r="Q61" s="97"/>
      <c r="R61" s="584"/>
      <c r="S61" s="584"/>
      <c r="T61" s="584"/>
      <c r="U61" s="584"/>
      <c r="V61" s="584"/>
      <c r="W61" s="584"/>
      <c r="X61" s="584"/>
      <c r="Y61" s="584"/>
      <c r="Z61" s="110"/>
    </row>
    <row r="62" spans="1:30" ht="18" customHeight="1">
      <c r="A62" s="96"/>
      <c r="B62" s="739" t="s">
        <v>912</v>
      </c>
      <c r="C62" s="737"/>
      <c r="D62" s="737"/>
      <c r="E62" s="737"/>
      <c r="F62" s="737"/>
      <c r="G62" s="738"/>
      <c r="H62" s="738"/>
      <c r="I62" s="1129">
        <f>R41+V51+S60</f>
      </c>
      <c r="J62" s="1129"/>
      <c r="K62" s="1129"/>
      <c r="L62" s="1129"/>
      <c r="M62" s="1129"/>
      <c r="N62" s="1129"/>
      <c r="O62" s="584"/>
      <c r="P62" s="584"/>
      <c r="Q62" s="97"/>
      <c r="R62" s="584"/>
      <c r="S62" s="584"/>
      <c r="T62" s="584"/>
      <c r="U62" s="584"/>
      <c r="V62" s="584"/>
      <c r="W62" s="584"/>
      <c r="X62" s="584"/>
      <c r="Y62" s="584"/>
      <c r="Z62" s="110"/>
    </row>
    <row r="63" spans="1:30" ht="15.75" thickBot="1">
      <c r="A63" s="96"/>
      <c r="B63" s="109"/>
      <c r="C63" s="109"/>
      <c r="D63" s="109"/>
      <c r="E63" s="109"/>
      <c r="F63" s="109"/>
      <c r="G63" s="109"/>
      <c r="H63" s="109"/>
      <c r="I63" s="109"/>
      <c r="J63" s="109"/>
      <c r="K63" s="109"/>
      <c r="L63" s="109"/>
      <c r="M63" s="584"/>
      <c r="N63" s="584"/>
      <c r="O63" s="584"/>
      <c r="P63" s="584"/>
      <c r="Q63" s="97"/>
      <c r="R63" s="584"/>
      <c r="S63" s="584"/>
      <c r="T63" s="584"/>
      <c r="U63" s="584"/>
      <c r="V63" s="584"/>
      <c r="W63" s="584"/>
      <c r="X63" s="584"/>
      <c r="Y63" s="584"/>
      <c r="Z63" s="110"/>
    </row>
    <row r="64" spans="1:30" ht="19.5" thickBot="1">
      <c r="A64" s="1196" t="s">
        <v>560</v>
      </c>
      <c r="B64" s="1197"/>
      <c r="C64" s="1197"/>
      <c r="D64" s="1197"/>
      <c r="E64" s="1197"/>
      <c r="F64" s="1197"/>
      <c r="G64" s="1197"/>
      <c r="H64" s="1197"/>
      <c r="I64" s="1197"/>
      <c r="J64" s="1197"/>
      <c r="K64" s="1197"/>
      <c r="L64" s="1197"/>
      <c r="M64" s="1197"/>
      <c r="N64" s="1197"/>
      <c r="O64" s="1197"/>
      <c r="P64" s="1197"/>
      <c r="Q64" s="1197"/>
      <c r="R64" s="1197"/>
      <c r="S64" s="1197"/>
      <c r="T64" s="1197"/>
      <c r="U64" s="1197"/>
      <c r="V64" s="1197"/>
      <c r="W64" s="1197"/>
      <c r="X64" s="1197"/>
      <c r="Y64" s="1197"/>
      <c r="Z64" s="1198"/>
      <c r="AA64" s="97"/>
      <c r="AB64" s="97"/>
      <c r="AC64" s="97"/>
    </row>
    <row r="65" spans="1:28">
      <c r="A65" s="121"/>
      <c r="B65" s="580"/>
      <c r="C65" s="580"/>
      <c r="D65" s="580"/>
      <c r="E65" s="580"/>
      <c r="F65" s="580"/>
      <c r="G65" s="580"/>
      <c r="H65" s="580"/>
      <c r="I65" s="580"/>
      <c r="J65" s="580"/>
      <c r="K65" s="580"/>
      <c r="L65" s="580"/>
      <c r="M65" s="581"/>
      <c r="N65" s="581"/>
      <c r="O65" s="581"/>
      <c r="P65" s="581"/>
      <c r="Q65" s="582"/>
      <c r="R65" s="581"/>
      <c r="S65" s="581"/>
      <c r="T65" s="581"/>
      <c r="U65" s="581"/>
      <c r="V65" s="581"/>
      <c r="W65" s="581"/>
      <c r="X65" s="581"/>
      <c r="Y65" s="581"/>
      <c r="Z65" s="120"/>
    </row>
    <row r="66" spans="1:28">
      <c r="A66" s="123" t="s">
        <v>337</v>
      </c>
      <c r="B66" s="583" t="s">
        <v>684</v>
      </c>
      <c r="C66" s="109"/>
      <c r="D66" s="109"/>
      <c r="E66" s="109"/>
      <c r="F66" s="109"/>
      <c r="G66" s="109"/>
      <c r="H66" s="109"/>
      <c r="I66" s="109"/>
      <c r="J66" s="109"/>
      <c r="K66" s="109"/>
      <c r="L66" s="109"/>
      <c r="M66" s="584"/>
      <c r="N66" s="584"/>
      <c r="O66" s="584"/>
      <c r="P66" s="584"/>
      <c r="Q66" s="97"/>
      <c r="R66" s="584"/>
      <c r="S66" s="584"/>
      <c r="T66" s="584"/>
      <c r="U66" s="584"/>
      <c r="V66" s="584"/>
      <c r="W66" s="584"/>
      <c r="X66" s="584"/>
      <c r="Y66" s="584"/>
      <c r="Z66" s="110"/>
      <c r="AB66" s="122" t="s">
        <v>561</v>
      </c>
    </row>
    <row r="67" spans="1:28">
      <c r="A67" s="96"/>
      <c r="B67" s="875" t="s">
        <v>628</v>
      </c>
      <c r="C67" s="585"/>
      <c r="D67" s="585"/>
      <c r="E67" s="585"/>
      <c r="F67" s="585"/>
      <c r="G67" s="585"/>
      <c r="H67" s="585"/>
      <c r="I67" s="585"/>
      <c r="J67" s="585"/>
      <c r="K67" s="585"/>
      <c r="L67" s="585"/>
      <c r="M67" s="585"/>
      <c r="N67" s="585"/>
      <c r="O67" s="585"/>
      <c r="P67" s="585"/>
      <c r="Q67" s="585"/>
      <c r="R67" s="585"/>
      <c r="S67" s="585"/>
      <c r="T67" s="585"/>
      <c r="U67" s="585"/>
      <c r="V67" s="584"/>
      <c r="W67" s="584"/>
      <c r="X67" s="584"/>
      <c r="Y67" s="584"/>
      <c r="Z67" s="110"/>
      <c r="AB67" s="122"/>
    </row>
    <row r="68" spans="1:28">
      <c r="A68" s="96"/>
      <c r="B68" s="659" t="s">
        <v>834</v>
      </c>
      <c r="D68" s="585"/>
      <c r="E68" s="657" t="s">
        <v>0</v>
      </c>
      <c r="F68" s="585" t="s">
        <v>837</v>
      </c>
      <c r="G68" s="585"/>
      <c r="I68" s="585"/>
      <c r="J68" s="585"/>
      <c r="K68" s="585"/>
      <c r="L68" s="585"/>
      <c r="M68" s="585"/>
      <c r="N68" s="585"/>
      <c r="O68" s="585"/>
      <c r="P68" s="585"/>
      <c r="Q68" s="585"/>
      <c r="R68" s="585"/>
      <c r="S68" s="585"/>
      <c r="T68" s="585"/>
      <c r="U68" s="585"/>
      <c r="V68" s="584"/>
      <c r="W68" s="584"/>
      <c r="X68" s="584"/>
      <c r="Y68" s="584"/>
      <c r="Z68" s="110"/>
      <c r="AB68" s="122"/>
    </row>
    <row r="69" spans="1:28">
      <c r="A69" s="96"/>
      <c r="B69" s="585"/>
      <c r="C69" s="585"/>
      <c r="D69" s="585"/>
      <c r="E69" s="585"/>
      <c r="F69" s="585"/>
      <c r="G69" s="585"/>
      <c r="H69" s="585"/>
      <c r="I69" s="585"/>
      <c r="J69" s="585"/>
      <c r="K69" s="585"/>
      <c r="L69" s="585"/>
      <c r="M69" s="585"/>
      <c r="N69" s="585"/>
      <c r="O69" s="585"/>
      <c r="P69" s="585"/>
      <c r="Q69" s="585"/>
      <c r="R69" s="585"/>
      <c r="S69" s="585"/>
      <c r="T69" s="585"/>
      <c r="U69" s="585"/>
      <c r="V69" s="584"/>
      <c r="W69" s="584"/>
      <c r="X69" s="584"/>
      <c r="Y69" s="584"/>
      <c r="Z69" s="110"/>
      <c r="AB69" s="122"/>
    </row>
    <row r="70" spans="1:28">
      <c r="A70" s="123" t="s">
        <v>339</v>
      </c>
      <c r="B70" s="583" t="s">
        <v>626</v>
      </c>
      <c r="C70" s="109"/>
      <c r="D70" s="109"/>
      <c r="E70" s="109"/>
      <c r="F70" s="109"/>
      <c r="G70" s="109"/>
      <c r="H70" s="109"/>
      <c r="I70" s="109"/>
      <c r="J70" s="109"/>
      <c r="K70" s="109"/>
      <c r="L70" s="109"/>
      <c r="M70" s="584"/>
      <c r="N70" s="584"/>
      <c r="O70" s="584"/>
      <c r="P70" s="584"/>
      <c r="Q70" s="97"/>
      <c r="R70" s="584"/>
      <c r="S70" s="584"/>
      <c r="T70" s="584"/>
      <c r="U70" s="584"/>
      <c r="V70" s="584"/>
      <c r="W70" s="584"/>
      <c r="X70" s="584"/>
      <c r="Y70" s="584"/>
      <c r="Z70" s="110"/>
      <c r="AB70" s="122" t="s">
        <v>562</v>
      </c>
    </row>
    <row r="71" spans="1:28">
      <c r="A71" s="123"/>
      <c r="B71" s="586" t="s">
        <v>668</v>
      </c>
      <c r="C71" s="109"/>
      <c r="D71" s="109"/>
      <c r="E71" s="109"/>
      <c r="F71" s="109"/>
      <c r="G71" s="109"/>
      <c r="H71" s="109"/>
      <c r="I71" s="109"/>
      <c r="J71" s="109"/>
      <c r="K71" s="109"/>
      <c r="L71" s="109"/>
      <c r="M71" s="584"/>
      <c r="N71" s="584"/>
      <c r="O71" s="584"/>
      <c r="P71" s="584"/>
      <c r="Q71" s="97"/>
      <c r="R71" s="584"/>
      <c r="S71" s="584"/>
      <c r="T71" s="584"/>
      <c r="U71" s="584"/>
      <c r="V71" s="584"/>
      <c r="W71" s="584"/>
      <c r="X71" s="584"/>
      <c r="Y71" s="584"/>
      <c r="Z71" s="110"/>
      <c r="AB71" s="122"/>
    </row>
    <row r="72" spans="1:28">
      <c r="A72" s="96"/>
      <c r="B72" s="659" t="s">
        <v>834</v>
      </c>
      <c r="D72" s="585"/>
      <c r="E72" s="657" t="s">
        <v>0</v>
      </c>
      <c r="F72" s="124" t="s">
        <v>782</v>
      </c>
      <c r="G72" s="124"/>
      <c r="I72" s="124"/>
      <c r="J72" s="109"/>
      <c r="K72" s="109"/>
      <c r="L72" s="109"/>
      <c r="M72" s="584"/>
      <c r="N72" s="584"/>
      <c r="O72" s="584"/>
      <c r="P72" s="584"/>
      <c r="Q72" s="97"/>
      <c r="R72" s="584"/>
      <c r="S72" s="584"/>
      <c r="T72" s="584"/>
      <c r="U72" s="584"/>
      <c r="V72" s="584"/>
      <c r="W72" s="584"/>
      <c r="X72" s="584"/>
      <c r="Y72" s="584"/>
      <c r="Z72" s="110"/>
    </row>
    <row r="73" spans="1:28">
      <c r="A73" s="96"/>
      <c r="B73" s="1024" t="s">
        <v>1069</v>
      </c>
      <c r="C73" s="1025" t="s">
        <v>1070</v>
      </c>
      <c r="D73" s="585"/>
      <c r="E73" s="657"/>
      <c r="F73" s="124"/>
      <c r="G73" s="124"/>
      <c r="I73" s="124"/>
      <c r="J73" s="109"/>
      <c r="K73" s="109"/>
      <c r="L73" s="109"/>
      <c r="M73" s="584"/>
      <c r="N73" s="584"/>
      <c r="O73" s="584"/>
      <c r="P73" s="584"/>
      <c r="Q73" s="97"/>
      <c r="R73" s="584"/>
      <c r="S73" s="584"/>
      <c r="T73" s="584"/>
      <c r="U73" s="584"/>
      <c r="V73" s="584"/>
      <c r="W73" s="584"/>
      <c r="X73" s="584"/>
      <c r="Y73" s="584"/>
      <c r="Z73" s="110"/>
    </row>
    <row r="74" spans="1:28">
      <c r="A74" s="96"/>
      <c r="B74" s="1021"/>
      <c r="C74" s="1026" t="s">
        <v>1071</v>
      </c>
      <c r="D74" s="585"/>
      <c r="E74" s="657"/>
      <c r="F74" s="124"/>
      <c r="G74" s="124"/>
      <c r="I74" s="124"/>
      <c r="J74" s="109"/>
      <c r="K74" s="109"/>
      <c r="L74" s="109"/>
      <c r="M74" s="584"/>
      <c r="N74" s="584"/>
      <c r="O74" s="584"/>
      <c r="P74" s="584"/>
      <c r="Q74" s="97"/>
      <c r="R74" s="584"/>
      <c r="S74" s="584"/>
      <c r="T74" s="584"/>
      <c r="U74" s="584"/>
      <c r="V74" s="584"/>
      <c r="W74" s="584"/>
      <c r="X74" s="584"/>
      <c r="Y74" s="584"/>
      <c r="Z74" s="110"/>
    </row>
    <row r="75" spans="1:28">
      <c r="A75" s="123" t="s">
        <v>341</v>
      </c>
      <c r="B75" s="583" t="s">
        <v>767</v>
      </c>
      <c r="C75" s="109"/>
      <c r="D75" s="109"/>
      <c r="E75" s="109"/>
      <c r="F75" s="109"/>
      <c r="G75" s="109"/>
      <c r="H75" s="109"/>
      <c r="I75" s="109"/>
      <c r="J75" s="109"/>
      <c r="K75" s="109"/>
      <c r="L75" s="109"/>
      <c r="M75" s="584"/>
      <c r="N75" s="584"/>
      <c r="O75" s="584"/>
      <c r="P75" s="584"/>
      <c r="Q75" s="97"/>
      <c r="R75" s="584"/>
      <c r="S75" s="584"/>
      <c r="T75" s="584"/>
      <c r="U75" s="584"/>
      <c r="V75" s="584"/>
      <c r="W75" s="584"/>
      <c r="X75" s="584"/>
      <c r="Y75" s="584"/>
      <c r="Z75" s="110"/>
    </row>
    <row r="76" spans="1:28">
      <c r="A76" s="123"/>
      <c r="B76" s="586" t="s">
        <v>783</v>
      </c>
      <c r="C76" s="109"/>
      <c r="D76" s="109"/>
      <c r="E76" s="109"/>
      <c r="F76" s="109"/>
      <c r="G76" s="109"/>
      <c r="H76" s="109"/>
      <c r="I76" s="109"/>
      <c r="J76" s="109"/>
      <c r="K76" s="109"/>
      <c r="L76" s="109"/>
      <c r="M76" s="584"/>
      <c r="N76" s="584"/>
      <c r="O76" s="584"/>
      <c r="P76" s="584"/>
      <c r="Q76" s="97"/>
      <c r="R76" s="584"/>
      <c r="S76" s="584"/>
      <c r="T76" s="584"/>
      <c r="U76" s="584"/>
      <c r="V76" s="584"/>
      <c r="W76" s="584"/>
      <c r="X76" s="584"/>
      <c r="Y76" s="584"/>
      <c r="Z76" s="110"/>
    </row>
    <row r="77">
      <c r="A77" s="123"/>
      <c r="B77" s="659" t="s">
        <v>834</v>
      </c>
      <c r="C77" s="54"/>
      <c r="D77" s="585"/>
      <c r="E77" s="657" t="s">
        <v>0</v>
      </c>
      <c r="F77" s="1130"/>
      <c r="G77" s="1130"/>
      <c r="H77" s="1130"/>
      <c r="I77" s="1130"/>
      <c r="J77" s="1130"/>
      <c r="K77" s="586"/>
      <c r="L77" s="109"/>
      <c r="M77" s="584"/>
      <c r="N77" s="584"/>
      <c r="O77" s="584"/>
      <c r="Q77" s="97"/>
      <c r="R77" s="584"/>
      <c r="S77" s="584"/>
      <c r="T77" s="584"/>
      <c r="U77" s="584"/>
      <c r="V77" s="584"/>
      <c r="W77" s="584"/>
      <c r="X77" s="584"/>
      <c r="Y77" s="584"/>
      <c r="Z77" s="110"/>
    </row>
    <row r="78" spans="1:28">
      <c r="A78" s="123"/>
      <c r="B78" s="659" t="s">
        <v>834</v>
      </c>
      <c r="C78" s="54"/>
      <c r="D78" s="585"/>
      <c r="E78" s="657" t="s">
        <v>0</v>
      </c>
      <c r="F78" s="124" t="s">
        <v>835</v>
      </c>
      <c r="G78" s="124"/>
      <c r="H78" s="124"/>
      <c r="I78" s="124"/>
      <c r="J78" s="124"/>
      <c r="K78" s="54"/>
      <c r="L78" s="124"/>
      <c r="M78" s="584"/>
      <c r="N78" s="584"/>
      <c r="O78" s="584"/>
      <c r="P78" s="124"/>
      <c r="Q78" s="97"/>
      <c r="R78" s="584"/>
      <c r="S78" s="584"/>
      <c r="T78" s="584"/>
      <c r="U78" s="584"/>
      <c r="V78" s="584"/>
      <c r="W78" s="584"/>
      <c r="X78" s="584"/>
      <c r="Y78" s="584"/>
      <c r="Z78" s="110"/>
    </row>
    <row r="79" spans="1:28">
      <c r="A79" s="123"/>
      <c r="B79" s="659" t="s">
        <v>834</v>
      </c>
      <c r="C79" s="54"/>
      <c r="D79" s="585"/>
      <c r="E79" s="657" t="s">
        <v>0</v>
      </c>
      <c r="F79" s="124" t="s">
        <v>836</v>
      </c>
      <c r="G79" s="124"/>
      <c r="H79" s="124"/>
      <c r="I79" s="124"/>
      <c r="J79" s="124"/>
      <c r="L79" s="124"/>
      <c r="M79" s="54"/>
      <c r="N79" s="645"/>
      <c r="O79" s="645"/>
      <c r="P79" s="124"/>
      <c r="Q79" s="500"/>
      <c r="R79" s="645"/>
      <c r="S79" s="584"/>
      <c r="T79" s="584"/>
      <c r="U79" s="584"/>
      <c r="V79" s="584"/>
      <c r="W79" s="584"/>
      <c r="X79" s="584"/>
      <c r="Y79" s="584"/>
      <c r="Z79" s="110"/>
    </row>
    <row r="80" spans="1:28" ht="5.25" customHeight="1">
      <c r="A80" s="123"/>
      <c r="B80" s="109"/>
      <c r="C80" s="585"/>
      <c r="D80" s="585"/>
      <c r="E80" s="585"/>
      <c r="F80" s="585"/>
      <c r="G80" s="585"/>
      <c r="H80" s="585"/>
      <c r="I80" s="585"/>
      <c r="J80" s="586"/>
      <c r="K80" s="109"/>
      <c r="L80" s="109"/>
      <c r="M80" s="584"/>
      <c r="N80" s="584"/>
      <c r="O80" s="584"/>
      <c r="P80" s="584"/>
      <c r="Q80" s="97"/>
      <c r="R80" s="584"/>
      <c r="S80" s="584"/>
      <c r="T80" s="584"/>
      <c r="U80" s="584"/>
      <c r="V80" s="584"/>
      <c r="W80" s="584"/>
      <c r="X80" s="584"/>
      <c r="Y80" s="584"/>
      <c r="Z80" s="110"/>
    </row>
    <row r="81" spans="1:29">
      <c r="A81" s="123" t="s">
        <v>554</v>
      </c>
      <c r="B81" s="583" t="s">
        <v>563</v>
      </c>
      <c r="C81" s="109"/>
      <c r="D81" s="109"/>
      <c r="E81" s="109"/>
      <c r="F81" s="109"/>
      <c r="G81" s="109"/>
      <c r="H81" s="109"/>
      <c r="I81" s="109"/>
      <c r="J81" s="109"/>
      <c r="K81" s="109"/>
      <c r="L81" s="109"/>
      <c r="M81" s="584"/>
      <c r="N81" s="584"/>
      <c r="O81" s="584"/>
      <c r="P81" s="584"/>
      <c r="Q81" s="97"/>
      <c r="R81" s="584"/>
      <c r="S81" s="584"/>
      <c r="T81" s="584"/>
      <c r="U81" s="584"/>
      <c r="V81" s="584"/>
      <c r="W81" s="584"/>
      <c r="X81" s="584"/>
      <c r="Y81" s="584"/>
      <c r="Z81" s="110"/>
    </row>
    <row r="82" spans="1:29">
      <c r="A82" s="123"/>
      <c r="B82" s="586" t="s">
        <v>627</v>
      </c>
      <c r="C82" s="109"/>
      <c r="D82" s="109"/>
      <c r="E82" s="109"/>
      <c r="F82" s="109"/>
      <c r="G82" s="109"/>
      <c r="H82" s="109"/>
      <c r="I82" s="109"/>
      <c r="J82" s="109"/>
      <c r="K82" s="109"/>
      <c r="L82" s="109"/>
      <c r="M82" s="584"/>
      <c r="N82" s="584"/>
      <c r="O82" s="584"/>
      <c r="P82" s="584"/>
      <c r="Q82" s="97"/>
      <c r="R82" s="584"/>
      <c r="S82" s="584"/>
      <c r="T82" s="584"/>
      <c r="U82" s="584"/>
      <c r="V82" s="584"/>
      <c r="W82" s="584"/>
      <c r="X82" s="584"/>
      <c r="Y82" s="584"/>
      <c r="Z82" s="110"/>
    </row>
    <row r="83">
      <c r="A83" s="96"/>
      <c r="B83" s="659" t="s">
        <v>834</v>
      </c>
      <c r="C83" s="54"/>
      <c r="D83" s="585"/>
      <c r="E83" s="657" t="s">
        <v>0</v>
      </c>
      <c r="F83" s="1130"/>
      <c r="G83" s="1130"/>
      <c r="H83" s="1130"/>
      <c r="I83" s="1130"/>
      <c r="J83" s="1130"/>
      <c r="K83" s="109"/>
      <c r="L83" s="109"/>
      <c r="N83" s="584"/>
      <c r="O83" s="584"/>
      <c r="P83" s="584"/>
      <c r="Q83" s="97"/>
      <c r="R83" s="584"/>
      <c r="S83" s="584"/>
      <c r="T83" s="584"/>
      <c r="U83" s="584"/>
      <c r="V83" s="584"/>
      <c r="W83" s="584"/>
      <c r="X83" s="584"/>
      <c r="Y83" s="584"/>
      <c r="Z83" s="110"/>
    </row>
    <row r="84" spans="1:29" ht="5.25" customHeight="1">
      <c r="A84" s="96"/>
      <c r="B84" s="109"/>
      <c r="C84" s="585"/>
      <c r="D84" s="585"/>
      <c r="E84" s="585"/>
      <c r="F84" s="585"/>
      <c r="G84" s="585"/>
      <c r="H84" s="585"/>
      <c r="I84" s="585"/>
      <c r="J84" s="109"/>
      <c r="K84" s="109"/>
      <c r="L84" s="109"/>
      <c r="M84" s="584"/>
      <c r="N84" s="584"/>
      <c r="O84" s="584"/>
      <c r="P84" s="584"/>
      <c r="Q84" s="97"/>
      <c r="R84" s="584"/>
      <c r="S84" s="584"/>
      <c r="T84" s="584"/>
      <c r="U84" s="584"/>
      <c r="V84" s="584"/>
      <c r="W84" s="584"/>
      <c r="X84" s="584"/>
      <c r="Y84" s="584"/>
      <c r="Z84" s="110"/>
    </row>
    <row r="85" spans="1:29">
      <c r="A85" s="123" t="s">
        <v>555</v>
      </c>
      <c r="B85" s="583" t="s">
        <v>769</v>
      </c>
      <c r="C85" s="124"/>
      <c r="D85" s="124"/>
      <c r="E85" s="124"/>
      <c r="F85" s="124"/>
      <c r="G85" s="124"/>
      <c r="H85" s="124"/>
      <c r="I85" s="124"/>
      <c r="J85" s="109"/>
      <c r="K85" s="109"/>
      <c r="L85" s="109"/>
      <c r="M85" s="584"/>
      <c r="N85" s="584"/>
      <c r="O85" s="584"/>
      <c r="P85" s="584"/>
      <c r="Q85" s="97"/>
      <c r="R85" s="584"/>
      <c r="S85" s="584"/>
      <c r="T85" s="584"/>
      <c r="U85" s="584"/>
      <c r="V85" s="584"/>
      <c r="W85" s="584"/>
      <c r="X85" s="584"/>
      <c r="Y85" s="584"/>
      <c r="Z85" s="110"/>
    </row>
    <row r="86" spans="1:29">
      <c r="A86" s="123"/>
      <c r="B86" s="670" t="s">
        <v>841</v>
      </c>
      <c r="C86" s="124"/>
      <c r="D86" s="124"/>
      <c r="E86" s="124"/>
      <c r="F86" s="124"/>
      <c r="G86" s="124"/>
      <c r="H86" s="124"/>
      <c r="I86" s="124"/>
      <c r="J86" s="124"/>
      <c r="K86" s="124"/>
      <c r="L86" s="109"/>
      <c r="M86" s="584"/>
      <c r="N86" s="584"/>
      <c r="O86" s="584"/>
      <c r="P86" s="584"/>
      <c r="Q86" s="97"/>
      <c r="R86" s="584"/>
      <c r="S86" s="584"/>
      <c r="T86" s="584"/>
      <c r="U86" s="584"/>
      <c r="V86" s="584"/>
      <c r="W86" s="584"/>
      <c r="X86" s="584"/>
      <c r="Y86" s="584"/>
      <c r="Z86" s="110"/>
    </row>
    <row r="87" spans="1:29">
      <c r="A87" s="123"/>
      <c r="B87" s="670" t="s">
        <v>842</v>
      </c>
      <c r="C87" s="124"/>
      <c r="D87" s="124"/>
      <c r="E87" s="124"/>
      <c r="F87" s="124"/>
      <c r="G87" s="124"/>
      <c r="H87" s="124"/>
      <c r="I87" s="124"/>
      <c r="J87" s="124"/>
      <c r="K87" s="124"/>
      <c r="L87" s="109"/>
      <c r="M87" s="584"/>
      <c r="N87" s="584"/>
      <c r="O87" s="584"/>
      <c r="P87" s="584"/>
      <c r="Q87" s="97"/>
      <c r="R87" s="584"/>
      <c r="S87" s="584"/>
      <c r="T87" s="584"/>
      <c r="U87" s="584"/>
      <c r="V87" s="584"/>
      <c r="W87" s="584"/>
      <c r="X87" s="584"/>
      <c r="Y87" s="584"/>
      <c r="Z87" s="110"/>
    </row>
    <row r="88">
      <c r="A88" s="123"/>
      <c r="B88" s="659" t="s">
        <v>834</v>
      </c>
      <c r="C88" s="54"/>
      <c r="D88" s="585"/>
      <c r="E88" s="657" t="s">
        <v>0</v>
      </c>
      <c r="F88" s="1130"/>
      <c r="G88" s="1130"/>
      <c r="H88" s="1130"/>
      <c r="I88" s="1130"/>
      <c r="J88" s="1130"/>
      <c r="K88" s="586"/>
      <c r="M88" s="584"/>
      <c r="N88" s="584"/>
      <c r="O88" s="584"/>
      <c r="P88" s="584"/>
      <c r="R88" s="584"/>
      <c r="S88" s="584"/>
      <c r="T88" s="584"/>
      <c r="U88" s="584"/>
      <c r="V88" s="584"/>
      <c r="W88" s="584"/>
      <c r="X88" s="584"/>
      <c r="Y88" s="584"/>
      <c r="Z88" s="110"/>
    </row>
    <row r="89" spans="1:29" ht="15.75" thickBot="1">
      <c r="A89" s="96"/>
      <c r="C89" s="1230"/>
      <c r="D89" s="1230"/>
      <c r="E89" s="1230"/>
      <c r="F89" s="1230"/>
      <c r="G89" s="1230"/>
      <c r="H89" s="1230"/>
      <c r="I89" s="1230"/>
      <c r="J89" s="1230"/>
      <c r="K89" s="1230"/>
      <c r="L89" s="1230"/>
      <c r="M89" s="1230"/>
      <c r="N89" s="1230"/>
      <c r="O89" s="1230"/>
      <c r="P89" s="1230"/>
      <c r="Q89" s="1230"/>
      <c r="R89" s="1230"/>
      <c r="S89" s="1230"/>
      <c r="T89" s="1230"/>
      <c r="U89" s="1230"/>
      <c r="V89" s="1230"/>
      <c r="W89" s="584"/>
      <c r="X89" s="584"/>
      <c r="Y89" s="584"/>
      <c r="Z89" s="110"/>
    </row>
    <row r="90" spans="1:29" ht="16.5" thickBot="1">
      <c r="A90" s="1232" t="s">
        <v>567</v>
      </c>
      <c r="B90" s="1233"/>
      <c r="C90" s="1233"/>
      <c r="D90" s="1233"/>
      <c r="E90" s="1233"/>
      <c r="F90" s="1233"/>
      <c r="G90" s="1233"/>
      <c r="H90" s="1233"/>
      <c r="I90" s="1233"/>
      <c r="J90" s="1233"/>
      <c r="K90" s="1233"/>
      <c r="L90" s="1233"/>
      <c r="M90" s="1233"/>
      <c r="N90" s="1233"/>
      <c r="O90" s="1233"/>
      <c r="P90" s="1233"/>
      <c r="Q90" s="1233"/>
      <c r="R90" s="1233"/>
      <c r="S90" s="1233"/>
      <c r="T90" s="1233"/>
      <c r="U90" s="1233"/>
      <c r="V90" s="1233"/>
      <c r="W90" s="1233"/>
      <c r="X90" s="1233"/>
      <c r="Y90" s="1233"/>
      <c r="Z90" s="1234"/>
      <c r="AA90" s="97"/>
      <c r="AB90" s="97"/>
      <c r="AC90" s="97"/>
    </row>
    <row r="91" spans="1:29">
      <c r="A91" s="98"/>
      <c r="B91" s="54"/>
      <c r="C91" s="54"/>
      <c r="D91" s="54"/>
      <c r="E91" s="54"/>
      <c r="F91" s="54"/>
      <c r="G91" s="54"/>
      <c r="H91" s="54"/>
      <c r="I91" s="54"/>
      <c r="J91" s="54"/>
      <c r="K91" s="54"/>
      <c r="L91" s="53"/>
      <c r="M91" s="54"/>
      <c r="N91" s="54"/>
      <c r="O91" s="54"/>
      <c r="P91" s="54"/>
      <c r="Q91" s="54"/>
      <c r="R91" s="54"/>
      <c r="S91" s="54"/>
      <c r="T91" s="54"/>
      <c r="U91" s="54"/>
      <c r="V91" s="54"/>
      <c r="W91" s="54"/>
      <c r="X91" s="54"/>
      <c r="Y91" s="54"/>
      <c r="Z91" s="95"/>
      <c r="AA91" s="54"/>
      <c r="AB91" s="54"/>
      <c r="AC91" s="54"/>
    </row>
    <row r="92" spans="1:29">
      <c r="A92" s="98"/>
      <c r="B92" s="54"/>
      <c r="C92" s="54"/>
      <c r="D92" s="54"/>
      <c r="E92" s="54"/>
      <c r="F92" s="54"/>
      <c r="G92" s="54"/>
      <c r="H92" s="54"/>
      <c r="I92" s="54"/>
      <c r="J92" s="54"/>
      <c r="K92" s="54"/>
      <c r="L92" s="967" t="s">
        <v>1013</v>
      </c>
      <c r="M92" s="967"/>
      <c r="N92" s="967"/>
      <c r="O92" s="967"/>
      <c r="P92" s="54"/>
      <c r="Q92" s="54"/>
      <c r="R92" s="1212" t="s">
        <v>559</v>
      </c>
      <c r="S92" s="1212"/>
      <c r="T92" s="1212"/>
      <c r="U92" s="1212"/>
      <c r="V92" s="1212"/>
      <c r="W92" s="1212"/>
      <c r="X92" s="1212"/>
      <c r="Y92" s="1212"/>
      <c r="Z92" s="111"/>
      <c r="AA92" s="54"/>
      <c r="AB92" s="54"/>
      <c r="AC92" s="54"/>
    </row>
    <row r="93" spans="1:29">
      <c r="A93" s="98"/>
      <c r="B93" s="54"/>
      <c r="C93" s="54"/>
      <c r="D93" s="54"/>
      <c r="E93" s="54"/>
      <c r="F93" s="54"/>
      <c r="G93" s="54"/>
      <c r="H93" s="54"/>
      <c r="I93" s="54"/>
      <c r="J93" s="54"/>
      <c r="K93" s="54"/>
      <c r="L93" s="54"/>
      <c r="M93" s="54"/>
      <c r="N93" s="54"/>
      <c r="O93" s="54"/>
      <c r="P93" s="54"/>
      <c r="Q93" s="54"/>
      <c r="R93" s="54"/>
      <c r="S93" s="54"/>
      <c r="T93" s="54"/>
      <c r="U93" s="54"/>
      <c r="V93" s="54"/>
      <c r="W93" s="54"/>
      <c r="X93" s="54"/>
      <c r="Y93" s="54"/>
      <c r="Z93" s="95"/>
      <c r="AA93" s="54"/>
      <c r="AB93" s="54"/>
      <c r="AC93" s="54"/>
    </row>
    <row r="94" spans="1:29">
      <c r="A94" s="98"/>
      <c r="B94" s="54"/>
      <c r="C94" s="54"/>
      <c r="D94" s="54"/>
      <c r="E94" s="54"/>
      <c r="F94" s="54"/>
      <c r="G94" s="54"/>
      <c r="H94" s="54"/>
      <c r="I94" s="54"/>
      <c r="J94" s="54"/>
      <c r="K94" s="54"/>
      <c r="L94" s="54"/>
      <c r="M94" s="54"/>
      <c r="N94" s="54"/>
      <c r="O94" s="54"/>
      <c r="P94" s="54"/>
      <c r="Q94" s="54"/>
      <c r="R94" s="54"/>
      <c r="S94" s="54"/>
      <c r="T94" s="54"/>
      <c r="U94" s="54"/>
      <c r="V94" s="54"/>
      <c r="W94" s="54"/>
      <c r="X94" s="54"/>
      <c r="Y94" s="54"/>
      <c r="Z94" s="95"/>
      <c r="AA94" s="54"/>
      <c r="AB94" s="54"/>
      <c r="AC94" s="54"/>
    </row>
    <row r="95" spans="1:29">
      <c r="A95" s="98"/>
      <c r="B95" s="54"/>
      <c r="C95" s="54"/>
      <c r="D95" s="54"/>
      <c r="E95" s="54"/>
      <c r="F95" s="54"/>
      <c r="G95" s="54"/>
      <c r="H95" s="54"/>
      <c r="I95" s="54"/>
      <c r="J95" s="54"/>
      <c r="K95" s="54"/>
      <c r="L95" s="54"/>
      <c r="M95" s="54"/>
      <c r="N95" s="54"/>
      <c r="O95" s="54"/>
      <c r="P95" s="54"/>
      <c r="Q95" s="54"/>
      <c r="R95" s="54"/>
      <c r="S95" s="54"/>
      <c r="T95" s="54"/>
      <c r="U95" s="54"/>
      <c r="V95" s="54"/>
      <c r="W95" s="54"/>
      <c r="X95" s="54"/>
      <c r="Y95" s="54"/>
      <c r="Z95" s="95"/>
      <c r="AA95" s="54"/>
      <c r="AB95" s="54"/>
      <c r="AC95" s="54"/>
    </row>
    <row r="96" ht="17.25">
      <c r="A96" s="98"/>
      <c r="B96" s="54"/>
      <c r="C96" s="54"/>
      <c r="D96" s="54"/>
      <c r="E96" s="54"/>
      <c r="F96" s="54"/>
      <c r="G96" s="54"/>
      <c r="H96" s="54"/>
      <c r="I96" s="54"/>
      <c r="J96" s="54"/>
      <c r="K96" s="54"/>
      <c r="L96" s="968"/>
      <c r="M96" s="968"/>
      <c r="N96" s="968"/>
      <c r="O96" s="968"/>
      <c r="P96" s="54"/>
      <c r="Q96" s="54"/>
      <c r="R96" s="1242">
        <f>'Informasi Pokok'!D5</f>
      </c>
      <c r="S96" s="1242"/>
      <c r="T96" s="1242"/>
      <c r="U96" s="1242"/>
      <c r="V96" s="1242"/>
      <c r="W96" s="1242"/>
      <c r="X96" s="1242"/>
      <c r="Y96" s="1242"/>
      <c r="Z96" s="95"/>
      <c r="AA96" s="54"/>
      <c r="AB96" s="54"/>
      <c r="AC96" s="54"/>
    </row>
    <row r="97" spans="1:29">
      <c r="A97" s="98"/>
      <c r="B97" s="54"/>
      <c r="C97" s="54"/>
      <c r="D97" s="54"/>
      <c r="E97" s="54"/>
      <c r="F97" s="54"/>
      <c r="G97" s="54"/>
      <c r="H97" s="54"/>
      <c r="I97" s="54"/>
      <c r="J97" s="54"/>
      <c r="K97" s="54"/>
      <c r="L97" s="967" t="s">
        <v>1015</v>
      </c>
      <c r="M97" s="967"/>
      <c r="N97" s="967"/>
      <c r="O97" s="967"/>
      <c r="P97" s="54"/>
      <c r="Q97" s="54"/>
      <c r="R97" s="1212" t="s">
        <v>506</v>
      </c>
      <c r="S97" s="1212"/>
      <c r="T97" s="1212"/>
      <c r="U97" s="1212"/>
      <c r="V97" s="1212"/>
      <c r="W97" s="1212"/>
      <c r="X97" s="1212"/>
      <c r="Y97" s="1212"/>
      <c r="Z97" s="111"/>
      <c r="AA97" s="54"/>
      <c r="AB97" s="54"/>
      <c r="AC97" s="54"/>
    </row>
    <row r="98" spans="1:29" hidden="1">
      <c r="A98" s="98"/>
      <c r="B98" s="54"/>
      <c r="C98" s="54"/>
      <c r="D98" s="54"/>
      <c r="E98" s="54"/>
      <c r="F98" s="54"/>
      <c r="G98" s="54"/>
      <c r="H98" s="54"/>
      <c r="I98" s="54"/>
      <c r="J98" s="54"/>
      <c r="K98" s="54"/>
      <c r="L98" s="53"/>
      <c r="M98" s="54"/>
      <c r="N98" s="54"/>
      <c r="O98" s="54"/>
      <c r="P98" s="54"/>
      <c r="Q98" s="54"/>
      <c r="R98" s="54"/>
      <c r="S98" s="54"/>
      <c r="T98" s="54"/>
      <c r="U98" s="54"/>
      <c r="V98" s="54"/>
      <c r="W98" s="54"/>
      <c r="X98" s="54"/>
      <c r="Y98" s="54"/>
      <c r="Z98" s="95"/>
      <c r="AA98" s="54"/>
      <c r="AB98" s="54"/>
      <c r="AC98" s="54"/>
    </row>
    <row r="99" spans="1:29" hidden="1">
      <c r="A99" s="94"/>
      <c r="B99" s="1237" t="s">
        <v>487</v>
      </c>
      <c r="C99" s="1238"/>
      <c r="D99" s="1238"/>
      <c r="E99" s="1238"/>
      <c r="F99" s="1238"/>
      <c r="G99" s="1238"/>
      <c r="H99" s="1238"/>
      <c r="I99" s="1238"/>
      <c r="J99" s="1238"/>
      <c r="K99" s="1238"/>
      <c r="L99" s="1238"/>
      <c r="M99" s="1238"/>
      <c r="N99" s="1238"/>
      <c r="O99" s="1235" t="s">
        <v>488</v>
      </c>
      <c r="P99" s="1235"/>
      <c r="Q99" s="1235"/>
      <c r="R99" s="1235"/>
      <c r="S99" s="1235"/>
      <c r="T99" s="1235"/>
      <c r="U99" s="1235"/>
      <c r="V99" s="1235"/>
      <c r="W99" s="1235"/>
      <c r="X99" s="1235"/>
      <c r="Y99" s="1235"/>
      <c r="Z99" s="114"/>
      <c r="AA99" s="108"/>
      <c r="AB99" s="108"/>
      <c r="AC99" s="108"/>
    </row>
    <row r="100" spans="1:29" hidden="1">
      <c r="A100" s="94"/>
      <c r="B100" s="101"/>
      <c r="C100" s="11" t="s">
        <v>1</v>
      </c>
      <c r="D100" s="11"/>
      <c r="E100" s="11"/>
      <c r="F100" s="11"/>
      <c r="G100" s="11" t="s">
        <v>0</v>
      </c>
      <c r="H100" s="1239"/>
      <c r="I100" s="1239"/>
      <c r="J100" s="1239"/>
      <c r="K100" s="1239"/>
      <c r="L100" s="1239"/>
      <c r="M100" s="1239"/>
      <c r="N100" s="1239"/>
      <c r="O100" s="1236"/>
      <c r="P100" s="1236"/>
      <c r="Q100" s="1236"/>
      <c r="R100" s="1236"/>
      <c r="S100" s="1236"/>
      <c r="T100" s="1236"/>
      <c r="U100" s="1236"/>
      <c r="V100" s="1236"/>
      <c r="W100" s="1236"/>
      <c r="X100" s="1236"/>
      <c r="Y100" s="1236"/>
      <c r="Z100" s="115"/>
      <c r="AA100" s="11"/>
      <c r="AB100" s="11"/>
      <c r="AC100" s="11"/>
    </row>
    <row r="101" spans="1:29" hidden="1">
      <c r="A101" s="94"/>
      <c r="B101" s="101"/>
      <c r="C101" s="11" t="s">
        <v>489</v>
      </c>
      <c r="D101" s="11"/>
      <c r="E101" s="11"/>
      <c r="F101" s="11"/>
      <c r="G101" s="11" t="s">
        <v>0</v>
      </c>
      <c r="H101" s="1240" t="s">
        <v>844</v>
      </c>
      <c r="I101" s="1241"/>
      <c r="J101" s="1241"/>
      <c r="K101" s="1241"/>
      <c r="L101" s="1241"/>
      <c r="M101" s="1241"/>
      <c r="N101" s="1241"/>
      <c r="O101" s="1236"/>
      <c r="P101" s="1236"/>
      <c r="Q101" s="1236"/>
      <c r="R101" s="1236"/>
      <c r="S101" s="1236"/>
      <c r="T101" s="1236"/>
      <c r="U101" s="1236"/>
      <c r="V101" s="1236"/>
      <c r="W101" s="1236"/>
      <c r="X101" s="1236"/>
      <c r="Y101" s="1236"/>
      <c r="Z101" s="115"/>
      <c r="AA101" s="11"/>
      <c r="AB101" s="11"/>
      <c r="AC101" s="11"/>
    </row>
    <row r="102" spans="1:29" hidden="1">
      <c r="A102" s="94"/>
      <c r="B102" s="101"/>
      <c r="C102" s="11" t="s">
        <v>101</v>
      </c>
      <c r="D102" s="11"/>
      <c r="E102" s="11"/>
      <c r="F102" s="11"/>
      <c r="G102" s="11" t="s">
        <v>0</v>
      </c>
      <c r="H102" s="1231"/>
      <c r="I102" s="1231"/>
      <c r="J102" s="1231"/>
      <c r="K102" s="1231"/>
      <c r="L102" s="1231"/>
      <c r="M102" s="1231"/>
      <c r="N102" s="1231"/>
      <c r="O102" s="1236"/>
      <c r="P102" s="1236"/>
      <c r="Q102" s="1236"/>
      <c r="R102" s="1236"/>
      <c r="S102" s="1236"/>
      <c r="T102" s="1236"/>
      <c r="U102" s="1236"/>
      <c r="V102" s="1236"/>
      <c r="W102" s="1236"/>
      <c r="X102" s="1236"/>
      <c r="Y102" s="1236"/>
      <c r="Z102" s="115"/>
      <c r="AA102" s="11"/>
      <c r="AB102" s="11"/>
      <c r="AC102" s="11"/>
    </row>
    <row r="103" spans="1:29" hidden="1">
      <c r="A103" s="94"/>
      <c r="B103" s="101"/>
      <c r="C103" s="11" t="s">
        <v>490</v>
      </c>
      <c r="D103" s="11"/>
      <c r="E103" s="11"/>
      <c r="F103" s="11"/>
      <c r="G103" s="11" t="s">
        <v>0</v>
      </c>
      <c r="H103" s="106"/>
      <c r="I103" s="113"/>
      <c r="J103" s="113"/>
      <c r="K103" s="113"/>
      <c r="L103" s="113"/>
      <c r="M103" s="107"/>
      <c r="N103" s="11"/>
      <c r="O103" s="1236"/>
      <c r="P103" s="1236"/>
      <c r="Q103" s="1236"/>
      <c r="R103" s="1236"/>
      <c r="S103" s="1236"/>
      <c r="T103" s="1236"/>
      <c r="U103" s="1236"/>
      <c r="V103" s="1236"/>
      <c r="W103" s="1236"/>
      <c r="X103" s="1236"/>
      <c r="Y103" s="1236"/>
      <c r="Z103" s="115"/>
      <c r="AA103" s="11"/>
      <c r="AB103" s="11"/>
      <c r="AC103" s="11"/>
    </row>
    <row r="104" spans="1:29" hidden="1">
      <c r="A104" s="94"/>
      <c r="B104" s="101"/>
      <c r="C104" s="11"/>
      <c r="D104" s="11"/>
      <c r="E104" s="11"/>
      <c r="F104" s="11"/>
      <c r="G104" s="11"/>
      <c r="H104" s="101"/>
      <c r="I104" s="11"/>
      <c r="J104" s="11"/>
      <c r="K104" s="11"/>
      <c r="L104" s="11"/>
      <c r="M104" s="102"/>
      <c r="N104" s="11"/>
      <c r="O104" s="1236"/>
      <c r="P104" s="1236"/>
      <c r="Q104" s="1236"/>
      <c r="R104" s="1236"/>
      <c r="S104" s="1236"/>
      <c r="T104" s="1236"/>
      <c r="U104" s="1236"/>
      <c r="V104" s="1236"/>
      <c r="W104" s="1236"/>
      <c r="X104" s="1236"/>
      <c r="Y104" s="1236"/>
      <c r="Z104" s="115"/>
      <c r="AA104" s="11"/>
      <c r="AB104" s="11"/>
      <c r="AC104" s="11"/>
    </row>
    <row r="105" spans="1:29" hidden="1">
      <c r="A105" s="94"/>
      <c r="B105" s="101"/>
      <c r="C105" s="11"/>
      <c r="D105" s="11"/>
      <c r="E105" s="11"/>
      <c r="F105" s="11"/>
      <c r="G105" s="11"/>
      <c r="H105" s="103"/>
      <c r="I105" s="104"/>
      <c r="J105" s="104"/>
      <c r="K105" s="104"/>
      <c r="L105" s="104"/>
      <c r="M105" s="105"/>
      <c r="N105" s="11"/>
      <c r="O105" s="1236"/>
      <c r="P105" s="1236"/>
      <c r="Q105" s="1236"/>
      <c r="R105" s="1236"/>
      <c r="S105" s="1236"/>
      <c r="T105" s="1236"/>
      <c r="U105" s="1236"/>
      <c r="V105" s="1236"/>
      <c r="W105" s="1236"/>
      <c r="X105" s="1236"/>
      <c r="Y105" s="1236"/>
      <c r="Z105" s="115"/>
      <c r="AA105" s="11"/>
      <c r="AB105" s="11"/>
      <c r="AC105" s="11"/>
    </row>
    <row r="106" spans="1:29" hidden="1">
      <c r="A106" s="94"/>
      <c r="B106" s="103"/>
      <c r="C106" s="104"/>
      <c r="D106" s="104"/>
      <c r="E106" s="104"/>
      <c r="F106" s="104"/>
      <c r="G106" s="104"/>
      <c r="H106" s="104"/>
      <c r="I106" s="104"/>
      <c r="J106" s="104"/>
      <c r="K106" s="104"/>
      <c r="L106" s="104"/>
      <c r="M106" s="104"/>
      <c r="N106" s="104"/>
      <c r="O106" s="1236"/>
      <c r="P106" s="1236"/>
      <c r="Q106" s="1236"/>
      <c r="R106" s="1236"/>
      <c r="S106" s="1236"/>
      <c r="T106" s="1236"/>
      <c r="U106" s="1236"/>
      <c r="V106" s="1236"/>
      <c r="W106" s="1236"/>
      <c r="X106" s="1236"/>
      <c r="Y106" s="1236"/>
      <c r="Z106" s="115"/>
      <c r="AA106" s="11"/>
      <c r="AB106" s="11"/>
      <c r="AC106" s="11"/>
    </row>
    <row r="107" spans="1:29" hidden="1">
      <c r="A107" s="94"/>
      <c r="B107" s="1237" t="s">
        <v>487</v>
      </c>
      <c r="C107" s="1238"/>
      <c r="D107" s="1238"/>
      <c r="E107" s="1238"/>
      <c r="F107" s="1238"/>
      <c r="G107" s="1238"/>
      <c r="H107" s="1238"/>
      <c r="I107" s="1238"/>
      <c r="J107" s="1238"/>
      <c r="K107" s="1238"/>
      <c r="L107" s="1238"/>
      <c r="M107" s="1238"/>
      <c r="N107" s="1238"/>
      <c r="O107" s="1235" t="s">
        <v>488</v>
      </c>
      <c r="P107" s="1235"/>
      <c r="Q107" s="1235"/>
      <c r="R107" s="1235"/>
      <c r="S107" s="1235"/>
      <c r="T107" s="1235"/>
      <c r="U107" s="1235"/>
      <c r="V107" s="1235"/>
      <c r="W107" s="1235"/>
      <c r="X107" s="1235"/>
      <c r="Y107" s="1235"/>
      <c r="Z107" s="114"/>
      <c r="AA107" s="108"/>
      <c r="AB107" s="108"/>
      <c r="AC107" s="108"/>
    </row>
    <row r="108" spans="1:29" hidden="1">
      <c r="A108" s="94"/>
      <c r="B108" s="101"/>
      <c r="C108" s="11" t="s">
        <v>1</v>
      </c>
      <c r="D108" s="11"/>
      <c r="E108" s="11"/>
      <c r="F108" s="11"/>
      <c r="G108" s="11" t="s">
        <v>0</v>
      </c>
      <c r="H108" s="1239"/>
      <c r="I108" s="1239"/>
      <c r="J108" s="1239"/>
      <c r="K108" s="1239"/>
      <c r="L108" s="1239"/>
      <c r="M108" s="1239"/>
      <c r="N108" s="1239"/>
      <c r="O108" s="1236"/>
      <c r="P108" s="1236"/>
      <c r="Q108" s="1236"/>
      <c r="R108" s="1236"/>
      <c r="S108" s="1236"/>
      <c r="T108" s="1236"/>
      <c r="U108" s="1236"/>
      <c r="V108" s="1236"/>
      <c r="W108" s="1236"/>
      <c r="X108" s="1236"/>
      <c r="Y108" s="1236"/>
      <c r="Z108" s="115"/>
      <c r="AA108" s="11"/>
      <c r="AB108" s="11"/>
      <c r="AC108" s="11"/>
    </row>
    <row r="109" spans="1:29" hidden="1">
      <c r="A109" s="94"/>
      <c r="B109" s="101"/>
      <c r="C109" s="11" t="s">
        <v>489</v>
      </c>
      <c r="D109" s="11"/>
      <c r="E109" s="11"/>
      <c r="F109" s="11"/>
      <c r="G109" s="11" t="s">
        <v>0</v>
      </c>
      <c r="H109" s="1240" t="s">
        <v>491</v>
      </c>
      <c r="I109" s="1241"/>
      <c r="J109" s="1241"/>
      <c r="K109" s="1241"/>
      <c r="L109" s="1241"/>
      <c r="M109" s="1241"/>
      <c r="N109" s="1241"/>
      <c r="O109" s="1236"/>
      <c r="P109" s="1236"/>
      <c r="Q109" s="1236"/>
      <c r="R109" s="1236"/>
      <c r="S109" s="1236"/>
      <c r="T109" s="1236"/>
      <c r="U109" s="1236"/>
      <c r="V109" s="1236"/>
      <c r="W109" s="1236"/>
      <c r="X109" s="1236"/>
      <c r="Y109" s="1236"/>
      <c r="Z109" s="115"/>
      <c r="AA109" s="11"/>
      <c r="AB109" s="11"/>
      <c r="AC109" s="11"/>
    </row>
    <row r="110" spans="1:29" hidden="1">
      <c r="A110" s="94"/>
      <c r="B110" s="101"/>
      <c r="C110" s="11" t="s">
        <v>101</v>
      </c>
      <c r="D110" s="11"/>
      <c r="E110" s="11"/>
      <c r="F110" s="11"/>
      <c r="G110" s="11" t="s">
        <v>0</v>
      </c>
      <c r="H110" s="1231"/>
      <c r="I110" s="1231"/>
      <c r="J110" s="1231"/>
      <c r="K110" s="1231"/>
      <c r="L110" s="1231"/>
      <c r="M110" s="1231"/>
      <c r="N110" s="1231"/>
      <c r="O110" s="1236"/>
      <c r="P110" s="1236"/>
      <c r="Q110" s="1236"/>
      <c r="R110" s="1236"/>
      <c r="S110" s="1236"/>
      <c r="T110" s="1236"/>
      <c r="U110" s="1236"/>
      <c r="V110" s="1236"/>
      <c r="W110" s="1236"/>
      <c r="X110" s="1236"/>
      <c r="Y110" s="1236"/>
      <c r="Z110" s="115"/>
      <c r="AA110" s="11"/>
      <c r="AB110" s="11"/>
      <c r="AC110" s="11"/>
    </row>
    <row r="111" spans="1:29" hidden="1">
      <c r="A111" s="94"/>
      <c r="B111" s="101"/>
      <c r="C111" s="11" t="s">
        <v>490</v>
      </c>
      <c r="D111" s="11"/>
      <c r="E111" s="11"/>
      <c r="F111" s="11"/>
      <c r="G111" s="11" t="s">
        <v>0</v>
      </c>
      <c r="H111" s="106"/>
      <c r="I111" s="113"/>
      <c r="J111" s="113"/>
      <c r="K111" s="113"/>
      <c r="L111" s="113"/>
      <c r="M111" s="107"/>
      <c r="N111" s="11"/>
      <c r="O111" s="1236"/>
      <c r="P111" s="1236"/>
      <c r="Q111" s="1236"/>
      <c r="R111" s="1236"/>
      <c r="S111" s="1236"/>
      <c r="T111" s="1236"/>
      <c r="U111" s="1236"/>
      <c r="V111" s="1236"/>
      <c r="W111" s="1236"/>
      <c r="X111" s="1236"/>
      <c r="Y111" s="1236"/>
      <c r="Z111" s="115"/>
      <c r="AA111" s="11"/>
      <c r="AB111" s="11"/>
      <c r="AC111" s="11"/>
    </row>
    <row r="112" spans="1:29" hidden="1">
      <c r="A112" s="94"/>
      <c r="B112" s="101"/>
      <c r="C112" s="11"/>
      <c r="D112" s="11"/>
      <c r="E112" s="11"/>
      <c r="F112" s="11"/>
      <c r="G112" s="11"/>
      <c r="H112" s="101"/>
      <c r="I112" s="11"/>
      <c r="J112" s="11"/>
      <c r="K112" s="11"/>
      <c r="L112" s="11"/>
      <c r="M112" s="102"/>
      <c r="N112" s="11"/>
      <c r="O112" s="1236"/>
      <c r="P112" s="1236"/>
      <c r="Q112" s="1236"/>
      <c r="R112" s="1236"/>
      <c r="S112" s="1236"/>
      <c r="T112" s="1236"/>
      <c r="U112" s="1236"/>
      <c r="V112" s="1236"/>
      <c r="W112" s="1236"/>
      <c r="X112" s="1236"/>
      <c r="Y112" s="1236"/>
      <c r="Z112" s="115"/>
      <c r="AA112" s="11"/>
      <c r="AB112" s="11"/>
      <c r="AC112" s="11"/>
    </row>
    <row r="113" spans="1:29" hidden="1">
      <c r="A113" s="94"/>
      <c r="B113" s="101"/>
      <c r="C113" s="11"/>
      <c r="D113" s="11"/>
      <c r="E113" s="11"/>
      <c r="F113" s="11"/>
      <c r="G113" s="11"/>
      <c r="H113" s="103"/>
      <c r="I113" s="104"/>
      <c r="J113" s="104"/>
      <c r="K113" s="104"/>
      <c r="L113" s="104"/>
      <c r="M113" s="105"/>
      <c r="N113" s="11"/>
      <c r="O113" s="1236"/>
      <c r="P113" s="1236"/>
      <c r="Q113" s="1236"/>
      <c r="R113" s="1236"/>
      <c r="S113" s="1236"/>
      <c r="T113" s="1236"/>
      <c r="U113" s="1236"/>
      <c r="V113" s="1236"/>
      <c r="W113" s="1236"/>
      <c r="X113" s="1236"/>
      <c r="Y113" s="1236"/>
      <c r="Z113" s="115"/>
      <c r="AA113" s="11"/>
      <c r="AB113" s="11"/>
      <c r="AC113" s="11"/>
    </row>
    <row r="114" spans="1:29" hidden="1">
      <c r="A114" s="94"/>
      <c r="B114" s="103"/>
      <c r="C114" s="104"/>
      <c r="D114" s="104"/>
      <c r="E114" s="104"/>
      <c r="F114" s="104"/>
      <c r="G114" s="104"/>
      <c r="H114" s="104"/>
      <c r="I114" s="104"/>
      <c r="J114" s="104"/>
      <c r="K114" s="104"/>
      <c r="L114" s="104"/>
      <c r="M114" s="104"/>
      <c r="N114" s="104"/>
      <c r="O114" s="1236"/>
      <c r="P114" s="1236"/>
      <c r="Q114" s="1236"/>
      <c r="R114" s="1236"/>
      <c r="S114" s="1236"/>
      <c r="T114" s="1236"/>
      <c r="U114" s="1236"/>
      <c r="V114" s="1236"/>
      <c r="W114" s="1236"/>
      <c r="X114" s="1236"/>
      <c r="Y114" s="1236"/>
      <c r="Z114" s="115"/>
      <c r="AA114" s="11"/>
      <c r="AB114" s="11"/>
      <c r="AC114" s="11"/>
    </row>
    <row r="115" spans="1:29" ht="15.75" thickBot="1">
      <c r="A115" s="116"/>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100"/>
      <c r="AA115" s="54"/>
      <c r="AB115" s="54"/>
      <c r="AC115" s="54"/>
    </row>
    <row r="307" spans="29:29">
      <c r="AC307" s="20" t="s">
        <v>817</v>
      </c>
    </row>
    <row r="308" spans="29:29">
      <c r="AC308" s="20" t="s">
        <v>826</v>
      </c>
    </row>
    <row r="309" spans="29:29">
      <c r="AC309" s="20" t="s">
        <v>827</v>
      </c>
    </row>
    <row r="310" spans="29:29">
      <c r="AC310" s="124" t="s">
        <v>828</v>
      </c>
    </row>
    <row r="311" spans="29:29">
      <c r="AC311" s="20" t="s">
        <v>829</v>
      </c>
    </row>
    <row r="312" spans="29:29">
      <c r="AC312" s="20" t="s">
        <v>830</v>
      </c>
    </row>
    <row r="313" spans="29:29">
      <c r="AC313" s="20" t="s">
        <v>831</v>
      </c>
    </row>
    <row r="320" spans="29:29">
      <c r="AC320" s="20" t="s">
        <v>605</v>
      </c>
    </row>
    <row r="321" spans="29:29">
      <c r="AC321" s="20" t="s">
        <v>832</v>
      </c>
    </row>
    <row r="322" spans="29:29">
      <c r="AC322" s="20" t="s">
        <v>617</v>
      </c>
    </row>
    <row r="323" spans="29:29">
      <c r="AC323" s="20" t="s">
        <v>619</v>
      </c>
    </row>
    <row r="324" spans="29:29">
      <c r="AC324" s="20" t="s">
        <v>833</v>
      </c>
    </row>
    <row r="325" spans="29:29">
      <c r="AC325" s="20" t="s">
        <v>618</v>
      </c>
    </row>
    <row r="327" spans="29:29">
      <c r="AC327" s="20" t="s">
        <v>485</v>
      </c>
    </row>
    <row r="328" spans="29:29">
      <c r="AC328" s="20" t="s">
        <v>619</v>
      </c>
    </row>
    <row r="329" spans="29:29">
      <c r="AC329" s="20" t="s">
        <v>833</v>
      </c>
    </row>
    <row r="330" spans="29:29">
      <c r="AC330" s="20" t="s">
        <v>618</v>
      </c>
    </row>
  </sheetData>
  <mergeCells count="194">
    <mergeCell ref="C89:V89"/>
    <mergeCell ref="A64:Z64"/>
    <mergeCell ref="H110:N110"/>
    <mergeCell ref="A90:Z90"/>
    <mergeCell ref="O99:Y99"/>
    <mergeCell ref="O100:Y106"/>
    <mergeCell ref="O107:Y107"/>
    <mergeCell ref="O108:Y114"/>
    <mergeCell ref="B99:N99"/>
    <mergeCell ref="H100:N100"/>
    <mergeCell ref="H101:N101"/>
    <mergeCell ref="H102:N102"/>
    <mergeCell ref="B107:N107"/>
    <mergeCell ref="H108:N108"/>
    <mergeCell ref="H109:N109"/>
    <mergeCell ref="R92:Y92"/>
    <mergeCell ref="R97:Y97"/>
    <mergeCell ref="R96:Y96"/>
    <mergeCell ref="A1:Z1"/>
    <mergeCell ref="A3:Z3"/>
    <mergeCell ref="A16:A18"/>
    <mergeCell ref="B16:I18"/>
    <mergeCell ref="J16:J18"/>
    <mergeCell ref="K16:Z18"/>
    <mergeCell ref="A19:A21"/>
    <mergeCell ref="B19:I21"/>
    <mergeCell ref="J19:J21"/>
    <mergeCell ref="K19:Z21"/>
    <mergeCell ref="A29:Z29"/>
    <mergeCell ref="A32:A33"/>
    <mergeCell ref="B32:F33"/>
    <mergeCell ref="G32:G33"/>
    <mergeCell ref="H32:K33"/>
    <mergeCell ref="L32:L33"/>
    <mergeCell ref="M32:M33"/>
    <mergeCell ref="N32:O32"/>
    <mergeCell ref="R32:U33"/>
    <mergeCell ref="V32:W33"/>
    <mergeCell ref="X32:Z33"/>
    <mergeCell ref="N33:O33"/>
    <mergeCell ref="B34:F34"/>
    <mergeCell ref="H34:K34"/>
    <mergeCell ref="N34:O34"/>
    <mergeCell ref="R34:U34"/>
    <mergeCell ref="V34:W34"/>
    <mergeCell ref="X34:Z34"/>
    <mergeCell ref="B35:F35"/>
    <mergeCell ref="H35:K35"/>
    <mergeCell ref="N35:O35"/>
    <mergeCell ref="R35:U35"/>
    <mergeCell ref="V35:W35"/>
    <mergeCell ref="X35:Z35"/>
    <mergeCell ref="B36:F36"/>
    <mergeCell ref="H36:K36"/>
    <mergeCell ref="N36:O36"/>
    <mergeCell ref="R36:U36"/>
    <mergeCell ref="V36:W36"/>
    <mergeCell ref="X36:Z36"/>
    <mergeCell ref="B37:F37"/>
    <mergeCell ref="H37:K37"/>
    <mergeCell ref="N37:O37"/>
    <mergeCell ref="R37:U37"/>
    <mergeCell ref="V37:W37"/>
    <mergeCell ref="X37:Z37"/>
    <mergeCell ref="B38:F38"/>
    <mergeCell ref="H38:K38"/>
    <mergeCell ref="N38:O38"/>
    <mergeCell ref="R38:U38"/>
    <mergeCell ref="V38:W38"/>
    <mergeCell ref="X38:Z38"/>
    <mergeCell ref="B39:F39"/>
    <mergeCell ref="H39:K39"/>
    <mergeCell ref="N39:O39"/>
    <mergeCell ref="R39:U39"/>
    <mergeCell ref="V39:W39"/>
    <mergeCell ref="X39:Z39"/>
    <mergeCell ref="B40:F40"/>
    <mergeCell ref="H40:K40"/>
    <mergeCell ref="N40:O40"/>
    <mergeCell ref="R40:U40"/>
    <mergeCell ref="V40:W40"/>
    <mergeCell ref="X40:Z40"/>
    <mergeCell ref="A41:M41"/>
    <mergeCell ref="N41:O41"/>
    <mergeCell ref="R41:U41"/>
    <mergeCell ref="V41:W41"/>
    <mergeCell ref="X41:Z41"/>
    <mergeCell ref="A44:A45"/>
    <mergeCell ref="B44:D45"/>
    <mergeCell ref="E44:G45"/>
    <mergeCell ref="H44:H45"/>
    <mergeCell ref="I44:K45"/>
    <mergeCell ref="L44:M45"/>
    <mergeCell ref="N44:N45"/>
    <mergeCell ref="O44:P44"/>
    <mergeCell ref="R44:U44"/>
    <mergeCell ref="V44:Y45"/>
    <mergeCell ref="Z44:Z45"/>
    <mergeCell ref="O45:P45"/>
    <mergeCell ref="R45:U45"/>
    <mergeCell ref="B46:D46"/>
    <mergeCell ref="E46:G46"/>
    <mergeCell ref="I46:K46"/>
    <mergeCell ref="L46:M46"/>
    <mergeCell ref="O46:P46"/>
    <mergeCell ref="R46:U46"/>
    <mergeCell ref="V46:Y46"/>
    <mergeCell ref="B47:D47"/>
    <mergeCell ref="E47:G47"/>
    <mergeCell ref="I47:K47"/>
    <mergeCell ref="L47:M47"/>
    <mergeCell ref="O47:P47"/>
    <mergeCell ref="R47:U47"/>
    <mergeCell ref="V47:Y47"/>
    <mergeCell ref="B48:D48"/>
    <mergeCell ref="E48:G48"/>
    <mergeCell ref="I48:K48"/>
    <mergeCell ref="L48:M48"/>
    <mergeCell ref="O48:P48"/>
    <mergeCell ref="R48:U48"/>
    <mergeCell ref="V48:Y48"/>
    <mergeCell ref="B49:D49"/>
    <mergeCell ref="E49:G49"/>
    <mergeCell ref="I49:K49"/>
    <mergeCell ref="L49:M49"/>
    <mergeCell ref="O49:P49"/>
    <mergeCell ref="R49:U49"/>
    <mergeCell ref="V49:Y49"/>
    <mergeCell ref="B50:D50"/>
    <mergeCell ref="E50:G50"/>
    <mergeCell ref="I50:K50"/>
    <mergeCell ref="L50:M50"/>
    <mergeCell ref="O50:P50"/>
    <mergeCell ref="R50:U50"/>
    <mergeCell ref="V50:Y50"/>
    <mergeCell ref="A51:N51"/>
    <mergeCell ref="O51:P51"/>
    <mergeCell ref="R51:U51"/>
    <mergeCell ref="V51:Y51"/>
    <mergeCell ref="A54:A55"/>
    <mergeCell ref="B54:D55"/>
    <mergeCell ref="E54:G55"/>
    <mergeCell ref="H54:K55"/>
    <mergeCell ref="L54:N55"/>
    <mergeCell ref="O54:P55"/>
    <mergeCell ref="Q54:R54"/>
    <mergeCell ref="S54:W55"/>
    <mergeCell ref="Q55:R55"/>
    <mergeCell ref="B56:D56"/>
    <mergeCell ref="E56:G56"/>
    <mergeCell ref="H56:K56"/>
    <mergeCell ref="L56:N56"/>
    <mergeCell ref="O56:P56"/>
    <mergeCell ref="Q56:R56"/>
    <mergeCell ref="S56:W56"/>
    <mergeCell ref="B57:D57"/>
    <mergeCell ref="E57:G57"/>
    <mergeCell ref="H57:K57"/>
    <mergeCell ref="L57:N57"/>
    <mergeCell ref="O57:P57"/>
    <mergeCell ref="Q57:R57"/>
    <mergeCell ref="S57:W57"/>
    <mergeCell ref="B58:D58"/>
    <mergeCell ref="E58:G58"/>
    <mergeCell ref="H58:K58"/>
    <mergeCell ref="L58:N58"/>
    <mergeCell ref="O58:P58"/>
    <mergeCell ref="Q58:R58"/>
    <mergeCell ref="S58:W58"/>
    <mergeCell ref="B59:D59"/>
    <mergeCell ref="E59:G59"/>
    <mergeCell ref="H59:K59"/>
    <mergeCell ref="L59:N59"/>
    <mergeCell ref="O59:P59"/>
    <mergeCell ref="Q59:R59"/>
    <mergeCell ref="S59:W59"/>
    <mergeCell ref="A60:K60"/>
    <mergeCell ref="L60:N60"/>
    <mergeCell ref="O60:P60"/>
    <mergeCell ref="Q60:R60"/>
    <mergeCell ref="S60:W60"/>
    <mergeCell ref="I62:N62"/>
    <mergeCell ref="F77:J77"/>
    <mergeCell ref="F83:J83"/>
    <mergeCell ref="F88:J88"/>
    <mergeCell ref="G23:R23"/>
    <mergeCell ref="G24:L24"/>
    <mergeCell ref="G25:L25"/>
    <mergeCell ref="G26:L26"/>
    <mergeCell ref="G27:L27"/>
    <mergeCell ref="N24:R24"/>
    <mergeCell ref="N25:R25"/>
    <mergeCell ref="N26:R26"/>
    <mergeCell ref="N27:R27"/>
  </mergeCells>
  <dataValidations count="4">
    <dataValidation type="list" allowBlank="1" showInputMessage="1" showErrorMessage="1" sqref="Z46:Z50">
      <formula1>$AC$327:$AC$330</formula1>
    </dataValidation>
    <dataValidation type="list" allowBlank="1" showInputMessage="1" showErrorMessage="1" sqref="V41:W41">
      <formula1>$AC$189:$AC$194</formula1>
    </dataValidation>
    <dataValidation type="list" allowBlank="1" showInputMessage="1" showErrorMessage="1" sqref="B34:F40">
      <formula1>$AC$307:$AC$313</formula1>
    </dataValidation>
    <dataValidation type="list" allowBlank="1" showInputMessage="1" showErrorMessage="1" sqref="V34:W40">
      <formula1>$AC$320:$AC$325</formula1>
    </dataValidation>
  </dataValidations>
  <pageMargins left="0.6" right="0.25" top="0.4" bottom="0.4" header="0.31496062992126" footer="0.31496062992126"/>
  <pageSetup paperSize="10000" scale="70" fitToHeight="0" orientation="portrait" r:id="rId1"/>
  <rowBreaks count="1" manualBreakCount="1">
    <brk id="98" max="25" man="1"/>
  </rowBreaks>
  <extLst>
    <ext xmlns:x14="http://schemas.microsoft.com/office/spreadsheetml/2009/9/main" uri="{CCE6A557-97BC-4b89-ADB6-D9C93CAAB3DF}">
      <x14:dataValidations xmlns:xm="http://schemas.microsoft.com/office/excel/2006/main" count="5">
        <x14:dataValidation type="list" allowBlank="1" showInputMessage="1" showErrorMessage="1">
          <x14:formula1>
            <xm:f>Parameter!$E$132:$E$133</xm:f>
          </x14:formula1>
          <xm:sqref>C84 F77</xm:sqref>
        </x14:dataValidation>
        <x14:dataValidation type="list" allowBlank="1" showInputMessage="1" showErrorMessage="1">
          <x14:formula1>
            <xm:f>Parameter!$E$125:$E$126</xm:f>
          </x14:formula1>
          <xm:sqref>C80</xm:sqref>
        </x14:dataValidation>
        <x14:dataValidation type="list" allowBlank="1" showInputMessage="1" showErrorMessage="1">
          <x14:formula1>
            <xm:f>Parameter!$E$135:$E$136</xm:f>
          </x14:formula1>
          <xm:sqref>F83</xm:sqref>
        </x14:dataValidation>
        <x14:dataValidation type="list" allowBlank="1" showInputMessage="1" showErrorMessage="1">
          <x14:formula1>
            <xm:f>Parameter!$E$138:$E$139</xm:f>
          </x14:formula1>
          <xm:sqref>F88</xm:sqref>
        </x14:dataValidation>
        <x14:dataValidation type="list" allowBlank="1" showInputMessage="1" showErrorMessage="1">
          <x14:formula1>
            <xm:f>[5]Parameter!#REF!</xm:f>
          </x14:formula1>
          <xm:sqref>C74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W130"/>
  <sheetViews>
    <sheetView topLeftCell="A96" zoomScale="120" zoomScaleNormal="120" workbookViewId="0">
      <selection activeCell="J132" sqref="J132"/>
    </sheetView>
  </sheetViews>
  <sheetFormatPr defaultColWidth="9.140625" defaultRowHeight="15.75"/>
  <cols>
    <col min="1" max="1" width="3.7109375" style="750" customWidth="1"/>
    <col min="2" max="2" width="4.28515625" style="750" customWidth="1"/>
    <col min="3" max="4" width="3.7109375" style="750" customWidth="1"/>
    <col min="5" max="5" width="2.7109375" style="750" customWidth="1"/>
    <col min="6" max="6" width="3.7109375" style="750" customWidth="1"/>
    <col min="7" max="7" width="5.7109375" style="750" customWidth="1"/>
    <col min="8" max="8" width="5" style="750" customWidth="1"/>
    <col min="9" max="9" width="3.7109375" style="750" customWidth="1"/>
    <col min="10" max="10" width="4.85546875" style="750" customWidth="1"/>
    <col min="11" max="11" width="3.85546875" style="750" customWidth="1"/>
    <col min="12" max="12" width="5" style="750" customWidth="1"/>
    <col min="13" max="13" width="4.42578125" style="750" customWidth="1"/>
    <col min="14" max="14" width="8.140625" style="750" customWidth="1"/>
    <col min="15" max="15" width="5.42578125" style="750" customWidth="1"/>
    <col min="16" max="16" width="2.42578125" style="750" customWidth="1"/>
    <col min="17" max="17" width="3.7109375" style="750" customWidth="1"/>
    <col min="18" max="18" width="11.140625" style="750" customWidth="1"/>
    <col min="19" max="19" width="0.85546875" style="750" customWidth="1"/>
    <col min="20" max="20" width="3.7109375" style="750" customWidth="1"/>
    <col min="21" max="21" width="7.28515625" style="750" customWidth="1"/>
    <col min="22" max="22" width="4" style="750" customWidth="1"/>
    <col min="23" max="23" width="4.7109375" style="750" customWidth="1"/>
    <col min="24" max="24" width="4.28515625" style="750" customWidth="1"/>
    <col min="25" max="25" width="8" style="750" customWidth="1"/>
    <col min="26" max="26" width="4.85546875" style="750" customWidth="1"/>
    <col min="27" max="27" width="8.42578125" style="750" customWidth="1"/>
    <col min="28" max="28" width="0.7109375" style="860" customWidth="1"/>
    <col min="29" max="29" width="5.7109375" style="750" customWidth="1"/>
    <col min="30" max="30" width="11.42578125" style="749" hidden="1" customWidth="1"/>
    <col min="31" max="31" width="12.42578125" style="750" hidden="1" customWidth="1"/>
    <col min="32" max="32" width="11.42578125" style="750" hidden="1" customWidth="1"/>
    <col min="33" max="33" width="13.42578125" style="750" hidden="1" customWidth="1"/>
    <col min="34" max="34" width="5.42578125" style="750" hidden="1" customWidth="1"/>
    <col min="35" max="35" width="12" style="750" hidden="1" customWidth="1"/>
    <col min="36" max="36" width="14.140625" style="750" hidden="1" customWidth="1"/>
    <col min="37" max="37" width="9.42578125" style="750" hidden="1" customWidth="1"/>
    <col min="38" max="39" width="9.140625" style="750" hidden="1" customWidth="1"/>
    <col min="40" max="41" width="10.140625" style="750" hidden="1" customWidth="1"/>
    <col min="42" max="42" width="10.7109375" style="750" hidden="1" customWidth="1"/>
    <col min="43" max="49" width="9.140625" style="750" hidden="1" customWidth="1"/>
    <col min="50" max="16384" width="9.140625" style="750"/>
  </cols>
  <sheetData>
    <row r="1" spans="1:42" ht="15" customHeight="1" thickBot="1">
      <c r="A1" s="1328" t="s">
        <v>51</v>
      </c>
      <c r="B1" s="1329"/>
      <c r="C1" s="1329"/>
      <c r="D1" s="1329"/>
      <c r="E1" s="1329"/>
      <c r="F1" s="1329"/>
      <c r="G1" s="1329"/>
      <c r="H1" s="1329"/>
      <c r="I1" s="1329"/>
      <c r="J1" s="1329"/>
      <c r="K1" s="1329"/>
      <c r="L1" s="1329"/>
      <c r="M1" s="1329"/>
      <c r="N1" s="1329"/>
      <c r="O1" s="1329"/>
      <c r="P1" s="1329"/>
      <c r="Q1" s="1329"/>
      <c r="R1" s="1329"/>
      <c r="S1" s="1329"/>
      <c r="T1" s="1329"/>
      <c r="U1" s="1329"/>
      <c r="V1" s="1329"/>
      <c r="W1" s="1329"/>
      <c r="X1" s="1329"/>
      <c r="Y1" s="1329"/>
      <c r="Z1" s="1329"/>
      <c r="AA1" s="1329"/>
      <c r="AB1" s="1330"/>
      <c r="AC1" s="748"/>
    </row>
    <row r="2" spans="1:42" ht="4.5" customHeight="1">
      <c r="A2" s="751"/>
      <c r="AB2" s="752"/>
    </row>
    <row r="3" spans="1:42" ht="17.25">
      <c r="A3" s="1289" t="s">
        <v>955</v>
      </c>
      <c r="B3" s="1290"/>
      <c r="C3" s="1290"/>
      <c r="D3" s="1290"/>
      <c r="E3" s="1290"/>
      <c r="F3" s="1290"/>
      <c r="G3" s="1290"/>
      <c r="H3" s="1290"/>
      <c r="I3" s="1290"/>
      <c r="J3" s="1290"/>
      <c r="K3" s="1290"/>
      <c r="L3" s="1290"/>
      <c r="M3" s="1290"/>
      <c r="N3" s="1290"/>
      <c r="O3" s="1290"/>
      <c r="P3" s="1290"/>
      <c r="Q3" s="1290"/>
      <c r="R3" s="1290"/>
      <c r="S3" s="1290"/>
      <c r="T3" s="1290"/>
      <c r="U3" s="1290"/>
      <c r="V3" s="1290"/>
      <c r="W3" s="1290"/>
      <c r="X3" s="1290"/>
      <c r="Y3" s="1290"/>
      <c r="Z3" s="1290"/>
      <c r="AA3" s="1290"/>
      <c r="AB3" s="1291"/>
      <c r="AC3" s="748"/>
      <c r="AG3" s="753"/>
    </row>
    <row r="4" spans="1:42" ht="6.75" customHeight="1">
      <c r="A4" s="751"/>
      <c r="AB4" s="752"/>
      <c r="AG4" s="753"/>
    </row>
    <row r="5">
      <c r="A5" s="754"/>
      <c r="B5" s="755"/>
      <c r="C5" s="756" t="s">
        <v>872</v>
      </c>
      <c r="D5" s="756"/>
      <c r="E5" s="756"/>
      <c r="F5" s="756"/>
      <c r="G5" s="756"/>
      <c r="H5" s="756"/>
      <c r="I5" s="756"/>
      <c r="J5" s="757"/>
      <c r="K5" s="757"/>
      <c r="L5" s="758" t="s">
        <v>0</v>
      </c>
      <c r="M5" s="1333"/>
      <c r="N5" s="1333"/>
      <c r="O5" s="1333"/>
      <c r="AB5" s="752"/>
      <c r="AE5" s="755"/>
      <c r="AF5" s="755"/>
      <c r="AG5" s="755"/>
      <c r="AH5" s="755"/>
      <c r="AI5" s="755"/>
      <c r="AJ5" s="755"/>
      <c r="AK5" s="755"/>
      <c r="AL5" s="755"/>
      <c r="AM5" s="755"/>
      <c r="AN5" s="755"/>
      <c r="AO5" s="759"/>
      <c r="AP5" s="759"/>
    </row>
    <row r="6">
      <c r="A6" s="754"/>
      <c r="B6" s="755"/>
      <c r="C6" s="760" t="s">
        <v>873</v>
      </c>
      <c r="D6" s="760"/>
      <c r="E6" s="760"/>
      <c r="F6" s="760"/>
      <c r="G6" s="760"/>
      <c r="H6" s="760"/>
      <c r="I6" s="760"/>
      <c r="J6" s="761"/>
      <c r="K6" s="761"/>
      <c r="L6" s="758" t="s">
        <v>0</v>
      </c>
      <c r="M6" s="1334"/>
      <c r="N6" s="1335"/>
      <c r="O6" s="1336"/>
      <c r="R6" s="762"/>
      <c r="S6" s="762"/>
      <c r="T6" s="762"/>
      <c r="U6" s="762"/>
      <c r="W6" s="753"/>
      <c r="AB6" s="752"/>
      <c r="AE6" s="755"/>
      <c r="AF6" s="755"/>
      <c r="AG6" s="755"/>
      <c r="AH6" s="755"/>
      <c r="AI6" s="755"/>
      <c r="AJ6" s="755"/>
      <c r="AK6" s="755"/>
      <c r="AL6" s="755"/>
      <c r="AM6" s="755"/>
      <c r="AN6" s="755"/>
      <c r="AO6" s="759"/>
      <c r="AP6" s="759"/>
    </row>
    <row r="7">
      <c r="A7" s="754"/>
      <c r="B7" s="755"/>
      <c r="C7" s="861" t="s">
        <v>874</v>
      </c>
      <c r="D7" s="861"/>
      <c r="E7" s="861"/>
      <c r="F7" s="861"/>
      <c r="G7" s="861"/>
      <c r="H7" s="861"/>
      <c r="I7" s="861"/>
      <c r="J7" s="862"/>
      <c r="K7" s="862"/>
      <c r="L7" s="758" t="s">
        <v>0</v>
      </c>
      <c r="M7" s="1341"/>
      <c r="N7" s="1342"/>
      <c r="O7" s="1343"/>
      <c r="R7" s="762"/>
      <c r="S7" s="762"/>
      <c r="T7" s="762"/>
      <c r="U7" s="762"/>
      <c r="W7" s="753"/>
      <c r="AB7" s="752"/>
      <c r="AE7" s="755"/>
      <c r="AF7" s="755"/>
      <c r="AG7" s="755"/>
      <c r="AH7" s="755"/>
      <c r="AI7" s="755"/>
      <c r="AJ7" s="755"/>
      <c r="AK7" s="755"/>
      <c r="AL7" s="755"/>
      <c r="AM7" s="755"/>
      <c r="AN7" s="755"/>
      <c r="AO7" s="759"/>
      <c r="AP7" s="759"/>
    </row>
    <row r="8" spans="1:42" s="898" customFormat="1">
      <c r="A8" s="892"/>
      <c r="B8" s="893"/>
      <c r="C8" s="894" t="s">
        <v>875</v>
      </c>
      <c r="D8" s="895"/>
      <c r="E8" s="895"/>
      <c r="F8" s="895"/>
      <c r="G8" s="895"/>
      <c r="H8" s="895"/>
      <c r="I8" s="895"/>
      <c r="J8" s="895"/>
      <c r="K8" s="896"/>
      <c r="L8" s="897" t="s">
        <v>0</v>
      </c>
      <c r="M8" s="1337">
        <f>SUM(M5:O7)</f>
      </c>
      <c r="N8" s="1337"/>
      <c r="O8" s="1337"/>
      <c r="W8" s="697"/>
      <c r="AB8" s="899"/>
      <c r="AD8" s="900"/>
      <c r="AE8" s="893"/>
      <c r="AF8" s="893"/>
      <c r="AG8" s="893"/>
      <c r="AH8" s="893"/>
      <c r="AI8" s="893"/>
      <c r="AJ8" s="893"/>
      <c r="AK8" s="893"/>
      <c r="AL8" s="893"/>
      <c r="AM8" s="893"/>
      <c r="AN8" s="893"/>
      <c r="AO8" s="901"/>
      <c r="AP8" s="901"/>
    </row>
    <row r="9" spans="1:42" ht="9.75" customHeight="1">
      <c r="A9" s="754"/>
      <c r="B9" s="755"/>
      <c r="C9" s="766"/>
      <c r="D9" s="755"/>
      <c r="E9" s="755"/>
      <c r="F9" s="755"/>
      <c r="G9" s="755"/>
      <c r="H9" s="755"/>
      <c r="I9" s="755"/>
      <c r="J9" s="755"/>
      <c r="L9" s="765"/>
      <c r="M9" s="767"/>
      <c r="N9" s="767"/>
      <c r="O9" s="767"/>
      <c r="W9" s="753"/>
      <c r="AB9" s="752"/>
      <c r="AE9" s="755"/>
      <c r="AF9" s="755"/>
      <c r="AG9" s="755"/>
      <c r="AH9" s="755"/>
      <c r="AI9" s="755"/>
      <c r="AJ9" s="755"/>
      <c r="AK9" s="755"/>
      <c r="AL9" s="755"/>
      <c r="AM9" s="755"/>
      <c r="AN9" s="755"/>
      <c r="AO9" s="759"/>
      <c r="AP9" s="759"/>
    </row>
    <row r="10">
      <c r="A10" s="754"/>
      <c r="B10" s="755"/>
      <c r="C10" s="864" t="s">
        <v>871</v>
      </c>
      <c r="D10" s="760"/>
      <c r="E10" s="760"/>
      <c r="F10" s="760"/>
      <c r="G10" s="760"/>
      <c r="H10" s="760"/>
      <c r="I10" s="760"/>
      <c r="J10" s="761"/>
      <c r="K10" s="764"/>
      <c r="L10" s="758" t="s">
        <v>0</v>
      </c>
      <c r="M10" s="1338"/>
      <c r="N10" s="1339"/>
      <c r="O10" s="1340"/>
      <c r="AB10" s="752"/>
      <c r="AE10" s="768">
        <v>0.3</v>
      </c>
      <c r="AF10" s="755"/>
      <c r="AG10" s="755"/>
      <c r="AH10" s="755"/>
      <c r="AI10" s="755"/>
      <c r="AJ10" s="755"/>
      <c r="AK10" s="755"/>
      <c r="AL10" s="755"/>
      <c r="AM10" s="755"/>
      <c r="AN10" s="755"/>
      <c r="AO10" s="759"/>
      <c r="AP10" s="759"/>
    </row>
    <row r="11" spans="1:42" ht="5.25" customHeight="1">
      <c r="A11" s="754"/>
      <c r="B11" s="755"/>
      <c r="C11" s="755"/>
      <c r="D11" s="755"/>
      <c r="E11" s="755"/>
      <c r="F11" s="755"/>
      <c r="G11" s="755"/>
      <c r="H11" s="755"/>
      <c r="I11" s="755"/>
      <c r="J11" s="758"/>
      <c r="L11" s="763"/>
      <c r="M11" s="877"/>
      <c r="N11" s="877"/>
      <c r="O11" s="877"/>
      <c r="AB11" s="752"/>
      <c r="AE11" s="755"/>
      <c r="AF11" s="755"/>
      <c r="AG11" s="755"/>
      <c r="AH11" s="755"/>
      <c r="AI11" s="755"/>
      <c r="AJ11" s="755"/>
      <c r="AK11" s="755"/>
      <c r="AL11" s="755"/>
      <c r="AM11" s="755"/>
      <c r="AN11" s="755"/>
      <c r="AO11" s="759"/>
      <c r="AP11" s="759"/>
    </row>
    <row r="12" spans="1:42" s="898" customFormat="1">
      <c r="A12" s="892"/>
      <c r="B12" s="893"/>
      <c r="C12" s="902" t="s">
        <v>957</v>
      </c>
      <c r="D12" s="903"/>
      <c r="E12" s="903"/>
      <c r="F12" s="903"/>
      <c r="G12" s="903"/>
      <c r="H12" s="903"/>
      <c r="I12" s="903"/>
      <c r="J12" s="903"/>
      <c r="K12" s="904"/>
      <c r="L12" s="897" t="s">
        <v>0</v>
      </c>
      <c r="M12" s="1347">
        <f>M8*M10</f>
      </c>
      <c r="N12" s="1347"/>
      <c r="O12" s="1347"/>
      <c r="AB12" s="899"/>
      <c r="AD12" s="900"/>
      <c r="AE12" s="893"/>
      <c r="AF12" s="893"/>
      <c r="AG12" s="893"/>
      <c r="AH12" s="893"/>
      <c r="AI12" s="893"/>
      <c r="AJ12" s="893"/>
      <c r="AK12" s="893"/>
      <c r="AL12" s="893"/>
      <c r="AM12" s="893"/>
      <c r="AN12" s="893"/>
      <c r="AO12" s="901"/>
      <c r="AP12" s="901"/>
    </row>
    <row r="13" spans="1:42">
      <c r="A13" s="751"/>
      <c r="AB13" s="752"/>
    </row>
    <row r="14" spans="1:42" ht="17.25" hidden="1">
      <c r="A14" s="1289" t="s">
        <v>956</v>
      </c>
      <c r="B14" s="1290"/>
      <c r="C14" s="1290"/>
      <c r="D14" s="1290"/>
      <c r="E14" s="1290"/>
      <c r="F14" s="1290"/>
      <c r="G14" s="1290"/>
      <c r="H14" s="1290"/>
      <c r="I14" s="1290"/>
      <c r="J14" s="1290"/>
      <c r="K14" s="1290"/>
      <c r="L14" s="1290"/>
      <c r="M14" s="1290"/>
      <c r="N14" s="1290"/>
      <c r="O14" s="1290"/>
      <c r="P14" s="1290"/>
      <c r="Q14" s="1290"/>
      <c r="R14" s="1290"/>
      <c r="S14" s="1290"/>
      <c r="T14" s="1290"/>
      <c r="U14" s="1290"/>
      <c r="V14" s="1290"/>
      <c r="W14" s="1290"/>
      <c r="X14" s="1290"/>
      <c r="Y14" s="1290"/>
      <c r="Z14" s="1290"/>
      <c r="AA14" s="1290"/>
      <c r="AB14" s="1291"/>
      <c r="AC14" s="748"/>
      <c r="AG14" s="753"/>
    </row>
    <row r="15" spans="1:42" ht="6" hidden="1" customHeight="1">
      <c r="A15" s="746"/>
      <c r="B15" s="746"/>
      <c r="C15" s="746"/>
      <c r="D15" s="746"/>
      <c r="E15" s="746"/>
      <c r="F15" s="746"/>
      <c r="G15" s="746"/>
      <c r="H15" s="746"/>
      <c r="I15" s="746"/>
      <c r="J15" s="746"/>
      <c r="K15" s="746"/>
      <c r="L15" s="746"/>
      <c r="M15" s="746"/>
      <c r="N15" s="746"/>
      <c r="O15" s="746"/>
      <c r="P15" s="746"/>
      <c r="Q15" s="746"/>
      <c r="R15" s="746"/>
      <c r="S15" s="746"/>
      <c r="T15" s="746"/>
      <c r="U15" s="746"/>
      <c r="V15" s="746"/>
      <c r="W15" s="746"/>
      <c r="X15" s="746"/>
      <c r="Y15" s="746"/>
      <c r="Z15" s="746"/>
      <c r="AA15" s="746"/>
      <c r="AB15" s="746"/>
      <c r="AC15" s="769"/>
      <c r="AG15" s="753"/>
    </row>
    <row r="16" spans="1:42" hidden="1">
      <c r="A16" s="769"/>
      <c r="B16" s="213" t="s">
        <v>929</v>
      </c>
      <c r="C16" s="213"/>
      <c r="AB16" s="770"/>
    </row>
    <row r="17" spans="1:30" ht="4.5" hidden="1" customHeight="1">
      <c r="A17" s="769"/>
      <c r="B17" s="213"/>
      <c r="C17" s="213"/>
      <c r="U17" s="771"/>
      <c r="AB17" s="770"/>
      <c r="AD17" s="772"/>
    </row>
    <row r="18" spans="1:30" hidden="1">
      <c r="A18" s="769"/>
      <c r="B18" s="1349" t="s">
        <v>8</v>
      </c>
      <c r="C18" s="1349" t="s">
        <v>960</v>
      </c>
      <c r="D18" s="1349"/>
      <c r="E18" s="1349"/>
      <c r="F18" s="1349"/>
      <c r="G18" s="1349"/>
      <c r="H18" s="1350" t="s">
        <v>930</v>
      </c>
      <c r="I18" s="1351"/>
      <c r="J18" s="1351"/>
      <c r="K18" s="1351"/>
      <c r="L18" s="1351"/>
      <c r="M18" s="1351"/>
      <c r="N18" s="1352"/>
      <c r="O18" s="1350" t="s">
        <v>931</v>
      </c>
      <c r="P18" s="1351"/>
      <c r="Q18" s="1351"/>
      <c r="R18" s="1351"/>
      <c r="S18" s="1351"/>
      <c r="T18" s="1351"/>
      <c r="U18" s="1351"/>
      <c r="V18" s="1352"/>
      <c r="W18" s="1350" t="s">
        <v>932</v>
      </c>
      <c r="X18" s="1351"/>
      <c r="Y18" s="1351"/>
      <c r="Z18" s="1351"/>
      <c r="AA18" s="1352"/>
      <c r="AB18" s="774"/>
      <c r="AC18" s="775"/>
    </row>
    <row r="19" spans="1:30" ht="15" hidden="1" customHeight="1">
      <c r="A19" s="754"/>
      <c r="B19" s="1349"/>
      <c r="C19" s="1349"/>
      <c r="D19" s="1349"/>
      <c r="E19" s="1349"/>
      <c r="F19" s="1349"/>
      <c r="G19" s="1349"/>
      <c r="H19" s="773" t="s">
        <v>933</v>
      </c>
      <c r="I19" s="1357" t="s">
        <v>934</v>
      </c>
      <c r="J19" s="1357"/>
      <c r="K19" s="1357"/>
      <c r="L19" s="1358" t="s">
        <v>935</v>
      </c>
      <c r="M19" s="1359"/>
      <c r="N19" s="1360"/>
      <c r="O19" s="773" t="s">
        <v>933</v>
      </c>
      <c r="P19" s="1357" t="s">
        <v>934</v>
      </c>
      <c r="Q19" s="1357"/>
      <c r="R19" s="1357"/>
      <c r="S19" s="1358" t="s">
        <v>936</v>
      </c>
      <c r="T19" s="1359"/>
      <c r="U19" s="1359"/>
      <c r="V19" s="1360"/>
      <c r="W19" s="777" t="s">
        <v>933</v>
      </c>
      <c r="X19" s="1358" t="s">
        <v>934</v>
      </c>
      <c r="Y19" s="1360"/>
      <c r="Z19" s="1358" t="s">
        <v>961</v>
      </c>
      <c r="AA19" s="1360"/>
      <c r="AB19" s="778"/>
      <c r="AC19" s="779"/>
    </row>
    <row r="20" ht="27" hidden="1" customHeight="1">
      <c r="A20" s="754"/>
      <c r="B20" s="780">
        <v>1</v>
      </c>
      <c r="C20" s="1361"/>
      <c r="D20" s="1361"/>
      <c r="E20" s="1361"/>
      <c r="F20" s="1361"/>
      <c r="G20" s="1361"/>
      <c r="H20" s="780"/>
      <c r="I20" s="1361"/>
      <c r="J20" s="1361"/>
      <c r="K20" s="1361"/>
      <c r="L20" s="1362">
        <f>H20*I20</f>
      </c>
      <c r="M20" s="1363"/>
      <c r="N20" s="1364"/>
      <c r="O20" s="780"/>
      <c r="P20" s="1361"/>
      <c r="Q20" s="1361"/>
      <c r="R20" s="1361"/>
      <c r="S20" s="1362">
        <f>O20*P20</f>
      </c>
      <c r="T20" s="1363"/>
      <c r="U20" s="1363"/>
      <c r="V20" s="1364"/>
      <c r="W20" s="781"/>
      <c r="X20" s="1253"/>
      <c r="Y20" s="1255"/>
      <c r="Z20" s="1362">
        <f>X20*W20</f>
      </c>
      <c r="AA20" s="1364"/>
      <c r="AB20" s="782"/>
      <c r="AC20" s="783"/>
    </row>
    <row r="21" ht="26.25" hidden="1" customHeight="1" thickBot="1">
      <c r="A21" s="754"/>
      <c r="B21" s="784">
        <v>2</v>
      </c>
      <c r="C21" s="1365"/>
      <c r="D21" s="1365"/>
      <c r="E21" s="1365"/>
      <c r="F21" s="1365"/>
      <c r="G21" s="1365"/>
      <c r="H21" s="784"/>
      <c r="I21" s="1361"/>
      <c r="J21" s="1361"/>
      <c r="K21" s="1361"/>
      <c r="L21" s="1362">
        <f>H21*I21</f>
      </c>
      <c r="M21" s="1363"/>
      <c r="N21" s="1364"/>
      <c r="O21" s="784"/>
      <c r="P21" s="1361"/>
      <c r="Q21" s="1361"/>
      <c r="R21" s="1361"/>
      <c r="S21" s="1362">
        <f>O21*P21</f>
      </c>
      <c r="T21" s="1363"/>
      <c r="U21" s="1363"/>
      <c r="V21" s="1364"/>
      <c r="W21" s="785"/>
      <c r="X21" s="1253"/>
      <c r="Y21" s="1255"/>
      <c r="Z21" s="1362">
        <f>X21*W21</f>
      </c>
      <c r="AA21" s="1364"/>
      <c r="AB21" s="782"/>
      <c r="AC21" s="783"/>
    </row>
    <row r="22" spans="1:30" ht="16.5" hidden="1" thickBot="1">
      <c r="A22" s="754"/>
      <c r="B22" s="1366" t="s">
        <v>5</v>
      </c>
      <c r="C22" s="1367"/>
      <c r="D22" s="1367"/>
      <c r="E22" s="1367"/>
      <c r="F22" s="1367"/>
      <c r="G22" s="1367"/>
      <c r="H22" s="1368"/>
      <c r="I22" s="1369">
        <f>SUM(I20:K21)</f>
      </c>
      <c r="J22" s="1369"/>
      <c r="K22" s="1369"/>
      <c r="L22" s="1370">
        <f>SUM(L20:N21)</f>
      </c>
      <c r="M22" s="1367"/>
      <c r="N22" s="1368"/>
      <c r="O22" s="786"/>
      <c r="P22" s="1369">
        <f>SUM(P20:R21)</f>
      </c>
      <c r="Q22" s="1369"/>
      <c r="R22" s="1369"/>
      <c r="S22" s="1370">
        <f>SUM(S20:U21)</f>
      </c>
      <c r="T22" s="1367"/>
      <c r="U22" s="1367"/>
      <c r="V22" s="1368"/>
      <c r="W22" s="787"/>
      <c r="X22" s="1371">
        <f>SUM(X20:Y21)</f>
      </c>
      <c r="Y22" s="1372"/>
      <c r="Z22" s="1370">
        <f>SUM(Z20:AB21)</f>
      </c>
      <c r="AA22" s="1368"/>
      <c r="AB22" s="774"/>
      <c r="AC22" s="775"/>
    </row>
    <row r="23" spans="1:30" ht="5.25" hidden="1" customHeight="1">
      <c r="A23" s="754"/>
      <c r="B23" s="783"/>
      <c r="C23" s="783"/>
      <c r="D23" s="783"/>
      <c r="E23" s="783"/>
      <c r="F23" s="783"/>
      <c r="G23" s="783"/>
      <c r="H23" s="771"/>
      <c r="I23" s="783"/>
      <c r="J23" s="783"/>
      <c r="K23" s="783"/>
      <c r="L23" s="783"/>
      <c r="M23" s="783"/>
      <c r="N23" s="783"/>
      <c r="O23" s="771"/>
      <c r="P23" s="783"/>
      <c r="Q23" s="783"/>
      <c r="R23" s="783"/>
      <c r="S23" s="783"/>
      <c r="T23" s="783"/>
      <c r="U23" s="783"/>
      <c r="V23" s="771"/>
      <c r="W23" s="783"/>
      <c r="X23" s="783"/>
      <c r="Y23" s="783"/>
      <c r="Z23" s="783"/>
      <c r="AA23" s="783"/>
      <c r="AB23" s="788"/>
      <c r="AC23" s="783"/>
    </row>
    <row r="24" spans="1:30" ht="6" hidden="1" customHeight="1">
      <c r="A24" s="754"/>
      <c r="B24" s="783"/>
      <c r="C24" s="783"/>
      <c r="D24" s="783"/>
      <c r="E24" s="783"/>
      <c r="F24" s="783"/>
      <c r="G24" s="783"/>
      <c r="H24" s="771"/>
      <c r="I24" s="783"/>
      <c r="J24" s="783"/>
      <c r="K24" s="783"/>
      <c r="L24" s="783"/>
      <c r="M24" s="783"/>
      <c r="N24" s="783"/>
      <c r="O24" s="771"/>
      <c r="P24" s="783"/>
      <c r="Q24" s="783"/>
      <c r="R24" s="783"/>
      <c r="S24" s="783"/>
      <c r="T24" s="783"/>
      <c r="U24" s="783"/>
      <c r="V24" s="771"/>
      <c r="W24" s="783"/>
      <c r="X24" s="783"/>
      <c r="Y24" s="783"/>
      <c r="Z24" s="783"/>
      <c r="AA24" s="783"/>
      <c r="AB24" s="788"/>
      <c r="AC24" s="783"/>
    </row>
    <row r="25" spans="1:30" ht="8.25" hidden="1" customHeight="1">
      <c r="A25" s="754"/>
      <c r="B25" s="783"/>
      <c r="C25" s="783"/>
      <c r="D25" s="783"/>
      <c r="E25" s="783"/>
      <c r="F25" s="783"/>
      <c r="G25" s="783"/>
      <c r="H25" s="771"/>
      <c r="I25" s="783"/>
      <c r="J25" s="783"/>
      <c r="K25" s="783"/>
      <c r="L25" s="783"/>
      <c r="M25" s="783"/>
      <c r="N25" s="783"/>
      <c r="O25" s="771"/>
      <c r="P25" s="783"/>
      <c r="Q25" s="783"/>
      <c r="R25" s="783"/>
      <c r="S25" s="783"/>
      <c r="T25" s="783"/>
      <c r="U25" s="783"/>
      <c r="V25" s="771"/>
      <c r="W25" s="783"/>
      <c r="X25" s="783"/>
      <c r="Y25" s="783"/>
      <c r="Z25" s="783"/>
      <c r="AA25" s="783"/>
      <c r="AB25" s="788"/>
      <c r="AC25" s="783"/>
    </row>
    <row r="26" spans="1:30" ht="15" hidden="1" customHeight="1">
      <c r="A26" s="754"/>
      <c r="B26" s="1349" t="s">
        <v>8</v>
      </c>
      <c r="C26" s="1349" t="s">
        <v>960</v>
      </c>
      <c r="D26" s="1349"/>
      <c r="E26" s="1349"/>
      <c r="F26" s="1349"/>
      <c r="G26" s="1349"/>
      <c r="H26" s="1350" t="s">
        <v>937</v>
      </c>
      <c r="I26" s="1351"/>
      <c r="J26" s="1351"/>
      <c r="K26" s="1351"/>
      <c r="L26" s="1351"/>
      <c r="M26" s="1351"/>
      <c r="N26" s="1352"/>
      <c r="O26" s="1357" t="s">
        <v>26</v>
      </c>
      <c r="P26" s="1357"/>
      <c r="Q26" s="1357"/>
      <c r="R26" s="1357"/>
      <c r="S26" s="1357"/>
      <c r="T26" s="789"/>
      <c r="U26" s="783"/>
      <c r="V26" s="771"/>
      <c r="W26" s="783"/>
      <c r="X26" s="783"/>
      <c r="Y26" s="783"/>
      <c r="Z26" s="783"/>
      <c r="AA26" s="783"/>
      <c r="AB26" s="788"/>
      <c r="AC26" s="783"/>
    </row>
    <row r="27" spans="1:30" ht="21.75" hidden="1" customHeight="1">
      <c r="A27" s="754"/>
      <c r="B27" s="1349"/>
      <c r="C27" s="1349"/>
      <c r="D27" s="1349"/>
      <c r="E27" s="1349"/>
      <c r="F27" s="1349"/>
      <c r="G27" s="1349"/>
      <c r="H27" s="773" t="s">
        <v>933</v>
      </c>
      <c r="I27" s="1350" t="s">
        <v>959</v>
      </c>
      <c r="J27" s="1351"/>
      <c r="K27" s="1352"/>
      <c r="L27" s="1358" t="s">
        <v>936</v>
      </c>
      <c r="M27" s="1359"/>
      <c r="N27" s="1360"/>
      <c r="O27" s="776" t="s">
        <v>10</v>
      </c>
      <c r="P27" s="1349" t="s">
        <v>958</v>
      </c>
      <c r="Q27" s="1349"/>
      <c r="R27" s="1349"/>
      <c r="S27" s="1349"/>
      <c r="T27" s="771"/>
      <c r="U27" s="783"/>
      <c r="V27" s="771"/>
      <c r="W27" s="783"/>
      <c r="X27" s="783"/>
      <c r="Y27" s="783"/>
      <c r="Z27" s="783"/>
      <c r="AA27" s="783"/>
      <c r="AB27" s="788"/>
      <c r="AC27" s="783"/>
    </row>
    <row r="28" ht="21.75" hidden="1" customHeight="1">
      <c r="A28" s="754"/>
      <c r="B28" s="780">
        <v>1</v>
      </c>
      <c r="C28" s="1382">
        <f>C20</f>
      </c>
      <c r="D28" s="1382"/>
      <c r="E28" s="1382"/>
      <c r="F28" s="1382"/>
      <c r="G28" s="1382"/>
      <c r="H28" s="790">
        <f>(H20+O20+W20)/3</f>
      </c>
      <c r="I28" s="1362">
        <f>(I20+P20+X20)/3</f>
      </c>
      <c r="J28" s="1363"/>
      <c r="K28" s="1364"/>
      <c r="L28" s="1362">
        <f>(L20+S20+Z20)/3</f>
      </c>
      <c r="M28" s="1363"/>
      <c r="N28" s="1364"/>
      <c r="O28" s="791"/>
      <c r="P28" s="1362">
        <f>L28*O28</f>
      </c>
      <c r="Q28" s="1363"/>
      <c r="R28" s="1363"/>
      <c r="S28" s="1364"/>
      <c r="T28" s="783"/>
      <c r="U28" s="771"/>
      <c r="V28" s="771"/>
      <c r="W28" s="771"/>
      <c r="X28" s="783"/>
      <c r="Y28" s="783"/>
      <c r="Z28" s="783"/>
      <c r="AA28" s="783"/>
      <c r="AB28" s="788"/>
      <c r="AC28" s="783"/>
    </row>
    <row r="29" ht="21.75" hidden="1" customHeight="1">
      <c r="A29" s="754"/>
      <c r="B29" s="780">
        <v>2</v>
      </c>
      <c r="C29" s="1382">
        <f>C21</f>
      </c>
      <c r="D29" s="1382"/>
      <c r="E29" s="1382"/>
      <c r="F29" s="1382"/>
      <c r="G29" s="1382"/>
      <c r="H29" s="790">
        <f>(H21+O21+W21)/3</f>
      </c>
      <c r="I29" s="1362">
        <f>(I21+P21+X21)/3</f>
      </c>
      <c r="J29" s="1363"/>
      <c r="K29" s="1364"/>
      <c r="L29" s="1362">
        <f>(L21+S21+Z21)/3</f>
      </c>
      <c r="M29" s="1363"/>
      <c r="N29" s="1364"/>
      <c r="O29" s="791"/>
      <c r="P29" s="1362">
        <f t="shared" ref="P29" si="0">L29*O29</f>
      </c>
      <c r="Q29" s="1363"/>
      <c r="R29" s="1363"/>
      <c r="S29" s="1364"/>
      <c r="T29" s="783"/>
      <c r="U29" s="771"/>
      <c r="V29" s="771"/>
      <c r="W29" s="771"/>
      <c r="X29" s="783"/>
      <c r="Y29" s="783"/>
      <c r="Z29" s="783"/>
      <c r="AA29" s="783"/>
      <c r="AB29" s="788"/>
      <c r="AC29" s="783"/>
    </row>
    <row r="30" spans="1:30" ht="21.75" hidden="1" customHeight="1">
      <c r="A30" s="754"/>
      <c r="B30" s="1383" t="s">
        <v>5</v>
      </c>
      <c r="C30" s="1383"/>
      <c r="D30" s="1383"/>
      <c r="E30" s="1383"/>
      <c r="F30" s="1383"/>
      <c r="G30" s="1383"/>
      <c r="H30" s="792">
        <f>AVERAGE(H28:H29)</f>
      </c>
      <c r="I30" s="1383">
        <f>SUM(I28:K29)</f>
      </c>
      <c r="J30" s="1383"/>
      <c r="K30" s="1383"/>
      <c r="L30" s="1384">
        <f>SUM(L28:N29)</f>
      </c>
      <c r="M30" s="1385"/>
      <c r="N30" s="1386"/>
      <c r="O30" s="793">
        <f>AVERAGE(O28:O29)</f>
      </c>
      <c r="P30" s="1384">
        <f>SUM(P28:S29)</f>
      </c>
      <c r="Q30" s="1385"/>
      <c r="R30" s="1385"/>
      <c r="S30" s="1386"/>
      <c r="T30" s="783"/>
      <c r="U30" s="771"/>
      <c r="V30" s="771"/>
      <c r="W30" s="771"/>
      <c r="X30" s="783"/>
      <c r="Y30" s="783"/>
      <c r="Z30" s="783"/>
      <c r="AA30" s="783"/>
      <c r="AB30" s="788"/>
      <c r="AC30" s="783"/>
    </row>
    <row r="31" spans="1:30" ht="16.5" hidden="1" thickBot="1">
      <c r="A31" s="754"/>
      <c r="B31" s="794"/>
      <c r="C31" s="794"/>
      <c r="D31" s="794"/>
      <c r="E31" s="794"/>
      <c r="F31" s="794"/>
      <c r="U31" s="1373"/>
      <c r="V31" s="1373"/>
      <c r="W31" s="1373"/>
      <c r="AB31" s="770"/>
    </row>
    <row r="32" spans="1:30" s="898" customFormat="1" ht="16.5" hidden="1" thickBot="1">
      <c r="A32" s="892"/>
      <c r="B32" s="1387" t="s">
        <v>962</v>
      </c>
      <c r="C32" s="1388"/>
      <c r="D32" s="1388"/>
      <c r="E32" s="1388"/>
      <c r="F32" s="1388"/>
      <c r="G32" s="1388"/>
      <c r="H32" s="1388"/>
      <c r="I32" s="1388"/>
      <c r="J32" s="1388"/>
      <c r="K32" s="1388"/>
      <c r="L32" s="1388"/>
      <c r="M32" s="932" t="s">
        <v>0</v>
      </c>
      <c r="N32" s="1389">
        <f>(L22+S22+Z22)/3</f>
      </c>
      <c r="O32" s="1389"/>
      <c r="P32" s="1389"/>
      <c r="Q32" s="1390"/>
      <c r="AB32" s="905"/>
      <c r="AD32" s="900"/>
    </row>
    <row r="33" spans="1:42" hidden="1">
      <c r="A33" s="754"/>
      <c r="B33" s="755"/>
      <c r="C33" s="755"/>
      <c r="D33" s="755"/>
      <c r="E33" s="755"/>
      <c r="F33" s="755"/>
      <c r="G33" s="755"/>
      <c r="H33" s="755"/>
      <c r="I33" s="755"/>
      <c r="J33" s="755"/>
      <c r="K33" s="755"/>
      <c r="L33" s="878"/>
      <c r="M33" s="878"/>
      <c r="N33" s="878"/>
      <c r="O33" s="878"/>
      <c r="P33" s="878"/>
      <c r="AB33" s="770"/>
    </row>
    <row r="34" spans="1:42" ht="17.25" hidden="1">
      <c r="A34" s="1289" t="s">
        <v>938</v>
      </c>
      <c r="B34" s="1290"/>
      <c r="C34" s="1290"/>
      <c r="D34" s="1290"/>
      <c r="E34" s="1290"/>
      <c r="F34" s="1290"/>
      <c r="G34" s="1290"/>
      <c r="H34" s="1290"/>
      <c r="I34" s="1290"/>
      <c r="J34" s="1290"/>
      <c r="K34" s="1290"/>
      <c r="L34" s="1290"/>
      <c r="M34" s="1290"/>
      <c r="N34" s="1290"/>
      <c r="O34" s="1290"/>
      <c r="P34" s="1290"/>
      <c r="Q34" s="1290"/>
      <c r="R34" s="1290"/>
      <c r="S34" s="1290"/>
      <c r="T34" s="1290"/>
      <c r="U34" s="1290"/>
      <c r="V34" s="1290"/>
      <c r="W34" s="1290"/>
      <c r="X34" s="1290"/>
      <c r="Y34" s="1290"/>
      <c r="Z34" s="1290"/>
      <c r="AA34" s="1290"/>
      <c r="AB34" s="1291"/>
      <c r="AC34" s="747"/>
    </row>
    <row r="35" spans="1:42" ht="6.75" hidden="1" customHeight="1">
      <c r="A35" s="754"/>
      <c r="B35" s="794"/>
      <c r="C35" s="794"/>
      <c r="D35" s="794"/>
      <c r="E35" s="794"/>
      <c r="F35" s="794"/>
      <c r="AB35" s="770"/>
    </row>
    <row r="36" hidden="1">
      <c r="A36" s="754"/>
      <c r="B36" s="755"/>
      <c r="C36" s="879" t="s">
        <v>939</v>
      </c>
      <c r="D36" s="861"/>
      <c r="E36" s="861"/>
      <c r="F36" s="861"/>
      <c r="G36" s="861"/>
      <c r="H36" s="861"/>
      <c r="I36" s="861"/>
      <c r="J36" s="861"/>
      <c r="K36" s="880"/>
      <c r="L36" s="755" t="s">
        <v>0</v>
      </c>
      <c r="M36" s="795"/>
      <c r="N36" s="763"/>
      <c r="O36" s="763"/>
      <c r="P36" s="763"/>
      <c r="Q36" s="763"/>
      <c r="AB36" s="770"/>
    </row>
    <row r="37" hidden="1">
      <c r="A37" s="754"/>
      <c r="B37" s="755"/>
      <c r="C37" s="881" t="s">
        <v>940</v>
      </c>
      <c r="D37" s="863"/>
      <c r="E37" s="863"/>
      <c r="F37" s="863"/>
      <c r="G37" s="863"/>
      <c r="H37" s="863"/>
      <c r="I37" s="863"/>
      <c r="J37" s="863"/>
      <c r="K37" s="882"/>
      <c r="L37" s="755" t="s">
        <v>0</v>
      </c>
      <c r="M37" s="1374"/>
      <c r="N37" s="1375"/>
      <c r="O37" s="1376"/>
      <c r="P37" s="763"/>
      <c r="Q37" s="763"/>
      <c r="AB37" s="770"/>
    </row>
    <row r="38" spans="1:42" hidden="1">
      <c r="A38" s="754"/>
      <c r="B38" s="755"/>
      <c r="C38" s="881"/>
      <c r="D38" s="863"/>
      <c r="E38" s="863"/>
      <c r="F38" s="863"/>
      <c r="G38" s="863"/>
      <c r="H38" s="863"/>
      <c r="I38" s="863"/>
      <c r="J38" s="863"/>
      <c r="K38" s="882"/>
      <c r="L38" s="755"/>
      <c r="M38" s="883"/>
      <c r="N38" s="883"/>
      <c r="O38" s="883"/>
      <c r="P38" s="883"/>
      <c r="Q38" s="883"/>
      <c r="AB38" s="770"/>
    </row>
    <row r="39" hidden="1">
      <c r="A39" s="754"/>
      <c r="B39" s="755"/>
      <c r="C39" s="881" t="s">
        <v>941</v>
      </c>
      <c r="D39" s="863"/>
      <c r="E39" s="863"/>
      <c r="F39" s="863"/>
      <c r="G39" s="863"/>
      <c r="H39" s="863"/>
      <c r="I39" s="863"/>
      <c r="J39" s="863"/>
      <c r="K39" s="882"/>
      <c r="L39" s="755" t="s">
        <v>0</v>
      </c>
      <c r="M39" s="795"/>
      <c r="N39" s="763"/>
      <c r="O39" s="763"/>
      <c r="P39" s="763"/>
      <c r="Q39" s="763"/>
      <c r="AB39" s="770"/>
    </row>
    <row r="40" hidden="1">
      <c r="A40" s="754"/>
      <c r="B40" s="755"/>
      <c r="C40" s="881" t="s">
        <v>942</v>
      </c>
      <c r="D40" s="863"/>
      <c r="E40" s="863"/>
      <c r="F40" s="863"/>
      <c r="G40" s="863"/>
      <c r="H40" s="863"/>
      <c r="I40" s="863"/>
      <c r="J40" s="863"/>
      <c r="K40" s="882"/>
      <c r="L40" s="755" t="s">
        <v>0</v>
      </c>
      <c r="M40" s="1374"/>
      <c r="N40" s="1375"/>
      <c r="O40" s="1376"/>
      <c r="P40" s="763"/>
      <c r="Q40" s="763"/>
      <c r="AB40" s="770"/>
    </row>
    <row r="41" spans="1:42" hidden="1">
      <c r="A41" s="754"/>
      <c r="B41" s="755"/>
      <c r="C41" s="881"/>
      <c r="D41" s="863"/>
      <c r="E41" s="863"/>
      <c r="F41" s="863"/>
      <c r="G41" s="863"/>
      <c r="H41" s="863"/>
      <c r="I41" s="863"/>
      <c r="J41" s="863"/>
      <c r="K41" s="882"/>
      <c r="L41" s="755"/>
      <c r="M41" s="883"/>
      <c r="N41" s="883"/>
      <c r="O41" s="883"/>
      <c r="P41" s="883"/>
      <c r="Q41" s="883"/>
      <c r="AB41" s="770"/>
    </row>
    <row r="42" hidden="1">
      <c r="A42" s="754"/>
      <c r="B42" s="755"/>
      <c r="C42" s="881" t="s">
        <v>943</v>
      </c>
      <c r="D42" s="863"/>
      <c r="E42" s="863"/>
      <c r="F42" s="863"/>
      <c r="G42" s="863"/>
      <c r="H42" s="863"/>
      <c r="I42" s="863"/>
      <c r="J42" s="863"/>
      <c r="K42" s="882"/>
      <c r="L42" s="755" t="s">
        <v>0</v>
      </c>
      <c r="M42" s="795"/>
      <c r="N42" s="763"/>
      <c r="O42" s="763"/>
      <c r="P42" s="763"/>
      <c r="Q42" s="763"/>
      <c r="AB42" s="770"/>
    </row>
    <row r="43" hidden="1">
      <c r="A43" s="754"/>
      <c r="B43" s="755"/>
      <c r="C43" s="884" t="s">
        <v>944</v>
      </c>
      <c r="D43" s="756"/>
      <c r="E43" s="756"/>
      <c r="F43" s="756"/>
      <c r="G43" s="756"/>
      <c r="H43" s="756"/>
      <c r="I43" s="756"/>
      <c r="J43" s="756"/>
      <c r="K43" s="885"/>
      <c r="L43" s="755" t="s">
        <v>0</v>
      </c>
      <c r="M43" s="1261"/>
      <c r="N43" s="1262"/>
      <c r="O43" s="1377"/>
      <c r="P43" s="763"/>
      <c r="Q43" s="763"/>
      <c r="AB43" s="770"/>
      <c r="AE43" s="755"/>
      <c r="AF43" s="755"/>
      <c r="AG43" s="755"/>
      <c r="AH43" s="755"/>
      <c r="AI43" s="755"/>
      <c r="AJ43" s="755"/>
      <c r="AK43" s="755"/>
      <c r="AL43" s="755"/>
      <c r="AM43" s="755"/>
      <c r="AN43" s="755" t="s">
        <v>0</v>
      </c>
      <c r="AO43" s="1378">
        <v>0.2</v>
      </c>
      <c r="AP43" s="1378"/>
    </row>
    <row r="44" spans="1:42" ht="5.25" hidden="1" customHeight="1">
      <c r="A44" s="754"/>
      <c r="B44" s="755"/>
      <c r="C44" s="755"/>
      <c r="D44" s="755"/>
      <c r="E44" s="755"/>
      <c r="F44" s="755"/>
      <c r="G44" s="755"/>
      <c r="H44" s="755"/>
      <c r="I44" s="755"/>
      <c r="J44" s="755"/>
      <c r="K44" s="755"/>
      <c r="L44" s="755"/>
      <c r="M44" s="883"/>
      <c r="N44" s="883"/>
      <c r="O44" s="883"/>
      <c r="P44" s="883"/>
      <c r="Q44" s="883"/>
      <c r="AB44" s="770"/>
      <c r="AE44" s="755"/>
      <c r="AF44" s="755"/>
      <c r="AG44" s="755"/>
      <c r="AH44" s="755"/>
      <c r="AI44" s="755"/>
      <c r="AJ44" s="755"/>
      <c r="AK44" s="755"/>
      <c r="AL44" s="755"/>
      <c r="AM44" s="755"/>
      <c r="AN44" s="755"/>
      <c r="AO44" s="759"/>
      <c r="AP44" s="759"/>
    </row>
    <row r="45" spans="1:42" hidden="1">
      <c r="A45" s="769"/>
      <c r="B45" s="755"/>
      <c r="C45" s="886" t="s">
        <v>945</v>
      </c>
      <c r="D45" s="887"/>
      <c r="E45" s="887"/>
      <c r="F45" s="887"/>
      <c r="G45" s="887"/>
      <c r="H45" s="887"/>
      <c r="I45" s="887"/>
      <c r="J45" s="887"/>
      <c r="K45" s="888"/>
      <c r="L45" s="766" t="s">
        <v>0</v>
      </c>
      <c r="M45" s="1379">
        <f>(M36*M37*30)+(M39*M40*4)+(M42*M43)</f>
      </c>
      <c r="N45" s="1380"/>
      <c r="O45" s="1381"/>
      <c r="P45" s="889"/>
      <c r="Q45" s="889"/>
      <c r="AB45" s="770"/>
      <c r="AE45" s="755"/>
      <c r="AF45" s="755"/>
      <c r="AG45" s="755"/>
      <c r="AH45" s="755"/>
      <c r="AI45" s="755"/>
      <c r="AJ45" s="755"/>
      <c r="AK45" s="755"/>
      <c r="AL45" s="755"/>
      <c r="AM45" s="755"/>
      <c r="AN45" s="755"/>
      <c r="AO45" s="759"/>
      <c r="AP45" s="759"/>
    </row>
    <row r="46" spans="1:42" hidden="1">
      <c r="A46" s="754"/>
      <c r="B46" s="794"/>
      <c r="C46" s="794"/>
      <c r="D46" s="794"/>
      <c r="E46" s="794"/>
      <c r="F46" s="794"/>
      <c r="AB46" s="770"/>
      <c r="AE46" s="755"/>
      <c r="AF46" s="755"/>
      <c r="AG46" s="755"/>
      <c r="AH46" s="755"/>
      <c r="AI46" s="755"/>
      <c r="AJ46" s="755"/>
      <c r="AK46" s="755"/>
      <c r="AL46" s="755"/>
      <c r="AM46" s="755"/>
      <c r="AN46" s="755"/>
      <c r="AO46" s="759"/>
      <c r="AP46" s="759"/>
    </row>
    <row r="47" spans="1:42" ht="17.25" hidden="1">
      <c r="A47" s="1289" t="s">
        <v>946</v>
      </c>
      <c r="B47" s="1290"/>
      <c r="C47" s="1290"/>
      <c r="D47" s="1290"/>
      <c r="E47" s="1290"/>
      <c r="F47" s="1290"/>
      <c r="G47" s="1290"/>
      <c r="H47" s="1290"/>
      <c r="I47" s="1290"/>
      <c r="J47" s="1290"/>
      <c r="K47" s="1290"/>
      <c r="L47" s="1290"/>
      <c r="M47" s="1290"/>
      <c r="N47" s="1290"/>
      <c r="O47" s="1290"/>
      <c r="P47" s="1290"/>
      <c r="Q47" s="1290"/>
      <c r="R47" s="1290"/>
      <c r="S47" s="1290"/>
      <c r="T47" s="1290"/>
      <c r="U47" s="1290"/>
      <c r="V47" s="1290"/>
      <c r="W47" s="1290"/>
      <c r="X47" s="1290"/>
      <c r="Y47" s="1290"/>
      <c r="Z47" s="1290"/>
      <c r="AA47" s="1290"/>
      <c r="AB47" s="1291"/>
      <c r="AC47" s="747"/>
      <c r="AE47" s="755"/>
      <c r="AF47" s="755"/>
      <c r="AG47" s="755"/>
      <c r="AH47" s="755"/>
      <c r="AI47" s="755"/>
      <c r="AJ47" s="755"/>
      <c r="AK47" s="755"/>
      <c r="AL47" s="755"/>
      <c r="AM47" s="755"/>
      <c r="AN47" s="755"/>
      <c r="AO47" s="759"/>
      <c r="AP47" s="759"/>
    </row>
    <row r="48" spans="1:42" ht="6.75" hidden="1" customHeight="1">
      <c r="A48" s="754"/>
      <c r="B48" s="794"/>
      <c r="C48" s="794"/>
      <c r="D48" s="794"/>
      <c r="E48" s="794"/>
      <c r="F48" s="794"/>
      <c r="AB48" s="770"/>
      <c r="AE48" s="755"/>
      <c r="AF48" s="755"/>
      <c r="AG48" s="755"/>
      <c r="AH48" s="755"/>
      <c r="AI48" s="755"/>
      <c r="AJ48" s="755"/>
      <c r="AK48" s="755"/>
      <c r="AL48" s="755"/>
      <c r="AM48" s="755"/>
      <c r="AN48" s="755"/>
      <c r="AO48" s="759"/>
      <c r="AP48" s="759"/>
    </row>
    <row r="49" hidden="1">
      <c r="A49" s="754"/>
      <c r="B49" s="755"/>
      <c r="C49" s="800" t="s">
        <v>947</v>
      </c>
      <c r="D49" s="800"/>
      <c r="E49" s="800"/>
      <c r="F49" s="800"/>
      <c r="G49" s="800"/>
      <c r="H49" s="800"/>
      <c r="I49" s="800"/>
      <c r="J49" s="796"/>
      <c r="K49" s="796"/>
      <c r="L49" s="758" t="s">
        <v>0</v>
      </c>
      <c r="M49" s="1333"/>
      <c r="N49" s="1333"/>
      <c r="O49" s="1333"/>
      <c r="AB49" s="770"/>
      <c r="AE49" s="755"/>
      <c r="AF49" s="755"/>
      <c r="AG49" s="755"/>
      <c r="AH49" s="755"/>
      <c r="AI49" s="755"/>
      <c r="AJ49" s="755"/>
      <c r="AK49" s="755"/>
      <c r="AL49" s="755"/>
      <c r="AM49" s="755"/>
      <c r="AN49" s="755"/>
      <c r="AO49" s="759"/>
      <c r="AP49" s="759"/>
    </row>
    <row r="50" hidden="1">
      <c r="A50" s="754"/>
      <c r="B50" s="755"/>
      <c r="C50" s="801" t="s">
        <v>948</v>
      </c>
      <c r="D50" s="801"/>
      <c r="E50" s="801"/>
      <c r="F50" s="801"/>
      <c r="G50" s="801"/>
      <c r="H50" s="801"/>
      <c r="I50" s="801"/>
      <c r="J50" s="797"/>
      <c r="K50" s="797"/>
      <c r="L50" s="758" t="s">
        <v>0</v>
      </c>
      <c r="M50" s="1333"/>
      <c r="N50" s="1333"/>
      <c r="O50" s="1333"/>
      <c r="AB50" s="770"/>
      <c r="AE50" s="755"/>
      <c r="AF50" s="755"/>
      <c r="AG50" s="755"/>
      <c r="AH50" s="755"/>
      <c r="AI50" s="755"/>
      <c r="AJ50" s="755"/>
      <c r="AK50" s="755"/>
      <c r="AL50" s="755"/>
      <c r="AM50" s="755"/>
      <c r="AN50" s="755"/>
      <c r="AO50" s="759"/>
      <c r="AP50" s="759"/>
    </row>
    <row r="51" hidden="1">
      <c r="A51" s="754"/>
      <c r="B51" s="755"/>
      <c r="C51" s="801" t="s">
        <v>949</v>
      </c>
      <c r="D51" s="801"/>
      <c r="E51" s="801"/>
      <c r="F51" s="801"/>
      <c r="G51" s="801"/>
      <c r="H51" s="801"/>
      <c r="I51" s="801"/>
      <c r="J51" s="797"/>
      <c r="K51" s="797"/>
      <c r="L51" s="758" t="s">
        <v>0</v>
      </c>
      <c r="M51" s="1333"/>
      <c r="N51" s="1333"/>
      <c r="O51" s="1333"/>
      <c r="AB51" s="770"/>
      <c r="AE51" s="755"/>
      <c r="AF51" s="755"/>
      <c r="AG51" s="755"/>
      <c r="AH51" s="755"/>
      <c r="AI51" s="755"/>
      <c r="AJ51" s="755"/>
      <c r="AK51" s="755"/>
      <c r="AL51" s="755"/>
      <c r="AM51" s="755"/>
      <c r="AN51" s="755"/>
      <c r="AO51" s="759"/>
      <c r="AP51" s="759"/>
    </row>
    <row r="52" hidden="1">
      <c r="A52" s="754"/>
      <c r="B52" s="755"/>
      <c r="C52" s="801" t="s">
        <v>950</v>
      </c>
      <c r="D52" s="801"/>
      <c r="E52" s="801"/>
      <c r="F52" s="801"/>
      <c r="G52" s="801"/>
      <c r="H52" s="801"/>
      <c r="I52" s="801"/>
      <c r="J52" s="797"/>
      <c r="K52" s="797"/>
      <c r="L52" s="758" t="s">
        <v>0</v>
      </c>
      <c r="M52" s="1333"/>
      <c r="N52" s="1333"/>
      <c r="O52" s="1333"/>
      <c r="AB52" s="770"/>
      <c r="AE52" s="755"/>
      <c r="AF52" s="755"/>
      <c r="AG52" s="755"/>
      <c r="AH52" s="755"/>
      <c r="AI52" s="755"/>
      <c r="AJ52" s="755"/>
      <c r="AK52" s="755"/>
      <c r="AL52" s="755"/>
      <c r="AM52" s="755"/>
      <c r="AN52" s="755"/>
      <c r="AO52" s="759"/>
      <c r="AP52" s="759"/>
    </row>
    <row r="53" hidden="1">
      <c r="A53" s="754"/>
      <c r="B53" s="755"/>
      <c r="C53" s="801" t="s">
        <v>951</v>
      </c>
      <c r="D53" s="801"/>
      <c r="E53" s="801"/>
      <c r="F53" s="801"/>
      <c r="G53" s="801"/>
      <c r="H53" s="801"/>
      <c r="I53" s="801"/>
      <c r="J53" s="797"/>
      <c r="K53" s="797"/>
      <c r="L53" s="758" t="s">
        <v>0</v>
      </c>
      <c r="M53" s="1333"/>
      <c r="N53" s="1333"/>
      <c r="O53" s="1333"/>
      <c r="AB53" s="770"/>
      <c r="AE53" s="755"/>
      <c r="AF53" s="755"/>
      <c r="AG53" s="755"/>
      <c r="AH53" s="755"/>
      <c r="AI53" s="755"/>
      <c r="AJ53" s="755"/>
      <c r="AK53" s="755"/>
      <c r="AL53" s="755"/>
      <c r="AM53" s="755"/>
      <c r="AN53" s="755"/>
      <c r="AO53" s="759"/>
      <c r="AP53" s="759"/>
    </row>
    <row r="54" spans="1:42" ht="7.5" hidden="1" customHeight="1">
      <c r="A54" s="754"/>
      <c r="B54" s="755"/>
      <c r="C54" s="755"/>
      <c r="D54" s="755"/>
      <c r="E54" s="755"/>
      <c r="F54" s="755"/>
      <c r="G54" s="755"/>
      <c r="H54" s="755"/>
      <c r="I54" s="755"/>
      <c r="J54" s="758"/>
      <c r="L54" s="763"/>
      <c r="M54" s="877"/>
      <c r="N54" s="877"/>
      <c r="O54" s="877"/>
      <c r="AB54" s="770"/>
      <c r="AE54" s="755"/>
      <c r="AF54" s="755"/>
      <c r="AG54" s="755"/>
      <c r="AH54" s="755"/>
      <c r="AI54" s="755"/>
      <c r="AJ54" s="755"/>
      <c r="AK54" s="755"/>
      <c r="AL54" s="755"/>
      <c r="AM54" s="755"/>
      <c r="AN54" s="755"/>
      <c r="AO54" s="759"/>
      <c r="AP54" s="759"/>
    </row>
    <row r="55" spans="1:42" hidden="1">
      <c r="A55" s="754"/>
      <c r="B55" s="755"/>
      <c r="C55" s="802" t="s">
        <v>952</v>
      </c>
      <c r="D55" s="801"/>
      <c r="E55" s="801"/>
      <c r="F55" s="801"/>
      <c r="G55" s="801"/>
      <c r="H55" s="801"/>
      <c r="I55" s="801"/>
      <c r="J55" s="801"/>
      <c r="K55" s="798"/>
      <c r="L55" s="765" t="s">
        <v>0</v>
      </c>
      <c r="M55" s="1391">
        <f>SUM(M49:O54)</f>
      </c>
      <c r="N55" s="1392"/>
      <c r="O55" s="1393"/>
      <c r="AB55" s="770"/>
      <c r="AE55" s="755"/>
      <c r="AF55" s="755"/>
      <c r="AG55" s="755"/>
      <c r="AH55" s="755"/>
      <c r="AI55" s="755"/>
      <c r="AJ55" s="755"/>
      <c r="AK55" s="755"/>
      <c r="AL55" s="755"/>
      <c r="AM55" s="755"/>
      <c r="AN55" s="755"/>
      <c r="AO55" s="759"/>
      <c r="AP55" s="759"/>
    </row>
    <row r="56" spans="1:42" hidden="1">
      <c r="A56" s="746"/>
      <c r="B56" s="746"/>
      <c r="C56" s="746"/>
      <c r="D56" s="746"/>
      <c r="E56" s="746"/>
      <c r="F56" s="746"/>
      <c r="G56" s="746"/>
      <c r="H56" s="746"/>
      <c r="I56" s="746"/>
      <c r="J56" s="746"/>
      <c r="K56" s="746"/>
      <c r="L56" s="746"/>
      <c r="M56" s="746"/>
      <c r="N56" s="746"/>
      <c r="O56" s="746"/>
      <c r="P56" s="746"/>
      <c r="Q56" s="746"/>
      <c r="R56" s="746"/>
      <c r="S56" s="746"/>
      <c r="T56" s="746"/>
      <c r="U56" s="746"/>
      <c r="V56" s="746"/>
      <c r="W56" s="746"/>
      <c r="X56" s="746"/>
      <c r="Y56" s="746"/>
      <c r="Z56" s="746"/>
      <c r="AA56" s="746"/>
      <c r="AB56" s="746"/>
      <c r="AC56" s="769"/>
      <c r="AG56" s="753"/>
    </row>
    <row r="57" spans="1:42" ht="17.25" hidden="1">
      <c r="A57" s="1289" t="s">
        <v>980</v>
      </c>
      <c r="B57" s="1290"/>
      <c r="C57" s="1290"/>
      <c r="D57" s="1290"/>
      <c r="E57" s="1290"/>
      <c r="F57" s="1290"/>
      <c r="G57" s="1290"/>
      <c r="H57" s="1290"/>
      <c r="I57" s="1290"/>
      <c r="J57" s="1290"/>
      <c r="K57" s="1290"/>
      <c r="L57" s="1290"/>
      <c r="M57" s="1290"/>
      <c r="N57" s="1290"/>
      <c r="O57" s="1290"/>
      <c r="P57" s="1290"/>
      <c r="Q57" s="1290"/>
      <c r="R57" s="1290"/>
      <c r="S57" s="1290"/>
      <c r="T57" s="1290"/>
      <c r="U57" s="1290"/>
      <c r="V57" s="1290"/>
      <c r="W57" s="1290"/>
      <c r="X57" s="1290"/>
      <c r="Y57" s="1290"/>
      <c r="Z57" s="1290"/>
      <c r="AA57" s="1290"/>
      <c r="AB57" s="799"/>
      <c r="AC57" s="213"/>
    </row>
    <row r="58" spans="1:42" ht="10.5" hidden="1" customHeight="1">
      <c r="A58" s="751"/>
      <c r="AB58" s="752"/>
    </row>
    <row r="59" spans="1:42" s="898" customFormat="1" hidden="1">
      <c r="A59" s="892"/>
      <c r="B59" s="893"/>
      <c r="C59" s="906" t="s">
        <v>11</v>
      </c>
      <c r="D59" s="906"/>
      <c r="E59" s="906"/>
      <c r="F59" s="906"/>
      <c r="G59" s="906"/>
      <c r="H59" s="906"/>
      <c r="I59" s="906"/>
      <c r="J59" s="907"/>
      <c r="K59" s="907"/>
      <c r="L59" s="908" t="s">
        <v>0</v>
      </c>
      <c r="M59" s="1394">
        <f>N32</f>
      </c>
      <c r="N59" s="1394"/>
      <c r="O59" s="1394"/>
      <c r="AB59" s="899"/>
      <c r="AD59" s="900"/>
      <c r="AE59" s="909">
        <v>0.3</v>
      </c>
      <c r="AF59" s="893"/>
      <c r="AG59" s="893"/>
      <c r="AH59" s="893"/>
      <c r="AI59" s="893"/>
      <c r="AJ59" s="893"/>
      <c r="AK59" s="893"/>
      <c r="AL59" s="893"/>
      <c r="AM59" s="893"/>
      <c r="AN59" s="893"/>
      <c r="AO59" s="901"/>
      <c r="AP59" s="901"/>
    </row>
    <row r="60" spans="1:42" s="898" customFormat="1" hidden="1">
      <c r="A60" s="892"/>
      <c r="B60" s="893"/>
      <c r="C60" s="910" t="s">
        <v>26</v>
      </c>
      <c r="D60" s="910"/>
      <c r="E60" s="910"/>
      <c r="F60" s="910"/>
      <c r="G60" s="910"/>
      <c r="H60" s="910"/>
      <c r="I60" s="910"/>
      <c r="J60" s="911"/>
      <c r="K60" s="911"/>
      <c r="L60" s="908" t="s">
        <v>0</v>
      </c>
      <c r="M60" s="1395">
        <f>P30</f>
      </c>
      <c r="N60" s="1395"/>
      <c r="O60" s="1395"/>
      <c r="AB60" s="899"/>
      <c r="AD60" s="900"/>
      <c r="AE60" s="909">
        <v>0.35</v>
      </c>
      <c r="AF60" s="893"/>
      <c r="AG60" s="893"/>
      <c r="AH60" s="893"/>
      <c r="AI60" s="893"/>
      <c r="AJ60" s="893"/>
      <c r="AK60" s="893"/>
      <c r="AL60" s="893"/>
      <c r="AM60" s="893"/>
      <c r="AN60" s="893"/>
      <c r="AO60" s="901"/>
      <c r="AP60" s="901"/>
    </row>
    <row r="61" spans="1:42" s="898" customFormat="1" hidden="1">
      <c r="A61" s="892"/>
      <c r="B61" s="893"/>
      <c r="C61" s="910" t="s">
        <v>986</v>
      </c>
      <c r="D61" s="910"/>
      <c r="E61" s="910"/>
      <c r="F61" s="910"/>
      <c r="G61" s="910"/>
      <c r="H61" s="910"/>
      <c r="I61" s="910"/>
      <c r="J61" s="911"/>
      <c r="K61" s="911"/>
      <c r="L61" s="908" t="s">
        <v>0</v>
      </c>
      <c r="M61" s="1395">
        <f>M59-M60</f>
      </c>
      <c r="N61" s="1395"/>
      <c r="O61" s="1395"/>
      <c r="AB61" s="899"/>
      <c r="AD61" s="900"/>
      <c r="AE61" s="909"/>
      <c r="AF61" s="893"/>
      <c r="AG61" s="893"/>
      <c r="AH61" s="893"/>
      <c r="AI61" s="893"/>
      <c r="AJ61" s="893"/>
      <c r="AK61" s="893"/>
      <c r="AL61" s="893"/>
      <c r="AM61" s="893"/>
      <c r="AN61" s="893"/>
      <c r="AO61" s="901"/>
      <c r="AP61" s="901"/>
    </row>
    <row r="62" spans="1:42" s="898" customFormat="1" hidden="1">
      <c r="A62" s="892"/>
      <c r="B62" s="893"/>
      <c r="C62" s="910" t="s">
        <v>953</v>
      </c>
      <c r="D62" s="910"/>
      <c r="E62" s="910"/>
      <c r="F62" s="910"/>
      <c r="G62" s="910"/>
      <c r="H62" s="910"/>
      <c r="I62" s="910"/>
      <c r="J62" s="911"/>
      <c r="K62" s="911"/>
      <c r="L62" s="908" t="s">
        <v>0</v>
      </c>
      <c r="M62" s="1399">
        <f>M45+M55</f>
      </c>
      <c r="N62" s="1400"/>
      <c r="O62" s="1401"/>
      <c r="AB62" s="899"/>
      <c r="AD62" s="900"/>
      <c r="AE62" s="909">
        <v>0.4</v>
      </c>
      <c r="AF62" s="893"/>
      <c r="AG62" s="893"/>
      <c r="AH62" s="893"/>
      <c r="AI62" s="893"/>
      <c r="AJ62" s="893"/>
      <c r="AK62" s="893"/>
      <c r="AL62" s="893"/>
      <c r="AM62" s="893"/>
      <c r="AN62" s="893"/>
      <c r="AO62" s="901"/>
      <c r="AP62" s="901"/>
    </row>
    <row r="63" spans="1:42" s="898" customFormat="1" hidden="1">
      <c r="A63" s="892"/>
      <c r="B63" s="893"/>
      <c r="C63" s="912" t="s">
        <v>987</v>
      </c>
      <c r="D63" s="912"/>
      <c r="E63" s="912"/>
      <c r="F63" s="912"/>
      <c r="G63" s="912"/>
      <c r="H63" s="912"/>
      <c r="I63" s="912"/>
      <c r="J63" s="913"/>
      <c r="K63" s="913"/>
      <c r="L63" s="908" t="s">
        <v>0</v>
      </c>
      <c r="M63" s="1396">
        <f>(M59-M60)-M62</f>
      </c>
      <c r="N63" s="1397"/>
      <c r="O63" s="1398"/>
      <c r="AB63" s="899"/>
      <c r="AD63" s="900"/>
      <c r="AE63" s="909">
        <v>0.7</v>
      </c>
      <c r="AF63" s="893"/>
      <c r="AG63" s="893"/>
      <c r="AH63" s="893"/>
      <c r="AI63" s="893"/>
      <c r="AJ63" s="893"/>
      <c r="AK63" s="893"/>
      <c r="AL63" s="893"/>
      <c r="AM63" s="893"/>
      <c r="AN63" s="893"/>
      <c r="AO63" s="901"/>
      <c r="AP63" s="901"/>
    </row>
    <row r="64" spans="1:42" ht="15.75" hidden="1" customHeight="1">
      <c r="A64" s="754"/>
      <c r="B64" s="755"/>
      <c r="C64" s="912" t="s">
        <v>981</v>
      </c>
      <c r="D64" s="912"/>
      <c r="E64" s="912"/>
      <c r="F64" s="912"/>
      <c r="G64" s="912"/>
      <c r="H64" s="912"/>
      <c r="I64" s="912"/>
      <c r="J64" s="913"/>
      <c r="K64" s="913"/>
      <c r="L64" s="765"/>
      <c r="M64" s="1396">
        <f>M63*5%</f>
      </c>
      <c r="N64" s="1397"/>
      <c r="O64" s="1398"/>
      <c r="AB64" s="752"/>
      <c r="AE64" s="768"/>
      <c r="AF64" s="755"/>
      <c r="AG64" s="755"/>
      <c r="AH64" s="755"/>
      <c r="AI64" s="755"/>
      <c r="AJ64" s="755"/>
      <c r="AK64" s="755"/>
      <c r="AL64" s="755"/>
      <c r="AM64" s="755"/>
      <c r="AN64" s="755"/>
      <c r="AO64" s="759"/>
      <c r="AP64" s="759"/>
    </row>
    <row r="65" spans="1:42" s="898" customFormat="1" hidden="1">
      <c r="A65" s="892"/>
      <c r="B65" s="893"/>
      <c r="C65" s="912" t="s">
        <v>988</v>
      </c>
      <c r="D65" s="912"/>
      <c r="E65" s="912"/>
      <c r="F65" s="912"/>
      <c r="G65" s="912"/>
      <c r="H65" s="912"/>
      <c r="I65" s="912"/>
      <c r="J65" s="913"/>
      <c r="K65" s="913"/>
      <c r="L65" s="908" t="s">
        <v>0</v>
      </c>
      <c r="M65" s="1396">
        <f>M63-M64</f>
      </c>
      <c r="N65" s="1397"/>
      <c r="O65" s="1398"/>
      <c r="AB65" s="899"/>
      <c r="AD65" s="900"/>
      <c r="AE65" s="909">
        <v>0.7</v>
      </c>
      <c r="AF65" s="893"/>
      <c r="AG65" s="893"/>
      <c r="AH65" s="893"/>
      <c r="AI65" s="893"/>
      <c r="AJ65" s="893"/>
      <c r="AK65" s="893"/>
      <c r="AL65" s="893"/>
      <c r="AM65" s="893"/>
      <c r="AN65" s="893"/>
      <c r="AO65" s="901"/>
      <c r="AP65" s="901"/>
    </row>
    <row r="66" spans="1:42" ht="3.75" hidden="1" customHeight="1">
      <c r="A66" s="754"/>
      <c r="B66" s="755"/>
      <c r="C66" s="755"/>
      <c r="D66" s="755"/>
      <c r="E66" s="755"/>
      <c r="F66" s="755"/>
      <c r="G66" s="755"/>
      <c r="H66" s="755"/>
      <c r="I66" s="755"/>
      <c r="J66" s="758"/>
      <c r="L66" s="763"/>
      <c r="M66" s="877"/>
      <c r="N66" s="877"/>
      <c r="O66" s="877"/>
      <c r="AB66" s="752"/>
      <c r="AE66" s="768"/>
      <c r="AF66" s="755"/>
      <c r="AG66" s="755"/>
      <c r="AH66" s="755"/>
      <c r="AI66" s="755"/>
      <c r="AJ66" s="755"/>
      <c r="AK66" s="755"/>
      <c r="AL66" s="755"/>
      <c r="AM66" s="755"/>
      <c r="AN66" s="755"/>
      <c r="AO66" s="759"/>
      <c r="AP66" s="759"/>
    </row>
    <row r="67" hidden="1">
      <c r="A67" s="754"/>
      <c r="B67" s="755"/>
      <c r="C67" s="802" t="s">
        <v>954</v>
      </c>
      <c r="D67" s="801"/>
      <c r="E67" s="801"/>
      <c r="F67" s="801"/>
      <c r="G67" s="801"/>
      <c r="H67" s="801"/>
      <c r="I67" s="801"/>
      <c r="J67" s="801"/>
      <c r="K67" s="798"/>
      <c r="L67" s="765" t="s">
        <v>0</v>
      </c>
      <c r="M67" s="1402"/>
      <c r="N67" s="1403"/>
      <c r="O67" s="1404"/>
      <c r="AB67" s="752"/>
      <c r="AE67" s="768">
        <v>0.8</v>
      </c>
      <c r="AF67" s="755"/>
      <c r="AG67" s="755"/>
      <c r="AH67" s="755"/>
      <c r="AI67" s="755"/>
      <c r="AJ67" s="755"/>
      <c r="AK67" s="755"/>
      <c r="AL67" s="755"/>
      <c r="AM67" s="755"/>
      <c r="AN67" s="755"/>
      <c r="AO67" s="759"/>
      <c r="AP67" s="759"/>
    </row>
    <row r="68" spans="1:42" ht="4.5" hidden="1" customHeight="1">
      <c r="A68" s="754"/>
      <c r="B68" s="755"/>
      <c r="C68" s="766"/>
      <c r="D68" s="755"/>
      <c r="E68" s="755"/>
      <c r="F68" s="755"/>
      <c r="G68" s="755"/>
      <c r="H68" s="755"/>
      <c r="I68" s="755"/>
      <c r="J68" s="755"/>
      <c r="L68" s="765"/>
      <c r="M68" s="890"/>
      <c r="N68" s="890"/>
      <c r="O68" s="890"/>
      <c r="AB68" s="752"/>
      <c r="AE68" s="768"/>
      <c r="AF68" s="755"/>
      <c r="AG68" s="755"/>
      <c r="AH68" s="755"/>
      <c r="AI68" s="755"/>
      <c r="AJ68" s="755"/>
      <c r="AK68" s="755"/>
      <c r="AL68" s="755"/>
      <c r="AM68" s="755"/>
      <c r="AN68" s="755"/>
      <c r="AO68" s="759"/>
      <c r="AP68" s="759"/>
    </row>
    <row r="69" spans="1:42" s="898" customFormat="1" hidden="1">
      <c r="A69" s="892"/>
      <c r="B69" s="893"/>
      <c r="C69" s="914" t="s">
        <v>597</v>
      </c>
      <c r="D69" s="915"/>
      <c r="E69" s="915"/>
      <c r="F69" s="915"/>
      <c r="G69" s="915"/>
      <c r="H69" s="915"/>
      <c r="I69" s="915"/>
      <c r="J69" s="915"/>
      <c r="K69" s="916"/>
      <c r="L69" s="897" t="s">
        <v>0</v>
      </c>
      <c r="M69" s="1405">
        <f>M65*M67</f>
      </c>
      <c r="N69" s="1406"/>
      <c r="O69" s="1407"/>
      <c r="AB69" s="899"/>
      <c r="AD69" s="900"/>
      <c r="AE69" s="893"/>
      <c r="AF69" s="893"/>
      <c r="AG69" s="893"/>
      <c r="AH69" s="893"/>
      <c r="AI69" s="893"/>
      <c r="AJ69" s="893"/>
      <c r="AK69" s="893"/>
      <c r="AL69" s="893"/>
      <c r="AM69" s="893"/>
      <c r="AN69" s="893"/>
      <c r="AO69" s="901"/>
      <c r="AP69" s="901"/>
    </row>
    <row r="70" spans="1:42">
      <c r="A70" s="754"/>
      <c r="B70" s="755"/>
      <c r="C70" s="766"/>
      <c r="D70" s="755"/>
      <c r="E70" s="755"/>
      <c r="F70" s="755"/>
      <c r="G70" s="755"/>
      <c r="H70" s="755"/>
      <c r="I70" s="755"/>
      <c r="J70" s="755"/>
      <c r="L70" s="765"/>
      <c r="M70" s="891"/>
      <c r="N70" s="891"/>
      <c r="O70" s="891"/>
      <c r="AB70" s="752"/>
      <c r="AE70" s="755"/>
      <c r="AF70" s="755"/>
      <c r="AG70" s="755"/>
      <c r="AH70" s="755"/>
      <c r="AI70" s="755"/>
      <c r="AJ70" s="755"/>
      <c r="AK70" s="755"/>
      <c r="AL70" s="755"/>
      <c r="AM70" s="755"/>
      <c r="AN70" s="755"/>
      <c r="AO70" s="759"/>
      <c r="AP70" s="759"/>
    </row>
    <row r="71" spans="1:42" ht="17.25">
      <c r="A71" s="1289" t="s">
        <v>685</v>
      </c>
      <c r="B71" s="1290"/>
      <c r="C71" s="1290"/>
      <c r="D71" s="1290"/>
      <c r="E71" s="1290"/>
      <c r="F71" s="1290"/>
      <c r="G71" s="1290"/>
      <c r="H71" s="1290"/>
      <c r="I71" s="1290"/>
      <c r="J71" s="1290"/>
      <c r="K71" s="1290"/>
      <c r="L71" s="1290"/>
      <c r="M71" s="1290"/>
      <c r="N71" s="1290"/>
      <c r="O71" s="1290"/>
      <c r="P71" s="1290"/>
      <c r="Q71" s="1290"/>
      <c r="R71" s="1290"/>
      <c r="S71" s="1290"/>
      <c r="T71" s="1290"/>
      <c r="U71" s="1290"/>
      <c r="V71" s="1290"/>
      <c r="W71" s="1290"/>
      <c r="X71" s="1290"/>
      <c r="Y71" s="1290"/>
      <c r="Z71" s="1290"/>
      <c r="AA71" s="1290"/>
      <c r="AB71" s="1291"/>
      <c r="AC71" s="747"/>
    </row>
    <row r="72">
      <c r="A72" s="1331" t="s">
        <v>910</v>
      </c>
      <c r="B72" s="1332"/>
      <c r="C72" s="1332"/>
      <c r="D72" s="1332"/>
      <c r="E72" s="1332"/>
      <c r="F72" s="990"/>
      <c r="G72" s="803"/>
      <c r="H72" s="803"/>
      <c r="I72" s="803"/>
      <c r="J72" s="803"/>
      <c r="K72" s="803"/>
      <c r="L72" s="803"/>
      <c r="M72" s="803"/>
      <c r="N72" s="803"/>
      <c r="O72" s="803"/>
      <c r="P72" s="803"/>
      <c r="Q72" s="803"/>
      <c r="R72" s="803"/>
      <c r="S72" s="803"/>
      <c r="T72" s="803"/>
      <c r="U72" s="803"/>
      <c r="V72" s="803"/>
      <c r="W72" s="803"/>
      <c r="X72" s="803"/>
      <c r="Y72" s="803"/>
      <c r="Z72" s="803"/>
      <c r="AB72" s="752"/>
    </row>
    <row r="73" spans="1:42" ht="28.5" customHeight="1">
      <c r="A73" s="866" t="s">
        <v>8</v>
      </c>
      <c r="B73" s="1278" t="s">
        <v>963</v>
      </c>
      <c r="C73" s="1278"/>
      <c r="D73" s="1278"/>
      <c r="E73" s="1278"/>
      <c r="F73" s="1278" t="s">
        <v>691</v>
      </c>
      <c r="G73" s="1278"/>
      <c r="H73" s="1278"/>
      <c r="I73" s="1278" t="s">
        <v>697</v>
      </c>
      <c r="J73" s="1278"/>
      <c r="K73" s="1278"/>
      <c r="L73" s="1278" t="s">
        <v>967</v>
      </c>
      <c r="M73" s="1348"/>
      <c r="N73" s="1278" t="s">
        <v>968</v>
      </c>
      <c r="O73" s="1278"/>
      <c r="P73" s="1278"/>
      <c r="Q73" s="1278" t="s">
        <v>969</v>
      </c>
      <c r="R73" s="1278"/>
      <c r="S73" s="1278"/>
      <c r="T73" s="1278" t="s">
        <v>970</v>
      </c>
      <c r="U73" s="1278"/>
      <c r="V73" s="1278"/>
      <c r="W73" s="1278" t="s">
        <v>971</v>
      </c>
      <c r="X73" s="1278"/>
      <c r="Y73" s="867" t="s">
        <v>966</v>
      </c>
      <c r="Z73" s="867" t="s">
        <v>972</v>
      </c>
      <c r="AA73" s="867" t="s">
        <v>973</v>
      </c>
      <c r="AB73" s="804"/>
      <c r="AC73" s="805"/>
    </row>
    <row r="74">
      <c r="A74" s="806">
        <v>1</v>
      </c>
      <c r="B74" s="1344"/>
      <c r="C74" s="1345"/>
      <c r="D74" s="1345"/>
      <c r="E74" s="1346"/>
      <c r="F74" s="1253"/>
      <c r="G74" s="1254"/>
      <c r="H74" s="1255"/>
      <c r="I74" s="1245">
        <f ca="1">IF(Y74="Flat",AP74,AO74)</f>
      </c>
      <c r="J74" s="1246"/>
      <c r="K74" s="1247"/>
      <c r="L74" s="1243"/>
      <c r="M74" s="1244"/>
      <c r="N74" s="1245">
        <f>IF(AA74="Ya",0,AE74)</f>
      </c>
      <c r="O74" s="1246"/>
      <c r="P74" s="1247"/>
      <c r="Q74" s="1248"/>
      <c r="R74" s="1249"/>
      <c r="S74" s="1250"/>
      <c r="T74" s="1248"/>
      <c r="U74" s="1249"/>
      <c r="V74" s="1250"/>
      <c r="W74" s="1276"/>
      <c r="X74" s="1277"/>
      <c r="Y74" s="808" t="s">
        <v>430</v>
      </c>
      <c r="Z74" s="809"/>
      <c r="AA74" s="810" t="s">
        <v>486</v>
      </c>
      <c r="AB74" s="752"/>
      <c r="AD74" s="749"/>
      <c r="AE74" s="811">
        <f>IF(Y74="Flat",AI74,AK74)</f>
      </c>
      <c r="AF74" s="811">
        <f ca="1">IF(AA74="Ya",I74,0)</f>
      </c>
      <c r="AG74" s="812">
        <f>IF(AA74="Ya",B74,"")</f>
      </c>
      <c r="AH74" s="771">
        <f>DATEDIF(Q74,T74,"M")</f>
      </c>
      <c r="AI74" s="813">
        <f>IFERROR(F74/Parameter!D256,"0")+IFERROR(F74*(L74/12),"")</f>
      </c>
      <c r="AJ74" s="814">
        <f>PMT(L74/12,AH74,-F74)</f>
      </c>
      <c r="AK74" s="815">
        <f>IFERROR(AJ74,0)</f>
      </c>
      <c r="AL74" s="750">
        <f ca="1">Parameter!F256</f>
      </c>
      <c r="AM74" s="816">
        <f>(AH74/12)*L74</f>
      </c>
      <c r="AN74" s="817">
        <f ca="1">F74*(1+AM74/AH74)^AL74-(AK74*((1+AM74/AH74)^AL74-1)/(AM74/AH74))</f>
      </c>
      <c r="AO74" s="818">
        <f ca="1">IFERROR(AN74,0)</f>
      </c>
      <c r="AP74" s="819">
        <f ca="1">IFERROR(Parameter!G256*Parameter!G257,"")</f>
      </c>
    </row>
    <row r="75">
      <c r="A75" s="806">
        <v>2</v>
      </c>
      <c r="B75" s="1252"/>
      <c r="C75" s="1252"/>
      <c r="D75" s="1252"/>
      <c r="E75" s="1252"/>
      <c r="F75" s="1253"/>
      <c r="G75" s="1254"/>
      <c r="H75" s="1255"/>
      <c r="I75" s="1256">
        <f t="shared" ref="I75:I80" ca="1" si="1">IF(Y75="Flat",AP75,AO75)</f>
      </c>
      <c r="J75" s="1257"/>
      <c r="K75" s="1258"/>
      <c r="L75" s="1243"/>
      <c r="M75" s="1244"/>
      <c r="N75" s="1245">
        <f t="shared" ref="N75:N80" si="2">IF(AA75="Ya",0,AE75)</f>
      </c>
      <c r="O75" s="1246"/>
      <c r="P75" s="1247"/>
      <c r="Q75" s="1248"/>
      <c r="R75" s="1249"/>
      <c r="S75" s="1250"/>
      <c r="T75" s="1248"/>
      <c r="U75" s="1249"/>
      <c r="V75" s="1250"/>
      <c r="W75" s="1251"/>
      <c r="X75" s="1251"/>
      <c r="Y75" s="808" t="s">
        <v>430</v>
      </c>
      <c r="Z75" s="809"/>
      <c r="AA75" s="810" t="s">
        <v>486</v>
      </c>
      <c r="AB75" s="752"/>
      <c r="AD75" s="749"/>
      <c r="AE75" s="811">
        <f t="shared" ref="AE75:AE80" si="3">IF(Y75="Flat",AI75,AK75)</f>
      </c>
      <c r="AF75" s="811">
        <f t="shared" ref="AF75:AF80" ca="1" si="4">IF(AA75="Ya",I75,0)</f>
      </c>
      <c r="AG75" s="812">
        <f>IF(AA75="Ya",B75,"")</f>
      </c>
      <c r="AH75" s="771">
        <f t="shared" ref="AH75:AH80" si="5">DATEDIF(Q75,T75,"M")</f>
      </c>
      <c r="AI75" s="813">
        <f>IFERROR(F75/Parameter!D258,"0")+IFERROR(F75*(L75/12),"")</f>
      </c>
      <c r="AJ75" s="814">
        <f t="shared" ref="AJ75:AJ80" si="6">PMT(L75/12,AH75,-F75)</f>
      </c>
      <c r="AK75" s="815">
        <f t="shared" ref="AK75:AK80" si="7">IFERROR(AJ75,0)</f>
      </c>
      <c r="AL75" s="750">
        <f ca="1">Parameter!F258</f>
      </c>
      <c r="AM75" s="816">
        <f t="shared" ref="AM75:AM80" si="8">(AH75/12)*L75</f>
      </c>
      <c r="AN75" s="817">
        <f t="shared" ref="AN75:AN80" ca="1" si="9">F75*(1+AM75/AH75)^AL75-(AK75*((1+AM75/AH75)^AL75-1)/(AM75/AH75))</f>
      </c>
      <c r="AO75" s="818">
        <f t="shared" ref="AO75:AO80" ca="1" si="10">IFERROR(AN75,0)</f>
      </c>
      <c r="AP75" s="819">
        <f ca="1">IFERROR(Parameter!G258*Parameter!G259,"")</f>
      </c>
    </row>
    <row r="76">
      <c r="A76" s="806"/>
      <c r="B76" s="1252"/>
      <c r="C76" s="1252"/>
      <c r="D76" s="1252"/>
      <c r="E76" s="1252"/>
      <c r="F76" s="1253"/>
      <c r="G76" s="1254"/>
      <c r="H76" s="1255"/>
      <c r="I76" s="1256"/>
      <c r="J76" s="1257"/>
      <c r="K76" s="1258"/>
      <c r="L76" s="1243"/>
      <c r="M76" s="1244"/>
      <c r="N76" s="1245"/>
      <c r="O76" s="1246"/>
      <c r="P76" s="1247"/>
      <c r="Q76" s="1248"/>
      <c r="R76" s="1249"/>
      <c r="S76" s="1250"/>
      <c r="T76" s="1248"/>
      <c r="U76" s="1249"/>
      <c r="V76" s="1250"/>
      <c r="W76" s="1251"/>
      <c r="X76" s="1251"/>
      <c r="Y76" s="808"/>
      <c r="Z76" s="809"/>
      <c r="AA76" s="810"/>
      <c r="AB76" s="752"/>
      <c r="AE76" s="811"/>
      <c r="AF76" s="811"/>
      <c r="AG76" s="812"/>
      <c r="AH76" s="771"/>
      <c r="AI76" s="813"/>
      <c r="AJ76" s="814"/>
      <c r="AK76" s="815"/>
      <c r="AM76" s="816"/>
      <c r="AN76" s="817"/>
      <c r="AO76" s="818"/>
      <c r="AP76" s="819"/>
    </row>
    <row r="77" hidden="1">
      <c r="A77" s="806">
        <v>4</v>
      </c>
      <c r="B77" s="1252"/>
      <c r="C77" s="1252"/>
      <c r="D77" s="1252"/>
      <c r="E77" s="1252"/>
      <c r="F77" s="1253"/>
      <c r="G77" s="1254"/>
      <c r="H77" s="1255"/>
      <c r="I77" s="1256">
        <f t="shared" ref="I77:I78" si="11">IF(Y77="Flat",AP77,AO77)</f>
      </c>
      <c r="J77" s="1257"/>
      <c r="K77" s="1258"/>
      <c r="L77" s="1243"/>
      <c r="M77" s="1244"/>
      <c r="N77" s="1245">
        <f t="shared" ref="N77:N78" si="12">IF(AA77="Ya",0,AE77)</f>
      </c>
      <c r="O77" s="1246"/>
      <c r="P77" s="1247"/>
      <c r="Q77" s="1248"/>
      <c r="R77" s="1249"/>
      <c r="S77" s="1250"/>
      <c r="T77" s="1248"/>
      <c r="U77" s="1249"/>
      <c r="V77" s="1250"/>
      <c r="W77" s="1251"/>
      <c r="X77" s="1251"/>
      <c r="Y77" s="808"/>
      <c r="Z77" s="943"/>
      <c r="AA77" s="810"/>
      <c r="AB77" s="752"/>
      <c r="AE77" s="811"/>
      <c r="AF77" s="811"/>
      <c r="AG77" s="812"/>
      <c r="AH77" s="771"/>
      <c r="AI77" s="813"/>
      <c r="AJ77" s="814"/>
      <c r="AK77" s="815"/>
      <c r="AM77" s="816"/>
      <c r="AN77" s="817"/>
      <c r="AO77" s="818"/>
      <c r="AP77" s="819"/>
    </row>
    <row r="78" hidden="1">
      <c r="A78" s="806">
        <v>5</v>
      </c>
      <c r="B78" s="1252"/>
      <c r="C78" s="1252"/>
      <c r="D78" s="1252"/>
      <c r="E78" s="1252"/>
      <c r="F78" s="1253"/>
      <c r="G78" s="1254"/>
      <c r="H78" s="1255"/>
      <c r="I78" s="1256">
        <f t="shared" si="11"/>
      </c>
      <c r="J78" s="1257"/>
      <c r="K78" s="1258"/>
      <c r="L78" s="1243"/>
      <c r="M78" s="1244"/>
      <c r="N78" s="1245">
        <f t="shared" si="12"/>
      </c>
      <c r="O78" s="1246"/>
      <c r="P78" s="1247"/>
      <c r="Q78" s="1248"/>
      <c r="R78" s="1249"/>
      <c r="S78" s="1250"/>
      <c r="T78" s="1248"/>
      <c r="U78" s="1249"/>
      <c r="V78" s="1250"/>
      <c r="W78" s="1251"/>
      <c r="X78" s="1251"/>
      <c r="Y78" s="808"/>
      <c r="Z78" s="943"/>
      <c r="AA78" s="810"/>
      <c r="AB78" s="752"/>
      <c r="AE78" s="811"/>
      <c r="AF78" s="811"/>
      <c r="AG78" s="812"/>
      <c r="AH78" s="771"/>
      <c r="AI78" s="813"/>
      <c r="AJ78" s="814"/>
      <c r="AK78" s="815"/>
      <c r="AM78" s="816"/>
      <c r="AN78" s="817"/>
      <c r="AO78" s="818"/>
      <c r="AP78" s="819"/>
    </row>
    <row r="79" hidden="1">
      <c r="A79" s="806">
        <v>6</v>
      </c>
      <c r="B79" s="1252"/>
      <c r="C79" s="1252"/>
      <c r="D79" s="1252"/>
      <c r="E79" s="1252"/>
      <c r="F79" s="1253"/>
      <c r="G79" s="1254"/>
      <c r="H79" s="1255"/>
      <c r="I79" s="1256">
        <f t="shared" ca="1" si="1"/>
      </c>
      <c r="J79" s="1257"/>
      <c r="K79" s="1258"/>
      <c r="L79" s="1243"/>
      <c r="M79" s="1244"/>
      <c r="N79" s="1245">
        <f t="shared" si="2"/>
      </c>
      <c r="O79" s="1246"/>
      <c r="P79" s="1247"/>
      <c r="Q79" s="1248"/>
      <c r="R79" s="1249"/>
      <c r="S79" s="1250"/>
      <c r="T79" s="1248"/>
      <c r="U79" s="1249"/>
      <c r="V79" s="1250"/>
      <c r="W79" s="1251"/>
      <c r="X79" s="1251"/>
      <c r="Y79" s="808"/>
      <c r="Z79" s="809"/>
      <c r="AA79" s="810"/>
      <c r="AB79" s="752"/>
      <c r="AE79" s="811">
        <f t="shared" si="3"/>
      </c>
      <c r="AF79" s="811">
        <f t="shared" si="4"/>
      </c>
      <c r="AG79" s="812">
        <f>IF(AA79="Ya",B79,"")</f>
      </c>
      <c r="AH79" s="771">
        <f t="shared" si="5"/>
      </c>
      <c r="AI79" s="813">
        <f>IFERROR(F79/Parameter!D262,"0")+IFERROR(F79*(L79/12),"")</f>
      </c>
      <c r="AJ79" s="814">
        <f t="shared" si="6"/>
      </c>
      <c r="AK79" s="815">
        <f t="shared" si="7"/>
      </c>
      <c r="AL79" s="750">
        <f ca="1">Parameter!F262</f>
      </c>
      <c r="AM79" s="816">
        <f t="shared" si="8"/>
      </c>
      <c r="AN79" s="817">
        <f t="shared" ca="1" si="9"/>
      </c>
      <c r="AO79" s="818">
        <f t="shared" ca="1" si="10"/>
      </c>
      <c r="AP79" s="819">
        <f ca="1">IFERROR(Parameter!G262*Parameter!G263,"")</f>
      </c>
    </row>
    <row r="80" hidden="1">
      <c r="A80" s="806">
        <v>7</v>
      </c>
      <c r="B80" s="1252"/>
      <c r="C80" s="1252"/>
      <c r="D80" s="1252"/>
      <c r="E80" s="1252"/>
      <c r="F80" s="1253"/>
      <c r="G80" s="1254"/>
      <c r="H80" s="1255"/>
      <c r="I80" s="1256">
        <f t="shared" ca="1" si="1"/>
      </c>
      <c r="J80" s="1257"/>
      <c r="K80" s="1258"/>
      <c r="L80" s="1243"/>
      <c r="M80" s="1244"/>
      <c r="N80" s="1245">
        <f t="shared" si="2"/>
      </c>
      <c r="O80" s="1246"/>
      <c r="P80" s="1247"/>
      <c r="Q80" s="1248"/>
      <c r="R80" s="1249"/>
      <c r="S80" s="1250"/>
      <c r="T80" s="1248"/>
      <c r="U80" s="1249"/>
      <c r="V80" s="1250"/>
      <c r="W80" s="1251"/>
      <c r="X80" s="1251"/>
      <c r="Y80" s="808"/>
      <c r="Z80" s="809"/>
      <c r="AA80" s="810"/>
      <c r="AB80" s="752"/>
      <c r="AE80" s="811">
        <f t="shared" si="3"/>
      </c>
      <c r="AF80" s="811">
        <f t="shared" si="4"/>
      </c>
      <c r="AG80" s="812">
        <f>IF(AA80="Ya",B80,"")</f>
      </c>
      <c r="AH80" s="771">
        <f t="shared" si="5"/>
      </c>
      <c r="AI80" s="813">
        <f>IFERROR(F80/Parameter!D264,"0")+IFERROR(F80*(L80/12),"")</f>
      </c>
      <c r="AJ80" s="814">
        <f t="shared" si="6"/>
      </c>
      <c r="AK80" s="815">
        <f t="shared" si="7"/>
      </c>
      <c r="AL80" s="750">
        <f ca="1">Parameter!F264</f>
      </c>
      <c r="AM80" s="816">
        <f t="shared" si="8"/>
      </c>
      <c r="AN80" s="817">
        <f t="shared" ca="1" si="9"/>
      </c>
      <c r="AO80" s="818">
        <f t="shared" ca="1" si="10"/>
      </c>
      <c r="AP80" s="819">
        <f ca="1">IFERROR(Parameter!G264*Parameter!G265,"")</f>
      </c>
    </row>
    <row r="81" spans="1:42">
      <c r="A81" s="1281" t="s">
        <v>876</v>
      </c>
      <c r="B81" s="1282"/>
      <c r="C81" s="1282"/>
      <c r="D81" s="1282"/>
      <c r="E81" s="1282"/>
      <c r="F81" s="1354">
        <f>SUM(F74:H80)</f>
      </c>
      <c r="G81" s="1355"/>
      <c r="H81" s="1355"/>
      <c r="I81" s="1270">
        <f ca="1">SUM(I74:K80)</f>
      </c>
      <c r="J81" s="1271"/>
      <c r="K81" s="1272"/>
      <c r="L81" s="1325"/>
      <c r="M81" s="1327"/>
      <c r="N81" s="1270">
        <f>SUM(N74:P80)</f>
      </c>
      <c r="O81" s="1271"/>
      <c r="P81" s="1272"/>
      <c r="Q81" s="1325"/>
      <c r="R81" s="1326"/>
      <c r="S81" s="1327"/>
      <c r="T81" s="1325"/>
      <c r="U81" s="1326"/>
      <c r="V81" s="1327"/>
      <c r="W81" s="1325"/>
      <c r="X81" s="1327"/>
      <c r="Y81" s="820"/>
      <c r="Z81" s="821"/>
      <c r="AA81" s="822"/>
      <c r="AB81" s="823"/>
      <c r="AC81" s="824"/>
      <c r="AD81" s="749" t="s">
        <v>612</v>
      </c>
      <c r="AE81" s="825">
        <f>SUM(AE74:AE80)</f>
      </c>
      <c r="AF81" s="825">
        <f ca="1">SUM(AF74:AF80)</f>
      </c>
      <c r="AI81" s="826"/>
      <c r="AP81" s="827"/>
    </row>
    <row r="82" spans="1:42" ht="6.75" customHeight="1">
      <c r="A82" s="828"/>
      <c r="B82" s="829"/>
      <c r="C82" s="829"/>
      <c r="D82" s="829"/>
      <c r="E82" s="829"/>
      <c r="F82" s="830"/>
      <c r="G82" s="829"/>
      <c r="H82" s="829"/>
      <c r="I82" s="830"/>
      <c r="J82" s="829"/>
      <c r="K82" s="829"/>
      <c r="L82" s="829"/>
      <c r="M82" s="829"/>
      <c r="N82" s="830"/>
      <c r="O82" s="830"/>
      <c r="P82" s="830"/>
      <c r="Q82" s="829"/>
      <c r="R82" s="829"/>
      <c r="S82" s="829"/>
      <c r="T82" s="829"/>
      <c r="U82" s="829"/>
      <c r="V82" s="829"/>
      <c r="W82" s="829"/>
      <c r="X82" s="829"/>
      <c r="Y82" s="829"/>
      <c r="Z82" s="829"/>
      <c r="AA82" s="831"/>
      <c r="AB82" s="823"/>
      <c r="AC82" s="824"/>
      <c r="AE82" s="825"/>
      <c r="AF82" s="825"/>
    </row>
    <row r="83" spans="1:42">
      <c r="A83" s="865" t="s">
        <v>38</v>
      </c>
      <c r="B83" s="832"/>
      <c r="C83" s="832"/>
      <c r="D83" s="832"/>
      <c r="E83" s="1283"/>
      <c r="F83" s="1284"/>
      <c r="G83" s="1284"/>
      <c r="H83" s="1284"/>
      <c r="I83" s="1284"/>
      <c r="J83" s="1284"/>
      <c r="K83" s="1284"/>
      <c r="L83" s="1284"/>
      <c r="M83" s="1284"/>
      <c r="N83" s="1284"/>
      <c r="O83" s="1284"/>
      <c r="P83" s="1284"/>
      <c r="Q83" s="1284"/>
      <c r="R83" s="1284"/>
      <c r="S83" s="1284"/>
      <c r="T83" s="1284"/>
      <c r="U83" s="1284"/>
      <c r="V83" s="1284"/>
      <c r="W83" s="1284"/>
      <c r="X83" s="1284"/>
      <c r="Y83" s="1284"/>
      <c r="Z83" s="1284"/>
      <c r="AA83" s="1285"/>
      <c r="AB83" s="833"/>
      <c r="AC83" s="834"/>
    </row>
    <row r="84" spans="1:42">
      <c r="A84" s="835"/>
      <c r="B84" s="832"/>
      <c r="C84" s="832"/>
      <c r="D84" s="832"/>
      <c r="E84" s="1286"/>
      <c r="F84" s="1287"/>
      <c r="G84" s="1287"/>
      <c r="H84" s="1287"/>
      <c r="I84" s="1287"/>
      <c r="J84" s="1287"/>
      <c r="K84" s="1287"/>
      <c r="L84" s="1287"/>
      <c r="M84" s="1287"/>
      <c r="N84" s="1287"/>
      <c r="O84" s="1287"/>
      <c r="P84" s="1287"/>
      <c r="Q84" s="1287"/>
      <c r="R84" s="1287"/>
      <c r="S84" s="1287"/>
      <c r="T84" s="1287"/>
      <c r="U84" s="1287"/>
      <c r="V84" s="1287"/>
      <c r="W84" s="1287"/>
      <c r="X84" s="1287"/>
      <c r="Y84" s="1287"/>
      <c r="Z84" s="1287"/>
      <c r="AA84" s="1288"/>
      <c r="AB84" s="833"/>
      <c r="AC84" s="834"/>
    </row>
    <row r="85" spans="1:42" ht="7.5" customHeight="1">
      <c r="A85" s="835"/>
      <c r="B85" s="832"/>
      <c r="C85" s="832"/>
      <c r="D85" s="832"/>
      <c r="E85" s="832"/>
      <c r="F85" s="832"/>
      <c r="G85" s="832"/>
      <c r="H85" s="832"/>
      <c r="I85" s="832"/>
      <c r="J85" s="832"/>
      <c r="K85" s="832"/>
      <c r="L85" s="832"/>
      <c r="M85" s="832"/>
      <c r="N85" s="832"/>
      <c r="O85" s="832"/>
      <c r="P85" s="832"/>
      <c r="Q85" s="832"/>
      <c r="R85" s="832"/>
      <c r="S85" s="832"/>
      <c r="T85" s="832"/>
      <c r="U85" s="832"/>
      <c r="V85" s="832"/>
      <c r="W85" s="832"/>
      <c r="X85" s="832"/>
      <c r="Y85" s="832"/>
      <c r="Z85" s="832"/>
      <c r="AA85" s="832"/>
      <c r="AB85" s="833"/>
      <c r="AC85" s="834"/>
    </row>
    <row r="86">
      <c r="A86" s="1279" t="s">
        <v>39</v>
      </c>
      <c r="B86" s="1280"/>
      <c r="C86" s="1280"/>
      <c r="D86" s="1280"/>
      <c r="E86" s="750"/>
      <c r="I86" s="1356"/>
      <c r="J86" s="1356"/>
      <c r="K86" s="1356"/>
      <c r="AB86" s="752"/>
    </row>
    <row r="87" spans="1:42" ht="31.5" customHeight="1">
      <c r="A87" s="866" t="s">
        <v>8</v>
      </c>
      <c r="B87" s="1278" t="s">
        <v>963</v>
      </c>
      <c r="C87" s="1278"/>
      <c r="D87" s="1278"/>
      <c r="E87" s="1278"/>
      <c r="F87" s="1278" t="s">
        <v>691</v>
      </c>
      <c r="G87" s="1278"/>
      <c r="H87" s="1278"/>
      <c r="I87" s="1278" t="s">
        <v>697</v>
      </c>
      <c r="J87" s="1278"/>
      <c r="K87" s="1278"/>
      <c r="L87" s="1278" t="s">
        <v>967</v>
      </c>
      <c r="M87" s="1348"/>
      <c r="N87" s="1278" t="s">
        <v>968</v>
      </c>
      <c r="O87" s="1278"/>
      <c r="P87" s="1278"/>
      <c r="Q87" s="1278" t="s">
        <v>969</v>
      </c>
      <c r="R87" s="1278"/>
      <c r="S87" s="1278"/>
      <c r="T87" s="1278" t="s">
        <v>970</v>
      </c>
      <c r="U87" s="1278"/>
      <c r="V87" s="1278"/>
      <c r="W87" s="1278" t="s">
        <v>971</v>
      </c>
      <c r="X87" s="1278"/>
      <c r="Y87" s="867" t="s">
        <v>966</v>
      </c>
      <c r="Z87" s="867" t="s">
        <v>972</v>
      </c>
      <c r="AA87" s="867" t="s">
        <v>973</v>
      </c>
      <c r="AB87" s="836"/>
      <c r="AC87" s="748"/>
    </row>
    <row r="88">
      <c r="A88" s="806"/>
      <c r="B88" s="1251"/>
      <c r="C88" s="1251"/>
      <c r="D88" s="1251"/>
      <c r="E88" s="1251"/>
      <c r="F88" s="1253"/>
      <c r="G88" s="1254"/>
      <c r="H88" s="1255"/>
      <c r="I88" s="1256"/>
      <c r="J88" s="1257"/>
      <c r="K88" s="1258"/>
      <c r="L88" s="1259"/>
      <c r="M88" s="1251"/>
      <c r="N88" s="1245"/>
      <c r="O88" s="1246"/>
      <c r="P88" s="1247"/>
      <c r="Q88" s="1248"/>
      <c r="R88" s="1249"/>
      <c r="S88" s="1250"/>
      <c r="T88" s="1248"/>
      <c r="U88" s="1249"/>
      <c r="V88" s="1250"/>
      <c r="W88" s="1251"/>
      <c r="X88" s="1251"/>
      <c r="Y88" s="808"/>
      <c r="Z88" s="809"/>
      <c r="AA88" s="810"/>
      <c r="AB88" s="770"/>
      <c r="AE88" s="811"/>
      <c r="AF88" s="811"/>
      <c r="AG88" s="812"/>
      <c r="AH88" s="771"/>
      <c r="AI88" s="813"/>
      <c r="AJ88" s="814"/>
      <c r="AK88" s="815"/>
      <c r="AM88" s="816"/>
      <c r="AN88" s="817"/>
      <c r="AO88" s="818"/>
      <c r="AP88" s="837"/>
    </row>
    <row r="89">
      <c r="A89" s="806"/>
      <c r="B89" s="1251"/>
      <c r="C89" s="1251"/>
      <c r="D89" s="1251"/>
      <c r="E89" s="1251"/>
      <c r="F89" s="1253"/>
      <c r="G89" s="1254"/>
      <c r="H89" s="1255"/>
      <c r="I89" s="1256"/>
      <c r="J89" s="1257"/>
      <c r="K89" s="1258"/>
      <c r="L89" s="1259"/>
      <c r="M89" s="1251"/>
      <c r="N89" s="1245"/>
      <c r="O89" s="1246"/>
      <c r="P89" s="1247"/>
      <c r="Q89" s="1248"/>
      <c r="R89" s="1249"/>
      <c r="S89" s="1250"/>
      <c r="T89" s="1248"/>
      <c r="U89" s="1249"/>
      <c r="V89" s="1250"/>
      <c r="W89" s="1276"/>
      <c r="X89" s="1277"/>
      <c r="Y89" s="808"/>
      <c r="Z89" s="807"/>
      <c r="AA89" s="810"/>
      <c r="AB89" s="770"/>
      <c r="AE89" s="811"/>
      <c r="AF89" s="811"/>
      <c r="AG89" s="812"/>
      <c r="AH89" s="771"/>
      <c r="AI89" s="813"/>
      <c r="AJ89" s="814"/>
      <c r="AK89" s="815"/>
      <c r="AM89" s="816"/>
      <c r="AN89" s="817"/>
      <c r="AO89" s="818"/>
      <c r="AP89" s="837"/>
    </row>
    <row r="90" hidden="1">
      <c r="A90" s="806">
        <v>3</v>
      </c>
      <c r="B90" s="1251"/>
      <c r="C90" s="1251"/>
      <c r="D90" s="1251"/>
      <c r="E90" s="1251"/>
      <c r="F90" s="1253"/>
      <c r="G90" s="1254"/>
      <c r="H90" s="1255"/>
      <c r="I90" s="1256">
        <f t="shared" ref="I90:I92" ca="1" si="13">IF(Y90="Flat",AP90,AO90)</f>
      </c>
      <c r="J90" s="1257"/>
      <c r="K90" s="1258"/>
      <c r="L90" s="1259"/>
      <c r="M90" s="1251"/>
      <c r="N90" s="1245">
        <f t="shared" ref="N90:N92" si="14">IF(AA90="Ya",0,AE90)</f>
      </c>
      <c r="O90" s="1246"/>
      <c r="P90" s="1247"/>
      <c r="Q90" s="1248"/>
      <c r="R90" s="1249"/>
      <c r="S90" s="1250"/>
      <c r="T90" s="1248"/>
      <c r="U90" s="1249"/>
      <c r="V90" s="1250"/>
      <c r="W90" s="1276"/>
      <c r="X90" s="1277"/>
      <c r="Y90" s="808"/>
      <c r="Z90" s="807"/>
      <c r="AA90" s="810"/>
      <c r="AB90" s="770"/>
      <c r="AE90" s="811">
        <f t="shared" ref="AE90:AE92" si="15">IF(Y90="Flat",AI90,AK90)</f>
      </c>
      <c r="AF90" s="811">
        <f t="shared" ref="AF90:AF92" si="16">IF(AA90="Ya",I90,0)</f>
      </c>
      <c r="AG90" s="812">
        <f>IF(AA90="Ya",B90,"")</f>
      </c>
      <c r="AH90" s="771">
        <f t="shared" ref="AH90:AH92" si="17">DATEDIF(Q90,T90,"M")</f>
      </c>
      <c r="AI90" s="813">
        <f>IFERROR(F90/Parameter!D271,"0")+IFERROR(F90*(L90/12),"")</f>
      </c>
      <c r="AJ90" s="814">
        <f t="shared" ref="AJ90:AJ92" si="18">PMT(L90/12,AH90,-F90)</f>
      </c>
      <c r="AK90" s="815">
        <f t="shared" ref="AK90:AK92" si="19">IFERROR(AJ90,0)</f>
      </c>
      <c r="AL90" s="750">
        <f ca="1">Parameter!F271</f>
      </c>
      <c r="AM90" s="816">
        <f t="shared" ref="AM90:AM92" si="20">(AH90/12)*L90</f>
      </c>
      <c r="AN90" s="817">
        <f t="shared" ref="AN90:AN92" ca="1" si="21">F90*(1+AM90/AH90)^AL90-(AK90*((1+AM90/AH90)^AL90-1)/(AM90/AH90))</f>
      </c>
      <c r="AO90" s="818">
        <f t="shared" ref="AO90:AO92" ca="1" si="22">IFERROR(AN90,0)</f>
      </c>
      <c r="AP90" s="837">
        <f ca="1">IFERROR(Parameter!G271*Parameter!G272,"")</f>
      </c>
    </row>
    <row r="91" hidden="1">
      <c r="A91" s="806">
        <v>4</v>
      </c>
      <c r="B91" s="1251"/>
      <c r="C91" s="1251"/>
      <c r="D91" s="1251"/>
      <c r="E91" s="1251"/>
      <c r="F91" s="1253"/>
      <c r="G91" s="1254"/>
      <c r="H91" s="1255"/>
      <c r="I91" s="1256">
        <f t="shared" ca="1" si="13"/>
      </c>
      <c r="J91" s="1257"/>
      <c r="K91" s="1258"/>
      <c r="L91" s="1259"/>
      <c r="M91" s="1251"/>
      <c r="N91" s="1245">
        <f t="shared" si="14"/>
      </c>
      <c r="O91" s="1246"/>
      <c r="P91" s="1247"/>
      <c r="Q91" s="1248"/>
      <c r="R91" s="1249"/>
      <c r="S91" s="1250"/>
      <c r="T91" s="1248"/>
      <c r="U91" s="1249"/>
      <c r="V91" s="1250"/>
      <c r="W91" s="1276"/>
      <c r="X91" s="1277"/>
      <c r="Y91" s="808"/>
      <c r="Z91" s="807"/>
      <c r="AA91" s="810"/>
      <c r="AB91" s="770"/>
      <c r="AE91" s="811">
        <f t="shared" si="15"/>
      </c>
      <c r="AF91" s="811">
        <f t="shared" si="16"/>
      </c>
      <c r="AG91" s="812">
        <f>IF(AA91="Ya",B91,"")</f>
      </c>
      <c r="AH91" s="771">
        <f t="shared" si="17"/>
      </c>
      <c r="AI91" s="813">
        <f>IFERROR(F91/Parameter!D273,"0")+IFERROR(F91*(L91/12),"")</f>
      </c>
      <c r="AJ91" s="814">
        <f t="shared" si="18"/>
      </c>
      <c r="AK91" s="815">
        <f t="shared" si="19"/>
      </c>
      <c r="AL91" s="750">
        <f ca="1">Parameter!F273</f>
      </c>
      <c r="AM91" s="816">
        <f t="shared" si="20"/>
      </c>
      <c r="AN91" s="817">
        <f t="shared" ca="1" si="21"/>
      </c>
      <c r="AO91" s="818">
        <f t="shared" ca="1" si="22"/>
      </c>
      <c r="AP91" s="837">
        <f ca="1">IFERROR(Parameter!G273*Parameter!G274,"")</f>
      </c>
    </row>
    <row r="92" hidden="1">
      <c r="A92" s="806">
        <v>5</v>
      </c>
      <c r="B92" s="1251"/>
      <c r="C92" s="1251"/>
      <c r="D92" s="1251"/>
      <c r="E92" s="1251"/>
      <c r="F92" s="1253"/>
      <c r="G92" s="1254"/>
      <c r="H92" s="1255"/>
      <c r="I92" s="1256">
        <f t="shared" ca="1" si="13"/>
      </c>
      <c r="J92" s="1257"/>
      <c r="K92" s="1258"/>
      <c r="L92" s="1259"/>
      <c r="M92" s="1251"/>
      <c r="N92" s="1245">
        <f t="shared" si="14"/>
      </c>
      <c r="O92" s="1246"/>
      <c r="P92" s="1247"/>
      <c r="Q92" s="1248"/>
      <c r="R92" s="1249"/>
      <c r="S92" s="1250"/>
      <c r="T92" s="1248"/>
      <c r="U92" s="1249"/>
      <c r="V92" s="1250"/>
      <c r="W92" s="1276"/>
      <c r="X92" s="1277"/>
      <c r="Y92" s="808"/>
      <c r="Z92" s="807"/>
      <c r="AA92" s="810"/>
      <c r="AB92" s="770"/>
      <c r="AE92" s="811">
        <f t="shared" si="15"/>
      </c>
      <c r="AF92" s="811">
        <f t="shared" si="16"/>
      </c>
      <c r="AG92" s="812">
        <f>IF(AA92="Ya",B92,"")</f>
      </c>
      <c r="AH92" s="771">
        <f t="shared" si="17"/>
      </c>
      <c r="AI92" s="813">
        <f>IFERROR(F92/Parameter!D275,"0")+IFERROR(F92*(L92/12),"")</f>
      </c>
      <c r="AJ92" s="814">
        <f t="shared" si="18"/>
      </c>
      <c r="AK92" s="815">
        <f t="shared" si="19"/>
      </c>
      <c r="AL92" s="750">
        <f ca="1">Parameter!F275</f>
      </c>
      <c r="AM92" s="816">
        <f t="shared" si="20"/>
      </c>
      <c r="AN92" s="817">
        <f t="shared" ca="1" si="21"/>
      </c>
      <c r="AO92" s="818">
        <f t="shared" ca="1" si="22"/>
      </c>
      <c r="AP92" s="837">
        <f ca="1">IFERROR(Parameter!G275*Parameter!G276,"")</f>
      </c>
    </row>
    <row r="93" spans="1:42">
      <c r="A93" s="1295" t="s">
        <v>876</v>
      </c>
      <c r="B93" s="1296"/>
      <c r="C93" s="1296"/>
      <c r="D93" s="1296"/>
      <c r="E93" s="1296"/>
      <c r="F93" s="1292">
        <f>SUM(F88:H92)</f>
      </c>
      <c r="G93" s="1293"/>
      <c r="H93" s="1293"/>
      <c r="I93" s="1270">
        <f ca="1">SUM(I88:K92)</f>
      </c>
      <c r="J93" s="1271"/>
      <c r="K93" s="1272"/>
      <c r="L93" s="1268"/>
      <c r="M93" s="1269"/>
      <c r="N93" s="1270">
        <f>SUM(N88:P92)</f>
      </c>
      <c r="O93" s="1271"/>
      <c r="P93" s="1272"/>
      <c r="Q93" s="1268"/>
      <c r="R93" s="1294"/>
      <c r="S93" s="1269"/>
      <c r="T93" s="1268"/>
      <c r="U93" s="1294"/>
      <c r="V93" s="1269"/>
      <c r="W93" s="1268"/>
      <c r="X93" s="1269"/>
      <c r="Y93" s="838"/>
      <c r="Z93" s="839"/>
      <c r="AA93" s="840"/>
      <c r="AB93" s="836"/>
      <c r="AC93" s="748"/>
      <c r="AD93" s="749" t="s">
        <v>612</v>
      </c>
      <c r="AE93" s="825">
        <f>SUM(AE88:AE92)</f>
      </c>
      <c r="AF93" s="825">
        <f>SUM(AF88:AF92)</f>
      </c>
      <c r="AI93" s="841"/>
      <c r="AP93" s="842"/>
    </row>
    <row r="94" spans="1:42" ht="6.75" customHeight="1">
      <c r="A94" s="828"/>
      <c r="B94" s="829"/>
      <c r="C94" s="829"/>
      <c r="D94" s="829"/>
      <c r="E94" s="829"/>
      <c r="F94" s="830"/>
      <c r="G94" s="829"/>
      <c r="H94" s="829"/>
      <c r="I94" s="830"/>
      <c r="J94" s="829"/>
      <c r="K94" s="829"/>
      <c r="L94" s="829"/>
      <c r="M94" s="829"/>
      <c r="N94" s="830"/>
      <c r="O94" s="830"/>
      <c r="P94" s="830"/>
      <c r="Q94" s="829"/>
      <c r="R94" s="829"/>
      <c r="S94" s="829"/>
      <c r="T94" s="829"/>
      <c r="U94" s="829"/>
      <c r="V94" s="829"/>
      <c r="W94" s="829"/>
      <c r="X94" s="829"/>
      <c r="Y94" s="829"/>
      <c r="Z94" s="829"/>
      <c r="AA94" s="831"/>
      <c r="AB94" s="823"/>
      <c r="AC94" s="824"/>
      <c r="AE94" s="825"/>
      <c r="AF94" s="825"/>
    </row>
    <row r="95" spans="1:42">
      <c r="A95" s="865" t="s">
        <v>38</v>
      </c>
      <c r="B95" s="832"/>
      <c r="C95" s="832"/>
      <c r="D95" s="832"/>
      <c r="E95" s="1283" t="s">
        <v>992</v>
      </c>
      <c r="F95" s="1284"/>
      <c r="G95" s="1284"/>
      <c r="H95" s="1284"/>
      <c r="I95" s="1284"/>
      <c r="J95" s="1284"/>
      <c r="K95" s="1284"/>
      <c r="L95" s="1284"/>
      <c r="M95" s="1284"/>
      <c r="N95" s="1284"/>
      <c r="O95" s="1284"/>
      <c r="P95" s="1284"/>
      <c r="Q95" s="1284"/>
      <c r="R95" s="1284"/>
      <c r="S95" s="1284"/>
      <c r="T95" s="1284"/>
      <c r="U95" s="1284"/>
      <c r="V95" s="1284"/>
      <c r="W95" s="1284"/>
      <c r="X95" s="1284"/>
      <c r="Y95" s="1284"/>
      <c r="Z95" s="1284"/>
      <c r="AA95" s="1285"/>
      <c r="AB95" s="833"/>
      <c r="AC95" s="834"/>
    </row>
    <row r="96" spans="1:42">
      <c r="A96" s="835"/>
      <c r="B96" s="832"/>
      <c r="C96" s="832"/>
      <c r="D96" s="832"/>
      <c r="E96" s="1286"/>
      <c r="F96" s="1287"/>
      <c r="G96" s="1287"/>
      <c r="H96" s="1287"/>
      <c r="I96" s="1287"/>
      <c r="J96" s="1287"/>
      <c r="K96" s="1287"/>
      <c r="L96" s="1287"/>
      <c r="M96" s="1287"/>
      <c r="N96" s="1287"/>
      <c r="O96" s="1287"/>
      <c r="P96" s="1287"/>
      <c r="Q96" s="1287"/>
      <c r="R96" s="1287"/>
      <c r="S96" s="1287"/>
      <c r="T96" s="1287"/>
      <c r="U96" s="1287"/>
      <c r="V96" s="1287"/>
      <c r="W96" s="1287"/>
      <c r="X96" s="1287"/>
      <c r="Y96" s="1287"/>
      <c r="Z96" s="1287"/>
      <c r="AA96" s="1288"/>
      <c r="AB96" s="833"/>
      <c r="AC96" s="834"/>
    </row>
    <row r="97" spans="1:29" ht="13.5" customHeight="1" thickBot="1">
      <c r="A97" s="835"/>
      <c r="B97" s="832"/>
      <c r="C97" s="832"/>
      <c r="D97" s="832"/>
      <c r="E97" s="832"/>
      <c r="F97" s="832"/>
      <c r="G97" s="832"/>
      <c r="H97" s="832"/>
      <c r="I97" s="832"/>
      <c r="J97" s="832"/>
      <c r="K97" s="832"/>
      <c r="L97" s="832"/>
      <c r="M97" s="832"/>
      <c r="N97" s="832"/>
      <c r="O97" s="832"/>
      <c r="P97" s="832"/>
      <c r="Q97" s="832"/>
      <c r="R97" s="832"/>
      <c r="S97" s="832"/>
      <c r="T97" s="832"/>
      <c r="U97" s="832"/>
      <c r="V97" s="832"/>
      <c r="W97" s="832"/>
      <c r="X97" s="832"/>
      <c r="Y97" s="832"/>
      <c r="Z97" s="832"/>
      <c r="AA97" s="832"/>
      <c r="AB97" s="833"/>
      <c r="AC97" s="834"/>
    </row>
    <row r="98" spans="1:29">
      <c r="A98" s="843"/>
      <c r="B98" s="1265" t="s">
        <v>983</v>
      </c>
      <c r="C98" s="1266"/>
      <c r="D98" s="1266"/>
      <c r="E98" s="1266"/>
      <c r="F98" s="1266"/>
      <c r="G98" s="1266"/>
      <c r="H98" s="1266"/>
      <c r="I98" s="1266"/>
      <c r="J98" s="1266"/>
      <c r="K98" s="1266"/>
      <c r="L98" s="1266"/>
      <c r="M98" s="1266"/>
      <c r="N98" s="1266"/>
      <c r="O98" s="1266"/>
      <c r="P98" s="1266"/>
      <c r="Q98" s="1266"/>
      <c r="R98" s="1267"/>
      <c r="AB98" s="752"/>
    </row>
    <row r="99" spans="1:29">
      <c r="A99" s="843"/>
      <c r="B99" s="1307" t="s">
        <v>985</v>
      </c>
      <c r="C99" s="1274"/>
      <c r="D99" s="1274"/>
      <c r="E99" s="1274"/>
      <c r="F99" s="1274"/>
      <c r="G99" s="1274"/>
      <c r="H99" s="1274"/>
      <c r="I99" s="1274"/>
      <c r="J99" s="1274"/>
      <c r="K99" s="1274"/>
      <c r="L99" s="1305"/>
      <c r="M99" s="1273" t="s">
        <v>964</v>
      </c>
      <c r="N99" s="1274"/>
      <c r="O99" s="1305"/>
      <c r="P99" s="1273" t="s">
        <v>965</v>
      </c>
      <c r="Q99" s="1274"/>
      <c r="R99" s="1275"/>
      <c r="AB99" s="752"/>
    </row>
    <row r="100">
      <c r="A100" s="843"/>
      <c r="B100" s="1308">
        <f>"Debitur: "&amp;AG74&amp;"-"&amp;AG75&amp;"-"&amp;AG76&amp;"-"&amp;AG79&amp;"-"&amp;AG80</f>
      </c>
      <c r="C100" s="1309"/>
      <c r="D100" s="1309"/>
      <c r="E100" s="1309"/>
      <c r="F100" s="1309"/>
      <c r="G100" s="1309"/>
      <c r="H100" s="1309"/>
      <c r="I100" s="1309"/>
      <c r="J100" s="1309"/>
      <c r="K100" s="1309"/>
      <c r="L100" s="1309"/>
      <c r="M100" s="1306">
        <f ca="1">AF81</f>
      </c>
      <c r="N100" s="1306"/>
      <c r="O100" s="1306"/>
      <c r="P100" s="1261"/>
      <c r="Q100" s="1262"/>
      <c r="R100" s="1263"/>
      <c r="AB100" s="752"/>
    </row>
    <row r="101">
      <c r="A101" s="843"/>
      <c r="B101" s="1308">
        <f>"Debitur: "&amp;AG88&amp;"-"&amp;AG89&amp;"-"&amp;AG90&amp;"-"&amp;AG91&amp;"-"&amp;AG92</f>
      </c>
      <c r="C101" s="1309"/>
      <c r="D101" s="1309"/>
      <c r="E101" s="1309"/>
      <c r="F101" s="1309"/>
      <c r="G101" s="1309"/>
      <c r="H101" s="1309"/>
      <c r="I101" s="1309"/>
      <c r="J101" s="1309"/>
      <c r="K101" s="1309"/>
      <c r="L101" s="1309"/>
      <c r="M101" s="1306">
        <f>AF93</f>
      </c>
      <c r="N101" s="1306"/>
      <c r="O101" s="1306"/>
      <c r="P101" s="1261"/>
      <c r="Q101" s="1262"/>
      <c r="R101" s="1263"/>
      <c r="AB101" s="752"/>
    </row>
    <row r="102" spans="1:29">
      <c r="A102" s="843"/>
      <c r="B102" s="1297"/>
      <c r="C102" s="1298"/>
      <c r="D102" s="1298"/>
      <c r="E102" s="1298"/>
      <c r="F102" s="1298"/>
      <c r="G102" s="1298"/>
      <c r="H102" s="1298"/>
      <c r="I102" s="1298"/>
      <c r="J102" s="1298"/>
      <c r="K102" s="1298"/>
      <c r="L102" s="1299"/>
      <c r="M102" s="1264"/>
      <c r="N102" s="1264"/>
      <c r="O102" s="1264"/>
      <c r="P102" s="844"/>
      <c r="Q102" s="844"/>
      <c r="R102" s="845"/>
      <c r="AB102" s="752"/>
    </row>
    <row r="103" spans="1:29" ht="16.5" thickBot="1">
      <c r="A103" s="751"/>
      <c r="B103" s="1300" t="s">
        <v>984</v>
      </c>
      <c r="C103" s="1301"/>
      <c r="D103" s="1301"/>
      <c r="E103" s="1301"/>
      <c r="F103" s="1301"/>
      <c r="G103" s="1301"/>
      <c r="H103" s="1301"/>
      <c r="I103" s="1301"/>
      <c r="J103" s="1301"/>
      <c r="K103" s="1301"/>
      <c r="L103" s="1301"/>
      <c r="M103" s="1302">
        <f ca="1">M100+P100+M101+P101</f>
      </c>
      <c r="N103" s="1303"/>
      <c r="O103" s="1303"/>
      <c r="P103" s="1303"/>
      <c r="Q103" s="1303"/>
      <c r="R103" s="1304"/>
      <c r="AB103" s="752"/>
    </row>
    <row r="104" spans="1:29">
      <c r="A104" s="751"/>
      <c r="B104" s="846"/>
      <c r="C104" s="846"/>
      <c r="D104" s="846"/>
      <c r="E104" s="846"/>
      <c r="F104" s="846"/>
      <c r="G104" s="847"/>
      <c r="H104" s="847"/>
      <c r="I104" s="847"/>
      <c r="J104" s="847"/>
      <c r="K104" s="869"/>
      <c r="L104" s="869"/>
      <c r="M104" s="869"/>
      <c r="N104" s="869"/>
      <c r="O104" s="847"/>
      <c r="P104" s="847"/>
      <c r="Q104" s="847"/>
      <c r="R104" s="847"/>
      <c r="AB104" s="752"/>
    </row>
    <row r="105" spans="1:29" ht="17.25">
      <c r="A105" s="1289" t="s">
        <v>567</v>
      </c>
      <c r="B105" s="1290"/>
      <c r="C105" s="1290"/>
      <c r="D105" s="1290"/>
      <c r="E105" s="1290"/>
      <c r="F105" s="1290"/>
      <c r="G105" s="1290"/>
      <c r="H105" s="1290"/>
      <c r="I105" s="1290"/>
      <c r="J105" s="1290"/>
      <c r="K105" s="1290"/>
      <c r="L105" s="1290"/>
      <c r="M105" s="1290"/>
      <c r="N105" s="1290"/>
      <c r="O105" s="1290"/>
      <c r="P105" s="1290"/>
      <c r="Q105" s="1290"/>
      <c r="R105" s="1290"/>
      <c r="S105" s="1290"/>
      <c r="T105" s="1290"/>
      <c r="U105" s="1290"/>
      <c r="V105" s="1290"/>
      <c r="W105" s="1290"/>
      <c r="X105" s="1290"/>
      <c r="Y105" s="1290"/>
      <c r="Z105" s="1290"/>
      <c r="AA105" s="1290"/>
      <c r="AB105" s="1291"/>
      <c r="AC105" s="747"/>
    </row>
    <row r="106" spans="1:29">
      <c r="A106" s="754"/>
      <c r="L106" s="848"/>
      <c r="AB106" s="752"/>
    </row>
    <row r="107" spans="1:29">
      <c r="A107" s="754"/>
      <c r="L107" s="848"/>
      <c r="M107" s="969" t="s">
        <v>1013</v>
      </c>
      <c r="N107" s="969"/>
      <c r="O107" s="969"/>
      <c r="T107" s="1353" t="s">
        <v>559</v>
      </c>
      <c r="U107" s="1353"/>
      <c r="V107" s="1353"/>
      <c r="W107" s="1353"/>
      <c r="X107" s="1353"/>
      <c r="Y107" s="1353"/>
      <c r="AB107" s="770"/>
      <c r="AC107" s="848"/>
    </row>
    <row r="108" spans="1:29">
      <c r="A108" s="754"/>
      <c r="L108" s="848"/>
      <c r="M108" s="117"/>
      <c r="N108" s="117"/>
      <c r="O108" s="117"/>
      <c r="AB108" s="752"/>
    </row>
    <row r="109" spans="1:29">
      <c r="A109" s="754"/>
      <c r="L109" s="848"/>
      <c r="M109" s="117"/>
      <c r="N109" s="117"/>
      <c r="O109" s="117"/>
      <c r="AB109" s="752"/>
    </row>
    <row r="110" spans="1:29">
      <c r="A110" s="754"/>
      <c r="L110" s="848"/>
      <c r="M110" s="117"/>
      <c r="N110" s="117"/>
      <c r="O110" s="117"/>
      <c r="AB110" s="752"/>
    </row>
    <row r="111" ht="18">
      <c r="A111" s="754"/>
      <c r="L111" s="848"/>
      <c r="M111" s="968"/>
      <c r="N111" s="968"/>
      <c r="O111" s="968"/>
      <c r="T111" s="1260">
        <f>'Informasi Pokok'!D5</f>
      </c>
      <c r="U111" s="1260"/>
      <c r="V111" s="1260"/>
      <c r="W111" s="1260"/>
      <c r="X111" s="1260"/>
      <c r="Y111" s="1260"/>
      <c r="AB111" s="752"/>
    </row>
    <row r="112" spans="1:29">
      <c r="A112" s="754"/>
      <c r="L112" s="848"/>
      <c r="M112" s="969" t="s">
        <v>1015</v>
      </c>
      <c r="N112" s="969"/>
      <c r="O112" s="969"/>
      <c r="T112" s="1353" t="s">
        <v>506</v>
      </c>
      <c r="U112" s="1353"/>
      <c r="V112" s="1353"/>
      <c r="W112" s="1353"/>
      <c r="X112" s="1353"/>
      <c r="Y112" s="1353"/>
      <c r="AB112" s="770"/>
      <c r="AC112" s="848"/>
    </row>
    <row r="113" spans="1:29" hidden="1">
      <c r="A113" s="754"/>
      <c r="L113" s="848"/>
      <c r="AB113" s="752"/>
    </row>
    <row r="114" spans="1:29" hidden="1">
      <c r="A114" s="751"/>
      <c r="B114" s="1315" t="s">
        <v>487</v>
      </c>
      <c r="C114" s="1316"/>
      <c r="D114" s="1316"/>
      <c r="E114" s="1316"/>
      <c r="F114" s="1316"/>
      <c r="G114" s="1316"/>
      <c r="H114" s="1316"/>
      <c r="I114" s="1316"/>
      <c r="J114" s="1316"/>
      <c r="K114" s="1316"/>
      <c r="L114" s="1316"/>
      <c r="M114" s="1316"/>
      <c r="N114" s="1317"/>
      <c r="O114" s="1310" t="s">
        <v>488</v>
      </c>
      <c r="P114" s="1310"/>
      <c r="Q114" s="1310"/>
      <c r="R114" s="1310"/>
      <c r="S114" s="1310"/>
      <c r="T114" s="1310"/>
      <c r="U114" s="1310"/>
      <c r="V114" s="1310"/>
      <c r="W114" s="1310"/>
      <c r="X114" s="1310"/>
      <c r="Y114" s="1310"/>
      <c r="Z114" s="1310"/>
      <c r="AA114" s="1310"/>
      <c r="AB114" s="1311"/>
      <c r="AC114" s="846"/>
    </row>
    <row r="115" spans="1:29" hidden="1">
      <c r="A115" s="751"/>
      <c r="B115" s="849"/>
      <c r="C115" s="755" t="s">
        <v>1</v>
      </c>
      <c r="D115" s="755"/>
      <c r="E115" s="755"/>
      <c r="F115" s="755"/>
      <c r="G115" s="755" t="s">
        <v>0</v>
      </c>
      <c r="H115" s="1318"/>
      <c r="I115" s="1318"/>
      <c r="J115" s="1318"/>
      <c r="K115" s="1318"/>
      <c r="L115" s="1318"/>
      <c r="M115" s="1318"/>
      <c r="N115" s="1319"/>
      <c r="O115" s="1312"/>
      <c r="P115" s="1312"/>
      <c r="Q115" s="1312"/>
      <c r="R115" s="1312"/>
      <c r="S115" s="1312"/>
      <c r="T115" s="1312"/>
      <c r="U115" s="1312"/>
      <c r="V115" s="1312"/>
      <c r="W115" s="1312"/>
      <c r="X115" s="1312"/>
      <c r="Y115" s="1312"/>
      <c r="Z115" s="1312"/>
      <c r="AA115" s="1312"/>
      <c r="AB115" s="1313"/>
      <c r="AC115" s="758"/>
    </row>
    <row r="116" spans="1:29" hidden="1">
      <c r="A116" s="751"/>
      <c r="B116" s="849"/>
      <c r="C116" s="755" t="s">
        <v>489</v>
      </c>
      <c r="D116" s="755"/>
      <c r="E116" s="755"/>
      <c r="F116" s="755"/>
      <c r="G116" s="755" t="s">
        <v>0</v>
      </c>
      <c r="H116" s="1320" t="s">
        <v>844</v>
      </c>
      <c r="I116" s="1320"/>
      <c r="J116" s="1320"/>
      <c r="K116" s="1320"/>
      <c r="L116" s="1320"/>
      <c r="M116" s="1320"/>
      <c r="N116" s="1321"/>
      <c r="O116" s="1312"/>
      <c r="P116" s="1312"/>
      <c r="Q116" s="1312"/>
      <c r="R116" s="1312"/>
      <c r="S116" s="1312"/>
      <c r="T116" s="1312"/>
      <c r="U116" s="1312"/>
      <c r="V116" s="1312"/>
      <c r="W116" s="1312"/>
      <c r="X116" s="1312"/>
      <c r="Y116" s="1312"/>
      <c r="Z116" s="1312"/>
      <c r="AA116" s="1312"/>
      <c r="AB116" s="1313"/>
      <c r="AC116" s="758"/>
    </row>
    <row r="117" spans="1:29" hidden="1">
      <c r="A117" s="751"/>
      <c r="B117" s="849"/>
      <c r="C117" s="755" t="s">
        <v>101</v>
      </c>
      <c r="D117" s="755"/>
      <c r="E117" s="755"/>
      <c r="F117" s="755"/>
      <c r="G117" s="755" t="s">
        <v>0</v>
      </c>
      <c r="H117" s="1314"/>
      <c r="I117" s="1314"/>
      <c r="J117" s="1314"/>
      <c r="K117" s="1314"/>
      <c r="L117" s="1314"/>
      <c r="M117" s="1314"/>
      <c r="N117" s="1322"/>
      <c r="O117" s="1312"/>
      <c r="P117" s="1312"/>
      <c r="Q117" s="1312"/>
      <c r="R117" s="1312"/>
      <c r="S117" s="1312"/>
      <c r="T117" s="1312"/>
      <c r="U117" s="1312"/>
      <c r="V117" s="1312"/>
      <c r="W117" s="1312"/>
      <c r="X117" s="1312"/>
      <c r="Y117" s="1312"/>
      <c r="Z117" s="1312"/>
      <c r="AA117" s="1312"/>
      <c r="AB117" s="1313"/>
      <c r="AC117" s="758"/>
    </row>
    <row r="118" spans="1:29" hidden="1">
      <c r="A118" s="751"/>
      <c r="B118" s="849"/>
      <c r="C118" s="755" t="s">
        <v>490</v>
      </c>
      <c r="D118" s="755"/>
      <c r="E118" s="755"/>
      <c r="F118" s="755"/>
      <c r="G118" s="755" t="s">
        <v>0</v>
      </c>
      <c r="H118" s="850"/>
      <c r="I118" s="851"/>
      <c r="J118" s="851"/>
      <c r="K118" s="851"/>
      <c r="L118" s="851"/>
      <c r="M118" s="852"/>
      <c r="N118" s="853"/>
      <c r="O118" s="1312"/>
      <c r="P118" s="1312"/>
      <c r="Q118" s="1312"/>
      <c r="R118" s="1312"/>
      <c r="S118" s="1312"/>
      <c r="T118" s="1312"/>
      <c r="U118" s="1312"/>
      <c r="V118" s="1312"/>
      <c r="W118" s="1312"/>
      <c r="X118" s="1312"/>
      <c r="Y118" s="1312"/>
      <c r="Z118" s="1312"/>
      <c r="AA118" s="1312"/>
      <c r="AB118" s="1313"/>
      <c r="AC118" s="758"/>
    </row>
    <row r="119" spans="1:29" hidden="1">
      <c r="A119" s="751"/>
      <c r="B119" s="849"/>
      <c r="C119" s="755"/>
      <c r="D119" s="755"/>
      <c r="E119" s="755"/>
      <c r="F119" s="755"/>
      <c r="G119" s="755"/>
      <c r="H119" s="849"/>
      <c r="I119" s="755"/>
      <c r="J119" s="755"/>
      <c r="K119" s="755"/>
      <c r="L119" s="755"/>
      <c r="M119" s="853"/>
      <c r="N119" s="853"/>
      <c r="O119" s="1312"/>
      <c r="P119" s="1312"/>
      <c r="Q119" s="1312"/>
      <c r="R119" s="1312"/>
      <c r="S119" s="1312"/>
      <c r="T119" s="1312"/>
      <c r="U119" s="1312"/>
      <c r="V119" s="1312"/>
      <c r="W119" s="1312"/>
      <c r="X119" s="1312"/>
      <c r="Y119" s="1312"/>
      <c r="Z119" s="1312"/>
      <c r="AA119" s="1312"/>
      <c r="AB119" s="1313"/>
      <c r="AC119" s="758"/>
    </row>
    <row r="120" spans="1:29" hidden="1">
      <c r="A120" s="751"/>
      <c r="B120" s="849"/>
      <c r="C120" s="755"/>
      <c r="D120" s="755"/>
      <c r="E120" s="755"/>
      <c r="F120" s="755"/>
      <c r="G120" s="755"/>
      <c r="H120" s="854"/>
      <c r="I120" s="855"/>
      <c r="J120" s="855"/>
      <c r="K120" s="855"/>
      <c r="L120" s="855"/>
      <c r="M120" s="856"/>
      <c r="N120" s="853"/>
      <c r="O120" s="1312"/>
      <c r="P120" s="1312"/>
      <c r="Q120" s="1312"/>
      <c r="R120" s="1312"/>
      <c r="S120" s="1312"/>
      <c r="T120" s="1312"/>
      <c r="U120" s="1312"/>
      <c r="V120" s="1312"/>
      <c r="W120" s="1312"/>
      <c r="X120" s="1312"/>
      <c r="Y120" s="1312"/>
      <c r="Z120" s="1312"/>
      <c r="AA120" s="1312"/>
      <c r="AB120" s="1313"/>
      <c r="AC120" s="758"/>
    </row>
    <row r="121" spans="1:29" hidden="1">
      <c r="A121" s="751"/>
      <c r="B121" s="854"/>
      <c r="C121" s="855"/>
      <c r="D121" s="855"/>
      <c r="E121" s="855"/>
      <c r="F121" s="855"/>
      <c r="G121" s="855"/>
      <c r="H121" s="855"/>
      <c r="I121" s="855"/>
      <c r="J121" s="855"/>
      <c r="K121" s="855"/>
      <c r="L121" s="855"/>
      <c r="M121" s="855"/>
      <c r="N121" s="856"/>
      <c r="O121" s="1323"/>
      <c r="P121" s="1323"/>
      <c r="Q121" s="1323"/>
      <c r="R121" s="1323"/>
      <c r="S121" s="1323"/>
      <c r="T121" s="1323"/>
      <c r="U121" s="1323"/>
      <c r="V121" s="1323"/>
      <c r="W121" s="1323"/>
      <c r="X121" s="1323"/>
      <c r="Y121" s="1323"/>
      <c r="Z121" s="1323"/>
      <c r="AA121" s="1323"/>
      <c r="AB121" s="1324"/>
      <c r="AC121" s="758"/>
    </row>
    <row r="122" spans="1:29" hidden="1">
      <c r="A122" s="751"/>
      <c r="B122" s="1315" t="s">
        <v>487</v>
      </c>
      <c r="C122" s="1316"/>
      <c r="D122" s="1316"/>
      <c r="E122" s="1316"/>
      <c r="F122" s="1316"/>
      <c r="G122" s="1316"/>
      <c r="H122" s="1316"/>
      <c r="I122" s="1316"/>
      <c r="J122" s="1316"/>
      <c r="K122" s="1316"/>
      <c r="L122" s="1316"/>
      <c r="M122" s="1316"/>
      <c r="N122" s="1316"/>
      <c r="O122" s="1310" t="s">
        <v>488</v>
      </c>
      <c r="P122" s="1310"/>
      <c r="Q122" s="1310"/>
      <c r="R122" s="1310"/>
      <c r="S122" s="1310"/>
      <c r="T122" s="1310"/>
      <c r="U122" s="1310"/>
      <c r="V122" s="1310"/>
      <c r="W122" s="1310"/>
      <c r="X122" s="1310"/>
      <c r="Y122" s="1310"/>
      <c r="Z122" s="1310"/>
      <c r="AA122" s="1310"/>
      <c r="AB122" s="1311"/>
      <c r="AC122" s="846"/>
    </row>
    <row r="123" spans="1:29" hidden="1">
      <c r="A123" s="751"/>
      <c r="B123" s="849"/>
      <c r="C123" s="755" t="s">
        <v>1</v>
      </c>
      <c r="D123" s="755"/>
      <c r="E123" s="755"/>
      <c r="F123" s="755"/>
      <c r="G123" s="755" t="s">
        <v>0</v>
      </c>
      <c r="H123" s="1318"/>
      <c r="I123" s="1318"/>
      <c r="J123" s="1318"/>
      <c r="K123" s="1318"/>
      <c r="L123" s="1318"/>
      <c r="M123" s="1318"/>
      <c r="N123" s="1318"/>
      <c r="O123" s="1312"/>
      <c r="P123" s="1312"/>
      <c r="Q123" s="1312"/>
      <c r="R123" s="1312"/>
      <c r="S123" s="1312"/>
      <c r="T123" s="1312"/>
      <c r="U123" s="1312"/>
      <c r="V123" s="1312"/>
      <c r="W123" s="1312"/>
      <c r="X123" s="1312"/>
      <c r="Y123" s="1312"/>
      <c r="Z123" s="1312"/>
      <c r="AA123" s="1312"/>
      <c r="AB123" s="1313"/>
      <c r="AC123" s="758"/>
    </row>
    <row r="124" spans="1:29" hidden="1">
      <c r="A124" s="751"/>
      <c r="B124" s="849"/>
      <c r="C124" s="755" t="s">
        <v>489</v>
      </c>
      <c r="D124" s="755"/>
      <c r="E124" s="755"/>
      <c r="F124" s="755"/>
      <c r="G124" s="755" t="s">
        <v>0</v>
      </c>
      <c r="H124" s="1320" t="s">
        <v>491</v>
      </c>
      <c r="I124" s="1320"/>
      <c r="J124" s="1320"/>
      <c r="K124" s="1320"/>
      <c r="L124" s="1320"/>
      <c r="M124" s="1320"/>
      <c r="N124" s="1320"/>
      <c r="O124" s="1312"/>
      <c r="P124" s="1312"/>
      <c r="Q124" s="1312"/>
      <c r="R124" s="1312"/>
      <c r="S124" s="1312"/>
      <c r="T124" s="1312"/>
      <c r="U124" s="1312"/>
      <c r="V124" s="1312"/>
      <c r="W124" s="1312"/>
      <c r="X124" s="1312"/>
      <c r="Y124" s="1312"/>
      <c r="Z124" s="1312"/>
      <c r="AA124" s="1312"/>
      <c r="AB124" s="1313"/>
      <c r="AC124" s="758"/>
    </row>
    <row r="125" spans="1:29" hidden="1">
      <c r="A125" s="751"/>
      <c r="B125" s="849"/>
      <c r="C125" s="755" t="s">
        <v>101</v>
      </c>
      <c r="D125" s="755"/>
      <c r="E125" s="755"/>
      <c r="F125" s="755"/>
      <c r="G125" s="755" t="s">
        <v>0</v>
      </c>
      <c r="H125" s="1314"/>
      <c r="I125" s="1314"/>
      <c r="J125" s="1314"/>
      <c r="K125" s="1314"/>
      <c r="L125" s="1314"/>
      <c r="M125" s="1314"/>
      <c r="N125" s="1314"/>
      <c r="O125" s="1312"/>
      <c r="P125" s="1312"/>
      <c r="Q125" s="1312"/>
      <c r="R125" s="1312"/>
      <c r="S125" s="1312"/>
      <c r="T125" s="1312"/>
      <c r="U125" s="1312"/>
      <c r="V125" s="1312"/>
      <c r="W125" s="1312"/>
      <c r="X125" s="1312"/>
      <c r="Y125" s="1312"/>
      <c r="Z125" s="1312"/>
      <c r="AA125" s="1312"/>
      <c r="AB125" s="1313"/>
      <c r="AC125" s="758"/>
    </row>
    <row r="126" spans="1:29" hidden="1">
      <c r="A126" s="751"/>
      <c r="B126" s="849"/>
      <c r="C126" s="755" t="s">
        <v>490</v>
      </c>
      <c r="D126" s="755"/>
      <c r="E126" s="755"/>
      <c r="F126" s="755"/>
      <c r="G126" s="755" t="s">
        <v>0</v>
      </c>
      <c r="H126" s="850"/>
      <c r="I126" s="851"/>
      <c r="J126" s="851"/>
      <c r="K126" s="851"/>
      <c r="L126" s="851"/>
      <c r="M126" s="852"/>
      <c r="N126" s="755"/>
      <c r="O126" s="1312"/>
      <c r="P126" s="1312"/>
      <c r="Q126" s="1312"/>
      <c r="R126" s="1312"/>
      <c r="S126" s="1312"/>
      <c r="T126" s="1312"/>
      <c r="U126" s="1312"/>
      <c r="V126" s="1312"/>
      <c r="W126" s="1312"/>
      <c r="X126" s="1312"/>
      <c r="Y126" s="1312"/>
      <c r="Z126" s="1312"/>
      <c r="AA126" s="1312"/>
      <c r="AB126" s="1313"/>
      <c r="AC126" s="758"/>
    </row>
    <row r="127" spans="1:29" hidden="1">
      <c r="A127" s="751"/>
      <c r="B127" s="849"/>
      <c r="C127" s="755"/>
      <c r="D127" s="755"/>
      <c r="E127" s="755"/>
      <c r="F127" s="755"/>
      <c r="G127" s="755"/>
      <c r="H127" s="849"/>
      <c r="I127" s="755"/>
      <c r="J127" s="755"/>
      <c r="K127" s="755"/>
      <c r="L127" s="755"/>
      <c r="M127" s="853"/>
      <c r="N127" s="755"/>
      <c r="O127" s="1312"/>
      <c r="P127" s="1312"/>
      <c r="Q127" s="1312"/>
      <c r="R127" s="1312"/>
      <c r="S127" s="1312"/>
      <c r="T127" s="1312"/>
      <c r="U127" s="1312"/>
      <c r="V127" s="1312"/>
      <c r="W127" s="1312"/>
      <c r="X127" s="1312"/>
      <c r="Y127" s="1312"/>
      <c r="Z127" s="1312"/>
      <c r="AA127" s="1312"/>
      <c r="AB127" s="1313"/>
      <c r="AC127" s="758"/>
    </row>
    <row r="128" spans="1:29" hidden="1">
      <c r="A128" s="751"/>
      <c r="B128" s="849"/>
      <c r="C128" s="755"/>
      <c r="D128" s="755"/>
      <c r="E128" s="755"/>
      <c r="F128" s="755"/>
      <c r="G128" s="755"/>
      <c r="H128" s="854"/>
      <c r="I128" s="855"/>
      <c r="J128" s="855"/>
      <c r="K128" s="855"/>
      <c r="L128" s="855"/>
      <c r="M128" s="856"/>
      <c r="N128" s="755"/>
      <c r="O128" s="1312"/>
      <c r="P128" s="1312"/>
      <c r="Q128" s="1312"/>
      <c r="R128" s="1312"/>
      <c r="S128" s="1312"/>
      <c r="T128" s="1312"/>
      <c r="U128" s="1312"/>
      <c r="V128" s="1312"/>
      <c r="W128" s="1312"/>
      <c r="X128" s="1312"/>
      <c r="Y128" s="1312"/>
      <c r="Z128" s="1312"/>
      <c r="AA128" s="1312"/>
      <c r="AB128" s="1313"/>
      <c r="AC128" s="758"/>
    </row>
    <row r="129" spans="1:29" hidden="1">
      <c r="A129" s="751"/>
      <c r="B129" s="854"/>
      <c r="C129" s="855"/>
      <c r="D129" s="855"/>
      <c r="E129" s="855"/>
      <c r="F129" s="855"/>
      <c r="G129" s="855"/>
      <c r="H129" s="855"/>
      <c r="I129" s="855"/>
      <c r="J129" s="855"/>
      <c r="K129" s="855"/>
      <c r="L129" s="855"/>
      <c r="M129" s="855"/>
      <c r="N129" s="855"/>
      <c r="O129" s="1312"/>
      <c r="P129" s="1312"/>
      <c r="Q129" s="1312"/>
      <c r="R129" s="1312"/>
      <c r="S129" s="1312"/>
      <c r="T129" s="1312"/>
      <c r="U129" s="1312"/>
      <c r="V129" s="1312"/>
      <c r="W129" s="1312"/>
      <c r="X129" s="1312"/>
      <c r="Y129" s="1312"/>
      <c r="Z129" s="1312"/>
      <c r="AA129" s="1312"/>
      <c r="AB129" s="1313"/>
      <c r="AC129" s="758"/>
    </row>
    <row r="130" spans="1:29" ht="16.5" thickBot="1">
      <c r="A130" s="857"/>
      <c r="B130" s="858"/>
      <c r="C130" s="858"/>
      <c r="D130" s="858"/>
      <c r="E130" s="858"/>
      <c r="F130" s="858"/>
      <c r="G130" s="858"/>
      <c r="H130" s="858"/>
      <c r="I130" s="858"/>
      <c r="J130" s="858"/>
      <c r="K130" s="858"/>
      <c r="L130" s="858"/>
      <c r="M130" s="858"/>
      <c r="N130" s="858"/>
      <c r="O130" s="858"/>
      <c r="P130" s="858"/>
      <c r="Q130" s="858"/>
      <c r="R130" s="858"/>
      <c r="S130" s="858"/>
      <c r="T130" s="858"/>
      <c r="U130" s="858"/>
      <c r="V130" s="858"/>
      <c r="W130" s="858"/>
      <c r="X130" s="858"/>
      <c r="Y130" s="858"/>
      <c r="Z130" s="858"/>
      <c r="AA130" s="858"/>
      <c r="AB130" s="859"/>
    </row>
  </sheetData>
  <sheetProtection algorithmName="SHA-512" hashValue="kSk29wZIhTz5NL9lk5LMZDtG9TLBB6+DlffKeJOVCZ8znnWwBhs4BiBnJwC/NvM5y/VsiwHwN4fZ1HXj39ejjw==" saltValue="BGetxOod3+1mFxO0yjZtBg==" spinCount="100000" sheet="1" objects="1" scenarios="1" formatCells="0" formatColumns="0" formatRows="0" insertColumns="0" insertRows="0" deleteColumns="0" deleteRows="0"/>
  <mergeCells count="250">
    <mergeCell ref="A71:AB71"/>
    <mergeCell ref="W76:X76"/>
    <mergeCell ref="B75:E75"/>
    <mergeCell ref="M61:O61"/>
    <mergeCell ref="M64:O64"/>
    <mergeCell ref="M65:O65"/>
    <mergeCell ref="M60:O60"/>
    <mergeCell ref="M62:O62"/>
    <mergeCell ref="M63:O63"/>
    <mergeCell ref="M67:O67"/>
    <mergeCell ref="M69:O69"/>
    <mergeCell ref="W81:X81"/>
    <mergeCell ref="L79:M79"/>
    <mergeCell ref="W75:X75"/>
    <mergeCell ref="L75:M75"/>
    <mergeCell ref="F75:H75"/>
    <mergeCell ref="T76:V76"/>
    <mergeCell ref="Q75:S75"/>
    <mergeCell ref="Q73:S73"/>
    <mergeCell ref="I74:K74"/>
    <mergeCell ref="T74:V74"/>
    <mergeCell ref="F76:H76"/>
    <mergeCell ref="N75:P75"/>
    <mergeCell ref="L74:M74"/>
    <mergeCell ref="N74:P74"/>
    <mergeCell ref="T73:V73"/>
    <mergeCell ref="I76:K76"/>
    <mergeCell ref="T75:V75"/>
    <mergeCell ref="N79:P79"/>
    <mergeCell ref="Q79:S79"/>
    <mergeCell ref="T79:V79"/>
    <mergeCell ref="I75:K75"/>
    <mergeCell ref="Q76:S76"/>
    <mergeCell ref="W80:X80"/>
    <mergeCell ref="N81:P81"/>
    <mergeCell ref="A47:AB47"/>
    <mergeCell ref="M49:O49"/>
    <mergeCell ref="M50:O50"/>
    <mergeCell ref="M51:O51"/>
    <mergeCell ref="M52:O52"/>
    <mergeCell ref="M53:O53"/>
    <mergeCell ref="M55:O55"/>
    <mergeCell ref="A57:AA57"/>
    <mergeCell ref="M59:O59"/>
    <mergeCell ref="U31:W31"/>
    <mergeCell ref="A34:AB34"/>
    <mergeCell ref="M37:O37"/>
    <mergeCell ref="M40:O40"/>
    <mergeCell ref="M43:O43"/>
    <mergeCell ref="AO43:AP43"/>
    <mergeCell ref="M45:O45"/>
    <mergeCell ref="C28:G28"/>
    <mergeCell ref="I28:K28"/>
    <mergeCell ref="L28:N28"/>
    <mergeCell ref="P28:S28"/>
    <mergeCell ref="C29:G29"/>
    <mergeCell ref="I29:K29"/>
    <mergeCell ref="L29:N29"/>
    <mergeCell ref="P29:S29"/>
    <mergeCell ref="B30:G30"/>
    <mergeCell ref="I30:K30"/>
    <mergeCell ref="L30:N30"/>
    <mergeCell ref="P30:S30"/>
    <mergeCell ref="B32:L32"/>
    <mergeCell ref="N32:Q32"/>
    <mergeCell ref="L22:N22"/>
    <mergeCell ref="P22:R22"/>
    <mergeCell ref="S22:V22"/>
    <mergeCell ref="X22:Y22"/>
    <mergeCell ref="Z22:AA22"/>
    <mergeCell ref="B26:B27"/>
    <mergeCell ref="C26:G27"/>
    <mergeCell ref="H26:N26"/>
    <mergeCell ref="O26:S26"/>
    <mergeCell ref="I27:K27"/>
    <mergeCell ref="L27:N27"/>
    <mergeCell ref="P27:S27"/>
    <mergeCell ref="W88:X88"/>
    <mergeCell ref="W18:AA18"/>
    <mergeCell ref="I19:K19"/>
    <mergeCell ref="L19:N19"/>
    <mergeCell ref="P19:R19"/>
    <mergeCell ref="S19:V19"/>
    <mergeCell ref="X19:Y19"/>
    <mergeCell ref="Z19:AA19"/>
    <mergeCell ref="C20:G20"/>
    <mergeCell ref="I20:K20"/>
    <mergeCell ref="L20:N20"/>
    <mergeCell ref="P20:R20"/>
    <mergeCell ref="S20:V20"/>
    <mergeCell ref="X20:Y20"/>
    <mergeCell ref="Z20:AA20"/>
    <mergeCell ref="C21:G21"/>
    <mergeCell ref="I21:K21"/>
    <mergeCell ref="L21:N21"/>
    <mergeCell ref="P21:R21"/>
    <mergeCell ref="S21:V21"/>
    <mergeCell ref="X21:Y21"/>
    <mergeCell ref="Z21:AA21"/>
    <mergeCell ref="B22:H22"/>
    <mergeCell ref="I22:K22"/>
    <mergeCell ref="B18:B19"/>
    <mergeCell ref="C18:G19"/>
    <mergeCell ref="H18:N18"/>
    <mergeCell ref="O18:V18"/>
    <mergeCell ref="T112:Y112"/>
    <mergeCell ref="T107:Y107"/>
    <mergeCell ref="W79:X79"/>
    <mergeCell ref="L92:M92"/>
    <mergeCell ref="N92:P92"/>
    <mergeCell ref="F81:H81"/>
    <mergeCell ref="I81:K81"/>
    <mergeCell ref="L87:M87"/>
    <mergeCell ref="I88:K88"/>
    <mergeCell ref="E83:AA84"/>
    <mergeCell ref="L91:M91"/>
    <mergeCell ref="N91:P91"/>
    <mergeCell ref="L88:M88"/>
    <mergeCell ref="N88:P88"/>
    <mergeCell ref="F87:H87"/>
    <mergeCell ref="I86:K86"/>
    <mergeCell ref="L81:M81"/>
    <mergeCell ref="I87:K87"/>
    <mergeCell ref="F92:H92"/>
    <mergeCell ref="I92:K92"/>
    <mergeCell ref="W87:X87"/>
    <mergeCell ref="W89:X89"/>
    <mergeCell ref="Q89:S89"/>
    <mergeCell ref="T92:V92"/>
    <mergeCell ref="A1:AB1"/>
    <mergeCell ref="W73:X73"/>
    <mergeCell ref="Q74:S74"/>
    <mergeCell ref="W74:X74"/>
    <mergeCell ref="A72:E72"/>
    <mergeCell ref="F74:H74"/>
    <mergeCell ref="F73:H73"/>
    <mergeCell ref="A3:AB3"/>
    <mergeCell ref="M5:O5"/>
    <mergeCell ref="M6:O6"/>
    <mergeCell ref="M8:O8"/>
    <mergeCell ref="M10:O10"/>
    <mergeCell ref="M7:O7"/>
    <mergeCell ref="B73:E73"/>
    <mergeCell ref="N73:P73"/>
    <mergeCell ref="I73:K73"/>
    <mergeCell ref="B74:E74"/>
    <mergeCell ref="M12:O12"/>
    <mergeCell ref="L73:M73"/>
    <mergeCell ref="A14:AB14"/>
    <mergeCell ref="T81:V81"/>
    <mergeCell ref="Q80:S80"/>
    <mergeCell ref="Q81:S81"/>
    <mergeCell ref="T91:V91"/>
    <mergeCell ref="N80:P80"/>
    <mergeCell ref="N90:P90"/>
    <mergeCell ref="T80:V80"/>
    <mergeCell ref="Q88:S88"/>
    <mergeCell ref="T89:V89"/>
    <mergeCell ref="Q90:S90"/>
    <mergeCell ref="T90:V90"/>
    <mergeCell ref="T88:V88"/>
    <mergeCell ref="T87:V87"/>
    <mergeCell ref="N87:P87"/>
    <mergeCell ref="Q87:S87"/>
    <mergeCell ref="Q91:S91"/>
    <mergeCell ref="O122:AB122"/>
    <mergeCell ref="O123:AB129"/>
    <mergeCell ref="H125:N125"/>
    <mergeCell ref="B114:N114"/>
    <mergeCell ref="H115:N115"/>
    <mergeCell ref="H116:N116"/>
    <mergeCell ref="H117:N117"/>
    <mergeCell ref="B122:N122"/>
    <mergeCell ref="H123:N123"/>
    <mergeCell ref="H124:N124"/>
    <mergeCell ref="O114:AB114"/>
    <mergeCell ref="O115:AB121"/>
    <mergeCell ref="L80:M80"/>
    <mergeCell ref="L76:M76"/>
    <mergeCell ref="F91:H91"/>
    <mergeCell ref="I91:K91"/>
    <mergeCell ref="N76:P76"/>
    <mergeCell ref="E95:AA96"/>
    <mergeCell ref="A105:AB105"/>
    <mergeCell ref="F93:H93"/>
    <mergeCell ref="Q93:S93"/>
    <mergeCell ref="T93:V93"/>
    <mergeCell ref="B91:E91"/>
    <mergeCell ref="W93:X93"/>
    <mergeCell ref="I93:K93"/>
    <mergeCell ref="A93:E93"/>
    <mergeCell ref="B102:L102"/>
    <mergeCell ref="B103:L103"/>
    <mergeCell ref="M103:R103"/>
    <mergeCell ref="M99:O99"/>
    <mergeCell ref="M100:O100"/>
    <mergeCell ref="M101:O101"/>
    <mergeCell ref="B99:L99"/>
    <mergeCell ref="B100:L100"/>
    <mergeCell ref="B101:L101"/>
    <mergeCell ref="P100:R100"/>
    <mergeCell ref="B80:E80"/>
    <mergeCell ref="B76:E76"/>
    <mergeCell ref="B87:E87"/>
    <mergeCell ref="F88:H88"/>
    <mergeCell ref="B88:E88"/>
    <mergeCell ref="A86:D86"/>
    <mergeCell ref="A81:E81"/>
    <mergeCell ref="F80:H80"/>
    <mergeCell ref="I80:K80"/>
    <mergeCell ref="F79:H79"/>
    <mergeCell ref="I79:K79"/>
    <mergeCell ref="B79:E79"/>
    <mergeCell ref="B77:E77"/>
    <mergeCell ref="F77:H77"/>
    <mergeCell ref="I77:K77"/>
    <mergeCell ref="F89:H89"/>
    <mergeCell ref="F90:H90"/>
    <mergeCell ref="I89:K89"/>
    <mergeCell ref="I90:K90"/>
    <mergeCell ref="L89:M89"/>
    <mergeCell ref="L90:M90"/>
    <mergeCell ref="N89:P89"/>
    <mergeCell ref="B90:E90"/>
    <mergeCell ref="T111:Y111"/>
    <mergeCell ref="P101:R101"/>
    <mergeCell ref="M102:O102"/>
    <mergeCell ref="B98:R98"/>
    <mergeCell ref="L93:M93"/>
    <mergeCell ref="N93:P93"/>
    <mergeCell ref="P99:R99"/>
    <mergeCell ref="Q92:S92"/>
    <mergeCell ref="W90:X90"/>
    <mergeCell ref="W91:X91"/>
    <mergeCell ref="B92:E92"/>
    <mergeCell ref="B89:E89"/>
    <mergeCell ref="W92:X92"/>
    <mergeCell ref="L77:M77"/>
    <mergeCell ref="N77:P77"/>
    <mergeCell ref="Q77:S77"/>
    <mergeCell ref="T77:V77"/>
    <mergeCell ref="W77:X77"/>
    <mergeCell ref="B78:E78"/>
    <mergeCell ref="F78:H78"/>
    <mergeCell ref="I78:K78"/>
    <mergeCell ref="L78:M78"/>
    <mergeCell ref="N78:P78"/>
    <mergeCell ref="Q78:S78"/>
    <mergeCell ref="T78:V78"/>
    <mergeCell ref="W78:X78"/>
  </mergeCells>
  <dataValidations count="4">
    <dataValidation type="list" allowBlank="1" showInputMessage="1" showErrorMessage="1" sqref="AA74:AA80 AA88:AA92">
      <formula1>"Ya,Tidak"</formula1>
    </dataValidation>
    <dataValidation type="list" allowBlank="1" showInputMessage="1" showErrorMessage="1" sqref="Y74:Y80 Y88:Y92">
      <formula1>"Flat,Efektif"</formula1>
    </dataValidation>
    <dataValidation type="list" allowBlank="1" showInputMessage="1" showErrorMessage="1" sqref="M67:O67">
      <formula1>"70%,75%,80%"</formula1>
    </dataValidation>
    <dataValidation type="list" allowBlank="1" showInputMessage="1" showErrorMessage="1" sqref="M10:O10">
      <formula1>"30%,35%,40%"</formula1>
    </dataValidation>
  </dataValidations>
  <pageMargins left="0.7" right="0.3" top="0.3" bottom="0.3" header="0.3" footer="0.3"/>
  <pageSetup paperSize="10000" scale="7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Y351"/>
  <sheetViews>
    <sheetView workbookViewId="0">
      <selection activeCell="H8" sqref="H8:X9"/>
    </sheetView>
  </sheetViews>
  <sheetFormatPr defaultColWidth="8.85546875" defaultRowHeight="15"/>
  <cols>
    <col min="1" max="25" width="3.7109375" customWidth="1"/>
  </cols>
  <sheetData>
    <row r="1" spans="1:25">
      <c r="A1" s="1410" t="s">
        <v>138</v>
      </c>
      <c r="B1" s="1410"/>
      <c r="C1" s="1410"/>
      <c r="D1" s="1410"/>
      <c r="E1" s="1410"/>
      <c r="F1" s="1410"/>
      <c r="G1" s="1410"/>
      <c r="H1" s="1410"/>
      <c r="I1" s="1410"/>
      <c r="J1" s="1410"/>
      <c r="K1" s="1410"/>
      <c r="L1" s="1410"/>
      <c r="M1" s="1410"/>
      <c r="N1" s="1410"/>
      <c r="O1" s="1410"/>
      <c r="P1" s="1410"/>
      <c r="Q1" s="1410"/>
      <c r="R1" s="1410"/>
      <c r="S1" s="1410"/>
      <c r="T1" s="1410"/>
      <c r="U1" s="1410"/>
      <c r="V1" s="1410"/>
      <c r="W1" s="1410"/>
      <c r="X1" s="1410"/>
      <c r="Y1" s="1410"/>
    </row>
    <row r="2" spans="1:25">
      <c r="A2" s="55"/>
      <c r="B2" s="56"/>
      <c r="C2" s="56"/>
      <c r="D2" s="56"/>
      <c r="E2" s="56"/>
      <c r="F2" s="56"/>
      <c r="G2" s="56"/>
      <c r="H2" s="56"/>
      <c r="I2" s="56"/>
      <c r="J2" s="56"/>
      <c r="K2" s="56"/>
      <c r="L2" s="56"/>
      <c r="M2" s="56"/>
      <c r="N2" s="56"/>
      <c r="O2" s="56"/>
      <c r="P2" s="56"/>
      <c r="Q2" s="56"/>
      <c r="R2" s="56"/>
      <c r="S2" s="56"/>
      <c r="T2" s="56"/>
      <c r="U2" s="56"/>
      <c r="V2" s="56"/>
      <c r="W2" s="56"/>
      <c r="X2" s="56"/>
      <c r="Y2" s="57"/>
    </row>
    <row r="3" spans="1:25">
      <c r="A3" s="1411" t="s">
        <v>45</v>
      </c>
      <c r="B3" s="1411"/>
      <c r="C3" s="1411"/>
      <c r="D3" s="1411"/>
      <c r="E3" s="1411"/>
      <c r="F3" s="1411"/>
      <c r="G3" s="1411"/>
      <c r="H3" s="1411"/>
      <c r="I3" s="1411"/>
      <c r="J3" s="1411"/>
      <c r="K3" s="1411"/>
      <c r="L3" s="1411"/>
      <c r="M3" s="1411"/>
      <c r="N3" s="1411"/>
      <c r="O3" s="1411"/>
      <c r="P3" s="1411"/>
      <c r="Q3" s="1411"/>
      <c r="R3" s="1411"/>
      <c r="S3" s="1411"/>
      <c r="T3" s="1411"/>
      <c r="U3" s="1411"/>
      <c r="V3" s="1411"/>
      <c r="W3" s="1411"/>
      <c r="X3" s="1411"/>
      <c r="Y3" s="1411"/>
    </row>
    <row r="4" spans="1:25">
      <c r="A4" s="58" t="s">
        <v>89</v>
      </c>
      <c r="B4" s="59" t="s">
        <v>139</v>
      </c>
      <c r="C4" s="60"/>
      <c r="D4" s="60"/>
      <c r="E4" s="60"/>
      <c r="F4" s="60"/>
      <c r="G4" s="60"/>
      <c r="H4" s="60"/>
      <c r="I4" s="60"/>
      <c r="J4" s="60"/>
      <c r="K4" s="60"/>
      <c r="L4" s="60"/>
      <c r="M4" s="60"/>
      <c r="N4" s="60"/>
      <c r="O4" s="60"/>
      <c r="P4" s="60"/>
      <c r="Q4" s="60"/>
      <c r="R4" s="60"/>
      <c r="S4" s="60"/>
      <c r="T4" s="60"/>
      <c r="U4" s="60"/>
      <c r="V4" s="60"/>
      <c r="W4" s="60"/>
      <c r="X4" s="60"/>
      <c r="Y4" s="61"/>
    </row>
    <row r="5" spans="1:25">
      <c r="A5" s="62"/>
      <c r="B5" s="1412" t="s">
        <v>140</v>
      </c>
      <c r="C5" s="1412"/>
      <c r="D5" s="1412"/>
      <c r="E5" s="1412"/>
      <c r="F5" s="1412"/>
      <c r="G5" s="1412"/>
      <c r="H5" s="1413" t="s">
        <v>141</v>
      </c>
      <c r="I5" s="1413"/>
      <c r="J5" s="1413"/>
      <c r="K5" s="1413"/>
      <c r="L5" s="1413"/>
      <c r="M5" s="1413"/>
      <c r="N5" s="1413"/>
      <c r="O5" s="1413"/>
      <c r="P5" s="1413"/>
      <c r="Q5" s="1413"/>
      <c r="R5" s="1413"/>
      <c r="S5" s="1413"/>
      <c r="T5" s="1413"/>
      <c r="U5" s="1413"/>
      <c r="V5" s="1413"/>
      <c r="W5" s="1413"/>
      <c r="X5" s="1413"/>
      <c r="Y5" s="61"/>
    </row>
    <row r="6" spans="1:25">
      <c r="A6" s="62"/>
      <c r="B6" s="1408" t="s">
        <v>142</v>
      </c>
      <c r="C6" s="1408"/>
      <c r="D6" s="1408"/>
      <c r="E6" s="1408"/>
      <c r="F6" s="1408"/>
      <c r="G6" s="1408"/>
      <c r="H6" s="1409" t="s">
        <v>143</v>
      </c>
      <c r="I6" s="1409"/>
      <c r="J6" s="1409"/>
      <c r="K6" s="1409"/>
      <c r="L6" s="1409"/>
      <c r="M6" s="1409"/>
      <c r="N6" s="1409"/>
      <c r="O6" s="1409"/>
      <c r="P6" s="1409"/>
      <c r="Q6" s="1409"/>
      <c r="R6" s="1409"/>
      <c r="S6" s="1409"/>
      <c r="T6" s="1409"/>
      <c r="U6" s="1409"/>
      <c r="V6" s="1409"/>
      <c r="W6" s="1409"/>
      <c r="X6" s="1409"/>
      <c r="Y6" s="61"/>
    </row>
    <row r="7" spans="1:25">
      <c r="A7" s="62"/>
      <c r="B7" s="1408"/>
      <c r="C7" s="1408"/>
      <c r="D7" s="1408"/>
      <c r="E7" s="1408"/>
      <c r="F7" s="1408"/>
      <c r="G7" s="1408"/>
      <c r="H7" s="1409"/>
      <c r="I7" s="1409"/>
      <c r="J7" s="1409"/>
      <c r="K7" s="1409"/>
      <c r="L7" s="1409"/>
      <c r="M7" s="1409"/>
      <c r="N7" s="1409"/>
      <c r="O7" s="1409"/>
      <c r="P7" s="1409"/>
      <c r="Q7" s="1409"/>
      <c r="R7" s="1409"/>
      <c r="S7" s="1409"/>
      <c r="T7" s="1409"/>
      <c r="U7" s="1409"/>
      <c r="V7" s="1409"/>
      <c r="W7" s="1409"/>
      <c r="X7" s="1409"/>
      <c r="Y7" s="61"/>
    </row>
    <row r="8" spans="1:25">
      <c r="A8" s="62"/>
      <c r="B8" s="1408" t="s">
        <v>144</v>
      </c>
      <c r="C8" s="1408"/>
      <c r="D8" s="1408"/>
      <c r="E8" s="1408"/>
      <c r="F8" s="1408"/>
      <c r="G8" s="1408"/>
      <c r="H8" s="1409" t="s">
        <v>145</v>
      </c>
      <c r="I8" s="1409"/>
      <c r="J8" s="1409"/>
      <c r="K8" s="1409"/>
      <c r="L8" s="1409"/>
      <c r="M8" s="1409"/>
      <c r="N8" s="1409"/>
      <c r="O8" s="1409"/>
      <c r="P8" s="1409"/>
      <c r="Q8" s="1409"/>
      <c r="R8" s="1409"/>
      <c r="S8" s="1409"/>
      <c r="T8" s="1409"/>
      <c r="U8" s="1409"/>
      <c r="V8" s="1409"/>
      <c r="W8" s="1409"/>
      <c r="X8" s="1409"/>
      <c r="Y8" s="61"/>
    </row>
    <row r="9" spans="1:25">
      <c r="A9" s="62"/>
      <c r="B9" s="1408"/>
      <c r="C9" s="1408"/>
      <c r="D9" s="1408"/>
      <c r="E9" s="1408"/>
      <c r="F9" s="1408"/>
      <c r="G9" s="1408"/>
      <c r="H9" s="1409"/>
      <c r="I9" s="1409"/>
      <c r="J9" s="1409"/>
      <c r="K9" s="1409"/>
      <c r="L9" s="1409"/>
      <c r="M9" s="1409"/>
      <c r="N9" s="1409"/>
      <c r="O9" s="1409"/>
      <c r="P9" s="1409"/>
      <c r="Q9" s="1409"/>
      <c r="R9" s="1409"/>
      <c r="S9" s="1409"/>
      <c r="T9" s="1409"/>
      <c r="U9" s="1409"/>
      <c r="V9" s="1409"/>
      <c r="W9" s="1409"/>
      <c r="X9" s="1409"/>
      <c r="Y9" s="61"/>
    </row>
    <row r="10" spans="1:25">
      <c r="A10" s="62"/>
      <c r="B10" s="1408" t="s">
        <v>146</v>
      </c>
      <c r="C10" s="1408"/>
      <c r="D10" s="1408"/>
      <c r="E10" s="1408"/>
      <c r="F10" s="1408"/>
      <c r="G10" s="1408"/>
      <c r="H10" s="1409" t="s">
        <v>147</v>
      </c>
      <c r="I10" s="1409"/>
      <c r="J10" s="1409"/>
      <c r="K10" s="1409"/>
      <c r="L10" s="1409"/>
      <c r="M10" s="1409"/>
      <c r="N10" s="1409"/>
      <c r="O10" s="1409"/>
      <c r="P10" s="1409"/>
      <c r="Q10" s="1409"/>
      <c r="R10" s="1409"/>
      <c r="S10" s="1409"/>
      <c r="T10" s="1409"/>
      <c r="U10" s="1409"/>
      <c r="V10" s="1409"/>
      <c r="W10" s="1409"/>
      <c r="X10" s="1409"/>
      <c r="Y10" s="61"/>
    </row>
    <row r="11" spans="1:25">
      <c r="A11" s="62"/>
      <c r="B11" s="1408"/>
      <c r="C11" s="1408"/>
      <c r="D11" s="1408"/>
      <c r="E11" s="1408"/>
      <c r="F11" s="1408"/>
      <c r="G11" s="1408"/>
      <c r="H11" s="1409"/>
      <c r="I11" s="1409"/>
      <c r="J11" s="1409"/>
      <c r="K11" s="1409"/>
      <c r="L11" s="1409"/>
      <c r="M11" s="1409"/>
      <c r="N11" s="1409"/>
      <c r="O11" s="1409"/>
      <c r="P11" s="1409"/>
      <c r="Q11" s="1409"/>
      <c r="R11" s="1409"/>
      <c r="S11" s="1409"/>
      <c r="T11" s="1409"/>
      <c r="U11" s="1409"/>
      <c r="V11" s="1409"/>
      <c r="W11" s="1409"/>
      <c r="X11" s="1409"/>
      <c r="Y11" s="61"/>
    </row>
    <row r="12" spans="1:25">
      <c r="A12" s="62"/>
      <c r="B12" s="1408" t="s">
        <v>148</v>
      </c>
      <c r="C12" s="1408"/>
      <c r="D12" s="1408"/>
      <c r="E12" s="1408"/>
      <c r="F12" s="1408"/>
      <c r="G12" s="1408"/>
      <c r="H12" s="1409" t="s">
        <v>149</v>
      </c>
      <c r="I12" s="1409"/>
      <c r="J12" s="1409"/>
      <c r="K12" s="1409"/>
      <c r="L12" s="1409"/>
      <c r="M12" s="1409"/>
      <c r="N12" s="1409"/>
      <c r="O12" s="1409"/>
      <c r="P12" s="1409"/>
      <c r="Q12" s="1409"/>
      <c r="R12" s="1409"/>
      <c r="S12" s="1409"/>
      <c r="T12" s="1409"/>
      <c r="U12" s="1409"/>
      <c r="V12" s="1409"/>
      <c r="W12" s="1409"/>
      <c r="X12" s="1409"/>
      <c r="Y12" s="61"/>
    </row>
    <row r="13" spans="1:25">
      <c r="A13" s="62"/>
      <c r="B13" s="1408"/>
      <c r="C13" s="1408"/>
      <c r="D13" s="1408"/>
      <c r="E13" s="1408"/>
      <c r="F13" s="1408"/>
      <c r="G13" s="1408"/>
      <c r="H13" s="1409"/>
      <c r="I13" s="1409"/>
      <c r="J13" s="1409"/>
      <c r="K13" s="1409"/>
      <c r="L13" s="1409"/>
      <c r="M13" s="1409"/>
      <c r="N13" s="1409"/>
      <c r="O13" s="1409"/>
      <c r="P13" s="1409"/>
      <c r="Q13" s="1409"/>
      <c r="R13" s="1409"/>
      <c r="S13" s="1409"/>
      <c r="T13" s="1409"/>
      <c r="U13" s="1409"/>
      <c r="V13" s="1409"/>
      <c r="W13" s="1409"/>
      <c r="X13" s="1409"/>
      <c r="Y13" s="61"/>
    </row>
    <row r="14" spans="1:25">
      <c r="A14" s="62"/>
      <c r="B14" s="1421" t="s">
        <v>150</v>
      </c>
      <c r="C14" s="1421"/>
      <c r="D14" s="1421"/>
      <c r="E14" s="1421"/>
      <c r="F14" s="1421"/>
      <c r="G14" s="1421"/>
      <c r="H14" s="1422" t="s">
        <v>151</v>
      </c>
      <c r="I14" s="1422"/>
      <c r="J14" s="1422"/>
      <c r="K14" s="1422"/>
      <c r="L14" s="1422"/>
      <c r="M14" s="1422"/>
      <c r="N14" s="1422"/>
      <c r="O14" s="1422"/>
      <c r="P14" s="1422"/>
      <c r="Q14" s="1422"/>
      <c r="R14" s="1422"/>
      <c r="S14" s="1422"/>
      <c r="T14" s="1422"/>
      <c r="U14" s="1422"/>
      <c r="V14" s="1422"/>
      <c r="W14" s="1422"/>
      <c r="X14" s="1422"/>
      <c r="Y14" s="61"/>
    </row>
    <row r="15" spans="1:25">
      <c r="A15" s="62"/>
      <c r="B15" s="1408" t="s">
        <v>152</v>
      </c>
      <c r="C15" s="1408"/>
      <c r="D15" s="1408"/>
      <c r="E15" s="1408"/>
      <c r="F15" s="1408"/>
      <c r="G15" s="1408"/>
      <c r="H15" s="1414" t="s">
        <v>153</v>
      </c>
      <c r="I15" s="1414"/>
      <c r="J15" s="1414"/>
      <c r="K15" s="1414"/>
      <c r="L15" s="1414"/>
      <c r="M15" s="1414"/>
      <c r="N15" s="1414"/>
      <c r="O15" s="1414"/>
      <c r="P15" s="1414"/>
      <c r="Q15" s="1414"/>
      <c r="R15" s="1414"/>
      <c r="S15" s="1414"/>
      <c r="T15" s="1414"/>
      <c r="U15" s="1414"/>
      <c r="V15" s="1414"/>
      <c r="W15" s="1414"/>
      <c r="X15" s="1414"/>
      <c r="Y15" s="61"/>
    </row>
    <row r="16" spans="1:25">
      <c r="A16" s="62"/>
      <c r="B16" s="1408"/>
      <c r="C16" s="1408"/>
      <c r="D16" s="1408"/>
      <c r="E16" s="1408"/>
      <c r="F16" s="1408"/>
      <c r="G16" s="1408"/>
      <c r="H16" s="1414"/>
      <c r="I16" s="1414"/>
      <c r="J16" s="1414"/>
      <c r="K16" s="1414"/>
      <c r="L16" s="1414"/>
      <c r="M16" s="1414"/>
      <c r="N16" s="1414"/>
      <c r="O16" s="1414"/>
      <c r="P16" s="1414"/>
      <c r="Q16" s="1414"/>
      <c r="R16" s="1414"/>
      <c r="S16" s="1414"/>
      <c r="T16" s="1414"/>
      <c r="U16" s="1414"/>
      <c r="V16" s="1414"/>
      <c r="W16" s="1414"/>
      <c r="X16" s="1414"/>
      <c r="Y16" s="61"/>
    </row>
    <row r="17" spans="1:25">
      <c r="A17" s="62"/>
      <c r="B17" s="1408" t="s">
        <v>154</v>
      </c>
      <c r="C17" s="1408"/>
      <c r="D17" s="1408"/>
      <c r="E17" s="1408"/>
      <c r="F17" s="1408"/>
      <c r="G17" s="1408"/>
      <c r="H17" s="1414" t="s">
        <v>155</v>
      </c>
      <c r="I17" s="1414"/>
      <c r="J17" s="1414"/>
      <c r="K17" s="1414"/>
      <c r="L17" s="1414"/>
      <c r="M17" s="1414"/>
      <c r="N17" s="1414"/>
      <c r="O17" s="1414"/>
      <c r="P17" s="1414"/>
      <c r="Q17" s="1414"/>
      <c r="R17" s="1414"/>
      <c r="S17" s="1414"/>
      <c r="T17" s="1414"/>
      <c r="U17" s="1414"/>
      <c r="V17" s="1414"/>
      <c r="W17" s="1414"/>
      <c r="X17" s="1414"/>
      <c r="Y17" s="61"/>
    </row>
    <row r="18" spans="1:25">
      <c r="A18" s="62"/>
      <c r="B18" s="1408"/>
      <c r="C18" s="1408"/>
      <c r="D18" s="1408"/>
      <c r="E18" s="1408"/>
      <c r="F18" s="1408"/>
      <c r="G18" s="1408"/>
      <c r="H18" s="1414"/>
      <c r="I18" s="1414"/>
      <c r="J18" s="1414"/>
      <c r="K18" s="1414"/>
      <c r="L18" s="1414"/>
      <c r="M18" s="1414"/>
      <c r="N18" s="1414"/>
      <c r="O18" s="1414"/>
      <c r="P18" s="1414"/>
      <c r="Q18" s="1414"/>
      <c r="R18" s="1414"/>
      <c r="S18" s="1414"/>
      <c r="T18" s="1414"/>
      <c r="U18" s="1414"/>
      <c r="V18" s="1414"/>
      <c r="W18" s="1414"/>
      <c r="X18" s="1414"/>
      <c r="Y18" s="61"/>
    </row>
    <row r="19" spans="1:25">
      <c r="A19" s="62"/>
      <c r="B19" s="60"/>
      <c r="C19" s="60"/>
      <c r="D19" s="60"/>
      <c r="E19" s="60"/>
      <c r="F19" s="60"/>
      <c r="G19" s="60"/>
      <c r="H19" s="60"/>
      <c r="I19" s="60"/>
      <c r="J19" s="60"/>
      <c r="K19" s="60"/>
      <c r="L19" s="60"/>
      <c r="M19" s="60"/>
      <c r="N19" s="60"/>
      <c r="O19" s="60"/>
      <c r="P19" s="60"/>
      <c r="Q19" s="60"/>
      <c r="R19" s="60"/>
      <c r="S19" s="60"/>
      <c r="T19" s="60"/>
      <c r="U19" s="60"/>
      <c r="V19" s="60"/>
      <c r="W19" s="60"/>
      <c r="X19" s="60"/>
      <c r="Y19" s="61"/>
    </row>
    <row r="20" spans="1:25">
      <c r="A20" s="58" t="s">
        <v>94</v>
      </c>
      <c r="B20" s="59" t="s">
        <v>156</v>
      </c>
      <c r="C20" s="60"/>
      <c r="D20" s="60"/>
      <c r="E20" s="60"/>
      <c r="F20" s="60"/>
      <c r="G20" s="60"/>
      <c r="H20" s="60"/>
      <c r="I20" s="60"/>
      <c r="J20" s="60"/>
      <c r="K20" s="60"/>
      <c r="L20" s="60"/>
      <c r="M20" s="60"/>
      <c r="N20" s="60"/>
      <c r="O20" s="60"/>
      <c r="P20" s="60"/>
      <c r="Q20" s="60"/>
      <c r="R20" s="60"/>
      <c r="S20" s="60"/>
      <c r="T20" s="60"/>
      <c r="U20" s="60"/>
      <c r="V20" s="60"/>
      <c r="W20" s="60"/>
      <c r="X20" s="60"/>
      <c r="Y20" s="61"/>
    </row>
    <row r="21" spans="1:25">
      <c r="A21" s="62"/>
      <c r="B21" s="1412" t="s">
        <v>140</v>
      </c>
      <c r="C21" s="1412"/>
      <c r="D21" s="1412"/>
      <c r="E21" s="1412"/>
      <c r="F21" s="1412"/>
      <c r="G21" s="1412"/>
      <c r="H21" s="1413" t="s">
        <v>141</v>
      </c>
      <c r="I21" s="1413"/>
      <c r="J21" s="1413"/>
      <c r="K21" s="1413"/>
      <c r="L21" s="1413"/>
      <c r="M21" s="1413"/>
      <c r="N21" s="1413"/>
      <c r="O21" s="1413"/>
      <c r="P21" s="1413"/>
      <c r="Q21" s="1413"/>
      <c r="R21" s="1413"/>
      <c r="S21" s="1413"/>
      <c r="T21" s="1413"/>
      <c r="U21" s="1413"/>
      <c r="V21" s="1413"/>
      <c r="W21" s="1413"/>
      <c r="X21" s="1413"/>
      <c r="Y21" s="61"/>
    </row>
    <row r="22" spans="1:25">
      <c r="A22" s="62"/>
      <c r="B22" s="55" t="s">
        <v>157</v>
      </c>
      <c r="C22" s="56"/>
      <c r="D22" s="56"/>
      <c r="E22" s="56"/>
      <c r="F22" s="56"/>
      <c r="G22" s="57"/>
      <c r="H22" s="63" t="s">
        <v>37</v>
      </c>
      <c r="I22" s="1415" t="s">
        <v>343</v>
      </c>
      <c r="J22" s="1415"/>
      <c r="K22" s="1415"/>
      <c r="L22" s="1415"/>
      <c r="M22" s="1415"/>
      <c r="N22" s="1415"/>
      <c r="O22" s="1415"/>
      <c r="P22" s="1415"/>
      <c r="Q22" s="1415"/>
      <c r="R22" s="1415"/>
      <c r="S22" s="1415"/>
      <c r="T22" s="1415"/>
      <c r="U22" s="1415"/>
      <c r="V22" s="1415"/>
      <c r="W22" s="1415"/>
      <c r="X22" s="1416"/>
      <c r="Y22" s="61"/>
    </row>
    <row r="23" spans="1:25">
      <c r="A23" s="62"/>
      <c r="B23" s="62"/>
      <c r="C23" s="60"/>
      <c r="D23" s="60"/>
      <c r="E23" s="60"/>
      <c r="F23" s="60"/>
      <c r="G23" s="61"/>
      <c r="H23" s="62"/>
      <c r="I23" s="1417"/>
      <c r="J23" s="1417"/>
      <c r="K23" s="1417"/>
      <c r="L23" s="1417"/>
      <c r="M23" s="1417"/>
      <c r="N23" s="1417"/>
      <c r="O23" s="1417"/>
      <c r="P23" s="1417"/>
      <c r="Q23" s="1417"/>
      <c r="R23" s="1417"/>
      <c r="S23" s="1417"/>
      <c r="T23" s="1417"/>
      <c r="U23" s="1417"/>
      <c r="V23" s="1417"/>
      <c r="W23" s="1417"/>
      <c r="X23" s="1418"/>
      <c r="Y23" s="61"/>
    </row>
    <row r="24" spans="1:25">
      <c r="A24" s="62"/>
      <c r="B24" s="62"/>
      <c r="C24" s="60"/>
      <c r="D24" s="60"/>
      <c r="E24" s="60"/>
      <c r="F24" s="60"/>
      <c r="G24" s="61"/>
      <c r="H24" s="62"/>
      <c r="I24" s="1417"/>
      <c r="J24" s="1417"/>
      <c r="K24" s="1417"/>
      <c r="L24" s="1417"/>
      <c r="M24" s="1417"/>
      <c r="N24" s="1417"/>
      <c r="O24" s="1417"/>
      <c r="P24" s="1417"/>
      <c r="Q24" s="1417"/>
      <c r="R24" s="1417"/>
      <c r="S24" s="1417"/>
      <c r="T24" s="1417"/>
      <c r="U24" s="1417"/>
      <c r="V24" s="1417"/>
      <c r="W24" s="1417"/>
      <c r="X24" s="1418"/>
      <c r="Y24" s="61"/>
    </row>
    <row r="25" spans="1:25">
      <c r="A25" s="62"/>
      <c r="B25" s="62"/>
      <c r="C25" s="60"/>
      <c r="D25" s="60"/>
      <c r="E25" s="60"/>
      <c r="F25" s="60"/>
      <c r="G25" s="61"/>
      <c r="H25" s="64"/>
      <c r="I25" s="1419"/>
      <c r="J25" s="1419"/>
      <c r="K25" s="1419"/>
      <c r="L25" s="1419"/>
      <c r="M25" s="1419"/>
      <c r="N25" s="1419"/>
      <c r="O25" s="1419"/>
      <c r="P25" s="1419"/>
      <c r="Q25" s="1419"/>
      <c r="R25" s="1419"/>
      <c r="S25" s="1419"/>
      <c r="T25" s="1419"/>
      <c r="U25" s="1419"/>
      <c r="V25" s="1419"/>
      <c r="W25" s="1419"/>
      <c r="X25" s="1420"/>
      <c r="Y25" s="61"/>
    </row>
    <row r="26" spans="1:25">
      <c r="A26" s="62"/>
      <c r="B26" s="62"/>
      <c r="C26" s="60"/>
      <c r="D26" s="60"/>
      <c r="E26" s="60"/>
      <c r="F26" s="60"/>
      <c r="G26" s="61"/>
      <c r="H26" s="63" t="s">
        <v>37</v>
      </c>
      <c r="I26" s="1415" t="s">
        <v>158</v>
      </c>
      <c r="J26" s="1415"/>
      <c r="K26" s="1415"/>
      <c r="L26" s="1415"/>
      <c r="M26" s="1415"/>
      <c r="N26" s="1415"/>
      <c r="O26" s="1415"/>
      <c r="P26" s="1415"/>
      <c r="Q26" s="1415"/>
      <c r="R26" s="1415"/>
      <c r="S26" s="1415"/>
      <c r="T26" s="1415"/>
      <c r="U26" s="1415"/>
      <c r="V26" s="1415"/>
      <c r="W26" s="1415"/>
      <c r="X26" s="1416"/>
      <c r="Y26" s="61"/>
    </row>
    <row r="27" spans="1:25">
      <c r="A27" s="62"/>
      <c r="B27" s="62"/>
      <c r="C27" s="60"/>
      <c r="D27" s="60"/>
      <c r="E27" s="60"/>
      <c r="F27" s="60"/>
      <c r="G27" s="61"/>
      <c r="H27" s="65"/>
      <c r="I27" s="1417"/>
      <c r="J27" s="1417"/>
      <c r="K27" s="1417"/>
      <c r="L27" s="1417"/>
      <c r="M27" s="1417"/>
      <c r="N27" s="1417"/>
      <c r="O27" s="1417"/>
      <c r="P27" s="1417"/>
      <c r="Q27" s="1417"/>
      <c r="R27" s="1417"/>
      <c r="S27" s="1417"/>
      <c r="T27" s="1417"/>
      <c r="U27" s="1417"/>
      <c r="V27" s="1417"/>
      <c r="W27" s="1417"/>
      <c r="X27" s="1418"/>
      <c r="Y27" s="61"/>
    </row>
    <row r="28" spans="1:25">
      <c r="A28" s="62"/>
      <c r="B28" s="62"/>
      <c r="C28" s="60"/>
      <c r="D28" s="60"/>
      <c r="E28" s="60"/>
      <c r="F28" s="60"/>
      <c r="G28" s="61"/>
      <c r="H28" s="65"/>
      <c r="I28" s="1417"/>
      <c r="J28" s="1417"/>
      <c r="K28" s="1417"/>
      <c r="L28" s="1417"/>
      <c r="M28" s="1417"/>
      <c r="N28" s="1417"/>
      <c r="O28" s="1417"/>
      <c r="P28" s="1417"/>
      <c r="Q28" s="1417"/>
      <c r="R28" s="1417"/>
      <c r="S28" s="1417"/>
      <c r="T28" s="1417"/>
      <c r="U28" s="1417"/>
      <c r="V28" s="1417"/>
      <c r="W28" s="1417"/>
      <c r="X28" s="1418"/>
      <c r="Y28" s="61"/>
    </row>
    <row r="29" spans="1:25">
      <c r="A29" s="62"/>
      <c r="B29" s="62"/>
      <c r="C29" s="60"/>
      <c r="D29" s="60"/>
      <c r="E29" s="60"/>
      <c r="F29" s="60"/>
      <c r="G29" s="61"/>
      <c r="H29" s="66"/>
      <c r="I29" s="1419"/>
      <c r="J29" s="1419"/>
      <c r="K29" s="1419"/>
      <c r="L29" s="1419"/>
      <c r="M29" s="1419"/>
      <c r="N29" s="1419"/>
      <c r="O29" s="1419"/>
      <c r="P29" s="1419"/>
      <c r="Q29" s="1419"/>
      <c r="R29" s="1419"/>
      <c r="S29" s="1419"/>
      <c r="T29" s="1419"/>
      <c r="U29" s="1419"/>
      <c r="V29" s="1419"/>
      <c r="W29" s="1419"/>
      <c r="X29" s="1420"/>
      <c r="Y29" s="61"/>
    </row>
    <row r="30" spans="1:25">
      <c r="A30" s="62"/>
      <c r="B30" s="62"/>
      <c r="C30" s="60"/>
      <c r="D30" s="60"/>
      <c r="E30" s="60"/>
      <c r="F30" s="60"/>
      <c r="G30" s="61"/>
      <c r="H30" s="63" t="s">
        <v>37</v>
      </c>
      <c r="I30" s="1415" t="s">
        <v>344</v>
      </c>
      <c r="J30" s="1415"/>
      <c r="K30" s="1415"/>
      <c r="L30" s="1415"/>
      <c r="M30" s="1415"/>
      <c r="N30" s="1415"/>
      <c r="O30" s="1415"/>
      <c r="P30" s="1415"/>
      <c r="Q30" s="1415"/>
      <c r="R30" s="1415"/>
      <c r="S30" s="1415"/>
      <c r="T30" s="1415"/>
      <c r="U30" s="1415"/>
      <c r="V30" s="1415"/>
      <c r="W30" s="1415"/>
      <c r="X30" s="1416"/>
      <c r="Y30" s="61"/>
    </row>
    <row r="31" spans="1:25">
      <c r="A31" s="62"/>
      <c r="B31" s="62"/>
      <c r="C31" s="60"/>
      <c r="D31" s="60"/>
      <c r="E31" s="60"/>
      <c r="F31" s="60"/>
      <c r="G31" s="61"/>
      <c r="H31" s="65"/>
      <c r="I31" s="1417" t="s">
        <v>159</v>
      </c>
      <c r="J31" s="1417"/>
      <c r="K31" s="1417"/>
      <c r="L31" s="1417"/>
      <c r="M31" s="1417"/>
      <c r="N31" s="1417"/>
      <c r="O31" s="1417"/>
      <c r="P31" s="1417"/>
      <c r="Q31" s="1417"/>
      <c r="R31" s="1417"/>
      <c r="S31" s="1417"/>
      <c r="T31" s="1417"/>
      <c r="U31" s="1417"/>
      <c r="V31" s="1417"/>
      <c r="W31" s="1417"/>
      <c r="X31" s="1418"/>
      <c r="Y31" s="61"/>
    </row>
    <row r="32" spans="1:25">
      <c r="A32" s="62"/>
      <c r="B32" s="62"/>
      <c r="C32" s="60"/>
      <c r="D32" s="60"/>
      <c r="E32" s="60"/>
      <c r="F32" s="60"/>
      <c r="G32" s="61"/>
      <c r="H32" s="65"/>
      <c r="I32" s="1417"/>
      <c r="J32" s="1417"/>
      <c r="K32" s="1417"/>
      <c r="L32" s="1417"/>
      <c r="M32" s="1417"/>
      <c r="N32" s="1417"/>
      <c r="O32" s="1417"/>
      <c r="P32" s="1417"/>
      <c r="Q32" s="1417"/>
      <c r="R32" s="1417"/>
      <c r="S32" s="1417"/>
      <c r="T32" s="1417"/>
      <c r="U32" s="1417"/>
      <c r="V32" s="1417"/>
      <c r="W32" s="1417"/>
      <c r="X32" s="1418"/>
      <c r="Y32" s="61"/>
    </row>
    <row r="33" spans="1:25">
      <c r="A33" s="62"/>
      <c r="B33" s="62"/>
      <c r="C33" s="60"/>
      <c r="D33" s="60"/>
      <c r="E33" s="60"/>
      <c r="F33" s="60"/>
      <c r="G33" s="61"/>
      <c r="H33" s="66"/>
      <c r="I33" s="1419"/>
      <c r="J33" s="1419"/>
      <c r="K33" s="1419"/>
      <c r="L33" s="1419"/>
      <c r="M33" s="1419"/>
      <c r="N33" s="1419"/>
      <c r="O33" s="1419"/>
      <c r="P33" s="1419"/>
      <c r="Q33" s="1419"/>
      <c r="R33" s="1419"/>
      <c r="S33" s="1419"/>
      <c r="T33" s="1419"/>
      <c r="U33" s="1419"/>
      <c r="V33" s="1419"/>
      <c r="W33" s="1419"/>
      <c r="X33" s="1420"/>
      <c r="Y33" s="61"/>
    </row>
    <row r="34" spans="1:25">
      <c r="A34" s="62"/>
      <c r="B34" s="62"/>
      <c r="C34" s="60"/>
      <c r="D34" s="60"/>
      <c r="E34" s="60"/>
      <c r="F34" s="60"/>
      <c r="G34" s="61"/>
      <c r="H34" s="63" t="s">
        <v>37</v>
      </c>
      <c r="I34" s="1415" t="s">
        <v>160</v>
      </c>
      <c r="J34" s="1415"/>
      <c r="K34" s="1415"/>
      <c r="L34" s="1415"/>
      <c r="M34" s="1415"/>
      <c r="N34" s="1415"/>
      <c r="O34" s="1415"/>
      <c r="P34" s="1415"/>
      <c r="Q34" s="1415"/>
      <c r="R34" s="1415"/>
      <c r="S34" s="1415"/>
      <c r="T34" s="1415"/>
      <c r="U34" s="1415"/>
      <c r="V34" s="1415"/>
      <c r="W34" s="1415"/>
      <c r="X34" s="1416"/>
      <c r="Y34" s="61"/>
    </row>
    <row r="35" spans="1:25">
      <c r="A35" s="62"/>
      <c r="B35" s="62"/>
      <c r="C35" s="60"/>
      <c r="D35" s="60"/>
      <c r="E35" s="60"/>
      <c r="F35" s="60"/>
      <c r="G35" s="61"/>
      <c r="H35" s="65"/>
      <c r="I35" s="1417" t="s">
        <v>161</v>
      </c>
      <c r="J35" s="1417"/>
      <c r="K35" s="1417"/>
      <c r="L35" s="1417"/>
      <c r="M35" s="1417"/>
      <c r="N35" s="1417"/>
      <c r="O35" s="1417"/>
      <c r="P35" s="1417"/>
      <c r="Q35" s="1417"/>
      <c r="R35" s="1417"/>
      <c r="S35" s="1417"/>
      <c r="T35" s="1417"/>
      <c r="U35" s="1417"/>
      <c r="V35" s="1417"/>
      <c r="W35" s="1417"/>
      <c r="X35" s="1418"/>
      <c r="Y35" s="61"/>
    </row>
    <row r="36" spans="1:25">
      <c r="A36" s="62"/>
      <c r="B36" s="62"/>
      <c r="C36" s="60"/>
      <c r="D36" s="60"/>
      <c r="E36" s="60"/>
      <c r="F36" s="60"/>
      <c r="G36" s="61"/>
      <c r="H36" s="65"/>
      <c r="I36" s="1417"/>
      <c r="J36" s="1417"/>
      <c r="K36" s="1417"/>
      <c r="L36" s="1417"/>
      <c r="M36" s="1417"/>
      <c r="N36" s="1417"/>
      <c r="O36" s="1417"/>
      <c r="P36" s="1417"/>
      <c r="Q36" s="1417"/>
      <c r="R36" s="1417"/>
      <c r="S36" s="1417"/>
      <c r="T36" s="1417"/>
      <c r="U36" s="1417"/>
      <c r="V36" s="1417"/>
      <c r="W36" s="1417"/>
      <c r="X36" s="1418"/>
      <c r="Y36" s="61"/>
    </row>
    <row r="37" spans="1:25">
      <c r="A37" s="62"/>
      <c r="B37" s="62"/>
      <c r="C37" s="60"/>
      <c r="D37" s="60"/>
      <c r="E37" s="60"/>
      <c r="F37" s="60"/>
      <c r="G37" s="61"/>
      <c r="H37" s="65"/>
      <c r="I37" s="1417"/>
      <c r="J37" s="1417"/>
      <c r="K37" s="1417"/>
      <c r="L37" s="1417"/>
      <c r="M37" s="1417"/>
      <c r="N37" s="1417"/>
      <c r="O37" s="1417"/>
      <c r="P37" s="1417"/>
      <c r="Q37" s="1417"/>
      <c r="R37" s="1417"/>
      <c r="S37" s="1417"/>
      <c r="T37" s="1417"/>
      <c r="U37" s="1417"/>
      <c r="V37" s="1417"/>
      <c r="W37" s="1417"/>
      <c r="X37" s="1418"/>
      <c r="Y37" s="61"/>
    </row>
    <row r="38" spans="1:25">
      <c r="A38" s="62"/>
      <c r="B38" s="62"/>
      <c r="C38" s="60"/>
      <c r="D38" s="60"/>
      <c r="E38" s="60"/>
      <c r="F38" s="60"/>
      <c r="G38" s="61"/>
      <c r="H38" s="63" t="s">
        <v>37</v>
      </c>
      <c r="I38" s="1415" t="s">
        <v>162</v>
      </c>
      <c r="J38" s="1415"/>
      <c r="K38" s="1415"/>
      <c r="L38" s="1415"/>
      <c r="M38" s="1415"/>
      <c r="N38" s="1415"/>
      <c r="O38" s="1415"/>
      <c r="P38" s="1415"/>
      <c r="Q38" s="1415"/>
      <c r="R38" s="1415"/>
      <c r="S38" s="1415"/>
      <c r="T38" s="1415"/>
      <c r="U38" s="1415"/>
      <c r="V38" s="1415"/>
      <c r="W38" s="1415"/>
      <c r="X38" s="1416"/>
      <c r="Y38" s="61"/>
    </row>
    <row r="39" spans="1:25">
      <c r="A39" s="62"/>
      <c r="B39" s="62"/>
      <c r="C39" s="60"/>
      <c r="D39" s="60"/>
      <c r="E39" s="60"/>
      <c r="F39" s="60"/>
      <c r="G39" s="61"/>
      <c r="H39" s="65"/>
      <c r="I39" s="1417" t="s">
        <v>163</v>
      </c>
      <c r="J39" s="1417"/>
      <c r="K39" s="1417"/>
      <c r="L39" s="1417"/>
      <c r="M39" s="1417"/>
      <c r="N39" s="1417"/>
      <c r="O39" s="1417"/>
      <c r="P39" s="1417"/>
      <c r="Q39" s="1417"/>
      <c r="R39" s="1417"/>
      <c r="S39" s="1417"/>
      <c r="T39" s="1417"/>
      <c r="U39" s="1417"/>
      <c r="V39" s="1417"/>
      <c r="W39" s="1417"/>
      <c r="X39" s="1418"/>
      <c r="Y39" s="61"/>
    </row>
    <row r="40" spans="1:25">
      <c r="A40" s="62"/>
      <c r="B40" s="62"/>
      <c r="C40" s="60"/>
      <c r="D40" s="60"/>
      <c r="E40" s="60"/>
      <c r="F40" s="60"/>
      <c r="G40" s="61"/>
      <c r="H40" s="65"/>
      <c r="I40" s="1417"/>
      <c r="J40" s="1417"/>
      <c r="K40" s="1417"/>
      <c r="L40" s="1417"/>
      <c r="M40" s="1417"/>
      <c r="N40" s="1417"/>
      <c r="O40" s="1417"/>
      <c r="P40" s="1417"/>
      <c r="Q40" s="1417"/>
      <c r="R40" s="1417"/>
      <c r="S40" s="1417"/>
      <c r="T40" s="1417"/>
      <c r="U40" s="1417"/>
      <c r="V40" s="1417"/>
      <c r="W40" s="1417"/>
      <c r="X40" s="1418"/>
      <c r="Y40" s="61"/>
    </row>
    <row r="41" spans="1:25">
      <c r="A41" s="62"/>
      <c r="B41" s="62"/>
      <c r="C41" s="60"/>
      <c r="D41" s="60"/>
      <c r="E41" s="60"/>
      <c r="F41" s="60"/>
      <c r="G41" s="61"/>
      <c r="H41" s="62"/>
      <c r="I41" s="1417"/>
      <c r="J41" s="1417"/>
      <c r="K41" s="1417"/>
      <c r="L41" s="1417"/>
      <c r="M41" s="1417"/>
      <c r="N41" s="1417"/>
      <c r="O41" s="1417"/>
      <c r="P41" s="1417"/>
      <c r="Q41" s="1417"/>
      <c r="R41" s="1417"/>
      <c r="S41" s="1417"/>
      <c r="T41" s="1417"/>
      <c r="U41" s="1417"/>
      <c r="V41" s="1417"/>
      <c r="W41" s="1417"/>
      <c r="X41" s="1418"/>
      <c r="Y41" s="61"/>
    </row>
    <row r="42" spans="1:25">
      <c r="A42" s="62"/>
      <c r="B42" s="64"/>
      <c r="C42" s="67"/>
      <c r="D42" s="67"/>
      <c r="E42" s="67"/>
      <c r="F42" s="67"/>
      <c r="G42" s="68"/>
      <c r="H42" s="64"/>
      <c r="I42" s="69"/>
      <c r="J42" s="69"/>
      <c r="K42" s="69"/>
      <c r="L42" s="69"/>
      <c r="M42" s="69"/>
      <c r="N42" s="69"/>
      <c r="O42" s="69"/>
      <c r="P42" s="69"/>
      <c r="Q42" s="69"/>
      <c r="R42" s="69"/>
      <c r="S42" s="69"/>
      <c r="T42" s="69"/>
      <c r="U42" s="69"/>
      <c r="V42" s="69"/>
      <c r="W42" s="69"/>
      <c r="X42" s="70"/>
      <c r="Y42" s="61"/>
    </row>
    <row r="43" spans="1:25">
      <c r="A43" s="62"/>
      <c r="B43" s="1423" t="s">
        <v>164</v>
      </c>
      <c r="C43" s="1424"/>
      <c r="D43" s="1424"/>
      <c r="E43" s="1424"/>
      <c r="F43" s="1424"/>
      <c r="G43" s="1425"/>
      <c r="H43" s="1429" t="s">
        <v>165</v>
      </c>
      <c r="I43" s="1430"/>
      <c r="J43" s="1430"/>
      <c r="K43" s="1430"/>
      <c r="L43" s="1430"/>
      <c r="M43" s="1430"/>
      <c r="N43" s="1430"/>
      <c r="O43" s="1430"/>
      <c r="P43" s="1430"/>
      <c r="Q43" s="1430"/>
      <c r="R43" s="1430"/>
      <c r="S43" s="1430"/>
      <c r="T43" s="1430"/>
      <c r="U43" s="1430"/>
      <c r="V43" s="1430"/>
      <c r="W43" s="1430"/>
      <c r="X43" s="1431"/>
      <c r="Y43" s="61"/>
    </row>
    <row r="44" spans="1:25">
      <c r="A44" s="62"/>
      <c r="B44" s="1426"/>
      <c r="C44" s="1427"/>
      <c r="D44" s="1427"/>
      <c r="E44" s="1427"/>
      <c r="F44" s="1427"/>
      <c r="G44" s="1428"/>
      <c r="H44" s="1432"/>
      <c r="I44" s="1433"/>
      <c r="J44" s="1433"/>
      <c r="K44" s="1433"/>
      <c r="L44" s="1433"/>
      <c r="M44" s="1433"/>
      <c r="N44" s="1433"/>
      <c r="O44" s="1433"/>
      <c r="P44" s="1433"/>
      <c r="Q44" s="1433"/>
      <c r="R44" s="1433"/>
      <c r="S44" s="1433"/>
      <c r="T44" s="1433"/>
      <c r="U44" s="1433"/>
      <c r="V44" s="1433"/>
      <c r="W44" s="1433"/>
      <c r="X44" s="1434"/>
      <c r="Y44" s="61"/>
    </row>
    <row r="45" spans="1:25">
      <c r="A45" s="62"/>
      <c r="B45" s="1408" t="s">
        <v>166</v>
      </c>
      <c r="C45" s="1408"/>
      <c r="D45" s="1408"/>
      <c r="E45" s="1408"/>
      <c r="F45" s="1408"/>
      <c r="G45" s="1408"/>
      <c r="H45" s="1435"/>
      <c r="I45" s="1435"/>
      <c r="J45" s="1435"/>
      <c r="K45" s="1435"/>
      <c r="L45" s="1435"/>
      <c r="M45" s="1435"/>
      <c r="N45" s="1435"/>
      <c r="O45" s="1435"/>
      <c r="P45" s="1435"/>
      <c r="Q45" s="1435"/>
      <c r="R45" s="1435"/>
      <c r="S45" s="1435"/>
      <c r="T45" s="1435"/>
      <c r="U45" s="1435"/>
      <c r="V45" s="1435"/>
      <c r="W45" s="1435"/>
      <c r="X45" s="1435"/>
      <c r="Y45" s="61"/>
    </row>
    <row r="46" spans="1:25">
      <c r="A46" s="62"/>
      <c r="B46" s="1408"/>
      <c r="C46" s="1408"/>
      <c r="D46" s="1408"/>
      <c r="E46" s="1408"/>
      <c r="F46" s="1408"/>
      <c r="G46" s="1408"/>
      <c r="H46" s="1435"/>
      <c r="I46" s="1435"/>
      <c r="J46" s="1435"/>
      <c r="K46" s="1435"/>
      <c r="L46" s="1435"/>
      <c r="M46" s="1435"/>
      <c r="N46" s="1435"/>
      <c r="O46" s="1435"/>
      <c r="P46" s="1435"/>
      <c r="Q46" s="1435"/>
      <c r="R46" s="1435"/>
      <c r="S46" s="1435"/>
      <c r="T46" s="1435"/>
      <c r="U46" s="1435"/>
      <c r="V46" s="1435"/>
      <c r="W46" s="1435"/>
      <c r="X46" s="1435"/>
      <c r="Y46" s="61"/>
    </row>
    <row r="47" spans="1:25">
      <c r="A47" s="62"/>
      <c r="B47" s="1408"/>
      <c r="C47" s="1408"/>
      <c r="D47" s="1408"/>
      <c r="E47" s="1408"/>
      <c r="F47" s="1408"/>
      <c r="G47" s="1408"/>
      <c r="H47" s="1435"/>
      <c r="I47" s="1435"/>
      <c r="J47" s="1435"/>
      <c r="K47" s="1435"/>
      <c r="L47" s="1435"/>
      <c r="M47" s="1435"/>
      <c r="N47" s="1435"/>
      <c r="O47" s="1435"/>
      <c r="P47" s="1435"/>
      <c r="Q47" s="1435"/>
      <c r="R47" s="1435"/>
      <c r="S47" s="1435"/>
      <c r="T47" s="1435"/>
      <c r="U47" s="1435"/>
      <c r="V47" s="1435"/>
      <c r="W47" s="1435"/>
      <c r="X47" s="1435"/>
      <c r="Y47" s="61"/>
    </row>
    <row r="48" spans="1:25">
      <c r="A48" s="62"/>
      <c r="B48" s="1408"/>
      <c r="C48" s="1408"/>
      <c r="D48" s="1408"/>
      <c r="E48" s="1408"/>
      <c r="F48" s="1408"/>
      <c r="G48" s="1408"/>
      <c r="H48" s="1435"/>
      <c r="I48" s="1435"/>
      <c r="J48" s="1435"/>
      <c r="K48" s="1435"/>
      <c r="L48" s="1435"/>
      <c r="M48" s="1435"/>
      <c r="N48" s="1435"/>
      <c r="O48" s="1435"/>
      <c r="P48" s="1435"/>
      <c r="Q48" s="1435"/>
      <c r="R48" s="1435"/>
      <c r="S48" s="1435"/>
      <c r="T48" s="1435"/>
      <c r="U48" s="1435"/>
      <c r="V48" s="1435"/>
      <c r="W48" s="1435"/>
      <c r="X48" s="1435"/>
      <c r="Y48" s="61"/>
    </row>
    <row r="49" spans="1:25">
      <c r="A49" s="62"/>
      <c r="B49" s="1408" t="s">
        <v>167</v>
      </c>
      <c r="C49" s="1408"/>
      <c r="D49" s="1408"/>
      <c r="E49" s="1408"/>
      <c r="F49" s="1408"/>
      <c r="G49" s="1408"/>
      <c r="H49" s="1445" t="s">
        <v>168</v>
      </c>
      <c r="I49" s="1445"/>
      <c r="J49" s="1445"/>
      <c r="K49" s="1445"/>
      <c r="L49" s="1445"/>
      <c r="M49" s="1445"/>
      <c r="N49" s="1445"/>
      <c r="O49" s="1445"/>
      <c r="P49" s="1445"/>
      <c r="Q49" s="1445"/>
      <c r="R49" s="1445"/>
      <c r="S49" s="1445"/>
      <c r="T49" s="1445"/>
      <c r="U49" s="1445"/>
      <c r="V49" s="1445"/>
      <c r="W49" s="1445"/>
      <c r="X49" s="1445"/>
      <c r="Y49" s="61"/>
    </row>
    <row r="50" spans="1:25">
      <c r="A50" s="62"/>
      <c r="B50" s="1408"/>
      <c r="C50" s="1408"/>
      <c r="D50" s="1408"/>
      <c r="E50" s="1408"/>
      <c r="F50" s="1408"/>
      <c r="G50" s="1408"/>
      <c r="H50" s="1435"/>
      <c r="I50" s="1435"/>
      <c r="J50" s="1435"/>
      <c r="K50" s="1435"/>
      <c r="L50" s="1435"/>
      <c r="M50" s="1435"/>
      <c r="N50" s="1435"/>
      <c r="O50" s="1435"/>
      <c r="P50" s="1435"/>
      <c r="Q50" s="1435"/>
      <c r="R50" s="1435"/>
      <c r="S50" s="1435"/>
      <c r="T50" s="1435"/>
      <c r="U50" s="1435"/>
      <c r="V50" s="1435"/>
      <c r="W50" s="1435"/>
      <c r="X50" s="1435"/>
      <c r="Y50" s="61"/>
    </row>
    <row r="51" spans="1:25">
      <c r="A51" s="62"/>
      <c r="B51" s="1408"/>
      <c r="C51" s="1408"/>
      <c r="D51" s="1408"/>
      <c r="E51" s="1408"/>
      <c r="F51" s="1408"/>
      <c r="G51" s="1408"/>
      <c r="H51" s="1446"/>
      <c r="I51" s="1446"/>
      <c r="J51" s="1446"/>
      <c r="K51" s="1446"/>
      <c r="L51" s="1446"/>
      <c r="M51" s="1446"/>
      <c r="N51" s="1446"/>
      <c r="O51" s="1446"/>
      <c r="P51" s="1446"/>
      <c r="Q51" s="1446"/>
      <c r="R51" s="1446"/>
      <c r="S51" s="1446"/>
      <c r="T51" s="1446"/>
      <c r="U51" s="1446"/>
      <c r="V51" s="1446"/>
      <c r="W51" s="1446"/>
      <c r="X51" s="1446"/>
      <c r="Y51" s="61"/>
    </row>
    <row r="52" spans="1:25">
      <c r="A52" s="62"/>
      <c r="B52" s="1408"/>
      <c r="C52" s="1408"/>
      <c r="D52" s="1408"/>
      <c r="E52" s="1408"/>
      <c r="F52" s="1408"/>
      <c r="G52" s="1408"/>
      <c r="H52" s="1446"/>
      <c r="I52" s="1446"/>
      <c r="J52" s="1446"/>
      <c r="K52" s="1446"/>
      <c r="L52" s="1446"/>
      <c r="M52" s="1446"/>
      <c r="N52" s="1446"/>
      <c r="O52" s="1446"/>
      <c r="P52" s="1446"/>
      <c r="Q52" s="1446"/>
      <c r="R52" s="1446"/>
      <c r="S52" s="1446"/>
      <c r="T52" s="1446"/>
      <c r="U52" s="1446"/>
      <c r="V52" s="1446"/>
      <c r="W52" s="1446"/>
      <c r="X52" s="1446"/>
      <c r="Y52" s="61"/>
    </row>
    <row r="53" spans="1:25">
      <c r="A53" s="62"/>
      <c r="B53" s="1408" t="s">
        <v>169</v>
      </c>
      <c r="C53" s="1408"/>
      <c r="D53" s="1408"/>
      <c r="E53" s="1408"/>
      <c r="F53" s="1408"/>
      <c r="G53" s="1408"/>
      <c r="H53" s="1435"/>
      <c r="I53" s="1435"/>
      <c r="J53" s="1435"/>
      <c r="K53" s="1435"/>
      <c r="L53" s="1435"/>
      <c r="M53" s="1435"/>
      <c r="N53" s="1435"/>
      <c r="O53" s="1435"/>
      <c r="P53" s="1435"/>
      <c r="Q53" s="1435"/>
      <c r="R53" s="1435"/>
      <c r="S53" s="1435"/>
      <c r="T53" s="1435"/>
      <c r="U53" s="1435"/>
      <c r="V53" s="1435"/>
      <c r="W53" s="1435"/>
      <c r="X53" s="1435"/>
      <c r="Y53" s="61"/>
    </row>
    <row r="54" spans="1:25">
      <c r="A54" s="62"/>
      <c r="B54" s="1408"/>
      <c r="C54" s="1408"/>
      <c r="D54" s="1408"/>
      <c r="E54" s="1408"/>
      <c r="F54" s="1408"/>
      <c r="G54" s="1408"/>
      <c r="H54" s="1435"/>
      <c r="I54" s="1435"/>
      <c r="J54" s="1435"/>
      <c r="K54" s="1435"/>
      <c r="L54" s="1435"/>
      <c r="M54" s="1435"/>
      <c r="N54" s="1435"/>
      <c r="O54" s="1435"/>
      <c r="P54" s="1435"/>
      <c r="Q54" s="1435"/>
      <c r="R54" s="1435"/>
      <c r="S54" s="1435"/>
      <c r="T54" s="1435"/>
      <c r="U54" s="1435"/>
      <c r="V54" s="1435"/>
      <c r="W54" s="1435"/>
      <c r="X54" s="1435"/>
      <c r="Y54" s="61"/>
    </row>
    <row r="55" spans="1:25">
      <c r="A55" s="62"/>
      <c r="B55" s="1408"/>
      <c r="C55" s="1408"/>
      <c r="D55" s="1408"/>
      <c r="E55" s="1408"/>
      <c r="F55" s="1408"/>
      <c r="G55" s="1408"/>
      <c r="H55" s="1435"/>
      <c r="I55" s="1435"/>
      <c r="J55" s="1435"/>
      <c r="K55" s="1435"/>
      <c r="L55" s="1435"/>
      <c r="M55" s="1435"/>
      <c r="N55" s="1435"/>
      <c r="O55" s="1435"/>
      <c r="P55" s="1435"/>
      <c r="Q55" s="1435"/>
      <c r="R55" s="1435"/>
      <c r="S55" s="1435"/>
      <c r="T55" s="1435"/>
      <c r="U55" s="1435"/>
      <c r="V55" s="1435"/>
      <c r="W55" s="1435"/>
      <c r="X55" s="1435"/>
      <c r="Y55" s="61"/>
    </row>
    <row r="56" spans="1:25">
      <c r="A56" s="62"/>
      <c r="B56" s="1408"/>
      <c r="C56" s="1408"/>
      <c r="D56" s="1408"/>
      <c r="E56" s="1408"/>
      <c r="F56" s="1408"/>
      <c r="G56" s="1408"/>
      <c r="H56" s="1435"/>
      <c r="I56" s="1435"/>
      <c r="J56" s="1435"/>
      <c r="K56" s="1435"/>
      <c r="L56" s="1435"/>
      <c r="M56" s="1435"/>
      <c r="N56" s="1435"/>
      <c r="O56" s="1435"/>
      <c r="P56" s="1435"/>
      <c r="Q56" s="1435"/>
      <c r="R56" s="1435"/>
      <c r="S56" s="1435"/>
      <c r="T56" s="1435"/>
      <c r="U56" s="1435"/>
      <c r="V56" s="1435"/>
      <c r="W56" s="1435"/>
      <c r="X56" s="1435"/>
      <c r="Y56" s="61"/>
    </row>
    <row r="57" spans="1:25">
      <c r="A57" s="62"/>
      <c r="B57" s="1447" t="s">
        <v>170</v>
      </c>
      <c r="C57" s="1447"/>
      <c r="D57" s="1447"/>
      <c r="E57" s="1447"/>
      <c r="F57" s="1447"/>
      <c r="G57" s="1447"/>
      <c r="H57" s="1409" t="s">
        <v>171</v>
      </c>
      <c r="I57" s="1409"/>
      <c r="J57" s="1409"/>
      <c r="K57" s="1409"/>
      <c r="L57" s="1409"/>
      <c r="M57" s="1409"/>
      <c r="N57" s="1409"/>
      <c r="O57" s="1409"/>
      <c r="P57" s="1409"/>
      <c r="Q57" s="1409"/>
      <c r="R57" s="1409"/>
      <c r="S57" s="1409"/>
      <c r="T57" s="1409"/>
      <c r="U57" s="1409"/>
      <c r="V57" s="1409"/>
      <c r="W57" s="1409"/>
      <c r="X57" s="1409"/>
      <c r="Y57" s="61"/>
    </row>
    <row r="58" spans="1:25">
      <c r="A58" s="62"/>
      <c r="B58" s="1447"/>
      <c r="C58" s="1447"/>
      <c r="D58" s="1447"/>
      <c r="E58" s="1447"/>
      <c r="F58" s="1447"/>
      <c r="G58" s="1447"/>
      <c r="H58" s="1409"/>
      <c r="I58" s="1409"/>
      <c r="J58" s="1409"/>
      <c r="K58" s="1409"/>
      <c r="L58" s="1409"/>
      <c r="M58" s="1409"/>
      <c r="N58" s="1409"/>
      <c r="O58" s="1409"/>
      <c r="P58" s="1409"/>
      <c r="Q58" s="1409"/>
      <c r="R58" s="1409"/>
      <c r="S58" s="1409"/>
      <c r="T58" s="1409"/>
      <c r="U58" s="1409"/>
      <c r="V58" s="1409"/>
      <c r="W58" s="1409"/>
      <c r="X58" s="1409"/>
      <c r="Y58" s="61"/>
    </row>
    <row r="59" spans="1:25">
      <c r="A59" s="62"/>
      <c r="B59" s="1436" t="s">
        <v>172</v>
      </c>
      <c r="C59" s="1436"/>
      <c r="D59" s="1436"/>
      <c r="E59" s="1436"/>
      <c r="F59" s="1436"/>
      <c r="G59" s="1436"/>
      <c r="H59" s="1437" t="s">
        <v>173</v>
      </c>
      <c r="I59" s="1438"/>
      <c r="J59" s="1438"/>
      <c r="K59" s="1438"/>
      <c r="L59" s="1438"/>
      <c r="M59" s="1438"/>
      <c r="N59" s="1438"/>
      <c r="O59" s="1438"/>
      <c r="P59" s="1438"/>
      <c r="Q59" s="1438"/>
      <c r="R59" s="1438"/>
      <c r="S59" s="1438"/>
      <c r="T59" s="1438"/>
      <c r="U59" s="1438"/>
      <c r="V59" s="1438"/>
      <c r="W59" s="1438"/>
      <c r="X59" s="1439"/>
      <c r="Y59" s="61"/>
    </row>
    <row r="60" spans="1:25">
      <c r="A60" s="62"/>
      <c r="B60" s="1436"/>
      <c r="C60" s="1436"/>
      <c r="D60" s="1436"/>
      <c r="E60" s="1436"/>
      <c r="F60" s="1436"/>
      <c r="G60" s="1436"/>
      <c r="H60" s="1440"/>
      <c r="I60" s="1417"/>
      <c r="J60" s="1417"/>
      <c r="K60" s="1417"/>
      <c r="L60" s="1417"/>
      <c r="M60" s="1417"/>
      <c r="N60" s="1417"/>
      <c r="O60" s="1417"/>
      <c r="P60" s="1417"/>
      <c r="Q60" s="1417"/>
      <c r="R60" s="1417"/>
      <c r="S60" s="1417"/>
      <c r="T60" s="1417"/>
      <c r="U60" s="1417"/>
      <c r="V60" s="1417"/>
      <c r="W60" s="1417"/>
      <c r="X60" s="1418"/>
      <c r="Y60" s="61"/>
    </row>
    <row r="61" spans="1:25">
      <c r="A61" s="62"/>
      <c r="B61" s="1436"/>
      <c r="C61" s="1436"/>
      <c r="D61" s="1436"/>
      <c r="E61" s="1436"/>
      <c r="F61" s="1436"/>
      <c r="G61" s="1436"/>
      <c r="H61" s="1440"/>
      <c r="I61" s="1417"/>
      <c r="J61" s="1417"/>
      <c r="K61" s="1417"/>
      <c r="L61" s="1417"/>
      <c r="M61" s="1417"/>
      <c r="N61" s="1417"/>
      <c r="O61" s="1417"/>
      <c r="P61" s="1417"/>
      <c r="Q61" s="1417"/>
      <c r="R61" s="1417"/>
      <c r="S61" s="1417"/>
      <c r="T61" s="1417"/>
      <c r="U61" s="1417"/>
      <c r="V61" s="1417"/>
      <c r="W61" s="1417"/>
      <c r="X61" s="1418"/>
      <c r="Y61" s="61"/>
    </row>
    <row r="62" spans="1:25">
      <c r="A62" s="62"/>
      <c r="B62" s="1436"/>
      <c r="C62" s="1436"/>
      <c r="D62" s="1436"/>
      <c r="E62" s="1436"/>
      <c r="F62" s="1436"/>
      <c r="G62" s="1436"/>
      <c r="H62" s="1440"/>
      <c r="I62" s="1417"/>
      <c r="J62" s="1417"/>
      <c r="K62" s="1417"/>
      <c r="L62" s="1417"/>
      <c r="M62" s="1417"/>
      <c r="N62" s="1417"/>
      <c r="O62" s="1417"/>
      <c r="P62" s="1417"/>
      <c r="Q62" s="1417"/>
      <c r="R62" s="1417"/>
      <c r="S62" s="1417"/>
      <c r="T62" s="1417"/>
      <c r="U62" s="1417"/>
      <c r="V62" s="1417"/>
      <c r="W62" s="1417"/>
      <c r="X62" s="1418"/>
      <c r="Y62" s="61"/>
    </row>
    <row r="63" spans="1:25">
      <c r="A63" s="62"/>
      <c r="B63" s="1436"/>
      <c r="C63" s="1436"/>
      <c r="D63" s="1436"/>
      <c r="E63" s="1436"/>
      <c r="F63" s="1436"/>
      <c r="G63" s="1436"/>
      <c r="H63" s="71"/>
      <c r="I63" s="72" t="s">
        <v>7</v>
      </c>
      <c r="J63" s="1441" t="s">
        <v>174</v>
      </c>
      <c r="K63" s="1441"/>
      <c r="L63" s="1441"/>
      <c r="M63" s="1441"/>
      <c r="N63" s="1441"/>
      <c r="O63" s="1441"/>
      <c r="P63" s="1441"/>
      <c r="Q63" s="1441"/>
      <c r="R63" s="1441"/>
      <c r="S63" s="1441"/>
      <c r="T63" s="1441"/>
      <c r="U63" s="1441"/>
      <c r="V63" s="1441"/>
      <c r="W63" s="1441"/>
      <c r="X63" s="1442"/>
      <c r="Y63" s="61"/>
    </row>
    <row r="64" spans="1:25">
      <c r="A64" s="62"/>
      <c r="B64" s="1436"/>
      <c r="C64" s="1436"/>
      <c r="D64" s="1436"/>
      <c r="E64" s="1436"/>
      <c r="F64" s="1436"/>
      <c r="G64" s="1436"/>
      <c r="H64" s="71"/>
      <c r="I64" s="72" t="s">
        <v>7</v>
      </c>
      <c r="J64" s="1441" t="s">
        <v>175</v>
      </c>
      <c r="K64" s="1441"/>
      <c r="L64" s="1441"/>
      <c r="M64" s="1441"/>
      <c r="N64" s="1441"/>
      <c r="O64" s="1441"/>
      <c r="P64" s="1441"/>
      <c r="Q64" s="1441"/>
      <c r="R64" s="1441"/>
      <c r="S64" s="1441"/>
      <c r="T64" s="1441"/>
      <c r="U64" s="1441"/>
      <c r="V64" s="1441"/>
      <c r="W64" s="1441"/>
      <c r="X64" s="1442"/>
      <c r="Y64" s="61"/>
    </row>
    <row r="65" spans="1:25">
      <c r="A65" s="62"/>
      <c r="B65" s="1436"/>
      <c r="C65" s="1436"/>
      <c r="D65" s="1436"/>
      <c r="E65" s="1436"/>
      <c r="F65" s="1436"/>
      <c r="G65" s="1436"/>
      <c r="H65" s="71"/>
      <c r="I65" s="72" t="s">
        <v>7</v>
      </c>
      <c r="J65" s="1441" t="s">
        <v>176</v>
      </c>
      <c r="K65" s="1441"/>
      <c r="L65" s="1441"/>
      <c r="M65" s="1441"/>
      <c r="N65" s="1441"/>
      <c r="O65" s="1441"/>
      <c r="P65" s="1441"/>
      <c r="Q65" s="1441"/>
      <c r="R65" s="1441"/>
      <c r="S65" s="1441"/>
      <c r="T65" s="1441"/>
      <c r="U65" s="1441"/>
      <c r="V65" s="1441"/>
      <c r="W65" s="1441"/>
      <c r="X65" s="1442"/>
      <c r="Y65" s="61"/>
    </row>
    <row r="66" spans="1:25">
      <c r="A66" s="62"/>
      <c r="B66" s="1436"/>
      <c r="C66" s="1436"/>
      <c r="D66" s="1436"/>
      <c r="E66" s="1436"/>
      <c r="F66" s="1436"/>
      <c r="G66" s="1436"/>
      <c r="H66" s="73"/>
      <c r="I66" s="74" t="s">
        <v>7</v>
      </c>
      <c r="J66" s="1443"/>
      <c r="K66" s="1443"/>
      <c r="L66" s="1443"/>
      <c r="M66" s="1443"/>
      <c r="N66" s="1443"/>
      <c r="O66" s="1443"/>
      <c r="P66" s="1443"/>
      <c r="Q66" s="1443"/>
      <c r="R66" s="1443"/>
      <c r="S66" s="1443"/>
      <c r="T66" s="1443"/>
      <c r="U66" s="1443"/>
      <c r="V66" s="1443"/>
      <c r="W66" s="1443"/>
      <c r="X66" s="1444"/>
      <c r="Y66" s="61"/>
    </row>
    <row r="67" spans="1:25">
      <c r="A67" s="62"/>
      <c r="B67" s="75"/>
      <c r="C67" s="75"/>
      <c r="D67" s="75"/>
      <c r="E67" s="75"/>
      <c r="F67" s="75"/>
      <c r="G67" s="75"/>
      <c r="H67" s="76"/>
      <c r="I67" s="77"/>
      <c r="J67" s="76"/>
      <c r="K67" s="76"/>
      <c r="L67" s="76"/>
      <c r="M67" s="76"/>
      <c r="N67" s="76"/>
      <c r="O67" s="76"/>
      <c r="P67" s="76"/>
      <c r="Q67" s="76"/>
      <c r="R67" s="76"/>
      <c r="S67" s="76"/>
      <c r="T67" s="76"/>
      <c r="U67" s="76"/>
      <c r="V67" s="76"/>
      <c r="W67" s="76"/>
      <c r="X67" s="76"/>
      <c r="Y67" s="61"/>
    </row>
    <row r="68" spans="1:25">
      <c r="A68" s="58" t="s">
        <v>102</v>
      </c>
      <c r="B68" s="59" t="s">
        <v>177</v>
      </c>
      <c r="C68" s="60"/>
      <c r="D68" s="60"/>
      <c r="E68" s="60"/>
      <c r="F68" s="60"/>
      <c r="G68" s="60"/>
      <c r="H68" s="60"/>
      <c r="I68" s="60"/>
      <c r="J68" s="60"/>
      <c r="K68" s="60"/>
      <c r="L68" s="60"/>
      <c r="M68" s="60"/>
      <c r="N68" s="60"/>
      <c r="O68" s="60"/>
      <c r="P68" s="60"/>
      <c r="Q68" s="60"/>
      <c r="R68" s="60"/>
      <c r="S68" s="60"/>
      <c r="T68" s="60"/>
      <c r="U68" s="60"/>
      <c r="V68" s="60"/>
      <c r="W68" s="60"/>
      <c r="X68" s="60"/>
      <c r="Y68" s="61"/>
    </row>
    <row r="69" spans="1:25">
      <c r="A69" s="62"/>
      <c r="B69" s="1413" t="s">
        <v>140</v>
      </c>
      <c r="C69" s="1413"/>
      <c r="D69" s="1413"/>
      <c r="E69" s="1413"/>
      <c r="F69" s="1413"/>
      <c r="G69" s="1413"/>
      <c r="H69" s="1413" t="s">
        <v>141</v>
      </c>
      <c r="I69" s="1413"/>
      <c r="J69" s="1413"/>
      <c r="K69" s="1413"/>
      <c r="L69" s="1413"/>
      <c r="M69" s="1413"/>
      <c r="N69" s="1413"/>
      <c r="O69" s="1413"/>
      <c r="P69" s="1413"/>
      <c r="Q69" s="1413"/>
      <c r="R69" s="1413"/>
      <c r="S69" s="1413"/>
      <c r="T69" s="1413"/>
      <c r="U69" s="1413"/>
      <c r="V69" s="1413"/>
      <c r="W69" s="1413"/>
      <c r="X69" s="1413"/>
      <c r="Y69" s="61"/>
    </row>
    <row r="70" spans="1:25">
      <c r="A70" s="62"/>
      <c r="B70" s="1448" t="s">
        <v>178</v>
      </c>
      <c r="C70" s="1449"/>
      <c r="D70" s="1449"/>
      <c r="E70" s="1449"/>
      <c r="F70" s="1449"/>
      <c r="G70" s="1450"/>
      <c r="H70" s="1429" t="s">
        <v>179</v>
      </c>
      <c r="I70" s="1430"/>
      <c r="J70" s="1430"/>
      <c r="K70" s="1430"/>
      <c r="L70" s="1430"/>
      <c r="M70" s="1430"/>
      <c r="N70" s="1430"/>
      <c r="O70" s="1430"/>
      <c r="P70" s="1430"/>
      <c r="Q70" s="1430"/>
      <c r="R70" s="1430"/>
      <c r="S70" s="1430"/>
      <c r="T70" s="1430"/>
      <c r="U70" s="1430"/>
      <c r="V70" s="1430"/>
      <c r="W70" s="1430"/>
      <c r="X70" s="1431"/>
      <c r="Y70" s="61"/>
    </row>
    <row r="71" spans="1:25">
      <c r="A71" s="62"/>
      <c r="B71" s="1454"/>
      <c r="C71" s="1455"/>
      <c r="D71" s="1455"/>
      <c r="E71" s="1455"/>
      <c r="F71" s="1455"/>
      <c r="G71" s="1456"/>
      <c r="H71" s="1432"/>
      <c r="I71" s="1433"/>
      <c r="J71" s="1433"/>
      <c r="K71" s="1433"/>
      <c r="L71" s="1433"/>
      <c r="M71" s="1433"/>
      <c r="N71" s="1433"/>
      <c r="O71" s="1433"/>
      <c r="P71" s="1433"/>
      <c r="Q71" s="1433"/>
      <c r="R71" s="1433"/>
      <c r="S71" s="1433"/>
      <c r="T71" s="1433"/>
      <c r="U71" s="1433"/>
      <c r="V71" s="1433"/>
      <c r="W71" s="1433"/>
      <c r="X71" s="1434"/>
      <c r="Y71" s="61"/>
    </row>
    <row r="72" spans="1:25">
      <c r="A72" s="62"/>
      <c r="B72" s="1448" t="s">
        <v>180</v>
      </c>
      <c r="C72" s="1449"/>
      <c r="D72" s="1449"/>
      <c r="E72" s="1449"/>
      <c r="F72" s="1449"/>
      <c r="G72" s="1450"/>
      <c r="H72" s="1417" t="s">
        <v>181</v>
      </c>
      <c r="I72" s="1417"/>
      <c r="J72" s="1417"/>
      <c r="K72" s="1417"/>
      <c r="L72" s="1417"/>
      <c r="M72" s="1417"/>
      <c r="N72" s="1417"/>
      <c r="O72" s="1417"/>
      <c r="P72" s="1417"/>
      <c r="Q72" s="1417"/>
      <c r="R72" s="1417"/>
      <c r="S72" s="1417"/>
      <c r="T72" s="1417"/>
      <c r="U72" s="1417"/>
      <c r="V72" s="1417"/>
      <c r="W72" s="1417"/>
      <c r="X72" s="1418"/>
      <c r="Y72" s="61"/>
    </row>
    <row r="73" spans="1:25">
      <c r="A73" s="62"/>
      <c r="B73" s="1451"/>
      <c r="C73" s="1452"/>
      <c r="D73" s="1452"/>
      <c r="E73" s="1452"/>
      <c r="F73" s="1452"/>
      <c r="G73" s="1453"/>
      <c r="H73" s="1417"/>
      <c r="I73" s="1417"/>
      <c r="J73" s="1417"/>
      <c r="K73" s="1417"/>
      <c r="L73" s="1417"/>
      <c r="M73" s="1417"/>
      <c r="N73" s="1417"/>
      <c r="O73" s="1417"/>
      <c r="P73" s="1417"/>
      <c r="Q73" s="1417"/>
      <c r="R73" s="1417"/>
      <c r="S73" s="1417"/>
      <c r="T73" s="1417"/>
      <c r="U73" s="1417"/>
      <c r="V73" s="1417"/>
      <c r="W73" s="1417"/>
      <c r="X73" s="1418"/>
      <c r="Y73" s="61"/>
    </row>
    <row r="74" spans="1:25">
      <c r="A74" s="62"/>
      <c r="B74" s="1451"/>
      <c r="C74" s="1452"/>
      <c r="D74" s="1452"/>
      <c r="E74" s="1452"/>
      <c r="F74" s="1452"/>
      <c r="G74" s="1453"/>
      <c r="H74" s="1417"/>
      <c r="I74" s="1417"/>
      <c r="J74" s="1417"/>
      <c r="K74" s="1417"/>
      <c r="L74" s="1417"/>
      <c r="M74" s="1417"/>
      <c r="N74" s="1417"/>
      <c r="O74" s="1417"/>
      <c r="P74" s="1417"/>
      <c r="Q74" s="1417"/>
      <c r="R74" s="1417"/>
      <c r="S74" s="1417"/>
      <c r="T74" s="1417"/>
      <c r="U74" s="1417"/>
      <c r="V74" s="1417"/>
      <c r="W74" s="1417"/>
      <c r="X74" s="1418"/>
      <c r="Y74" s="61"/>
    </row>
    <row r="75" spans="1:25">
      <c r="A75" s="62"/>
      <c r="B75" s="1451"/>
      <c r="C75" s="1452"/>
      <c r="D75" s="1452"/>
      <c r="E75" s="1452"/>
      <c r="F75" s="1452"/>
      <c r="G75" s="1453"/>
      <c r="H75" s="78"/>
      <c r="I75" s="79" t="s">
        <v>7</v>
      </c>
      <c r="J75" s="1417" t="s">
        <v>182</v>
      </c>
      <c r="K75" s="1417"/>
      <c r="L75" s="1417"/>
      <c r="M75" s="1417"/>
      <c r="N75" s="1417"/>
      <c r="O75" s="1417"/>
      <c r="P75" s="1417"/>
      <c r="Q75" s="1417"/>
      <c r="R75" s="1417"/>
      <c r="S75" s="1417"/>
      <c r="T75" s="1417"/>
      <c r="U75" s="1417"/>
      <c r="V75" s="1417"/>
      <c r="W75" s="1417"/>
      <c r="X75" s="1418"/>
      <c r="Y75" s="61"/>
    </row>
    <row r="76" spans="1:25">
      <c r="A76" s="62"/>
      <c r="B76" s="1451"/>
      <c r="C76" s="1452"/>
      <c r="D76" s="1452"/>
      <c r="E76" s="1452"/>
      <c r="F76" s="1452"/>
      <c r="G76" s="1453"/>
      <c r="H76" s="78"/>
      <c r="I76" s="79" t="s">
        <v>7</v>
      </c>
      <c r="J76" s="1417" t="s">
        <v>183</v>
      </c>
      <c r="K76" s="1417"/>
      <c r="L76" s="1417"/>
      <c r="M76" s="1417"/>
      <c r="N76" s="1417"/>
      <c r="O76" s="1417"/>
      <c r="P76" s="1417"/>
      <c r="Q76" s="1417"/>
      <c r="R76" s="1417"/>
      <c r="S76" s="1417"/>
      <c r="T76" s="1417"/>
      <c r="U76" s="1417"/>
      <c r="V76" s="1417"/>
      <c r="W76" s="1417"/>
      <c r="X76" s="1418"/>
      <c r="Y76" s="61"/>
    </row>
    <row r="77" spans="1:25">
      <c r="A77" s="62"/>
      <c r="B77" s="1451"/>
      <c r="C77" s="1452"/>
      <c r="D77" s="1452"/>
      <c r="E77" s="1452"/>
      <c r="F77" s="1452"/>
      <c r="G77" s="1453"/>
      <c r="H77" s="78"/>
      <c r="I77" s="79" t="s">
        <v>7</v>
      </c>
      <c r="J77" s="1417" t="s">
        <v>184</v>
      </c>
      <c r="K77" s="1417"/>
      <c r="L77" s="1417"/>
      <c r="M77" s="1417"/>
      <c r="N77" s="1417"/>
      <c r="O77" s="1417"/>
      <c r="P77" s="1417"/>
      <c r="Q77" s="1417"/>
      <c r="R77" s="1417"/>
      <c r="S77" s="1417"/>
      <c r="T77" s="1417"/>
      <c r="U77" s="1417"/>
      <c r="V77" s="1417"/>
      <c r="W77" s="1417"/>
      <c r="X77" s="1418"/>
      <c r="Y77" s="61"/>
    </row>
    <row r="78" spans="1:25">
      <c r="A78" s="62"/>
      <c r="B78" s="1454"/>
      <c r="C78" s="1455"/>
      <c r="D78" s="1455"/>
      <c r="E78" s="1455"/>
      <c r="F78" s="1455"/>
      <c r="G78" s="1456"/>
      <c r="H78" s="80"/>
      <c r="I78" s="81"/>
      <c r="J78" s="1419"/>
      <c r="K78" s="1419"/>
      <c r="L78" s="1419"/>
      <c r="M78" s="1419"/>
      <c r="N78" s="1419"/>
      <c r="O78" s="1419"/>
      <c r="P78" s="1419"/>
      <c r="Q78" s="1419"/>
      <c r="R78" s="1419"/>
      <c r="S78" s="1419"/>
      <c r="T78" s="1419"/>
      <c r="U78" s="1419"/>
      <c r="V78" s="1419"/>
      <c r="W78" s="1419"/>
      <c r="X78" s="1420"/>
      <c r="Y78" s="61"/>
    </row>
    <row r="79" spans="1:25">
      <c r="A79" s="62"/>
      <c r="B79" s="1448" t="s">
        <v>185</v>
      </c>
      <c r="C79" s="1449"/>
      <c r="D79" s="1449"/>
      <c r="E79" s="1449"/>
      <c r="F79" s="1449"/>
      <c r="G79" s="1450"/>
      <c r="H79" s="1438" t="s">
        <v>186</v>
      </c>
      <c r="I79" s="1438"/>
      <c r="J79" s="1438"/>
      <c r="K79" s="1438"/>
      <c r="L79" s="1438"/>
      <c r="M79" s="1438"/>
      <c r="N79" s="1438"/>
      <c r="O79" s="1438"/>
      <c r="P79" s="1438"/>
      <c r="Q79" s="1438"/>
      <c r="R79" s="1438"/>
      <c r="S79" s="1438"/>
      <c r="T79" s="1438"/>
      <c r="U79" s="1438"/>
      <c r="V79" s="1438"/>
      <c r="W79" s="1438"/>
      <c r="X79" s="1439"/>
      <c r="Y79" s="61"/>
    </row>
    <row r="80" spans="1:25">
      <c r="A80" s="62"/>
      <c r="B80" s="1451"/>
      <c r="C80" s="1452"/>
      <c r="D80" s="1452"/>
      <c r="E80" s="1452"/>
      <c r="F80" s="1452"/>
      <c r="G80" s="1453"/>
      <c r="H80" s="1417"/>
      <c r="I80" s="1417"/>
      <c r="J80" s="1417"/>
      <c r="K80" s="1417"/>
      <c r="L80" s="1417"/>
      <c r="M80" s="1417"/>
      <c r="N80" s="1417"/>
      <c r="O80" s="1417"/>
      <c r="P80" s="1417"/>
      <c r="Q80" s="1417"/>
      <c r="R80" s="1417"/>
      <c r="S80" s="1417"/>
      <c r="T80" s="1417"/>
      <c r="U80" s="1417"/>
      <c r="V80" s="1417"/>
      <c r="W80" s="1417"/>
      <c r="X80" s="1418"/>
      <c r="Y80" s="61"/>
    </row>
    <row r="81" spans="1:25">
      <c r="A81" s="62"/>
      <c r="B81" s="1451"/>
      <c r="C81" s="1452"/>
      <c r="D81" s="1452"/>
      <c r="E81" s="1452"/>
      <c r="F81" s="1452"/>
      <c r="G81" s="1453"/>
      <c r="H81" s="1417"/>
      <c r="I81" s="1417"/>
      <c r="J81" s="1417"/>
      <c r="K81" s="1417"/>
      <c r="L81" s="1417"/>
      <c r="M81" s="1417"/>
      <c r="N81" s="1417"/>
      <c r="O81" s="1417"/>
      <c r="P81" s="1417"/>
      <c r="Q81" s="1417"/>
      <c r="R81" s="1417"/>
      <c r="S81" s="1417"/>
      <c r="T81" s="1417"/>
      <c r="U81" s="1417"/>
      <c r="V81" s="1417"/>
      <c r="W81" s="1417"/>
      <c r="X81" s="1418"/>
      <c r="Y81" s="61"/>
    </row>
    <row r="82" spans="1:25">
      <c r="A82" s="62"/>
      <c r="B82" s="1451"/>
      <c r="C82" s="1452"/>
      <c r="D82" s="1452"/>
      <c r="E82" s="1452"/>
      <c r="F82" s="1452"/>
      <c r="G82" s="1453"/>
      <c r="H82" s="78"/>
      <c r="I82" s="79" t="s">
        <v>7</v>
      </c>
      <c r="J82" s="1417" t="s">
        <v>187</v>
      </c>
      <c r="K82" s="1417"/>
      <c r="L82" s="1417"/>
      <c r="M82" s="1417"/>
      <c r="N82" s="1417"/>
      <c r="O82" s="1417"/>
      <c r="P82" s="1417"/>
      <c r="Q82" s="1417"/>
      <c r="R82" s="1417"/>
      <c r="S82" s="1417"/>
      <c r="T82" s="1417"/>
      <c r="U82" s="1417"/>
      <c r="V82" s="1417"/>
      <c r="W82" s="1417"/>
      <c r="X82" s="1418"/>
      <c r="Y82" s="61"/>
    </row>
    <row r="83" spans="1:25">
      <c r="A83" s="62"/>
      <c r="B83" s="1451"/>
      <c r="C83" s="1452"/>
      <c r="D83" s="1452"/>
      <c r="E83" s="1452"/>
      <c r="F83" s="1452"/>
      <c r="G83" s="1453"/>
      <c r="H83" s="78"/>
      <c r="I83" s="79" t="s">
        <v>7</v>
      </c>
      <c r="J83" s="1417"/>
      <c r="K83" s="1417"/>
      <c r="L83" s="1417"/>
      <c r="M83" s="1417"/>
      <c r="N83" s="1417"/>
      <c r="O83" s="1417"/>
      <c r="P83" s="1417"/>
      <c r="Q83" s="1417"/>
      <c r="R83" s="1417"/>
      <c r="S83" s="1417"/>
      <c r="T83" s="1417"/>
      <c r="U83" s="1417"/>
      <c r="V83" s="1417"/>
      <c r="W83" s="1417"/>
      <c r="X83" s="1418"/>
      <c r="Y83" s="61"/>
    </row>
    <row r="84" spans="1:25">
      <c r="A84" s="62"/>
      <c r="B84" s="1451"/>
      <c r="C84" s="1452"/>
      <c r="D84" s="1452"/>
      <c r="E84" s="1452"/>
      <c r="F84" s="1452"/>
      <c r="G84" s="1453"/>
      <c r="H84" s="78"/>
      <c r="I84" s="79" t="s">
        <v>7</v>
      </c>
      <c r="J84" s="1417"/>
      <c r="K84" s="1417"/>
      <c r="L84" s="1417"/>
      <c r="M84" s="1417"/>
      <c r="N84" s="1417"/>
      <c r="O84" s="1417"/>
      <c r="P84" s="1417"/>
      <c r="Q84" s="1417"/>
      <c r="R84" s="1417"/>
      <c r="S84" s="1417"/>
      <c r="T84" s="1417"/>
      <c r="U84" s="1417"/>
      <c r="V84" s="1417"/>
      <c r="W84" s="1417"/>
      <c r="X84" s="1418"/>
      <c r="Y84" s="61"/>
    </row>
    <row r="85" spans="1:25">
      <c r="A85" s="62"/>
      <c r="B85" s="1451"/>
      <c r="C85" s="1452"/>
      <c r="D85" s="1452"/>
      <c r="E85" s="1452"/>
      <c r="F85" s="1452"/>
      <c r="G85" s="1453"/>
      <c r="H85" s="78"/>
      <c r="I85" s="79" t="s">
        <v>7</v>
      </c>
      <c r="J85" s="1417"/>
      <c r="K85" s="1417"/>
      <c r="L85" s="1417"/>
      <c r="M85" s="1417"/>
      <c r="N85" s="1417"/>
      <c r="O85" s="1417"/>
      <c r="P85" s="1417"/>
      <c r="Q85" s="1417"/>
      <c r="R85" s="1417"/>
      <c r="S85" s="1417"/>
      <c r="T85" s="1417"/>
      <c r="U85" s="1417"/>
      <c r="V85" s="1417"/>
      <c r="W85" s="1417"/>
      <c r="X85" s="1418"/>
      <c r="Y85" s="61"/>
    </row>
    <row r="86" spans="1:25">
      <c r="A86" s="62"/>
      <c r="B86" s="1454"/>
      <c r="C86" s="1455"/>
      <c r="D86" s="1455"/>
      <c r="E86" s="1455"/>
      <c r="F86" s="1455"/>
      <c r="G86" s="1456"/>
      <c r="H86" s="80"/>
      <c r="I86" s="81" t="s">
        <v>7</v>
      </c>
      <c r="J86" s="1419"/>
      <c r="K86" s="1419"/>
      <c r="L86" s="1419"/>
      <c r="M86" s="1419"/>
      <c r="N86" s="1419"/>
      <c r="O86" s="1419"/>
      <c r="P86" s="1419"/>
      <c r="Q86" s="1419"/>
      <c r="R86" s="1419"/>
      <c r="S86" s="1419"/>
      <c r="T86" s="1419"/>
      <c r="U86" s="1419"/>
      <c r="V86" s="1419"/>
      <c r="W86" s="1419"/>
      <c r="X86" s="1420"/>
      <c r="Y86" s="61"/>
    </row>
    <row r="87" spans="1:25">
      <c r="A87" s="62"/>
      <c r="B87" s="60"/>
      <c r="C87" s="60"/>
      <c r="D87" s="60"/>
      <c r="E87" s="60"/>
      <c r="F87" s="60"/>
      <c r="G87" s="60"/>
      <c r="H87" s="60"/>
      <c r="I87" s="60"/>
      <c r="J87" s="60"/>
      <c r="K87" s="60"/>
      <c r="L87" s="60"/>
      <c r="M87" s="60"/>
      <c r="N87" s="60"/>
      <c r="O87" s="60"/>
      <c r="P87" s="60"/>
      <c r="Q87" s="60"/>
      <c r="R87" s="60"/>
      <c r="S87" s="60"/>
      <c r="T87" s="60"/>
      <c r="U87" s="60"/>
      <c r="V87" s="60"/>
      <c r="W87" s="60"/>
      <c r="X87" s="60"/>
      <c r="Y87" s="61"/>
    </row>
    <row r="88" spans="1:25">
      <c r="A88" s="58" t="s">
        <v>105</v>
      </c>
      <c r="B88" s="59" t="s">
        <v>188</v>
      </c>
      <c r="C88" s="60"/>
      <c r="D88" s="60"/>
      <c r="E88" s="60"/>
      <c r="F88" s="60"/>
      <c r="G88" s="60"/>
      <c r="H88" s="60"/>
      <c r="I88" s="60"/>
      <c r="J88" s="60"/>
      <c r="K88" s="60"/>
      <c r="L88" s="60"/>
      <c r="M88" s="60"/>
      <c r="N88" s="60"/>
      <c r="O88" s="60"/>
      <c r="P88" s="60"/>
      <c r="Q88" s="60"/>
      <c r="R88" s="60"/>
      <c r="S88" s="60"/>
      <c r="T88" s="60"/>
      <c r="U88" s="60"/>
      <c r="V88" s="60"/>
      <c r="W88" s="60"/>
      <c r="X88" s="60"/>
      <c r="Y88" s="61"/>
    </row>
    <row r="89" spans="1:25">
      <c r="A89" s="62"/>
      <c r="B89" s="1413" t="s">
        <v>140</v>
      </c>
      <c r="C89" s="1413"/>
      <c r="D89" s="1413"/>
      <c r="E89" s="1413"/>
      <c r="F89" s="1413"/>
      <c r="G89" s="1413"/>
      <c r="H89" s="1413" t="s">
        <v>141</v>
      </c>
      <c r="I89" s="1413"/>
      <c r="J89" s="1413"/>
      <c r="K89" s="1413"/>
      <c r="L89" s="1413"/>
      <c r="M89" s="1413"/>
      <c r="N89" s="1413"/>
      <c r="O89" s="1413"/>
      <c r="P89" s="1413"/>
      <c r="Q89" s="1413"/>
      <c r="R89" s="1413"/>
      <c r="S89" s="1413"/>
      <c r="T89" s="1413"/>
      <c r="U89" s="1413"/>
      <c r="V89" s="1413"/>
      <c r="W89" s="1413"/>
      <c r="X89" s="1413"/>
      <c r="Y89" s="61"/>
    </row>
    <row r="90" spans="1:25">
      <c r="A90" s="62"/>
      <c r="B90" s="1423" t="s">
        <v>189</v>
      </c>
      <c r="C90" s="1424"/>
      <c r="D90" s="1424"/>
      <c r="E90" s="1424"/>
      <c r="F90" s="1424"/>
      <c r="G90" s="1425"/>
      <c r="H90" s="1429" t="s">
        <v>190</v>
      </c>
      <c r="I90" s="1430"/>
      <c r="J90" s="1430"/>
      <c r="K90" s="1430"/>
      <c r="L90" s="1430"/>
      <c r="M90" s="1430"/>
      <c r="N90" s="1430"/>
      <c r="O90" s="1430"/>
      <c r="P90" s="1430"/>
      <c r="Q90" s="1430"/>
      <c r="R90" s="1430"/>
      <c r="S90" s="1430"/>
      <c r="T90" s="1430"/>
      <c r="U90" s="1430"/>
      <c r="V90" s="1430"/>
      <c r="W90" s="1430"/>
      <c r="X90" s="1431"/>
      <c r="Y90" s="61"/>
    </row>
    <row r="91" spans="1:25">
      <c r="A91" s="62"/>
      <c r="B91" s="1426"/>
      <c r="C91" s="1427"/>
      <c r="D91" s="1427"/>
      <c r="E91" s="1427"/>
      <c r="F91" s="1427"/>
      <c r="G91" s="1428"/>
      <c r="H91" s="1432"/>
      <c r="I91" s="1433"/>
      <c r="J91" s="1433"/>
      <c r="K91" s="1433"/>
      <c r="L91" s="1433"/>
      <c r="M91" s="1433"/>
      <c r="N91" s="1433"/>
      <c r="O91" s="1433"/>
      <c r="P91" s="1433"/>
      <c r="Q91" s="1433"/>
      <c r="R91" s="1433"/>
      <c r="S91" s="1433"/>
      <c r="T91" s="1433"/>
      <c r="U91" s="1433"/>
      <c r="V91" s="1433"/>
      <c r="W91" s="1433"/>
      <c r="X91" s="1434"/>
      <c r="Y91" s="61"/>
    </row>
    <row r="92" spans="1:25">
      <c r="A92" s="62"/>
      <c r="B92" s="1448" t="s">
        <v>191</v>
      </c>
      <c r="C92" s="1449"/>
      <c r="D92" s="1449"/>
      <c r="E92" s="1449"/>
      <c r="F92" s="1449"/>
      <c r="G92" s="1450"/>
      <c r="H92" s="1438" t="s">
        <v>192</v>
      </c>
      <c r="I92" s="1438"/>
      <c r="J92" s="1438"/>
      <c r="K92" s="1438"/>
      <c r="L92" s="1438"/>
      <c r="M92" s="1438"/>
      <c r="N92" s="1438"/>
      <c r="O92" s="1438"/>
      <c r="P92" s="1438"/>
      <c r="Q92" s="1438"/>
      <c r="R92" s="1438"/>
      <c r="S92" s="1438"/>
      <c r="T92" s="1438"/>
      <c r="U92" s="1438"/>
      <c r="V92" s="1438"/>
      <c r="W92" s="1438"/>
      <c r="X92" s="1439"/>
      <c r="Y92" s="61"/>
    </row>
    <row r="93" spans="1:25">
      <c r="A93" s="62"/>
      <c r="B93" s="1451"/>
      <c r="C93" s="1452"/>
      <c r="D93" s="1452"/>
      <c r="E93" s="1452"/>
      <c r="F93" s="1452"/>
      <c r="G93" s="1453"/>
      <c r="H93" s="1417"/>
      <c r="I93" s="1417"/>
      <c r="J93" s="1417"/>
      <c r="K93" s="1417"/>
      <c r="L93" s="1417"/>
      <c r="M93" s="1417"/>
      <c r="N93" s="1417"/>
      <c r="O93" s="1417"/>
      <c r="P93" s="1417"/>
      <c r="Q93" s="1417"/>
      <c r="R93" s="1417"/>
      <c r="S93" s="1417"/>
      <c r="T93" s="1417"/>
      <c r="U93" s="1417"/>
      <c r="V93" s="1417"/>
      <c r="W93" s="1417"/>
      <c r="X93" s="1418"/>
      <c r="Y93" s="61"/>
    </row>
    <row r="94" spans="1:25">
      <c r="A94" s="62"/>
      <c r="B94" s="1451"/>
      <c r="C94" s="1452"/>
      <c r="D94" s="1452"/>
      <c r="E94" s="1452"/>
      <c r="F94" s="1452"/>
      <c r="G94" s="1453"/>
      <c r="H94" s="1417"/>
      <c r="I94" s="1417"/>
      <c r="J94" s="1417"/>
      <c r="K94" s="1417"/>
      <c r="L94" s="1417"/>
      <c r="M94" s="1417"/>
      <c r="N94" s="1417"/>
      <c r="O94" s="1417"/>
      <c r="P94" s="1417"/>
      <c r="Q94" s="1417"/>
      <c r="R94" s="1417"/>
      <c r="S94" s="1417"/>
      <c r="T94" s="1417"/>
      <c r="U94" s="1417"/>
      <c r="V94" s="1417"/>
      <c r="W94" s="1417"/>
      <c r="X94" s="1418"/>
      <c r="Y94" s="61"/>
    </row>
    <row r="95" spans="1:25">
      <c r="A95" s="62"/>
      <c r="B95" s="1451"/>
      <c r="C95" s="1452"/>
      <c r="D95" s="1452"/>
      <c r="E95" s="1452"/>
      <c r="F95" s="1452"/>
      <c r="G95" s="1453"/>
      <c r="H95" s="78"/>
      <c r="I95" s="79" t="s">
        <v>7</v>
      </c>
      <c r="J95" s="1417" t="s">
        <v>193</v>
      </c>
      <c r="K95" s="1417"/>
      <c r="L95" s="1417"/>
      <c r="M95" s="1417"/>
      <c r="N95" s="1417"/>
      <c r="O95" s="1417"/>
      <c r="P95" s="1417"/>
      <c r="Q95" s="1417"/>
      <c r="R95" s="1417"/>
      <c r="S95" s="1417"/>
      <c r="T95" s="1417"/>
      <c r="U95" s="1417"/>
      <c r="V95" s="1417"/>
      <c r="W95" s="1417"/>
      <c r="X95" s="1418"/>
      <c r="Y95" s="61"/>
    </row>
    <row r="96" spans="1:25">
      <c r="A96" s="62"/>
      <c r="B96" s="1451"/>
      <c r="C96" s="1452"/>
      <c r="D96" s="1452"/>
      <c r="E96" s="1452"/>
      <c r="F96" s="1452"/>
      <c r="G96" s="1453"/>
      <c r="H96" s="78"/>
      <c r="I96" s="79" t="s">
        <v>7</v>
      </c>
      <c r="J96" s="1417" t="s">
        <v>194</v>
      </c>
      <c r="K96" s="1417"/>
      <c r="L96" s="1417"/>
      <c r="M96" s="1417"/>
      <c r="N96" s="1417"/>
      <c r="O96" s="1417"/>
      <c r="P96" s="1417"/>
      <c r="Q96" s="1417"/>
      <c r="R96" s="1417"/>
      <c r="S96" s="1417"/>
      <c r="T96" s="1417"/>
      <c r="U96" s="1417"/>
      <c r="V96" s="1417"/>
      <c r="W96" s="1417"/>
      <c r="X96" s="1418"/>
      <c r="Y96" s="61"/>
    </row>
    <row r="97" spans="1:25">
      <c r="A97" s="62"/>
      <c r="B97" s="1451"/>
      <c r="C97" s="1452"/>
      <c r="D97" s="1452"/>
      <c r="E97" s="1452"/>
      <c r="F97" s="1452"/>
      <c r="G97" s="1453"/>
      <c r="H97" s="78"/>
      <c r="I97" s="79" t="s">
        <v>7</v>
      </c>
      <c r="J97" s="1417"/>
      <c r="K97" s="1417"/>
      <c r="L97" s="1417"/>
      <c r="M97" s="1417"/>
      <c r="N97" s="1417"/>
      <c r="O97" s="1417"/>
      <c r="P97" s="1417"/>
      <c r="Q97" s="1417"/>
      <c r="R97" s="1417"/>
      <c r="S97" s="1417"/>
      <c r="T97" s="1417"/>
      <c r="U97" s="1417"/>
      <c r="V97" s="1417"/>
      <c r="W97" s="1417"/>
      <c r="X97" s="1418"/>
      <c r="Y97" s="61"/>
    </row>
    <row r="98" spans="1:25">
      <c r="A98" s="62"/>
      <c r="B98" s="1423" t="s">
        <v>195</v>
      </c>
      <c r="C98" s="1424"/>
      <c r="D98" s="1424"/>
      <c r="E98" s="1424"/>
      <c r="F98" s="1424"/>
      <c r="G98" s="1425"/>
      <c r="H98" s="1429" t="s">
        <v>196</v>
      </c>
      <c r="I98" s="1430"/>
      <c r="J98" s="1430"/>
      <c r="K98" s="1430"/>
      <c r="L98" s="1430"/>
      <c r="M98" s="1430"/>
      <c r="N98" s="1430"/>
      <c r="O98" s="1430"/>
      <c r="P98" s="1430"/>
      <c r="Q98" s="1430"/>
      <c r="R98" s="1430"/>
      <c r="S98" s="1430"/>
      <c r="T98" s="1430"/>
      <c r="U98" s="1430"/>
      <c r="V98" s="1430"/>
      <c r="W98" s="1430"/>
      <c r="X98" s="1431"/>
      <c r="Y98" s="61"/>
    </row>
    <row r="99" spans="1:25">
      <c r="A99" s="62"/>
      <c r="B99" s="1426"/>
      <c r="C99" s="1427"/>
      <c r="D99" s="1427"/>
      <c r="E99" s="1427"/>
      <c r="F99" s="1427"/>
      <c r="G99" s="1428"/>
      <c r="H99" s="1432"/>
      <c r="I99" s="1433"/>
      <c r="J99" s="1433"/>
      <c r="K99" s="1433"/>
      <c r="L99" s="1433"/>
      <c r="M99" s="1433"/>
      <c r="N99" s="1433"/>
      <c r="O99" s="1433"/>
      <c r="P99" s="1433"/>
      <c r="Q99" s="1433"/>
      <c r="R99" s="1433"/>
      <c r="S99" s="1433"/>
      <c r="T99" s="1433"/>
      <c r="U99" s="1433"/>
      <c r="V99" s="1433"/>
      <c r="W99" s="1433"/>
      <c r="X99" s="1434"/>
      <c r="Y99" s="61"/>
    </row>
    <row r="100" spans="1:25">
      <c r="A100" s="62"/>
      <c r="B100" s="82"/>
      <c r="C100" s="82"/>
      <c r="D100" s="82"/>
      <c r="E100" s="82"/>
      <c r="F100" s="82"/>
      <c r="G100" s="82"/>
      <c r="H100" s="83"/>
      <c r="I100" s="83"/>
      <c r="J100" s="83"/>
      <c r="K100" s="83"/>
      <c r="L100" s="83"/>
      <c r="M100" s="83"/>
      <c r="N100" s="83"/>
      <c r="O100" s="83"/>
      <c r="P100" s="83"/>
      <c r="Q100" s="83"/>
      <c r="R100" s="83"/>
      <c r="S100" s="83"/>
      <c r="T100" s="83"/>
      <c r="U100" s="83"/>
      <c r="V100" s="83"/>
      <c r="W100" s="83"/>
      <c r="X100" s="83"/>
      <c r="Y100" s="61"/>
    </row>
    <row r="101" spans="1:25">
      <c r="A101" s="62"/>
      <c r="B101" s="82"/>
      <c r="C101" s="82"/>
      <c r="D101" s="82"/>
      <c r="E101" s="82"/>
      <c r="F101" s="82"/>
      <c r="G101" s="82"/>
      <c r="H101" s="83"/>
      <c r="I101" s="83"/>
      <c r="J101" s="83"/>
      <c r="K101" s="83"/>
      <c r="L101" s="83"/>
      <c r="M101" s="83"/>
      <c r="N101" s="83"/>
      <c r="O101" s="83"/>
      <c r="P101" s="83"/>
      <c r="Q101" s="83"/>
      <c r="R101" s="83"/>
      <c r="S101" s="83"/>
      <c r="T101" s="83"/>
      <c r="U101" s="83"/>
      <c r="V101" s="83"/>
      <c r="W101" s="83"/>
      <c r="X101" s="83"/>
      <c r="Y101" s="61"/>
    </row>
    <row r="102" spans="1:25">
      <c r="A102" s="62"/>
      <c r="B102" s="82"/>
      <c r="C102" s="82"/>
      <c r="D102" s="82"/>
      <c r="E102" s="82"/>
      <c r="F102" s="82"/>
      <c r="G102" s="82"/>
      <c r="H102" s="83"/>
      <c r="I102" s="83"/>
      <c r="J102" s="83"/>
      <c r="K102" s="83"/>
      <c r="L102" s="83"/>
      <c r="M102" s="83"/>
      <c r="N102" s="83"/>
      <c r="O102" s="83"/>
      <c r="P102" s="83"/>
      <c r="Q102" s="83"/>
      <c r="R102" s="83"/>
      <c r="S102" s="83"/>
      <c r="T102" s="83"/>
      <c r="U102" s="83"/>
      <c r="V102" s="83"/>
      <c r="W102" s="83"/>
      <c r="X102" s="83"/>
      <c r="Y102" s="61"/>
    </row>
    <row r="103" spans="1:25">
      <c r="A103" s="62"/>
      <c r="B103" s="1448" t="s">
        <v>197</v>
      </c>
      <c r="C103" s="1449"/>
      <c r="D103" s="1449"/>
      <c r="E103" s="1449"/>
      <c r="F103" s="1449"/>
      <c r="G103" s="1450"/>
      <c r="H103" s="1438" t="s">
        <v>198</v>
      </c>
      <c r="I103" s="1438"/>
      <c r="J103" s="1438"/>
      <c r="K103" s="1438"/>
      <c r="L103" s="1438"/>
      <c r="M103" s="1438"/>
      <c r="N103" s="1438"/>
      <c r="O103" s="1438"/>
      <c r="P103" s="1438"/>
      <c r="Q103" s="1438"/>
      <c r="R103" s="1438"/>
      <c r="S103" s="1438"/>
      <c r="T103" s="1438"/>
      <c r="U103" s="1438"/>
      <c r="V103" s="1438"/>
      <c r="W103" s="1438"/>
      <c r="X103" s="1439"/>
      <c r="Y103" s="61"/>
    </row>
    <row r="104" spans="1:25">
      <c r="A104" s="62"/>
      <c r="B104" s="1451"/>
      <c r="C104" s="1452"/>
      <c r="D104" s="1452"/>
      <c r="E104" s="1452"/>
      <c r="F104" s="1452"/>
      <c r="G104" s="1453"/>
      <c r="H104" s="1417"/>
      <c r="I104" s="1417"/>
      <c r="J104" s="1417"/>
      <c r="K104" s="1417"/>
      <c r="L104" s="1417"/>
      <c r="M104" s="1417"/>
      <c r="N104" s="1417"/>
      <c r="O104" s="1417"/>
      <c r="P104" s="1417"/>
      <c r="Q104" s="1417"/>
      <c r="R104" s="1417"/>
      <c r="S104" s="1417"/>
      <c r="T104" s="1417"/>
      <c r="U104" s="1417"/>
      <c r="V104" s="1417"/>
      <c r="W104" s="1417"/>
      <c r="X104" s="1418"/>
      <c r="Y104" s="61"/>
    </row>
    <row r="105" spans="1:25">
      <c r="A105" s="62"/>
      <c r="B105" s="1451"/>
      <c r="C105" s="1452"/>
      <c r="D105" s="1452"/>
      <c r="E105" s="1452"/>
      <c r="F105" s="1452"/>
      <c r="G105" s="1453"/>
      <c r="H105" s="1417"/>
      <c r="I105" s="1417"/>
      <c r="J105" s="1417"/>
      <c r="K105" s="1417"/>
      <c r="L105" s="1417"/>
      <c r="M105" s="1417"/>
      <c r="N105" s="1417"/>
      <c r="O105" s="1417"/>
      <c r="P105" s="1417"/>
      <c r="Q105" s="1417"/>
      <c r="R105" s="1417"/>
      <c r="S105" s="1417"/>
      <c r="T105" s="1417"/>
      <c r="U105" s="1417"/>
      <c r="V105" s="1417"/>
      <c r="W105" s="1417"/>
      <c r="X105" s="1418"/>
      <c r="Y105" s="61"/>
    </row>
    <row r="106" spans="1:25">
      <c r="A106" s="62"/>
      <c r="B106" s="1451"/>
      <c r="C106" s="1452"/>
      <c r="D106" s="1452"/>
      <c r="E106" s="1452"/>
      <c r="F106" s="1452"/>
      <c r="G106" s="1453"/>
      <c r="H106" s="78"/>
      <c r="I106" s="79" t="s">
        <v>7</v>
      </c>
      <c r="J106" s="1417" t="s">
        <v>199</v>
      </c>
      <c r="K106" s="1417"/>
      <c r="L106" s="1417"/>
      <c r="M106" s="1417"/>
      <c r="N106" s="1417"/>
      <c r="O106" s="1417"/>
      <c r="P106" s="1417"/>
      <c r="Q106" s="1417"/>
      <c r="R106" s="1417"/>
      <c r="S106" s="1417"/>
      <c r="T106" s="1417"/>
      <c r="U106" s="1417"/>
      <c r="V106" s="1417"/>
      <c r="W106" s="1417"/>
      <c r="X106" s="1418"/>
      <c r="Y106" s="61"/>
    </row>
    <row r="107" spans="1:25">
      <c r="A107" s="62"/>
      <c r="B107" s="1451"/>
      <c r="C107" s="1452"/>
      <c r="D107" s="1452"/>
      <c r="E107" s="1452"/>
      <c r="F107" s="1452"/>
      <c r="G107" s="1453"/>
      <c r="H107" s="78"/>
      <c r="I107" s="79" t="s">
        <v>7</v>
      </c>
      <c r="J107" s="1417" t="s">
        <v>200</v>
      </c>
      <c r="K107" s="1417"/>
      <c r="L107" s="1417"/>
      <c r="M107" s="1417"/>
      <c r="N107" s="1417"/>
      <c r="O107" s="1417"/>
      <c r="P107" s="1417"/>
      <c r="Q107" s="1417"/>
      <c r="R107" s="1417"/>
      <c r="S107" s="1417"/>
      <c r="T107" s="1417"/>
      <c r="U107" s="1417"/>
      <c r="V107" s="1417"/>
      <c r="W107" s="1417"/>
      <c r="X107" s="1418"/>
      <c r="Y107" s="61"/>
    </row>
    <row r="108" spans="1:25">
      <c r="A108" s="62"/>
      <c r="B108" s="1451"/>
      <c r="C108" s="1452"/>
      <c r="D108" s="1452"/>
      <c r="E108" s="1452"/>
      <c r="F108" s="1452"/>
      <c r="G108" s="1453"/>
      <c r="H108" s="78"/>
      <c r="I108" s="79"/>
      <c r="J108" s="1417"/>
      <c r="K108" s="1417"/>
      <c r="L108" s="1417"/>
      <c r="M108" s="1417"/>
      <c r="N108" s="1417"/>
      <c r="O108" s="1417"/>
      <c r="P108" s="1417"/>
      <c r="Q108" s="1417"/>
      <c r="R108" s="1417"/>
      <c r="S108" s="1417"/>
      <c r="T108" s="1417"/>
      <c r="U108" s="1417"/>
      <c r="V108" s="1417"/>
      <c r="W108" s="1417"/>
      <c r="X108" s="1418"/>
      <c r="Y108" s="61"/>
    </row>
    <row r="109" spans="1:25">
      <c r="A109" s="62"/>
      <c r="B109" s="1451"/>
      <c r="C109" s="1452"/>
      <c r="D109" s="1452"/>
      <c r="E109" s="1452"/>
      <c r="F109" s="1452"/>
      <c r="G109" s="1453"/>
      <c r="H109" s="78"/>
      <c r="I109" s="79" t="s">
        <v>7</v>
      </c>
      <c r="J109" s="1417" t="s">
        <v>201</v>
      </c>
      <c r="K109" s="1417"/>
      <c r="L109" s="1417"/>
      <c r="M109" s="1417"/>
      <c r="N109" s="1417"/>
      <c r="O109" s="1417"/>
      <c r="P109" s="1417"/>
      <c r="Q109" s="1417"/>
      <c r="R109" s="1417"/>
      <c r="S109" s="1417"/>
      <c r="T109" s="1417"/>
      <c r="U109" s="1417"/>
      <c r="V109" s="1417"/>
      <c r="W109" s="1417"/>
      <c r="X109" s="1418"/>
      <c r="Y109" s="61"/>
    </row>
    <row r="110" spans="1:25">
      <c r="A110" s="62"/>
      <c r="B110" s="1451"/>
      <c r="C110" s="1452"/>
      <c r="D110" s="1452"/>
      <c r="E110" s="1452"/>
      <c r="F110" s="1452"/>
      <c r="G110" s="1453"/>
      <c r="H110" s="78"/>
      <c r="I110" s="79"/>
      <c r="J110" s="1417"/>
      <c r="K110" s="1417"/>
      <c r="L110" s="1417"/>
      <c r="M110" s="1417"/>
      <c r="N110" s="1417"/>
      <c r="O110" s="1417"/>
      <c r="P110" s="1417"/>
      <c r="Q110" s="1417"/>
      <c r="R110" s="1417"/>
      <c r="S110" s="1417"/>
      <c r="T110" s="1417"/>
      <c r="U110" s="1417"/>
      <c r="V110" s="1417"/>
      <c r="W110" s="1417"/>
      <c r="X110" s="1418"/>
      <c r="Y110" s="61"/>
    </row>
    <row r="111" spans="1:25">
      <c r="A111" s="62"/>
      <c r="B111" s="1451"/>
      <c r="C111" s="1452"/>
      <c r="D111" s="1452"/>
      <c r="E111" s="1452"/>
      <c r="F111" s="1452"/>
      <c r="G111" s="1453"/>
      <c r="H111" s="78"/>
      <c r="I111" s="79" t="s">
        <v>7</v>
      </c>
      <c r="J111" s="1417"/>
      <c r="K111" s="1417"/>
      <c r="L111" s="1417"/>
      <c r="M111" s="1417"/>
      <c r="N111" s="1417"/>
      <c r="O111" s="1417"/>
      <c r="P111" s="1417"/>
      <c r="Q111" s="1417"/>
      <c r="R111" s="1417"/>
      <c r="S111" s="1417"/>
      <c r="T111" s="1417"/>
      <c r="U111" s="1417"/>
      <c r="V111" s="1417"/>
      <c r="W111" s="1417"/>
      <c r="X111" s="1418"/>
      <c r="Y111" s="61"/>
    </row>
    <row r="112" spans="1:25">
      <c r="A112" s="62"/>
      <c r="B112" s="1454"/>
      <c r="C112" s="1455"/>
      <c r="D112" s="1455"/>
      <c r="E112" s="1455"/>
      <c r="F112" s="1455"/>
      <c r="G112" s="1456"/>
      <c r="H112" s="80"/>
      <c r="I112" s="81"/>
      <c r="J112" s="1419"/>
      <c r="K112" s="1419"/>
      <c r="L112" s="1419"/>
      <c r="M112" s="1419"/>
      <c r="N112" s="1419"/>
      <c r="O112" s="1419"/>
      <c r="P112" s="1419"/>
      <c r="Q112" s="1419"/>
      <c r="R112" s="1419"/>
      <c r="S112" s="1419"/>
      <c r="T112" s="1419"/>
      <c r="U112" s="1419"/>
      <c r="V112" s="1419"/>
      <c r="W112" s="1419"/>
      <c r="X112" s="1420"/>
      <c r="Y112" s="61"/>
    </row>
    <row r="113" spans="1:25">
      <c r="A113" s="62"/>
      <c r="B113" s="1467" t="s">
        <v>202</v>
      </c>
      <c r="C113" s="1468"/>
      <c r="D113" s="1468"/>
      <c r="E113" s="1468"/>
      <c r="F113" s="1468"/>
      <c r="G113" s="1469"/>
      <c r="H113" s="1470" t="s">
        <v>203</v>
      </c>
      <c r="I113" s="1471"/>
      <c r="J113" s="1471"/>
      <c r="K113" s="1471"/>
      <c r="L113" s="1471"/>
      <c r="M113" s="1471"/>
      <c r="N113" s="1471"/>
      <c r="O113" s="1471"/>
      <c r="P113" s="1471"/>
      <c r="Q113" s="1471"/>
      <c r="R113" s="1471"/>
      <c r="S113" s="1471"/>
      <c r="T113" s="1471"/>
      <c r="U113" s="1471"/>
      <c r="V113" s="1471"/>
      <c r="W113" s="1471"/>
      <c r="X113" s="1472"/>
      <c r="Y113" s="61"/>
    </row>
    <row r="114" spans="1:25">
      <c r="A114" s="62"/>
      <c r="B114" s="1426"/>
      <c r="C114" s="1427"/>
      <c r="D114" s="1427"/>
      <c r="E114" s="1427"/>
      <c r="F114" s="1427"/>
      <c r="G114" s="1428"/>
      <c r="H114" s="1432"/>
      <c r="I114" s="1433"/>
      <c r="J114" s="1433"/>
      <c r="K114" s="1433"/>
      <c r="L114" s="1433"/>
      <c r="M114" s="1433"/>
      <c r="N114" s="1433"/>
      <c r="O114" s="1433"/>
      <c r="P114" s="1433"/>
      <c r="Q114" s="1433"/>
      <c r="R114" s="1433"/>
      <c r="S114" s="1433"/>
      <c r="T114" s="1433"/>
      <c r="U114" s="1433"/>
      <c r="V114" s="1433"/>
      <c r="W114" s="1433"/>
      <c r="X114" s="1434"/>
      <c r="Y114" s="61"/>
    </row>
    <row r="115" spans="1:25">
      <c r="A115" s="62"/>
      <c r="B115" s="1448" t="s">
        <v>204</v>
      </c>
      <c r="C115" s="1449"/>
      <c r="D115" s="1449"/>
      <c r="E115" s="1449"/>
      <c r="F115" s="1449"/>
      <c r="G115" s="1450"/>
      <c r="H115" s="1435" t="s">
        <v>205</v>
      </c>
      <c r="I115" s="1435"/>
      <c r="J115" s="1435"/>
      <c r="K115" s="1435"/>
      <c r="L115" s="1435"/>
      <c r="M115" s="1435"/>
      <c r="N115" s="1435"/>
      <c r="O115" s="1435"/>
      <c r="P115" s="1435"/>
      <c r="Q115" s="1435"/>
      <c r="R115" s="1435"/>
      <c r="S115" s="1435"/>
      <c r="T115" s="1435"/>
      <c r="U115" s="1435"/>
      <c r="V115" s="1435"/>
      <c r="W115" s="1435"/>
      <c r="X115" s="1435"/>
      <c r="Y115" s="61"/>
    </row>
    <row r="116" spans="1:25">
      <c r="A116" s="62"/>
      <c r="B116" s="1451"/>
      <c r="C116" s="1452"/>
      <c r="D116" s="1452"/>
      <c r="E116" s="1452"/>
      <c r="F116" s="1452"/>
      <c r="G116" s="1453"/>
      <c r="H116" s="1445"/>
      <c r="I116" s="1445"/>
      <c r="J116" s="1445"/>
      <c r="K116" s="1445"/>
      <c r="L116" s="1445"/>
      <c r="M116" s="1445"/>
      <c r="N116" s="1445"/>
      <c r="O116" s="1445"/>
      <c r="P116" s="1445"/>
      <c r="Q116" s="1445"/>
      <c r="R116" s="1445"/>
      <c r="S116" s="1445"/>
      <c r="T116" s="1445"/>
      <c r="U116" s="1445"/>
      <c r="V116" s="1445"/>
      <c r="W116" s="1445"/>
      <c r="X116" s="1445"/>
      <c r="Y116" s="61"/>
    </row>
    <row r="117" spans="1:25">
      <c r="A117" s="62"/>
      <c r="B117" s="1451"/>
      <c r="C117" s="1452"/>
      <c r="D117" s="1452"/>
      <c r="E117" s="1452"/>
      <c r="F117" s="1452"/>
      <c r="G117" s="1453"/>
      <c r="H117" s="1435"/>
      <c r="I117" s="1435"/>
      <c r="J117" s="1435"/>
      <c r="K117" s="1435"/>
      <c r="L117" s="1435"/>
      <c r="M117" s="1435"/>
      <c r="N117" s="1435"/>
      <c r="O117" s="1435"/>
      <c r="P117" s="1435"/>
      <c r="Q117" s="1435"/>
      <c r="R117" s="1435"/>
      <c r="S117" s="1435"/>
      <c r="T117" s="1435"/>
      <c r="U117" s="1435"/>
      <c r="V117" s="1435"/>
      <c r="W117" s="1435"/>
      <c r="X117" s="1435"/>
      <c r="Y117" s="61"/>
    </row>
    <row r="118" spans="1:25">
      <c r="A118" s="62"/>
      <c r="B118" s="1454"/>
      <c r="C118" s="1455"/>
      <c r="D118" s="1455"/>
      <c r="E118" s="1455"/>
      <c r="F118" s="1455"/>
      <c r="G118" s="1456"/>
      <c r="H118" s="1435"/>
      <c r="I118" s="1435"/>
      <c r="J118" s="1435"/>
      <c r="K118" s="1435"/>
      <c r="L118" s="1435"/>
      <c r="M118" s="1435"/>
      <c r="N118" s="1435"/>
      <c r="O118" s="1435"/>
      <c r="P118" s="1435"/>
      <c r="Q118" s="1435"/>
      <c r="R118" s="1435"/>
      <c r="S118" s="1435"/>
      <c r="T118" s="1435"/>
      <c r="U118" s="1435"/>
      <c r="V118" s="1435"/>
      <c r="W118" s="1435"/>
      <c r="X118" s="1435"/>
      <c r="Y118" s="61"/>
    </row>
    <row r="119" spans="1:25">
      <c r="A119" s="64"/>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8"/>
    </row>
    <row r="120" spans="1:25">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row>
    <row r="121" spans="1:25">
      <c r="A121" s="1411" t="s">
        <v>206</v>
      </c>
      <c r="B121" s="1411"/>
      <c r="C121" s="1411"/>
      <c r="D121" s="1411"/>
      <c r="E121" s="1411"/>
      <c r="F121" s="1411"/>
      <c r="G121" s="1411"/>
      <c r="H121" s="1411"/>
      <c r="I121" s="1411"/>
      <c r="J121" s="1411"/>
      <c r="K121" s="1411"/>
      <c r="L121" s="1411"/>
      <c r="M121" s="1411"/>
      <c r="N121" s="1411"/>
      <c r="O121" s="1411"/>
      <c r="P121" s="1411"/>
      <c r="Q121" s="1411"/>
      <c r="R121" s="1411"/>
      <c r="S121" s="1411"/>
      <c r="T121" s="1411"/>
      <c r="U121" s="1411"/>
      <c r="V121" s="1411"/>
      <c r="W121" s="1411"/>
      <c r="X121" s="1411"/>
      <c r="Y121" s="1411"/>
    </row>
    <row r="122" spans="1:25">
      <c r="A122" s="55"/>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7"/>
    </row>
    <row r="123" spans="1:25">
      <c r="A123" s="58" t="s">
        <v>207</v>
      </c>
      <c r="B123" s="59" t="s">
        <v>208</v>
      </c>
      <c r="C123" s="60"/>
      <c r="D123" s="60"/>
      <c r="E123" s="60"/>
      <c r="F123" s="60"/>
      <c r="G123" s="60"/>
      <c r="H123" s="60"/>
      <c r="I123" s="60"/>
      <c r="J123" s="60"/>
      <c r="K123" s="60"/>
      <c r="L123" s="60"/>
      <c r="M123" s="60"/>
      <c r="N123" s="60"/>
      <c r="O123" s="60"/>
      <c r="P123" s="60"/>
      <c r="Q123" s="60"/>
      <c r="R123" s="60"/>
      <c r="S123" s="60"/>
      <c r="T123" s="60"/>
      <c r="U123" s="60"/>
      <c r="V123" s="60"/>
      <c r="W123" s="60"/>
      <c r="X123" s="60"/>
      <c r="Y123" s="61"/>
    </row>
    <row r="124" spans="1:25">
      <c r="A124" s="62"/>
      <c r="B124" s="1413" t="s">
        <v>140</v>
      </c>
      <c r="C124" s="1413"/>
      <c r="D124" s="1413"/>
      <c r="E124" s="1413"/>
      <c r="F124" s="1413"/>
      <c r="G124" s="1413"/>
      <c r="H124" s="1413" t="s">
        <v>141</v>
      </c>
      <c r="I124" s="1413"/>
      <c r="J124" s="1413"/>
      <c r="K124" s="1413"/>
      <c r="L124" s="1413"/>
      <c r="M124" s="1413"/>
      <c r="N124" s="1413"/>
      <c r="O124" s="1413"/>
      <c r="P124" s="1413"/>
      <c r="Q124" s="1413"/>
      <c r="R124" s="1413"/>
      <c r="S124" s="1413"/>
      <c r="T124" s="1413"/>
      <c r="U124" s="1413"/>
      <c r="V124" s="1413"/>
      <c r="W124" s="1413"/>
      <c r="X124" s="1413"/>
      <c r="Y124" s="61"/>
    </row>
    <row r="125" spans="1:25">
      <c r="A125" s="62"/>
      <c r="B125" s="1457" t="s">
        <v>209</v>
      </c>
      <c r="C125" s="1457"/>
      <c r="D125" s="1457"/>
      <c r="E125" s="1457"/>
      <c r="F125" s="1457"/>
      <c r="G125" s="1458"/>
      <c r="H125" s="1459" t="s">
        <v>210</v>
      </c>
      <c r="I125" s="1460"/>
      <c r="J125" s="1460"/>
      <c r="K125" s="1460"/>
      <c r="L125" s="1460"/>
      <c r="M125" s="1460"/>
      <c r="N125" s="1460"/>
      <c r="O125" s="1460"/>
      <c r="P125" s="1460"/>
      <c r="Q125" s="1460"/>
      <c r="R125" s="1460"/>
      <c r="S125" s="1460"/>
      <c r="T125" s="1460"/>
      <c r="U125" s="1460"/>
      <c r="V125" s="1460"/>
      <c r="W125" s="1460"/>
      <c r="X125" s="1461"/>
      <c r="Y125" s="61"/>
    </row>
    <row r="126" spans="1:25">
      <c r="A126" s="62"/>
      <c r="B126" s="1457"/>
      <c r="C126" s="1457"/>
      <c r="D126" s="1457"/>
      <c r="E126" s="1457"/>
      <c r="F126" s="1457"/>
      <c r="G126" s="1458"/>
      <c r="H126" s="1462"/>
      <c r="I126" s="1463"/>
      <c r="J126" s="1463"/>
      <c r="K126" s="1463"/>
      <c r="L126" s="1463"/>
      <c r="M126" s="1463"/>
      <c r="N126" s="1463"/>
      <c r="O126" s="1463"/>
      <c r="P126" s="1463"/>
      <c r="Q126" s="1463"/>
      <c r="R126" s="1463"/>
      <c r="S126" s="1463"/>
      <c r="T126" s="1463"/>
      <c r="U126" s="1463"/>
      <c r="V126" s="1463"/>
      <c r="W126" s="1463"/>
      <c r="X126" s="1464"/>
      <c r="Y126" s="61"/>
    </row>
    <row r="127" spans="1:25">
      <c r="A127" s="62"/>
      <c r="B127" s="1457"/>
      <c r="C127" s="1457"/>
      <c r="D127" s="1457"/>
      <c r="E127" s="1457"/>
      <c r="F127" s="1457"/>
      <c r="G127" s="1458"/>
      <c r="H127" s="84"/>
      <c r="I127" s="85" t="s">
        <v>7</v>
      </c>
      <c r="J127" s="1463" t="s">
        <v>211</v>
      </c>
      <c r="K127" s="1463"/>
      <c r="L127" s="1463"/>
      <c r="M127" s="1463"/>
      <c r="N127" s="1463"/>
      <c r="O127" s="1463"/>
      <c r="P127" s="1463"/>
      <c r="Q127" s="1463"/>
      <c r="R127" s="1463"/>
      <c r="S127" s="1463"/>
      <c r="T127" s="1463"/>
      <c r="U127" s="1463"/>
      <c r="V127" s="1463"/>
      <c r="W127" s="1463"/>
      <c r="X127" s="1464"/>
      <c r="Y127" s="61"/>
    </row>
    <row r="128" spans="1:25">
      <c r="A128" s="62"/>
      <c r="B128" s="1457"/>
      <c r="C128" s="1457"/>
      <c r="D128" s="1457"/>
      <c r="E128" s="1457"/>
      <c r="F128" s="1457"/>
      <c r="G128" s="1458"/>
      <c r="H128" s="84"/>
      <c r="I128" s="85" t="s">
        <v>7</v>
      </c>
      <c r="J128" s="1463" t="s">
        <v>212</v>
      </c>
      <c r="K128" s="1463"/>
      <c r="L128" s="1463"/>
      <c r="M128" s="1463"/>
      <c r="N128" s="1463"/>
      <c r="O128" s="1463"/>
      <c r="P128" s="1463"/>
      <c r="Q128" s="1463"/>
      <c r="R128" s="1463"/>
      <c r="S128" s="1463"/>
      <c r="T128" s="1463"/>
      <c r="U128" s="1463"/>
      <c r="V128" s="1463"/>
      <c r="W128" s="1463"/>
      <c r="X128" s="1464"/>
      <c r="Y128" s="61"/>
    </row>
    <row r="129" spans="1:25">
      <c r="A129" s="62"/>
      <c r="B129" s="1457"/>
      <c r="C129" s="1457"/>
      <c r="D129" s="1457"/>
      <c r="E129" s="1457"/>
      <c r="F129" s="1457"/>
      <c r="G129" s="1458"/>
      <c r="H129" s="84"/>
      <c r="I129" s="85" t="s">
        <v>7</v>
      </c>
      <c r="J129" s="1463" t="s">
        <v>213</v>
      </c>
      <c r="K129" s="1463"/>
      <c r="L129" s="1463"/>
      <c r="M129" s="1463"/>
      <c r="N129" s="1463"/>
      <c r="O129" s="1463"/>
      <c r="P129" s="1463"/>
      <c r="Q129" s="1463"/>
      <c r="R129" s="1463"/>
      <c r="S129" s="1463"/>
      <c r="T129" s="1463"/>
      <c r="U129" s="1463"/>
      <c r="V129" s="1463"/>
      <c r="W129" s="1463"/>
      <c r="X129" s="1464"/>
      <c r="Y129" s="61"/>
    </row>
    <row r="130" spans="1:25">
      <c r="A130" s="62"/>
      <c r="B130" s="1457"/>
      <c r="C130" s="1457"/>
      <c r="D130" s="1457"/>
      <c r="E130" s="1457"/>
      <c r="F130" s="1457"/>
      <c r="G130" s="1458"/>
      <c r="H130" s="86"/>
      <c r="I130" s="87" t="s">
        <v>7</v>
      </c>
      <c r="J130" s="1465"/>
      <c r="K130" s="1465"/>
      <c r="L130" s="1465"/>
      <c r="M130" s="1465"/>
      <c r="N130" s="1465"/>
      <c r="O130" s="1465"/>
      <c r="P130" s="1465"/>
      <c r="Q130" s="1465"/>
      <c r="R130" s="1465"/>
      <c r="S130" s="1465"/>
      <c r="T130" s="1465"/>
      <c r="U130" s="1465"/>
      <c r="V130" s="1465"/>
      <c r="W130" s="1465"/>
      <c r="X130" s="1466"/>
      <c r="Y130" s="61"/>
    </row>
    <row r="131" spans="1:25">
      <c r="A131" s="62"/>
      <c r="B131" s="1457" t="s">
        <v>214</v>
      </c>
      <c r="C131" s="1457"/>
      <c r="D131" s="1457"/>
      <c r="E131" s="1457"/>
      <c r="F131" s="1457"/>
      <c r="G131" s="1458"/>
      <c r="H131" s="1459"/>
      <c r="I131" s="1460"/>
      <c r="J131" s="1460"/>
      <c r="K131" s="1460"/>
      <c r="L131" s="1460"/>
      <c r="M131" s="1460"/>
      <c r="N131" s="1460"/>
      <c r="O131" s="1460"/>
      <c r="P131" s="1460"/>
      <c r="Q131" s="1460"/>
      <c r="R131" s="1460"/>
      <c r="S131" s="1460"/>
      <c r="T131" s="1460"/>
      <c r="U131" s="1460"/>
      <c r="V131" s="1460"/>
      <c r="W131" s="1460"/>
      <c r="X131" s="1461"/>
      <c r="Y131" s="61"/>
    </row>
    <row r="132" spans="1:25">
      <c r="A132" s="62"/>
      <c r="B132" s="1457"/>
      <c r="C132" s="1457"/>
      <c r="D132" s="1457"/>
      <c r="E132" s="1457"/>
      <c r="F132" s="1457"/>
      <c r="G132" s="1458"/>
      <c r="H132" s="1462"/>
      <c r="I132" s="1463"/>
      <c r="J132" s="1463"/>
      <c r="K132" s="1463"/>
      <c r="L132" s="1463"/>
      <c r="M132" s="1463"/>
      <c r="N132" s="1463"/>
      <c r="O132" s="1463"/>
      <c r="P132" s="1463"/>
      <c r="Q132" s="1463"/>
      <c r="R132" s="1463"/>
      <c r="S132" s="1463"/>
      <c r="T132" s="1463"/>
      <c r="U132" s="1463"/>
      <c r="V132" s="1463"/>
      <c r="W132" s="1463"/>
      <c r="X132" s="1464"/>
      <c r="Y132" s="61"/>
    </row>
    <row r="133" spans="1:25">
      <c r="A133" s="62"/>
      <c r="B133" s="1457"/>
      <c r="C133" s="1457"/>
      <c r="D133" s="1457"/>
      <c r="E133" s="1457"/>
      <c r="F133" s="1457"/>
      <c r="G133" s="1458"/>
      <c r="H133" s="1474"/>
      <c r="I133" s="1465"/>
      <c r="J133" s="1465"/>
      <c r="K133" s="1465"/>
      <c r="L133" s="1465"/>
      <c r="M133" s="1465"/>
      <c r="N133" s="1465"/>
      <c r="O133" s="1465"/>
      <c r="P133" s="1465"/>
      <c r="Q133" s="1465"/>
      <c r="R133" s="1465"/>
      <c r="S133" s="1465"/>
      <c r="T133" s="1465"/>
      <c r="U133" s="1465"/>
      <c r="V133" s="1465"/>
      <c r="W133" s="1465"/>
      <c r="X133" s="1466"/>
      <c r="Y133" s="61"/>
    </row>
    <row r="134" spans="1:25">
      <c r="A134" s="62"/>
      <c r="B134" s="1457" t="s">
        <v>215</v>
      </c>
      <c r="C134" s="1457"/>
      <c r="D134" s="1457"/>
      <c r="E134" s="1457"/>
      <c r="F134" s="1457"/>
      <c r="G134" s="1458"/>
      <c r="H134" s="1459" t="s">
        <v>216</v>
      </c>
      <c r="I134" s="1460"/>
      <c r="J134" s="1460"/>
      <c r="K134" s="1460"/>
      <c r="L134" s="1460"/>
      <c r="M134" s="1460"/>
      <c r="N134" s="1460"/>
      <c r="O134" s="1460"/>
      <c r="P134" s="1460"/>
      <c r="Q134" s="1460"/>
      <c r="R134" s="1460"/>
      <c r="S134" s="1460"/>
      <c r="T134" s="1460"/>
      <c r="U134" s="1460"/>
      <c r="V134" s="1460"/>
      <c r="W134" s="1460"/>
      <c r="X134" s="1461"/>
      <c r="Y134" s="61"/>
    </row>
    <row r="135" spans="1:25">
      <c r="A135" s="62"/>
      <c r="B135" s="1457"/>
      <c r="C135" s="1457"/>
      <c r="D135" s="1457"/>
      <c r="E135" s="1457"/>
      <c r="F135" s="1457"/>
      <c r="G135" s="1458"/>
      <c r="H135" s="1462"/>
      <c r="I135" s="1463"/>
      <c r="J135" s="1463"/>
      <c r="K135" s="1463"/>
      <c r="L135" s="1463"/>
      <c r="M135" s="1463"/>
      <c r="N135" s="1463"/>
      <c r="O135" s="1463"/>
      <c r="P135" s="1463"/>
      <c r="Q135" s="1463"/>
      <c r="R135" s="1463"/>
      <c r="S135" s="1463"/>
      <c r="T135" s="1463"/>
      <c r="U135" s="1463"/>
      <c r="V135" s="1463"/>
      <c r="W135" s="1463"/>
      <c r="X135" s="1464"/>
      <c r="Y135" s="61"/>
    </row>
    <row r="136" spans="1:25">
      <c r="A136" s="62"/>
      <c r="B136" s="1457"/>
      <c r="C136" s="1457"/>
      <c r="D136" s="1457"/>
      <c r="E136" s="1457"/>
      <c r="F136" s="1457"/>
      <c r="G136" s="1458"/>
      <c r="H136" s="1462"/>
      <c r="I136" s="1463"/>
      <c r="J136" s="1463"/>
      <c r="K136" s="1463"/>
      <c r="L136" s="1463"/>
      <c r="M136" s="1463"/>
      <c r="N136" s="1463"/>
      <c r="O136" s="1463"/>
      <c r="P136" s="1463"/>
      <c r="Q136" s="1463"/>
      <c r="R136" s="1463"/>
      <c r="S136" s="1463"/>
      <c r="T136" s="1463"/>
      <c r="U136" s="1463"/>
      <c r="V136" s="1463"/>
      <c r="W136" s="1463"/>
      <c r="X136" s="1464"/>
      <c r="Y136" s="61"/>
    </row>
    <row r="137" spans="1:25">
      <c r="A137" s="62"/>
      <c r="B137" s="1457"/>
      <c r="C137" s="1457"/>
      <c r="D137" s="1457"/>
      <c r="E137" s="1457"/>
      <c r="F137" s="1457"/>
      <c r="G137" s="1458"/>
      <c r="H137" s="84"/>
      <c r="I137" s="85" t="s">
        <v>7</v>
      </c>
      <c r="J137" s="1463" t="s">
        <v>217</v>
      </c>
      <c r="K137" s="1463"/>
      <c r="L137" s="1463"/>
      <c r="M137" s="1463"/>
      <c r="N137" s="1463"/>
      <c r="O137" s="1463"/>
      <c r="P137" s="1463"/>
      <c r="Q137" s="1463"/>
      <c r="R137" s="1463"/>
      <c r="S137" s="1463"/>
      <c r="T137" s="1463"/>
      <c r="U137" s="1463"/>
      <c r="V137" s="1463"/>
      <c r="W137" s="1463"/>
      <c r="X137" s="1464"/>
      <c r="Y137" s="61"/>
    </row>
    <row r="138" spans="1:25">
      <c r="A138" s="62"/>
      <c r="B138" s="1475"/>
      <c r="C138" s="1475"/>
      <c r="D138" s="1475"/>
      <c r="E138" s="1475"/>
      <c r="F138" s="1475"/>
      <c r="G138" s="1476"/>
      <c r="H138" s="84"/>
      <c r="I138" s="85" t="s">
        <v>7</v>
      </c>
      <c r="J138" s="1463" t="s">
        <v>218</v>
      </c>
      <c r="K138" s="1463"/>
      <c r="L138" s="1463"/>
      <c r="M138" s="1463"/>
      <c r="N138" s="1463"/>
      <c r="O138" s="1463"/>
      <c r="P138" s="1463"/>
      <c r="Q138" s="1463"/>
      <c r="R138" s="1463"/>
      <c r="S138" s="1463"/>
      <c r="T138" s="1463"/>
      <c r="U138" s="1463"/>
      <c r="V138" s="1463"/>
      <c r="W138" s="1463"/>
      <c r="X138" s="1464"/>
      <c r="Y138" s="61"/>
    </row>
    <row r="139" spans="1:25">
      <c r="A139" s="62"/>
      <c r="B139" s="1447" t="s">
        <v>219</v>
      </c>
      <c r="C139" s="1447"/>
      <c r="D139" s="1447"/>
      <c r="E139" s="1447"/>
      <c r="F139" s="1447"/>
      <c r="G139" s="1447"/>
      <c r="H139" s="1473" t="s">
        <v>220</v>
      </c>
      <c r="I139" s="1473"/>
      <c r="J139" s="1473"/>
      <c r="K139" s="1473"/>
      <c r="L139" s="1473"/>
      <c r="M139" s="1473"/>
      <c r="N139" s="1473"/>
      <c r="O139" s="1473"/>
      <c r="P139" s="1473"/>
      <c r="Q139" s="1473"/>
      <c r="R139" s="1473"/>
      <c r="S139" s="1473"/>
      <c r="T139" s="1473"/>
      <c r="U139" s="1473"/>
      <c r="V139" s="1473"/>
      <c r="W139" s="1473"/>
      <c r="X139" s="1473"/>
      <c r="Y139" s="61"/>
    </row>
    <row r="140" spans="1:25">
      <c r="A140" s="62"/>
      <c r="B140" s="1447"/>
      <c r="C140" s="1447"/>
      <c r="D140" s="1447"/>
      <c r="E140" s="1447"/>
      <c r="F140" s="1447"/>
      <c r="G140" s="1447"/>
      <c r="H140" s="1473"/>
      <c r="I140" s="1473"/>
      <c r="J140" s="1473"/>
      <c r="K140" s="1473"/>
      <c r="L140" s="1473"/>
      <c r="M140" s="1473"/>
      <c r="N140" s="1473"/>
      <c r="O140" s="1473"/>
      <c r="P140" s="1473"/>
      <c r="Q140" s="1473"/>
      <c r="R140" s="1473"/>
      <c r="S140" s="1473"/>
      <c r="T140" s="1473"/>
      <c r="U140" s="1473"/>
      <c r="V140" s="1473"/>
      <c r="W140" s="1473"/>
      <c r="X140" s="1473"/>
      <c r="Y140" s="61"/>
    </row>
    <row r="141" spans="1:25">
      <c r="A141" s="62"/>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1"/>
    </row>
    <row r="142" spans="1:25">
      <c r="A142" s="58" t="s">
        <v>221</v>
      </c>
      <c r="B142" s="59" t="s">
        <v>222</v>
      </c>
      <c r="C142" s="60"/>
      <c r="D142" s="60"/>
      <c r="E142" s="60"/>
      <c r="F142" s="60"/>
      <c r="G142" s="60"/>
      <c r="H142" s="60"/>
      <c r="I142" s="60"/>
      <c r="J142" s="60"/>
      <c r="K142" s="60"/>
      <c r="L142" s="60"/>
      <c r="M142" s="60"/>
      <c r="N142" s="60"/>
      <c r="O142" s="60"/>
      <c r="P142" s="60"/>
      <c r="Q142" s="60"/>
      <c r="R142" s="60"/>
      <c r="S142" s="60"/>
      <c r="T142" s="60"/>
      <c r="U142" s="60"/>
      <c r="V142" s="60"/>
      <c r="W142" s="60"/>
      <c r="X142" s="60"/>
      <c r="Y142" s="61"/>
    </row>
    <row r="143" spans="1:25">
      <c r="A143" s="62"/>
      <c r="B143" s="1413" t="s">
        <v>140</v>
      </c>
      <c r="C143" s="1413"/>
      <c r="D143" s="1413"/>
      <c r="E143" s="1413"/>
      <c r="F143" s="1413"/>
      <c r="G143" s="1413"/>
      <c r="H143" s="1413" t="s">
        <v>141</v>
      </c>
      <c r="I143" s="1413"/>
      <c r="J143" s="1413"/>
      <c r="K143" s="1413"/>
      <c r="L143" s="1413"/>
      <c r="M143" s="1413"/>
      <c r="N143" s="1413"/>
      <c r="O143" s="1413"/>
      <c r="P143" s="1413"/>
      <c r="Q143" s="1413"/>
      <c r="R143" s="1413"/>
      <c r="S143" s="1413"/>
      <c r="T143" s="1413"/>
      <c r="U143" s="1413"/>
      <c r="V143" s="1413"/>
      <c r="W143" s="1413"/>
      <c r="X143" s="1413"/>
      <c r="Y143" s="61"/>
    </row>
    <row r="144" spans="1:25">
      <c r="A144" s="62"/>
      <c r="B144" s="1408" t="s">
        <v>223</v>
      </c>
      <c r="C144" s="1408"/>
      <c r="D144" s="1408"/>
      <c r="E144" s="1408"/>
      <c r="F144" s="1408"/>
      <c r="G144" s="1408"/>
      <c r="H144" s="1473" t="s">
        <v>224</v>
      </c>
      <c r="I144" s="1473"/>
      <c r="J144" s="1473"/>
      <c r="K144" s="1473"/>
      <c r="L144" s="1473"/>
      <c r="M144" s="1473"/>
      <c r="N144" s="1473"/>
      <c r="O144" s="1473"/>
      <c r="P144" s="1473"/>
      <c r="Q144" s="1473"/>
      <c r="R144" s="1473"/>
      <c r="S144" s="1473"/>
      <c r="T144" s="1473"/>
      <c r="U144" s="1473"/>
      <c r="V144" s="1473"/>
      <c r="W144" s="1473"/>
      <c r="X144" s="1473"/>
      <c r="Y144" s="61"/>
    </row>
    <row r="145" spans="1:25">
      <c r="A145" s="62"/>
      <c r="B145" s="1408"/>
      <c r="C145" s="1408"/>
      <c r="D145" s="1408"/>
      <c r="E145" s="1408"/>
      <c r="F145" s="1408"/>
      <c r="G145" s="1408"/>
      <c r="H145" s="1473"/>
      <c r="I145" s="1473"/>
      <c r="J145" s="1473"/>
      <c r="K145" s="1473"/>
      <c r="L145" s="1473"/>
      <c r="M145" s="1473"/>
      <c r="N145" s="1473"/>
      <c r="O145" s="1473"/>
      <c r="P145" s="1473"/>
      <c r="Q145" s="1473"/>
      <c r="R145" s="1473"/>
      <c r="S145" s="1473"/>
      <c r="T145" s="1473"/>
      <c r="U145" s="1473"/>
      <c r="V145" s="1473"/>
      <c r="W145" s="1473"/>
      <c r="X145" s="1473"/>
      <c r="Y145" s="61"/>
    </row>
    <row r="146" spans="1:25">
      <c r="A146" s="62"/>
      <c r="B146" s="1408"/>
      <c r="C146" s="1408"/>
      <c r="D146" s="1408"/>
      <c r="E146" s="1408"/>
      <c r="F146" s="1408"/>
      <c r="G146" s="1408"/>
      <c r="H146" s="1473"/>
      <c r="I146" s="1473"/>
      <c r="J146" s="1473"/>
      <c r="K146" s="1473"/>
      <c r="L146" s="1473"/>
      <c r="M146" s="1473"/>
      <c r="N146" s="1473"/>
      <c r="O146" s="1473"/>
      <c r="P146" s="1473"/>
      <c r="Q146" s="1473"/>
      <c r="R146" s="1473"/>
      <c r="S146" s="1473"/>
      <c r="T146" s="1473"/>
      <c r="U146" s="1473"/>
      <c r="V146" s="1473"/>
      <c r="W146" s="1473"/>
      <c r="X146" s="1473"/>
      <c r="Y146" s="61"/>
    </row>
    <row r="147" spans="1:25">
      <c r="A147" s="62"/>
      <c r="B147" s="1447" t="s">
        <v>225</v>
      </c>
      <c r="C147" s="1447"/>
      <c r="D147" s="1447"/>
      <c r="E147" s="1447"/>
      <c r="F147" s="1447"/>
      <c r="G147" s="1447"/>
      <c r="H147" s="1473" t="s">
        <v>226</v>
      </c>
      <c r="I147" s="1473"/>
      <c r="J147" s="1473"/>
      <c r="K147" s="1473"/>
      <c r="L147" s="1473"/>
      <c r="M147" s="1473"/>
      <c r="N147" s="1473"/>
      <c r="O147" s="1473"/>
      <c r="P147" s="1473"/>
      <c r="Q147" s="1473"/>
      <c r="R147" s="1473"/>
      <c r="S147" s="1473"/>
      <c r="T147" s="1473"/>
      <c r="U147" s="1473"/>
      <c r="V147" s="1473"/>
      <c r="W147" s="1473"/>
      <c r="X147" s="1473"/>
      <c r="Y147" s="61"/>
    </row>
    <row r="148" spans="1:25">
      <c r="A148" s="62"/>
      <c r="B148" s="1447"/>
      <c r="C148" s="1447"/>
      <c r="D148" s="1447"/>
      <c r="E148" s="1447"/>
      <c r="F148" s="1447"/>
      <c r="G148" s="1447"/>
      <c r="H148" s="1473"/>
      <c r="I148" s="1473"/>
      <c r="J148" s="1473"/>
      <c r="K148" s="1473"/>
      <c r="L148" s="1473"/>
      <c r="M148" s="1473"/>
      <c r="N148" s="1473"/>
      <c r="O148" s="1473"/>
      <c r="P148" s="1473"/>
      <c r="Q148" s="1473"/>
      <c r="R148" s="1473"/>
      <c r="S148" s="1473"/>
      <c r="T148" s="1473"/>
      <c r="U148" s="1473"/>
      <c r="V148" s="1473"/>
      <c r="W148" s="1473"/>
      <c r="X148" s="1473"/>
      <c r="Y148" s="61"/>
    </row>
    <row r="149" spans="1:25">
      <c r="A149" s="62"/>
      <c r="B149" s="1447" t="s">
        <v>227</v>
      </c>
      <c r="C149" s="1447"/>
      <c r="D149" s="1447"/>
      <c r="E149" s="1447"/>
      <c r="F149" s="1447"/>
      <c r="G149" s="1447"/>
      <c r="H149" s="1473" t="s">
        <v>228</v>
      </c>
      <c r="I149" s="1473"/>
      <c r="J149" s="1473"/>
      <c r="K149" s="1473"/>
      <c r="L149" s="1473"/>
      <c r="M149" s="1473"/>
      <c r="N149" s="1473"/>
      <c r="O149" s="1473"/>
      <c r="P149" s="1473"/>
      <c r="Q149" s="1473"/>
      <c r="R149" s="1473"/>
      <c r="S149" s="1473"/>
      <c r="T149" s="1473"/>
      <c r="U149" s="1473"/>
      <c r="V149" s="1473"/>
      <c r="W149" s="1473"/>
      <c r="X149" s="1473"/>
      <c r="Y149" s="61"/>
    </row>
    <row r="150" spans="1:25">
      <c r="A150" s="62"/>
      <c r="B150" s="1447"/>
      <c r="C150" s="1447"/>
      <c r="D150" s="1447"/>
      <c r="E150" s="1447"/>
      <c r="F150" s="1447"/>
      <c r="G150" s="1447"/>
      <c r="H150" s="1473"/>
      <c r="I150" s="1473"/>
      <c r="J150" s="1473"/>
      <c r="K150" s="1473"/>
      <c r="L150" s="1473"/>
      <c r="M150" s="1473"/>
      <c r="N150" s="1473"/>
      <c r="O150" s="1473"/>
      <c r="P150" s="1473"/>
      <c r="Q150" s="1473"/>
      <c r="R150" s="1473"/>
      <c r="S150" s="1473"/>
      <c r="T150" s="1473"/>
      <c r="U150" s="1473"/>
      <c r="V150" s="1473"/>
      <c r="W150" s="1473"/>
      <c r="X150" s="1473"/>
      <c r="Y150" s="61"/>
    </row>
    <row r="151" spans="1:25">
      <c r="A151" s="62"/>
      <c r="B151" s="1408" t="s">
        <v>229</v>
      </c>
      <c r="C151" s="1408"/>
      <c r="D151" s="1408"/>
      <c r="E151" s="1408"/>
      <c r="F151" s="1408"/>
      <c r="G151" s="1408"/>
      <c r="H151" s="1462"/>
      <c r="I151" s="1463"/>
      <c r="J151" s="1463"/>
      <c r="K151" s="1463"/>
      <c r="L151" s="1463"/>
      <c r="M151" s="1463"/>
      <c r="N151" s="1463"/>
      <c r="O151" s="1463"/>
      <c r="P151" s="1463"/>
      <c r="Q151" s="1463"/>
      <c r="R151" s="1463"/>
      <c r="S151" s="1463"/>
      <c r="T151" s="1463"/>
      <c r="U151" s="1463"/>
      <c r="V151" s="1463"/>
      <c r="W151" s="1463"/>
      <c r="X151" s="1464"/>
      <c r="Y151" s="61"/>
    </row>
    <row r="152" spans="1:25">
      <c r="A152" s="62"/>
      <c r="B152" s="1408"/>
      <c r="C152" s="1408"/>
      <c r="D152" s="1408"/>
      <c r="E152" s="1408"/>
      <c r="F152" s="1408"/>
      <c r="G152" s="1408"/>
      <c r="H152" s="1462"/>
      <c r="I152" s="1463"/>
      <c r="J152" s="1463"/>
      <c r="K152" s="1463"/>
      <c r="L152" s="1463"/>
      <c r="M152" s="1463"/>
      <c r="N152" s="1463"/>
      <c r="O152" s="1463"/>
      <c r="P152" s="1463"/>
      <c r="Q152" s="1463"/>
      <c r="R152" s="1463"/>
      <c r="S152" s="1463"/>
      <c r="T152" s="1463"/>
      <c r="U152" s="1463"/>
      <c r="V152" s="1463"/>
      <c r="W152" s="1463"/>
      <c r="X152" s="1464"/>
      <c r="Y152" s="61"/>
    </row>
    <row r="153" spans="1:25">
      <c r="A153" s="62"/>
      <c r="B153" s="1408"/>
      <c r="C153" s="1408"/>
      <c r="D153" s="1408"/>
      <c r="E153" s="1408"/>
      <c r="F153" s="1408"/>
      <c r="G153" s="1408"/>
      <c r="H153" s="1462"/>
      <c r="I153" s="1463"/>
      <c r="J153" s="1463"/>
      <c r="K153" s="1463"/>
      <c r="L153" s="1463"/>
      <c r="M153" s="1463"/>
      <c r="N153" s="1463"/>
      <c r="O153" s="1463"/>
      <c r="P153" s="1463"/>
      <c r="Q153" s="1463"/>
      <c r="R153" s="1463"/>
      <c r="S153" s="1463"/>
      <c r="T153" s="1463"/>
      <c r="U153" s="1463"/>
      <c r="V153" s="1463"/>
      <c r="W153" s="1463"/>
      <c r="X153" s="1464"/>
      <c r="Y153" s="61"/>
    </row>
    <row r="154" spans="1:25">
      <c r="A154" s="62"/>
      <c r="B154" s="1408"/>
      <c r="C154" s="1408"/>
      <c r="D154" s="1408"/>
      <c r="E154" s="1408"/>
      <c r="F154" s="1408"/>
      <c r="G154" s="1408"/>
      <c r="H154" s="1462"/>
      <c r="I154" s="1463"/>
      <c r="J154" s="1463"/>
      <c r="K154" s="1463"/>
      <c r="L154" s="1463"/>
      <c r="M154" s="1463"/>
      <c r="N154" s="1463"/>
      <c r="O154" s="1463"/>
      <c r="P154" s="1463"/>
      <c r="Q154" s="1463"/>
      <c r="R154" s="1463"/>
      <c r="S154" s="1463"/>
      <c r="T154" s="1463"/>
      <c r="U154" s="1463"/>
      <c r="V154" s="1463"/>
      <c r="W154" s="1463"/>
      <c r="X154" s="1464"/>
      <c r="Y154" s="61"/>
    </row>
    <row r="155" spans="1:25">
      <c r="A155" s="62"/>
      <c r="B155" s="1447" t="s">
        <v>230</v>
      </c>
      <c r="C155" s="1447"/>
      <c r="D155" s="1447"/>
      <c r="E155" s="1447"/>
      <c r="F155" s="1447"/>
      <c r="G155" s="1447"/>
      <c r="H155" s="1473" t="s">
        <v>231</v>
      </c>
      <c r="I155" s="1473"/>
      <c r="J155" s="1473"/>
      <c r="K155" s="1473"/>
      <c r="L155" s="1473"/>
      <c r="M155" s="1473"/>
      <c r="N155" s="1473"/>
      <c r="O155" s="1473"/>
      <c r="P155" s="1473"/>
      <c r="Q155" s="1473"/>
      <c r="R155" s="1473"/>
      <c r="S155" s="1473"/>
      <c r="T155" s="1473"/>
      <c r="U155" s="1473"/>
      <c r="V155" s="1473"/>
      <c r="W155" s="1473"/>
      <c r="X155" s="1473"/>
      <c r="Y155" s="61"/>
    </row>
    <row r="156" spans="1:25">
      <c r="A156" s="62"/>
      <c r="B156" s="1447"/>
      <c r="C156" s="1447"/>
      <c r="D156" s="1447"/>
      <c r="E156" s="1447"/>
      <c r="F156" s="1447"/>
      <c r="G156" s="1447"/>
      <c r="H156" s="1473"/>
      <c r="I156" s="1473"/>
      <c r="J156" s="1473"/>
      <c r="K156" s="1473"/>
      <c r="L156" s="1473"/>
      <c r="M156" s="1473"/>
      <c r="N156" s="1473"/>
      <c r="O156" s="1473"/>
      <c r="P156" s="1473"/>
      <c r="Q156" s="1473"/>
      <c r="R156" s="1473"/>
      <c r="S156" s="1473"/>
      <c r="T156" s="1473"/>
      <c r="U156" s="1473"/>
      <c r="V156" s="1473"/>
      <c r="W156" s="1473"/>
      <c r="X156" s="1473"/>
      <c r="Y156" s="61"/>
    </row>
    <row r="157" spans="1:25">
      <c r="A157" s="62"/>
      <c r="B157" s="1457" t="s">
        <v>232</v>
      </c>
      <c r="C157" s="1457"/>
      <c r="D157" s="1457"/>
      <c r="E157" s="1457"/>
      <c r="F157" s="1457"/>
      <c r="G157" s="1457"/>
      <c r="H157" s="1462"/>
      <c r="I157" s="1463"/>
      <c r="J157" s="1463"/>
      <c r="K157" s="1463"/>
      <c r="L157" s="1463"/>
      <c r="M157" s="1463"/>
      <c r="N157" s="1463"/>
      <c r="O157" s="1463"/>
      <c r="P157" s="1463"/>
      <c r="Q157" s="1463"/>
      <c r="R157" s="1463"/>
      <c r="S157" s="1463"/>
      <c r="T157" s="1463"/>
      <c r="U157" s="1463"/>
      <c r="V157" s="1463"/>
      <c r="W157" s="1463"/>
      <c r="X157" s="1464"/>
      <c r="Y157" s="61"/>
    </row>
    <row r="158" spans="1:25">
      <c r="A158" s="62"/>
      <c r="B158" s="1457"/>
      <c r="C158" s="1457"/>
      <c r="D158" s="1457"/>
      <c r="E158" s="1457"/>
      <c r="F158" s="1457"/>
      <c r="G158" s="1457"/>
      <c r="H158" s="1462"/>
      <c r="I158" s="1463"/>
      <c r="J158" s="1463"/>
      <c r="K158" s="1463"/>
      <c r="L158" s="1463"/>
      <c r="M158" s="1463"/>
      <c r="N158" s="1463"/>
      <c r="O158" s="1463"/>
      <c r="P158" s="1463"/>
      <c r="Q158" s="1463"/>
      <c r="R158" s="1463"/>
      <c r="S158" s="1463"/>
      <c r="T158" s="1463"/>
      <c r="U158" s="1463"/>
      <c r="V158" s="1463"/>
      <c r="W158" s="1463"/>
      <c r="X158" s="1464"/>
      <c r="Y158" s="61"/>
    </row>
    <row r="159" spans="1:25">
      <c r="A159" s="62"/>
      <c r="B159" s="1457"/>
      <c r="C159" s="1457"/>
      <c r="D159" s="1457"/>
      <c r="E159" s="1457"/>
      <c r="F159" s="1457"/>
      <c r="G159" s="1457"/>
      <c r="H159" s="84"/>
      <c r="I159" s="85" t="s">
        <v>7</v>
      </c>
      <c r="J159" s="1463" t="s">
        <v>233</v>
      </c>
      <c r="K159" s="1463"/>
      <c r="L159" s="1463"/>
      <c r="M159" s="1463"/>
      <c r="N159" s="1463"/>
      <c r="O159" s="1463"/>
      <c r="P159" s="1463"/>
      <c r="Q159" s="1463"/>
      <c r="R159" s="1463"/>
      <c r="S159" s="1463"/>
      <c r="T159" s="1463"/>
      <c r="U159" s="1463"/>
      <c r="V159" s="1463"/>
      <c r="W159" s="1463"/>
      <c r="X159" s="1464"/>
      <c r="Y159" s="61"/>
    </row>
    <row r="160" spans="1:25">
      <c r="A160" s="62"/>
      <c r="B160" s="1457"/>
      <c r="C160" s="1457"/>
      <c r="D160" s="1457"/>
      <c r="E160" s="1457"/>
      <c r="F160" s="1457"/>
      <c r="G160" s="1457"/>
      <c r="H160" s="86"/>
      <c r="I160" s="87" t="s">
        <v>7</v>
      </c>
      <c r="J160" s="1465" t="s">
        <v>234</v>
      </c>
      <c r="K160" s="1465"/>
      <c r="L160" s="1465"/>
      <c r="M160" s="1465"/>
      <c r="N160" s="1465"/>
      <c r="O160" s="1465"/>
      <c r="P160" s="1465"/>
      <c r="Q160" s="1465"/>
      <c r="R160" s="1465"/>
      <c r="S160" s="1465"/>
      <c r="T160" s="1465"/>
      <c r="U160" s="1465"/>
      <c r="V160" s="1465"/>
      <c r="W160" s="1465"/>
      <c r="X160" s="1466"/>
      <c r="Y160" s="61"/>
    </row>
    <row r="161" spans="1:25">
      <c r="A161" s="62"/>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1"/>
    </row>
    <row r="162" spans="1:25">
      <c r="A162" s="58" t="s">
        <v>235</v>
      </c>
      <c r="B162" s="59" t="s">
        <v>236</v>
      </c>
      <c r="C162" s="60"/>
      <c r="D162" s="60"/>
      <c r="E162" s="60"/>
      <c r="F162" s="60"/>
      <c r="G162" s="60"/>
      <c r="H162" s="60"/>
      <c r="I162" s="60"/>
      <c r="J162" s="60"/>
      <c r="K162" s="60"/>
      <c r="L162" s="60"/>
      <c r="M162" s="60"/>
      <c r="N162" s="60"/>
      <c r="O162" s="60"/>
      <c r="P162" s="60"/>
      <c r="Q162" s="60"/>
      <c r="R162" s="60"/>
      <c r="S162" s="60"/>
      <c r="T162" s="60"/>
      <c r="U162" s="60"/>
      <c r="V162" s="60"/>
      <c r="W162" s="60"/>
      <c r="X162" s="60"/>
      <c r="Y162" s="61"/>
    </row>
    <row r="163" spans="1:25">
      <c r="A163" s="62"/>
      <c r="B163" s="1413" t="s">
        <v>140</v>
      </c>
      <c r="C163" s="1413"/>
      <c r="D163" s="1413"/>
      <c r="E163" s="1413"/>
      <c r="F163" s="1413"/>
      <c r="G163" s="1413"/>
      <c r="H163" s="1413" t="s">
        <v>141</v>
      </c>
      <c r="I163" s="1413"/>
      <c r="J163" s="1413"/>
      <c r="K163" s="1413"/>
      <c r="L163" s="1413"/>
      <c r="M163" s="1413"/>
      <c r="N163" s="1413"/>
      <c r="O163" s="1413"/>
      <c r="P163" s="1413"/>
      <c r="Q163" s="1413"/>
      <c r="R163" s="1413"/>
      <c r="S163" s="1413"/>
      <c r="T163" s="1413"/>
      <c r="U163" s="1413"/>
      <c r="V163" s="1413"/>
      <c r="W163" s="1413"/>
      <c r="X163" s="1413"/>
      <c r="Y163" s="61"/>
    </row>
    <row r="164" spans="1:25">
      <c r="A164" s="62"/>
      <c r="B164" s="1448" t="s">
        <v>237</v>
      </c>
      <c r="C164" s="1449"/>
      <c r="D164" s="1449"/>
      <c r="E164" s="1449"/>
      <c r="F164" s="1449"/>
      <c r="G164" s="1450"/>
      <c r="H164" s="1477" t="s">
        <v>238</v>
      </c>
      <c r="I164" s="1478"/>
      <c r="J164" s="1478"/>
      <c r="K164" s="1478"/>
      <c r="L164" s="1478"/>
      <c r="M164" s="1478"/>
      <c r="N164" s="1478"/>
      <c r="O164" s="1478"/>
      <c r="P164" s="1478"/>
      <c r="Q164" s="1478"/>
      <c r="R164" s="1478"/>
      <c r="S164" s="1478"/>
      <c r="T164" s="1478"/>
      <c r="U164" s="1478"/>
      <c r="V164" s="1478"/>
      <c r="W164" s="1478"/>
      <c r="X164" s="1479"/>
      <c r="Y164" s="61"/>
    </row>
    <row r="165" spans="1:25">
      <c r="A165" s="62"/>
      <c r="B165" s="1454"/>
      <c r="C165" s="1455"/>
      <c r="D165" s="1455"/>
      <c r="E165" s="1455"/>
      <c r="F165" s="1455"/>
      <c r="G165" s="1456"/>
      <c r="H165" s="1480"/>
      <c r="I165" s="1481"/>
      <c r="J165" s="1481"/>
      <c r="K165" s="1481"/>
      <c r="L165" s="1481"/>
      <c r="M165" s="1481"/>
      <c r="N165" s="1481"/>
      <c r="O165" s="1481"/>
      <c r="P165" s="1481"/>
      <c r="Q165" s="1481"/>
      <c r="R165" s="1481"/>
      <c r="S165" s="1481"/>
      <c r="T165" s="1481"/>
      <c r="U165" s="1481"/>
      <c r="V165" s="1481"/>
      <c r="W165" s="1481"/>
      <c r="X165" s="1482"/>
      <c r="Y165" s="61"/>
    </row>
    <row r="166" spans="1:25">
      <c r="A166" s="62"/>
      <c r="B166" s="1448" t="s">
        <v>239</v>
      </c>
      <c r="C166" s="1449"/>
      <c r="D166" s="1449"/>
      <c r="E166" s="1449"/>
      <c r="F166" s="1449"/>
      <c r="G166" s="1450"/>
      <c r="H166" s="1459" t="s">
        <v>240</v>
      </c>
      <c r="I166" s="1460"/>
      <c r="J166" s="1460"/>
      <c r="K166" s="1460"/>
      <c r="L166" s="1460"/>
      <c r="M166" s="1460"/>
      <c r="N166" s="1460"/>
      <c r="O166" s="1460"/>
      <c r="P166" s="1460"/>
      <c r="Q166" s="1460"/>
      <c r="R166" s="1460"/>
      <c r="S166" s="1460"/>
      <c r="T166" s="1460"/>
      <c r="U166" s="1460"/>
      <c r="V166" s="1460"/>
      <c r="W166" s="1460"/>
      <c r="X166" s="1461"/>
      <c r="Y166" s="61"/>
    </row>
    <row r="167" spans="1:25">
      <c r="A167" s="62"/>
      <c r="B167" s="1451"/>
      <c r="C167" s="1452"/>
      <c r="D167" s="1452"/>
      <c r="E167" s="1452"/>
      <c r="F167" s="1452"/>
      <c r="G167" s="1453"/>
      <c r="H167" s="1462"/>
      <c r="I167" s="1463"/>
      <c r="J167" s="1463"/>
      <c r="K167" s="1463"/>
      <c r="L167" s="1463"/>
      <c r="M167" s="1463"/>
      <c r="N167" s="1463"/>
      <c r="O167" s="1463"/>
      <c r="P167" s="1463"/>
      <c r="Q167" s="1463"/>
      <c r="R167" s="1463"/>
      <c r="S167" s="1463"/>
      <c r="T167" s="1463"/>
      <c r="U167" s="1463"/>
      <c r="V167" s="1463"/>
      <c r="W167" s="1463"/>
      <c r="X167" s="1464"/>
      <c r="Y167" s="61"/>
    </row>
    <row r="168" spans="1:25">
      <c r="A168" s="62"/>
      <c r="B168" s="1451"/>
      <c r="C168" s="1452"/>
      <c r="D168" s="1452"/>
      <c r="E168" s="1452"/>
      <c r="F168" s="1452"/>
      <c r="G168" s="1453"/>
      <c r="H168" s="1462"/>
      <c r="I168" s="1463"/>
      <c r="J168" s="1463"/>
      <c r="K168" s="1463"/>
      <c r="L168" s="1463"/>
      <c r="M168" s="1463"/>
      <c r="N168" s="1463"/>
      <c r="O168" s="1463"/>
      <c r="P168" s="1463"/>
      <c r="Q168" s="1463"/>
      <c r="R168" s="1463"/>
      <c r="S168" s="1463"/>
      <c r="T168" s="1463"/>
      <c r="U168" s="1463"/>
      <c r="V168" s="1463"/>
      <c r="W168" s="1463"/>
      <c r="X168" s="1464"/>
      <c r="Y168" s="61"/>
    </row>
    <row r="169" spans="1:25">
      <c r="A169" s="62"/>
      <c r="B169" s="1451"/>
      <c r="C169" s="1452"/>
      <c r="D169" s="1452"/>
      <c r="E169" s="1452"/>
      <c r="F169" s="1452"/>
      <c r="G169" s="1453"/>
      <c r="H169" s="84"/>
      <c r="I169" s="85" t="s">
        <v>7</v>
      </c>
      <c r="J169" s="1463" t="s">
        <v>241</v>
      </c>
      <c r="K169" s="1463"/>
      <c r="L169" s="1463"/>
      <c r="M169" s="1463"/>
      <c r="N169" s="1463"/>
      <c r="O169" s="1463"/>
      <c r="P169" s="1463"/>
      <c r="Q169" s="1463"/>
      <c r="R169" s="1463"/>
      <c r="S169" s="1463"/>
      <c r="T169" s="1463"/>
      <c r="U169" s="1463"/>
      <c r="V169" s="1463"/>
      <c r="W169" s="1463"/>
      <c r="X169" s="1464"/>
      <c r="Y169" s="61"/>
    </row>
    <row r="170" spans="1:25">
      <c r="A170" s="62"/>
      <c r="B170" s="1451"/>
      <c r="C170" s="1452"/>
      <c r="D170" s="1452"/>
      <c r="E170" s="1452"/>
      <c r="F170" s="1452"/>
      <c r="G170" s="1453"/>
      <c r="H170" s="84"/>
      <c r="I170" s="85" t="s">
        <v>7</v>
      </c>
      <c r="J170" s="1463" t="s">
        <v>183</v>
      </c>
      <c r="K170" s="1463"/>
      <c r="L170" s="1463"/>
      <c r="M170" s="1463"/>
      <c r="N170" s="1463"/>
      <c r="O170" s="1463"/>
      <c r="P170" s="1463"/>
      <c r="Q170" s="1463"/>
      <c r="R170" s="1463"/>
      <c r="S170" s="1463"/>
      <c r="T170" s="1463"/>
      <c r="U170" s="1463"/>
      <c r="V170" s="1463"/>
      <c r="W170" s="1463"/>
      <c r="X170" s="1464"/>
      <c r="Y170" s="61"/>
    </row>
    <row r="171" spans="1:25">
      <c r="A171" s="62"/>
      <c r="B171" s="1451"/>
      <c r="C171" s="1452"/>
      <c r="D171" s="1452"/>
      <c r="E171" s="1452"/>
      <c r="F171" s="1452"/>
      <c r="G171" s="1453"/>
      <c r="H171" s="84"/>
      <c r="I171" s="85" t="s">
        <v>7</v>
      </c>
      <c r="J171" s="1463"/>
      <c r="K171" s="1463"/>
      <c r="L171" s="1463"/>
      <c r="M171" s="1463"/>
      <c r="N171" s="1463"/>
      <c r="O171" s="1463"/>
      <c r="P171" s="1463"/>
      <c r="Q171" s="1463"/>
      <c r="R171" s="1463"/>
      <c r="S171" s="1463"/>
      <c r="T171" s="1463"/>
      <c r="U171" s="1463"/>
      <c r="V171" s="1463"/>
      <c r="W171" s="1463"/>
      <c r="X171" s="1464"/>
      <c r="Y171" s="61"/>
    </row>
    <row r="172" spans="1:25">
      <c r="A172" s="62"/>
      <c r="B172" s="1451"/>
      <c r="C172" s="1452"/>
      <c r="D172" s="1452"/>
      <c r="E172" s="1452"/>
      <c r="F172" s="1452"/>
      <c r="G172" s="1453"/>
      <c r="H172" s="84"/>
      <c r="I172" s="85"/>
      <c r="J172" s="1463"/>
      <c r="K172" s="1463"/>
      <c r="L172" s="1463"/>
      <c r="M172" s="1463"/>
      <c r="N172" s="1463"/>
      <c r="O172" s="1463"/>
      <c r="P172" s="1463"/>
      <c r="Q172" s="1463"/>
      <c r="R172" s="1463"/>
      <c r="S172" s="1463"/>
      <c r="T172" s="1463"/>
      <c r="U172" s="1463"/>
      <c r="V172" s="1463"/>
      <c r="W172" s="1463"/>
      <c r="X172" s="1464"/>
      <c r="Y172" s="61"/>
    </row>
    <row r="173" spans="1:25">
      <c r="A173" s="62"/>
      <c r="B173" s="1451"/>
      <c r="C173" s="1452"/>
      <c r="D173" s="1452"/>
      <c r="E173" s="1452"/>
      <c r="F173" s="1452"/>
      <c r="G173" s="1453"/>
      <c r="H173" s="84"/>
      <c r="I173" s="85"/>
      <c r="J173" s="1463"/>
      <c r="K173" s="1463"/>
      <c r="L173" s="1463"/>
      <c r="M173" s="1463"/>
      <c r="N173" s="1463"/>
      <c r="O173" s="1463"/>
      <c r="P173" s="1463"/>
      <c r="Q173" s="1463"/>
      <c r="R173" s="1463"/>
      <c r="S173" s="1463"/>
      <c r="T173" s="1463"/>
      <c r="U173" s="1463"/>
      <c r="V173" s="1463"/>
      <c r="W173" s="1463"/>
      <c r="X173" s="1464"/>
      <c r="Y173" s="61"/>
    </row>
    <row r="174" spans="1:25">
      <c r="A174" s="62"/>
      <c r="B174" s="1454"/>
      <c r="C174" s="1455"/>
      <c r="D174" s="1455"/>
      <c r="E174" s="1455"/>
      <c r="F174" s="1455"/>
      <c r="G174" s="1456"/>
      <c r="H174" s="86"/>
      <c r="I174" s="88"/>
      <c r="J174" s="1465"/>
      <c r="K174" s="1465"/>
      <c r="L174" s="1465"/>
      <c r="M174" s="1465"/>
      <c r="N174" s="1465"/>
      <c r="O174" s="1465"/>
      <c r="P174" s="1465"/>
      <c r="Q174" s="1465"/>
      <c r="R174" s="1465"/>
      <c r="S174" s="1465"/>
      <c r="T174" s="1465"/>
      <c r="U174" s="1465"/>
      <c r="V174" s="1465"/>
      <c r="W174" s="1465"/>
      <c r="X174" s="1466"/>
      <c r="Y174" s="61"/>
    </row>
    <row r="175" spans="1:25">
      <c r="A175" s="62"/>
      <c r="B175" s="1448" t="s">
        <v>242</v>
      </c>
      <c r="C175" s="1449"/>
      <c r="D175" s="1449"/>
      <c r="E175" s="1449"/>
      <c r="F175" s="1449"/>
      <c r="G175" s="1450"/>
      <c r="H175" s="1459" t="s">
        <v>243</v>
      </c>
      <c r="I175" s="1460"/>
      <c r="J175" s="1460"/>
      <c r="K175" s="1460"/>
      <c r="L175" s="1460"/>
      <c r="M175" s="1460"/>
      <c r="N175" s="1460"/>
      <c r="O175" s="1460"/>
      <c r="P175" s="1460"/>
      <c r="Q175" s="1460"/>
      <c r="R175" s="1460"/>
      <c r="S175" s="1460"/>
      <c r="T175" s="1460"/>
      <c r="U175" s="1460"/>
      <c r="V175" s="1460"/>
      <c r="W175" s="1460"/>
      <c r="X175" s="1461"/>
      <c r="Y175" s="61"/>
    </row>
    <row r="176" spans="1:25">
      <c r="A176" s="62"/>
      <c r="B176" s="1451"/>
      <c r="C176" s="1452"/>
      <c r="D176" s="1452"/>
      <c r="E176" s="1452"/>
      <c r="F176" s="1452"/>
      <c r="G176" s="1453"/>
      <c r="H176" s="1462"/>
      <c r="I176" s="1463"/>
      <c r="J176" s="1463"/>
      <c r="K176" s="1463"/>
      <c r="L176" s="1463"/>
      <c r="M176" s="1463"/>
      <c r="N176" s="1463"/>
      <c r="O176" s="1463"/>
      <c r="P176" s="1463"/>
      <c r="Q176" s="1463"/>
      <c r="R176" s="1463"/>
      <c r="S176" s="1463"/>
      <c r="T176" s="1463"/>
      <c r="U176" s="1463"/>
      <c r="V176" s="1463"/>
      <c r="W176" s="1463"/>
      <c r="X176" s="1464"/>
      <c r="Y176" s="61"/>
    </row>
    <row r="177" spans="1:25">
      <c r="A177" s="62"/>
      <c r="B177" s="1451"/>
      <c r="C177" s="1452"/>
      <c r="D177" s="1452"/>
      <c r="E177" s="1452"/>
      <c r="F177" s="1452"/>
      <c r="G177" s="1453"/>
      <c r="H177" s="84"/>
      <c r="I177" s="85" t="s">
        <v>7</v>
      </c>
      <c r="J177" s="1463" t="s">
        <v>244</v>
      </c>
      <c r="K177" s="1463"/>
      <c r="L177" s="1463"/>
      <c r="M177" s="1463"/>
      <c r="N177" s="1463"/>
      <c r="O177" s="1463"/>
      <c r="P177" s="1463"/>
      <c r="Q177" s="1463"/>
      <c r="R177" s="1463"/>
      <c r="S177" s="1463"/>
      <c r="T177" s="1463"/>
      <c r="U177" s="1463"/>
      <c r="V177" s="1463"/>
      <c r="W177" s="1463"/>
      <c r="X177" s="1464"/>
      <c r="Y177" s="61"/>
    </row>
    <row r="178" spans="1:25">
      <c r="A178" s="62"/>
      <c r="B178" s="1451"/>
      <c r="C178" s="1452"/>
      <c r="D178" s="1452"/>
      <c r="E178" s="1452"/>
      <c r="F178" s="1452"/>
      <c r="G178" s="1453"/>
      <c r="H178" s="84"/>
      <c r="I178" s="85" t="s">
        <v>7</v>
      </c>
      <c r="J178" s="1463" t="s">
        <v>245</v>
      </c>
      <c r="K178" s="1463"/>
      <c r="L178" s="1463"/>
      <c r="M178" s="1463"/>
      <c r="N178" s="1463"/>
      <c r="O178" s="1463"/>
      <c r="P178" s="1463"/>
      <c r="Q178" s="1463"/>
      <c r="R178" s="1463"/>
      <c r="S178" s="1463"/>
      <c r="T178" s="1463"/>
      <c r="U178" s="1463"/>
      <c r="V178" s="1463"/>
      <c r="W178" s="1463"/>
      <c r="X178" s="1464"/>
      <c r="Y178" s="61"/>
    </row>
    <row r="179" spans="1:25">
      <c r="A179" s="62"/>
      <c r="B179" s="1451"/>
      <c r="C179" s="1452"/>
      <c r="D179" s="1452"/>
      <c r="E179" s="1452"/>
      <c r="F179" s="1452"/>
      <c r="G179" s="1453"/>
      <c r="H179" s="84"/>
      <c r="I179" s="85"/>
      <c r="J179" s="1463"/>
      <c r="K179" s="1463"/>
      <c r="L179" s="1463"/>
      <c r="M179" s="1463"/>
      <c r="N179" s="1463"/>
      <c r="O179" s="1463"/>
      <c r="P179" s="1463"/>
      <c r="Q179" s="1463"/>
      <c r="R179" s="1463"/>
      <c r="S179" s="1463"/>
      <c r="T179" s="1463"/>
      <c r="U179" s="1463"/>
      <c r="V179" s="1463"/>
      <c r="W179" s="1463"/>
      <c r="X179" s="1464"/>
      <c r="Y179" s="61"/>
    </row>
    <row r="180" spans="1:25">
      <c r="A180" s="62"/>
      <c r="B180" s="1451"/>
      <c r="C180" s="1452"/>
      <c r="D180" s="1452"/>
      <c r="E180" s="1452"/>
      <c r="F180" s="1452"/>
      <c r="G180" s="1453"/>
      <c r="H180" s="84"/>
      <c r="I180" s="85" t="s">
        <v>7</v>
      </c>
      <c r="J180" s="1463" t="s">
        <v>246</v>
      </c>
      <c r="K180" s="1463"/>
      <c r="L180" s="1463"/>
      <c r="M180" s="1463"/>
      <c r="N180" s="1463"/>
      <c r="O180" s="1463"/>
      <c r="P180" s="1463"/>
      <c r="Q180" s="1463"/>
      <c r="R180" s="1463"/>
      <c r="S180" s="1463"/>
      <c r="T180" s="1463"/>
      <c r="U180" s="1463"/>
      <c r="V180" s="1463"/>
      <c r="W180" s="1463"/>
      <c r="X180" s="1464"/>
      <c r="Y180" s="61"/>
    </row>
    <row r="181" spans="1:25">
      <c r="A181" s="62"/>
      <c r="B181" s="1451"/>
      <c r="C181" s="1452"/>
      <c r="D181" s="1452"/>
      <c r="E181" s="1452"/>
      <c r="F181" s="1452"/>
      <c r="G181" s="1453"/>
      <c r="H181" s="84"/>
      <c r="I181" s="85" t="s">
        <v>7</v>
      </c>
      <c r="J181" s="1463" t="s">
        <v>247</v>
      </c>
      <c r="K181" s="1463"/>
      <c r="L181" s="1463"/>
      <c r="M181" s="1463"/>
      <c r="N181" s="1463"/>
      <c r="O181" s="1463"/>
      <c r="P181" s="1463"/>
      <c r="Q181" s="1463"/>
      <c r="R181" s="1463"/>
      <c r="S181" s="1463"/>
      <c r="T181" s="1463"/>
      <c r="U181" s="1463"/>
      <c r="V181" s="1463"/>
      <c r="W181" s="1463"/>
      <c r="X181" s="1464"/>
      <c r="Y181" s="61"/>
    </row>
    <row r="182" spans="1:25">
      <c r="A182" s="62"/>
      <c r="B182" s="1451"/>
      <c r="C182" s="1452"/>
      <c r="D182" s="1452"/>
      <c r="E182" s="1452"/>
      <c r="F182" s="1452"/>
      <c r="G182" s="1453"/>
      <c r="H182" s="84"/>
      <c r="I182" s="85" t="s">
        <v>7</v>
      </c>
      <c r="J182" s="1463" t="s">
        <v>248</v>
      </c>
      <c r="K182" s="1463"/>
      <c r="L182" s="1463"/>
      <c r="M182" s="1463"/>
      <c r="N182" s="1463"/>
      <c r="O182" s="1463"/>
      <c r="P182" s="1463"/>
      <c r="Q182" s="1463"/>
      <c r="R182" s="1463"/>
      <c r="S182" s="1463"/>
      <c r="T182" s="1463"/>
      <c r="U182" s="1463"/>
      <c r="V182" s="1463"/>
      <c r="W182" s="1463"/>
      <c r="X182" s="1464"/>
      <c r="Y182" s="61"/>
    </row>
    <row r="183" spans="1:25">
      <c r="A183" s="62"/>
      <c r="B183" s="1454"/>
      <c r="C183" s="1455"/>
      <c r="D183" s="1455"/>
      <c r="E183" s="1455"/>
      <c r="F183" s="1455"/>
      <c r="G183" s="1456"/>
      <c r="H183" s="86"/>
      <c r="I183" s="87" t="s">
        <v>7</v>
      </c>
      <c r="J183" s="1465"/>
      <c r="K183" s="1465"/>
      <c r="L183" s="1465"/>
      <c r="M183" s="1465"/>
      <c r="N183" s="1465"/>
      <c r="O183" s="1465"/>
      <c r="P183" s="1465"/>
      <c r="Q183" s="1465"/>
      <c r="R183" s="1465"/>
      <c r="S183" s="1465"/>
      <c r="T183" s="1465"/>
      <c r="U183" s="1465"/>
      <c r="V183" s="1465"/>
      <c r="W183" s="1465"/>
      <c r="X183" s="1466"/>
      <c r="Y183" s="61"/>
    </row>
    <row r="184" spans="1:25">
      <c r="A184" s="62"/>
      <c r="B184" s="1448" t="s">
        <v>249</v>
      </c>
      <c r="C184" s="1449"/>
      <c r="D184" s="1449"/>
      <c r="E184" s="1449"/>
      <c r="F184" s="1449"/>
      <c r="G184" s="1450"/>
      <c r="H184" s="1477" t="s">
        <v>250</v>
      </c>
      <c r="I184" s="1478"/>
      <c r="J184" s="1478"/>
      <c r="K184" s="1478"/>
      <c r="L184" s="1478"/>
      <c r="M184" s="1478"/>
      <c r="N184" s="1478"/>
      <c r="O184" s="1478"/>
      <c r="P184" s="1478"/>
      <c r="Q184" s="1478"/>
      <c r="R184" s="1478"/>
      <c r="S184" s="1478"/>
      <c r="T184" s="1478"/>
      <c r="U184" s="1478"/>
      <c r="V184" s="1478"/>
      <c r="W184" s="1478"/>
      <c r="X184" s="1479"/>
      <c r="Y184" s="61"/>
    </row>
    <row r="185" spans="1:25">
      <c r="A185" s="62"/>
      <c r="B185" s="1454"/>
      <c r="C185" s="1455"/>
      <c r="D185" s="1455"/>
      <c r="E185" s="1455"/>
      <c r="F185" s="1455"/>
      <c r="G185" s="1456"/>
      <c r="H185" s="1480"/>
      <c r="I185" s="1481"/>
      <c r="J185" s="1481"/>
      <c r="K185" s="1481"/>
      <c r="L185" s="1481"/>
      <c r="M185" s="1481"/>
      <c r="N185" s="1481"/>
      <c r="O185" s="1481"/>
      <c r="P185" s="1481"/>
      <c r="Q185" s="1481"/>
      <c r="R185" s="1481"/>
      <c r="S185" s="1481"/>
      <c r="T185" s="1481"/>
      <c r="U185" s="1481"/>
      <c r="V185" s="1481"/>
      <c r="W185" s="1481"/>
      <c r="X185" s="1482"/>
      <c r="Y185" s="61"/>
    </row>
    <row r="186" spans="1:25">
      <c r="A186" s="62"/>
      <c r="B186" s="1448" t="s">
        <v>251</v>
      </c>
      <c r="C186" s="1449"/>
      <c r="D186" s="1449"/>
      <c r="E186" s="1449"/>
      <c r="F186" s="1449"/>
      <c r="G186" s="1450"/>
      <c r="H186" s="1459"/>
      <c r="I186" s="1460"/>
      <c r="J186" s="1460"/>
      <c r="K186" s="1460"/>
      <c r="L186" s="1460"/>
      <c r="M186" s="1460"/>
      <c r="N186" s="1460"/>
      <c r="O186" s="1460"/>
      <c r="P186" s="1460"/>
      <c r="Q186" s="1460"/>
      <c r="R186" s="1460"/>
      <c r="S186" s="1460"/>
      <c r="T186" s="1460"/>
      <c r="U186" s="1460"/>
      <c r="V186" s="1460"/>
      <c r="W186" s="1460"/>
      <c r="X186" s="1461"/>
      <c r="Y186" s="61"/>
    </row>
    <row r="187" spans="1:25">
      <c r="A187" s="62"/>
      <c r="B187" s="1451"/>
      <c r="C187" s="1452"/>
      <c r="D187" s="1452"/>
      <c r="E187" s="1452"/>
      <c r="F187" s="1452"/>
      <c r="G187" s="1453"/>
      <c r="H187" s="1462"/>
      <c r="I187" s="1463"/>
      <c r="J187" s="1463"/>
      <c r="K187" s="1463"/>
      <c r="L187" s="1463"/>
      <c r="M187" s="1463"/>
      <c r="N187" s="1463"/>
      <c r="O187" s="1463"/>
      <c r="P187" s="1463"/>
      <c r="Q187" s="1463"/>
      <c r="R187" s="1463"/>
      <c r="S187" s="1463"/>
      <c r="T187" s="1463"/>
      <c r="U187" s="1463"/>
      <c r="V187" s="1463"/>
      <c r="W187" s="1463"/>
      <c r="X187" s="1464"/>
      <c r="Y187" s="61"/>
    </row>
    <row r="188" spans="1:25">
      <c r="A188" s="62"/>
      <c r="B188" s="1451"/>
      <c r="C188" s="1452"/>
      <c r="D188" s="1452"/>
      <c r="E188" s="1452"/>
      <c r="F188" s="1452"/>
      <c r="G188" s="1453"/>
      <c r="H188" s="84"/>
      <c r="I188" s="85" t="s">
        <v>7</v>
      </c>
      <c r="J188" s="1463" t="s">
        <v>252</v>
      </c>
      <c r="K188" s="1463"/>
      <c r="L188" s="1463"/>
      <c r="M188" s="1463"/>
      <c r="N188" s="1463"/>
      <c r="O188" s="1463"/>
      <c r="P188" s="1463"/>
      <c r="Q188" s="1463"/>
      <c r="R188" s="1463"/>
      <c r="S188" s="1463"/>
      <c r="T188" s="1463"/>
      <c r="U188" s="1463"/>
      <c r="V188" s="1463"/>
      <c r="W188" s="1463"/>
      <c r="X188" s="1464"/>
      <c r="Y188" s="61"/>
    </row>
    <row r="189" spans="1:25">
      <c r="A189" s="62"/>
      <c r="B189" s="1451"/>
      <c r="C189" s="1452"/>
      <c r="D189" s="1452"/>
      <c r="E189" s="1452"/>
      <c r="F189" s="1452"/>
      <c r="G189" s="1453"/>
      <c r="H189" s="84"/>
      <c r="I189" s="85" t="s">
        <v>7</v>
      </c>
      <c r="J189" s="1463" t="s">
        <v>253</v>
      </c>
      <c r="K189" s="1463"/>
      <c r="L189" s="1463"/>
      <c r="M189" s="1463"/>
      <c r="N189" s="1463"/>
      <c r="O189" s="1463"/>
      <c r="P189" s="1463"/>
      <c r="Q189" s="1463"/>
      <c r="R189" s="1463"/>
      <c r="S189" s="1463"/>
      <c r="T189" s="1463"/>
      <c r="U189" s="1463"/>
      <c r="V189" s="1463"/>
      <c r="W189" s="1463"/>
      <c r="X189" s="1464"/>
      <c r="Y189" s="61"/>
    </row>
    <row r="190" spans="1:25">
      <c r="A190" s="62"/>
      <c r="B190" s="1454"/>
      <c r="C190" s="1455"/>
      <c r="D190" s="1455"/>
      <c r="E190" s="1455"/>
      <c r="F190" s="1455"/>
      <c r="G190" s="1456"/>
      <c r="H190" s="86"/>
      <c r="I190" s="87" t="s">
        <v>7</v>
      </c>
      <c r="J190" s="1465" t="s">
        <v>254</v>
      </c>
      <c r="K190" s="1465"/>
      <c r="L190" s="1465"/>
      <c r="M190" s="1465"/>
      <c r="N190" s="1465"/>
      <c r="O190" s="1465"/>
      <c r="P190" s="1465"/>
      <c r="Q190" s="1465"/>
      <c r="R190" s="1465"/>
      <c r="S190" s="1465"/>
      <c r="T190" s="1465"/>
      <c r="U190" s="1465"/>
      <c r="V190" s="1465"/>
      <c r="W190" s="1465"/>
      <c r="X190" s="1466"/>
      <c r="Y190" s="61"/>
    </row>
    <row r="191" spans="1:25">
      <c r="A191" s="62"/>
      <c r="B191" s="1448" t="s">
        <v>255</v>
      </c>
      <c r="C191" s="1449"/>
      <c r="D191" s="1449"/>
      <c r="E191" s="1449"/>
      <c r="F191" s="1449"/>
      <c r="G191" s="1450"/>
      <c r="H191" s="1459" t="s">
        <v>256</v>
      </c>
      <c r="I191" s="1460"/>
      <c r="J191" s="1460"/>
      <c r="K191" s="1460"/>
      <c r="L191" s="1460"/>
      <c r="M191" s="1460"/>
      <c r="N191" s="1460"/>
      <c r="O191" s="1460"/>
      <c r="P191" s="1460"/>
      <c r="Q191" s="1460"/>
      <c r="R191" s="1460"/>
      <c r="S191" s="1460"/>
      <c r="T191" s="1460"/>
      <c r="U191" s="1460"/>
      <c r="V191" s="1460"/>
      <c r="W191" s="1460"/>
      <c r="X191" s="1461"/>
      <c r="Y191" s="61"/>
    </row>
    <row r="192" spans="1:25">
      <c r="A192" s="62"/>
      <c r="B192" s="1451"/>
      <c r="C192" s="1452"/>
      <c r="D192" s="1452"/>
      <c r="E192" s="1452"/>
      <c r="F192" s="1452"/>
      <c r="G192" s="1453"/>
      <c r="H192" s="1462"/>
      <c r="I192" s="1463"/>
      <c r="J192" s="1463"/>
      <c r="K192" s="1463"/>
      <c r="L192" s="1463"/>
      <c r="M192" s="1463"/>
      <c r="N192" s="1463"/>
      <c r="O192" s="1463"/>
      <c r="P192" s="1463"/>
      <c r="Q192" s="1463"/>
      <c r="R192" s="1463"/>
      <c r="S192" s="1463"/>
      <c r="T192" s="1463"/>
      <c r="U192" s="1463"/>
      <c r="V192" s="1463"/>
      <c r="W192" s="1463"/>
      <c r="X192" s="1464"/>
      <c r="Y192" s="61"/>
    </row>
    <row r="193" spans="1:25">
      <c r="A193" s="62"/>
      <c r="B193" s="1451"/>
      <c r="C193" s="1452"/>
      <c r="D193" s="1452"/>
      <c r="E193" s="1452"/>
      <c r="F193" s="1452"/>
      <c r="G193" s="1453"/>
      <c r="H193" s="1462"/>
      <c r="I193" s="1463"/>
      <c r="J193" s="1463"/>
      <c r="K193" s="1463"/>
      <c r="L193" s="1463"/>
      <c r="M193" s="1463"/>
      <c r="N193" s="1463"/>
      <c r="O193" s="1463"/>
      <c r="P193" s="1463"/>
      <c r="Q193" s="1463"/>
      <c r="R193" s="1463"/>
      <c r="S193" s="1463"/>
      <c r="T193" s="1463"/>
      <c r="U193" s="1463"/>
      <c r="V193" s="1463"/>
      <c r="W193" s="1463"/>
      <c r="X193" s="1464"/>
      <c r="Y193" s="61"/>
    </row>
    <row r="194" spans="1:25">
      <c r="A194" s="62"/>
      <c r="B194" s="1451"/>
      <c r="C194" s="1452"/>
      <c r="D194" s="1452"/>
      <c r="E194" s="1452"/>
      <c r="F194" s="1452"/>
      <c r="G194" s="1453"/>
      <c r="H194" s="84"/>
      <c r="I194" s="85" t="s">
        <v>7</v>
      </c>
      <c r="J194" s="1463" t="s">
        <v>257</v>
      </c>
      <c r="K194" s="1463"/>
      <c r="L194" s="1463"/>
      <c r="M194" s="1463"/>
      <c r="N194" s="1463"/>
      <c r="O194" s="1463"/>
      <c r="P194" s="1463"/>
      <c r="Q194" s="1463"/>
      <c r="R194" s="1463"/>
      <c r="S194" s="1463"/>
      <c r="T194" s="1463"/>
      <c r="U194" s="1463"/>
      <c r="V194" s="1463"/>
      <c r="W194" s="1463"/>
      <c r="X194" s="1464"/>
      <c r="Y194" s="61"/>
    </row>
    <row r="195" spans="1:25">
      <c r="A195" s="62"/>
      <c r="B195" s="1451"/>
      <c r="C195" s="1452"/>
      <c r="D195" s="1452"/>
      <c r="E195" s="1452"/>
      <c r="F195" s="1452"/>
      <c r="G195" s="1453"/>
      <c r="H195" s="84"/>
      <c r="I195" s="85" t="s">
        <v>7</v>
      </c>
      <c r="J195" s="1463" t="s">
        <v>258</v>
      </c>
      <c r="K195" s="1463"/>
      <c r="L195" s="1463"/>
      <c r="M195" s="1463"/>
      <c r="N195" s="1463"/>
      <c r="O195" s="1463"/>
      <c r="P195" s="1463"/>
      <c r="Q195" s="1463"/>
      <c r="R195" s="1463"/>
      <c r="S195" s="1463"/>
      <c r="T195" s="1463"/>
      <c r="U195" s="1463"/>
      <c r="V195" s="1463"/>
      <c r="W195" s="1463"/>
      <c r="X195" s="1464"/>
      <c r="Y195" s="61"/>
    </row>
    <row r="196" spans="1:25">
      <c r="A196" s="62"/>
      <c r="B196" s="1451"/>
      <c r="C196" s="1452"/>
      <c r="D196" s="1452"/>
      <c r="E196" s="1452"/>
      <c r="F196" s="1452"/>
      <c r="G196" s="1453"/>
      <c r="H196" s="84"/>
      <c r="I196" s="85" t="s">
        <v>7</v>
      </c>
      <c r="J196" s="1463" t="s">
        <v>259</v>
      </c>
      <c r="K196" s="1463"/>
      <c r="L196" s="1463"/>
      <c r="M196" s="1463"/>
      <c r="N196" s="1463"/>
      <c r="O196" s="1463"/>
      <c r="P196" s="1463"/>
      <c r="Q196" s="1463"/>
      <c r="R196" s="1463"/>
      <c r="S196" s="1463"/>
      <c r="T196" s="1463"/>
      <c r="U196" s="1463"/>
      <c r="V196" s="1463"/>
      <c r="W196" s="1463"/>
      <c r="X196" s="1464"/>
      <c r="Y196" s="61"/>
    </row>
    <row r="197" spans="1:25">
      <c r="A197" s="62"/>
      <c r="B197" s="1451"/>
      <c r="C197" s="1452"/>
      <c r="D197" s="1452"/>
      <c r="E197" s="1452"/>
      <c r="F197" s="1452"/>
      <c r="G197" s="1453"/>
      <c r="H197" s="84"/>
      <c r="I197" s="85" t="s">
        <v>7</v>
      </c>
      <c r="J197" s="1463"/>
      <c r="K197" s="1463"/>
      <c r="L197" s="1463"/>
      <c r="M197" s="1463"/>
      <c r="N197" s="1463"/>
      <c r="O197" s="1463"/>
      <c r="P197" s="1463"/>
      <c r="Q197" s="1463"/>
      <c r="R197" s="1463"/>
      <c r="S197" s="1463"/>
      <c r="T197" s="1463"/>
      <c r="U197" s="1463"/>
      <c r="V197" s="1463"/>
      <c r="W197" s="1463"/>
      <c r="X197" s="1464"/>
      <c r="Y197" s="61"/>
    </row>
    <row r="198" spans="1:25">
      <c r="A198" s="62"/>
      <c r="B198" s="1451"/>
      <c r="C198" s="1452"/>
      <c r="D198" s="1452"/>
      <c r="E198" s="1452"/>
      <c r="F198" s="1452"/>
      <c r="G198" s="1453"/>
      <c r="H198" s="84"/>
      <c r="I198" s="85" t="s">
        <v>7</v>
      </c>
      <c r="J198" s="1463"/>
      <c r="K198" s="1463"/>
      <c r="L198" s="1463"/>
      <c r="M198" s="1463"/>
      <c r="N198" s="1463"/>
      <c r="O198" s="1463"/>
      <c r="P198" s="1463"/>
      <c r="Q198" s="1463"/>
      <c r="R198" s="1463"/>
      <c r="S198" s="1463"/>
      <c r="T198" s="1463"/>
      <c r="U198" s="1463"/>
      <c r="V198" s="1463"/>
      <c r="W198" s="1463"/>
      <c r="X198" s="1464"/>
      <c r="Y198" s="61"/>
    </row>
    <row r="199" spans="1:25">
      <c r="A199" s="62"/>
      <c r="B199" s="1448" t="s">
        <v>260</v>
      </c>
      <c r="C199" s="1449"/>
      <c r="D199" s="1449"/>
      <c r="E199" s="1449"/>
      <c r="F199" s="1449"/>
      <c r="G199" s="1450"/>
      <c r="H199" s="1459" t="s">
        <v>261</v>
      </c>
      <c r="I199" s="1460"/>
      <c r="J199" s="1460"/>
      <c r="K199" s="1460"/>
      <c r="L199" s="1460"/>
      <c r="M199" s="1460"/>
      <c r="N199" s="1460"/>
      <c r="O199" s="1460"/>
      <c r="P199" s="1460"/>
      <c r="Q199" s="1460"/>
      <c r="R199" s="1460"/>
      <c r="S199" s="1460"/>
      <c r="T199" s="1460"/>
      <c r="U199" s="1460"/>
      <c r="V199" s="1460"/>
      <c r="W199" s="1460"/>
      <c r="X199" s="1461"/>
      <c r="Y199" s="61"/>
    </row>
    <row r="200" spans="1:25">
      <c r="A200" s="62"/>
      <c r="B200" s="1451"/>
      <c r="C200" s="1452"/>
      <c r="D200" s="1452"/>
      <c r="E200" s="1452"/>
      <c r="F200" s="1452"/>
      <c r="G200" s="1453"/>
      <c r="H200" s="1462"/>
      <c r="I200" s="1463"/>
      <c r="J200" s="1463"/>
      <c r="K200" s="1463"/>
      <c r="L200" s="1463"/>
      <c r="M200" s="1463"/>
      <c r="N200" s="1463"/>
      <c r="O200" s="1463"/>
      <c r="P200" s="1463"/>
      <c r="Q200" s="1463"/>
      <c r="R200" s="1463"/>
      <c r="S200" s="1463"/>
      <c r="T200" s="1463"/>
      <c r="U200" s="1463"/>
      <c r="V200" s="1463"/>
      <c r="W200" s="1463"/>
      <c r="X200" s="1464"/>
      <c r="Y200" s="61"/>
    </row>
    <row r="201" spans="1:25">
      <c r="A201" s="62"/>
      <c r="B201" s="1451"/>
      <c r="C201" s="1452"/>
      <c r="D201" s="1452"/>
      <c r="E201" s="1452"/>
      <c r="F201" s="1452"/>
      <c r="G201" s="1453"/>
      <c r="H201" s="1462"/>
      <c r="I201" s="1463"/>
      <c r="J201" s="1463"/>
      <c r="K201" s="1463"/>
      <c r="L201" s="1463"/>
      <c r="M201" s="1463"/>
      <c r="N201" s="1463"/>
      <c r="O201" s="1463"/>
      <c r="P201" s="1463"/>
      <c r="Q201" s="1463"/>
      <c r="R201" s="1463"/>
      <c r="S201" s="1463"/>
      <c r="T201" s="1463"/>
      <c r="U201" s="1463"/>
      <c r="V201" s="1463"/>
      <c r="W201" s="1463"/>
      <c r="X201" s="1464"/>
      <c r="Y201" s="61"/>
    </row>
    <row r="202" spans="1:25">
      <c r="A202" s="62"/>
      <c r="B202" s="1451"/>
      <c r="C202" s="1452"/>
      <c r="D202" s="1452"/>
      <c r="E202" s="1452"/>
      <c r="F202" s="1452"/>
      <c r="G202" s="1453"/>
      <c r="H202" s="84"/>
      <c r="I202" s="85" t="s">
        <v>7</v>
      </c>
      <c r="J202" s="1463" t="s">
        <v>262</v>
      </c>
      <c r="K202" s="1463"/>
      <c r="L202" s="1463"/>
      <c r="M202" s="1463"/>
      <c r="N202" s="1463"/>
      <c r="O202" s="1463"/>
      <c r="P202" s="1463"/>
      <c r="Q202" s="1463"/>
      <c r="R202" s="1463"/>
      <c r="S202" s="1463"/>
      <c r="T202" s="1463"/>
      <c r="U202" s="1463"/>
      <c r="V202" s="1463"/>
      <c r="W202" s="1463"/>
      <c r="X202" s="1464"/>
      <c r="Y202" s="61"/>
    </row>
    <row r="203" spans="1:25">
      <c r="A203" s="62"/>
      <c r="B203" s="1451"/>
      <c r="C203" s="1452"/>
      <c r="D203" s="1452"/>
      <c r="E203" s="1452"/>
      <c r="F203" s="1452"/>
      <c r="G203" s="1453"/>
      <c r="H203" s="84"/>
      <c r="I203" s="85" t="s">
        <v>7</v>
      </c>
      <c r="J203" s="1463" t="s">
        <v>263</v>
      </c>
      <c r="K203" s="1463"/>
      <c r="L203" s="1463"/>
      <c r="M203" s="1463"/>
      <c r="N203" s="1463"/>
      <c r="O203" s="1463"/>
      <c r="P203" s="1463"/>
      <c r="Q203" s="1463"/>
      <c r="R203" s="1463"/>
      <c r="S203" s="1463"/>
      <c r="T203" s="1463"/>
      <c r="U203" s="1463"/>
      <c r="V203" s="1463"/>
      <c r="W203" s="1463"/>
      <c r="X203" s="1464"/>
      <c r="Y203" s="61"/>
    </row>
    <row r="204" spans="1:25">
      <c r="A204" s="62"/>
      <c r="B204" s="1454"/>
      <c r="C204" s="1455"/>
      <c r="D204" s="1455"/>
      <c r="E204" s="1455"/>
      <c r="F204" s="1455"/>
      <c r="G204" s="1456"/>
      <c r="H204" s="86"/>
      <c r="I204" s="87" t="s">
        <v>7</v>
      </c>
      <c r="J204" s="1465"/>
      <c r="K204" s="1465"/>
      <c r="L204" s="1465"/>
      <c r="M204" s="1465"/>
      <c r="N204" s="1465"/>
      <c r="O204" s="1465"/>
      <c r="P204" s="1465"/>
      <c r="Q204" s="1465"/>
      <c r="R204" s="1465"/>
      <c r="S204" s="1465"/>
      <c r="T204" s="1465"/>
      <c r="U204" s="1465"/>
      <c r="V204" s="1465"/>
      <c r="W204" s="1465"/>
      <c r="X204" s="1466"/>
      <c r="Y204" s="61"/>
    </row>
    <row r="205" spans="1:25">
      <c r="A205" s="62"/>
      <c r="B205" s="89"/>
      <c r="C205" s="89"/>
      <c r="D205" s="89"/>
      <c r="E205" s="89"/>
      <c r="F205" s="89"/>
      <c r="G205" s="89"/>
      <c r="H205" s="90"/>
      <c r="I205" s="91"/>
      <c r="J205" s="90"/>
      <c r="K205" s="90"/>
      <c r="L205" s="90"/>
      <c r="M205" s="90"/>
      <c r="N205" s="90"/>
      <c r="O205" s="90"/>
      <c r="P205" s="90"/>
      <c r="Q205" s="90"/>
      <c r="R205" s="90"/>
      <c r="S205" s="90"/>
      <c r="T205" s="90"/>
      <c r="U205" s="90"/>
      <c r="V205" s="90"/>
      <c r="W205" s="90"/>
      <c r="X205" s="90"/>
      <c r="Y205" s="61"/>
    </row>
    <row r="206" spans="1:25">
      <c r="A206" s="62"/>
      <c r="B206" s="89"/>
      <c r="C206" s="89"/>
      <c r="D206" s="89"/>
      <c r="E206" s="89"/>
      <c r="F206" s="89"/>
      <c r="G206" s="89"/>
      <c r="H206" s="90"/>
      <c r="I206" s="91"/>
      <c r="J206" s="90"/>
      <c r="K206" s="90"/>
      <c r="L206" s="90"/>
      <c r="M206" s="90"/>
      <c r="N206" s="90"/>
      <c r="O206" s="90"/>
      <c r="P206" s="90"/>
      <c r="Q206" s="90"/>
      <c r="R206" s="90"/>
      <c r="S206" s="90"/>
      <c r="T206" s="90"/>
      <c r="U206" s="90"/>
      <c r="V206" s="90"/>
      <c r="W206" s="90"/>
      <c r="X206" s="90"/>
      <c r="Y206" s="61"/>
    </row>
    <row r="207" spans="1:25">
      <c r="A207" s="62"/>
      <c r="B207" s="89"/>
      <c r="C207" s="89"/>
      <c r="D207" s="89"/>
      <c r="E207" s="89"/>
      <c r="F207" s="89"/>
      <c r="G207" s="89"/>
      <c r="H207" s="90"/>
      <c r="I207" s="91"/>
      <c r="J207" s="90"/>
      <c r="K207" s="90"/>
      <c r="L207" s="90"/>
      <c r="M207" s="90"/>
      <c r="N207" s="90"/>
      <c r="O207" s="90"/>
      <c r="P207" s="90"/>
      <c r="Q207" s="90"/>
      <c r="R207" s="90"/>
      <c r="S207" s="90"/>
      <c r="T207" s="90"/>
      <c r="U207" s="90"/>
      <c r="V207" s="90"/>
      <c r="W207" s="90"/>
      <c r="X207" s="90"/>
      <c r="Y207" s="61"/>
    </row>
    <row r="208" spans="1:25">
      <c r="A208" s="62"/>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1"/>
    </row>
    <row r="209" spans="1:25">
      <c r="A209" s="1411" t="s">
        <v>41</v>
      </c>
      <c r="B209" s="1411"/>
      <c r="C209" s="1411"/>
      <c r="D209" s="1411"/>
      <c r="E209" s="1411"/>
      <c r="F209" s="1411"/>
      <c r="G209" s="1411"/>
      <c r="H209" s="1411"/>
      <c r="I209" s="1411"/>
      <c r="J209" s="1411"/>
      <c r="K209" s="1411"/>
      <c r="L209" s="1411"/>
      <c r="M209" s="1411"/>
      <c r="N209" s="1411"/>
      <c r="O209" s="1411"/>
      <c r="P209" s="1411"/>
      <c r="Q209" s="1411"/>
      <c r="R209" s="1411"/>
      <c r="S209" s="1411"/>
      <c r="T209" s="1411"/>
      <c r="U209" s="1411"/>
      <c r="V209" s="1411"/>
      <c r="W209" s="1411"/>
      <c r="X209" s="1411"/>
      <c r="Y209" s="1411"/>
    </row>
    <row r="210" spans="1:25">
      <c r="A210" s="62"/>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1"/>
    </row>
    <row r="211" spans="1:25">
      <c r="A211" s="58" t="s">
        <v>264</v>
      </c>
      <c r="B211" s="59" t="s">
        <v>265</v>
      </c>
      <c r="C211" s="60"/>
      <c r="D211" s="60"/>
      <c r="E211" s="60"/>
      <c r="F211" s="60"/>
      <c r="G211" s="60"/>
      <c r="H211" s="60"/>
      <c r="I211" s="60"/>
      <c r="J211" s="60"/>
      <c r="K211" s="60"/>
      <c r="L211" s="60"/>
      <c r="M211" s="60"/>
      <c r="N211" s="60"/>
      <c r="O211" s="60"/>
      <c r="P211" s="60"/>
      <c r="Q211" s="60"/>
      <c r="R211" s="60"/>
      <c r="S211" s="60"/>
      <c r="T211" s="60"/>
      <c r="U211" s="60"/>
      <c r="V211" s="60"/>
      <c r="W211" s="60"/>
      <c r="X211" s="60"/>
      <c r="Y211" s="61"/>
    </row>
    <row r="212" spans="1:25">
      <c r="A212" s="62"/>
      <c r="B212" s="1489" t="s">
        <v>140</v>
      </c>
      <c r="C212" s="1489"/>
      <c r="D212" s="1489"/>
      <c r="E212" s="1489"/>
      <c r="F212" s="1489"/>
      <c r="G212" s="1489"/>
      <c r="H212" s="1490" t="s">
        <v>141</v>
      </c>
      <c r="I212" s="1490"/>
      <c r="J212" s="1490"/>
      <c r="K212" s="1490"/>
      <c r="L212" s="1490"/>
      <c r="M212" s="1490"/>
      <c r="N212" s="1490"/>
      <c r="O212" s="1490"/>
      <c r="P212" s="1490"/>
      <c r="Q212" s="1490"/>
      <c r="R212" s="1490"/>
      <c r="S212" s="1490"/>
      <c r="T212" s="1490"/>
      <c r="U212" s="1490"/>
      <c r="V212" s="1490"/>
      <c r="W212" s="1490"/>
      <c r="X212" s="1490"/>
      <c r="Y212" s="61"/>
    </row>
    <row r="213" spans="1:25">
      <c r="A213" s="62"/>
      <c r="B213" s="1448" t="s">
        <v>266</v>
      </c>
      <c r="C213" s="1449"/>
      <c r="D213" s="1449"/>
      <c r="E213" s="1449"/>
      <c r="F213" s="1449"/>
      <c r="G213" s="1450"/>
      <c r="H213" s="1459" t="s">
        <v>267</v>
      </c>
      <c r="I213" s="1460"/>
      <c r="J213" s="1460"/>
      <c r="K213" s="1460"/>
      <c r="L213" s="1460"/>
      <c r="M213" s="1460"/>
      <c r="N213" s="1460"/>
      <c r="O213" s="1460"/>
      <c r="P213" s="1460"/>
      <c r="Q213" s="1460"/>
      <c r="R213" s="1460"/>
      <c r="S213" s="1460"/>
      <c r="T213" s="1460"/>
      <c r="U213" s="1460"/>
      <c r="V213" s="1460"/>
      <c r="W213" s="1460"/>
      <c r="X213" s="1461"/>
      <c r="Y213" s="61"/>
    </row>
    <row r="214" spans="1:25">
      <c r="A214" s="62"/>
      <c r="B214" s="1451"/>
      <c r="C214" s="1452"/>
      <c r="D214" s="1452"/>
      <c r="E214" s="1452"/>
      <c r="F214" s="1452"/>
      <c r="G214" s="1453"/>
      <c r="H214" s="1462"/>
      <c r="I214" s="1463"/>
      <c r="J214" s="1463"/>
      <c r="K214" s="1463"/>
      <c r="L214" s="1463"/>
      <c r="M214" s="1463"/>
      <c r="N214" s="1463"/>
      <c r="O214" s="1463"/>
      <c r="P214" s="1463"/>
      <c r="Q214" s="1463"/>
      <c r="R214" s="1463"/>
      <c r="S214" s="1463"/>
      <c r="T214" s="1463"/>
      <c r="U214" s="1463"/>
      <c r="V214" s="1463"/>
      <c r="W214" s="1463"/>
      <c r="X214" s="1464"/>
      <c r="Y214" s="61"/>
    </row>
    <row r="215" spans="1:25">
      <c r="A215" s="62"/>
      <c r="B215" s="1451"/>
      <c r="C215" s="1452"/>
      <c r="D215" s="1452"/>
      <c r="E215" s="1452"/>
      <c r="F215" s="1452"/>
      <c r="G215" s="1453"/>
      <c r="H215" s="84"/>
      <c r="I215" s="85" t="s">
        <v>7</v>
      </c>
      <c r="J215" s="1463" t="s">
        <v>268</v>
      </c>
      <c r="K215" s="1463"/>
      <c r="L215" s="1463"/>
      <c r="M215" s="1463"/>
      <c r="N215" s="1463"/>
      <c r="O215" s="1463"/>
      <c r="P215" s="1463"/>
      <c r="Q215" s="1463"/>
      <c r="R215" s="1463"/>
      <c r="S215" s="1463"/>
      <c r="T215" s="1463"/>
      <c r="U215" s="1463"/>
      <c r="V215" s="1463"/>
      <c r="W215" s="1463"/>
      <c r="X215" s="1464"/>
      <c r="Y215" s="61"/>
    </row>
    <row r="216" spans="1:25">
      <c r="A216" s="62"/>
      <c r="B216" s="1451"/>
      <c r="C216" s="1452"/>
      <c r="D216" s="1452"/>
      <c r="E216" s="1452"/>
      <c r="F216" s="1452"/>
      <c r="G216" s="1453"/>
      <c r="H216" s="84"/>
      <c r="I216" s="85" t="s">
        <v>7</v>
      </c>
      <c r="J216" s="1463"/>
      <c r="K216" s="1463"/>
      <c r="L216" s="1463"/>
      <c r="M216" s="1463"/>
      <c r="N216" s="1463"/>
      <c r="O216" s="1463"/>
      <c r="P216" s="1463"/>
      <c r="Q216" s="1463"/>
      <c r="R216" s="1463"/>
      <c r="S216" s="1463"/>
      <c r="T216" s="1463"/>
      <c r="U216" s="1463"/>
      <c r="V216" s="1463"/>
      <c r="W216" s="1463"/>
      <c r="X216" s="1464"/>
      <c r="Y216" s="61"/>
    </row>
    <row r="217" spans="1:25">
      <c r="A217" s="62"/>
      <c r="B217" s="1451"/>
      <c r="C217" s="1452"/>
      <c r="D217" s="1452"/>
      <c r="E217" s="1452"/>
      <c r="F217" s="1452"/>
      <c r="G217" s="1453"/>
      <c r="H217" s="84"/>
      <c r="I217" s="85" t="s">
        <v>7</v>
      </c>
      <c r="J217" s="1463"/>
      <c r="K217" s="1463"/>
      <c r="L217" s="1463"/>
      <c r="M217" s="1463"/>
      <c r="N217" s="1463"/>
      <c r="O217" s="1463"/>
      <c r="P217" s="1463"/>
      <c r="Q217" s="1463"/>
      <c r="R217" s="1463"/>
      <c r="S217" s="1463"/>
      <c r="T217" s="1463"/>
      <c r="U217" s="1463"/>
      <c r="V217" s="1463"/>
      <c r="W217" s="1463"/>
      <c r="X217" s="1464"/>
      <c r="Y217" s="61"/>
    </row>
    <row r="218" spans="1:25">
      <c r="A218" s="62"/>
      <c r="B218" s="1454"/>
      <c r="C218" s="1455"/>
      <c r="D218" s="1455"/>
      <c r="E218" s="1455"/>
      <c r="F218" s="1455"/>
      <c r="G218" s="1456"/>
      <c r="H218" s="86"/>
      <c r="I218" s="87"/>
      <c r="J218" s="1465"/>
      <c r="K218" s="1465"/>
      <c r="L218" s="1465"/>
      <c r="M218" s="1465"/>
      <c r="N218" s="1465"/>
      <c r="O218" s="1465"/>
      <c r="P218" s="1465"/>
      <c r="Q218" s="1465"/>
      <c r="R218" s="1465"/>
      <c r="S218" s="1465"/>
      <c r="T218" s="1465"/>
      <c r="U218" s="1465"/>
      <c r="V218" s="1465"/>
      <c r="W218" s="1465"/>
      <c r="X218" s="1466"/>
      <c r="Y218" s="61"/>
    </row>
    <row r="219" spans="1:25">
      <c r="A219" s="62"/>
      <c r="B219" s="1423" t="s">
        <v>269</v>
      </c>
      <c r="C219" s="1424"/>
      <c r="D219" s="1424"/>
      <c r="E219" s="1424"/>
      <c r="F219" s="1424"/>
      <c r="G219" s="1425"/>
      <c r="H219" s="1483" t="s">
        <v>270</v>
      </c>
      <c r="I219" s="1484"/>
      <c r="J219" s="1484"/>
      <c r="K219" s="1484"/>
      <c r="L219" s="1484"/>
      <c r="M219" s="1484"/>
      <c r="N219" s="1484"/>
      <c r="O219" s="1484"/>
      <c r="P219" s="1484"/>
      <c r="Q219" s="1484"/>
      <c r="R219" s="1484"/>
      <c r="S219" s="1484"/>
      <c r="T219" s="1484"/>
      <c r="U219" s="1484"/>
      <c r="V219" s="1484"/>
      <c r="W219" s="1484"/>
      <c r="X219" s="1485"/>
      <c r="Y219" s="61"/>
    </row>
    <row r="220" spans="1:25">
      <c r="A220" s="62"/>
      <c r="B220" s="1426"/>
      <c r="C220" s="1427"/>
      <c r="D220" s="1427"/>
      <c r="E220" s="1427"/>
      <c r="F220" s="1427"/>
      <c r="G220" s="1428"/>
      <c r="H220" s="1486"/>
      <c r="I220" s="1487"/>
      <c r="J220" s="1487"/>
      <c r="K220" s="1487"/>
      <c r="L220" s="1487"/>
      <c r="M220" s="1487"/>
      <c r="N220" s="1487"/>
      <c r="O220" s="1487"/>
      <c r="P220" s="1487"/>
      <c r="Q220" s="1487"/>
      <c r="R220" s="1487"/>
      <c r="S220" s="1487"/>
      <c r="T220" s="1487"/>
      <c r="U220" s="1487"/>
      <c r="V220" s="1487"/>
      <c r="W220" s="1487"/>
      <c r="X220" s="1488"/>
      <c r="Y220" s="61"/>
    </row>
    <row r="221" spans="1:25">
      <c r="A221" s="62"/>
      <c r="B221" s="1448" t="s">
        <v>271</v>
      </c>
      <c r="C221" s="1449"/>
      <c r="D221" s="1449"/>
      <c r="E221" s="1449"/>
      <c r="F221" s="1449"/>
      <c r="G221" s="1450"/>
      <c r="H221" s="1459" t="s">
        <v>272</v>
      </c>
      <c r="I221" s="1460"/>
      <c r="J221" s="1460"/>
      <c r="K221" s="1460"/>
      <c r="L221" s="1460"/>
      <c r="M221" s="1460"/>
      <c r="N221" s="1460"/>
      <c r="O221" s="1460"/>
      <c r="P221" s="1460"/>
      <c r="Q221" s="1460"/>
      <c r="R221" s="1460"/>
      <c r="S221" s="1460"/>
      <c r="T221" s="1460"/>
      <c r="U221" s="1460"/>
      <c r="V221" s="1460"/>
      <c r="W221" s="1460"/>
      <c r="X221" s="1461"/>
      <c r="Y221" s="61"/>
    </row>
    <row r="222" spans="1:25">
      <c r="A222" s="62"/>
      <c r="B222" s="1451"/>
      <c r="C222" s="1452"/>
      <c r="D222" s="1452"/>
      <c r="E222" s="1452"/>
      <c r="F222" s="1452"/>
      <c r="G222" s="1453"/>
      <c r="H222" s="1462"/>
      <c r="I222" s="1463"/>
      <c r="J222" s="1463"/>
      <c r="K222" s="1463"/>
      <c r="L222" s="1463"/>
      <c r="M222" s="1463"/>
      <c r="N222" s="1463"/>
      <c r="O222" s="1463"/>
      <c r="P222" s="1463"/>
      <c r="Q222" s="1463"/>
      <c r="R222" s="1463"/>
      <c r="S222" s="1463"/>
      <c r="T222" s="1463"/>
      <c r="U222" s="1463"/>
      <c r="V222" s="1463"/>
      <c r="W222" s="1463"/>
      <c r="X222" s="1464"/>
      <c r="Y222" s="61"/>
    </row>
    <row r="223" spans="1:25">
      <c r="A223" s="62"/>
      <c r="B223" s="1451"/>
      <c r="C223" s="1452"/>
      <c r="D223" s="1452"/>
      <c r="E223" s="1452"/>
      <c r="F223" s="1452"/>
      <c r="G223" s="1453"/>
      <c r="H223" s="84"/>
      <c r="I223" s="85" t="s">
        <v>7</v>
      </c>
      <c r="J223" s="1463" t="s">
        <v>273</v>
      </c>
      <c r="K223" s="1463"/>
      <c r="L223" s="1463"/>
      <c r="M223" s="1463"/>
      <c r="N223" s="1463"/>
      <c r="O223" s="1463"/>
      <c r="P223" s="1463"/>
      <c r="Q223" s="1463"/>
      <c r="R223" s="1463"/>
      <c r="S223" s="1463"/>
      <c r="T223" s="1463"/>
      <c r="U223" s="1463"/>
      <c r="V223" s="1463"/>
      <c r="W223" s="1463"/>
      <c r="X223" s="1464"/>
      <c r="Y223" s="61"/>
    </row>
    <row r="224" spans="1:25">
      <c r="A224" s="62"/>
      <c r="B224" s="1451"/>
      <c r="C224" s="1452"/>
      <c r="D224" s="1452"/>
      <c r="E224" s="1452"/>
      <c r="F224" s="1452"/>
      <c r="G224" s="1453"/>
      <c r="H224" s="84"/>
      <c r="I224" s="85" t="s">
        <v>7</v>
      </c>
      <c r="J224" s="1463" t="s">
        <v>274</v>
      </c>
      <c r="K224" s="1463"/>
      <c r="L224" s="1463"/>
      <c r="M224" s="1463"/>
      <c r="N224" s="1463"/>
      <c r="O224" s="1463"/>
      <c r="P224" s="1463"/>
      <c r="Q224" s="1463"/>
      <c r="R224" s="1463"/>
      <c r="S224" s="1463"/>
      <c r="T224" s="1463"/>
      <c r="U224" s="1463"/>
      <c r="V224" s="1463"/>
      <c r="W224" s="1463"/>
      <c r="X224" s="1464"/>
      <c r="Y224" s="61"/>
    </row>
    <row r="225" spans="1:25">
      <c r="A225" s="62"/>
      <c r="B225" s="1451"/>
      <c r="C225" s="1452"/>
      <c r="D225" s="1452"/>
      <c r="E225" s="1452"/>
      <c r="F225" s="1452"/>
      <c r="G225" s="1453"/>
      <c r="H225" s="84"/>
      <c r="I225" s="85"/>
      <c r="J225" s="1463" t="s">
        <v>275</v>
      </c>
      <c r="K225" s="1463"/>
      <c r="L225" s="1463"/>
      <c r="M225" s="1463"/>
      <c r="N225" s="1463"/>
      <c r="O225" s="1463"/>
      <c r="P225" s="1463"/>
      <c r="Q225" s="1463"/>
      <c r="R225" s="1463"/>
      <c r="S225" s="1463"/>
      <c r="T225" s="1463"/>
      <c r="U225" s="1463"/>
      <c r="V225" s="1463"/>
      <c r="W225" s="1463"/>
      <c r="X225" s="1464"/>
      <c r="Y225" s="61"/>
    </row>
    <row r="226" spans="1:25">
      <c r="A226" s="62"/>
      <c r="B226" s="1451"/>
      <c r="C226" s="1452"/>
      <c r="D226" s="1452"/>
      <c r="E226" s="1452"/>
      <c r="F226" s="1452"/>
      <c r="G226" s="1453"/>
      <c r="H226" s="84"/>
      <c r="I226" s="85"/>
      <c r="J226" s="1463"/>
      <c r="K226" s="1463"/>
      <c r="L226" s="1463"/>
      <c r="M226" s="1463"/>
      <c r="N226" s="1463"/>
      <c r="O226" s="1463"/>
      <c r="P226" s="1463"/>
      <c r="Q226" s="1463"/>
      <c r="R226" s="1463"/>
      <c r="S226" s="1463"/>
      <c r="T226" s="1463"/>
      <c r="U226" s="1463"/>
      <c r="V226" s="1463"/>
      <c r="W226" s="1463"/>
      <c r="X226" s="1464"/>
      <c r="Y226" s="61"/>
    </row>
    <row r="227" spans="1:25">
      <c r="A227" s="62"/>
      <c r="B227" s="1451"/>
      <c r="C227" s="1452"/>
      <c r="D227" s="1452"/>
      <c r="E227" s="1452"/>
      <c r="F227" s="1452"/>
      <c r="G227" s="1453"/>
      <c r="H227" s="84"/>
      <c r="I227" s="85"/>
      <c r="J227" s="1463"/>
      <c r="K227" s="1463"/>
      <c r="L227" s="1463"/>
      <c r="M227" s="1463"/>
      <c r="N227" s="1463"/>
      <c r="O227" s="1463"/>
      <c r="P227" s="1463"/>
      <c r="Q227" s="1463"/>
      <c r="R227" s="1463"/>
      <c r="S227" s="1463"/>
      <c r="T227" s="1463"/>
      <c r="U227" s="1463"/>
      <c r="V227" s="1463"/>
      <c r="W227" s="1463"/>
      <c r="X227" s="1464"/>
      <c r="Y227" s="61"/>
    </row>
    <row r="228" spans="1:25">
      <c r="A228" s="62"/>
      <c r="B228" s="1454"/>
      <c r="C228" s="1455"/>
      <c r="D228" s="1455"/>
      <c r="E228" s="1455"/>
      <c r="F228" s="1455"/>
      <c r="G228" s="1456"/>
      <c r="H228" s="86"/>
      <c r="I228" s="87"/>
      <c r="J228" s="1465"/>
      <c r="K228" s="1465"/>
      <c r="L228" s="1465"/>
      <c r="M228" s="1465"/>
      <c r="N228" s="1465"/>
      <c r="O228" s="1465"/>
      <c r="P228" s="1465"/>
      <c r="Q228" s="1465"/>
      <c r="R228" s="1465"/>
      <c r="S228" s="1465"/>
      <c r="T228" s="1465"/>
      <c r="U228" s="1465"/>
      <c r="V228" s="1465"/>
      <c r="W228" s="1465"/>
      <c r="X228" s="1466"/>
      <c r="Y228" s="61"/>
    </row>
    <row r="229" spans="1:25">
      <c r="A229" s="62"/>
      <c r="B229" s="1448" t="s">
        <v>276</v>
      </c>
      <c r="C229" s="1449"/>
      <c r="D229" s="1449"/>
      <c r="E229" s="1449"/>
      <c r="F229" s="1449"/>
      <c r="G229" s="1450"/>
      <c r="H229" s="1459" t="s">
        <v>277</v>
      </c>
      <c r="I229" s="1460"/>
      <c r="J229" s="1460"/>
      <c r="K229" s="1460"/>
      <c r="L229" s="1460"/>
      <c r="M229" s="1460"/>
      <c r="N229" s="1460"/>
      <c r="O229" s="1460"/>
      <c r="P229" s="1460"/>
      <c r="Q229" s="1460"/>
      <c r="R229" s="1460"/>
      <c r="S229" s="1460"/>
      <c r="T229" s="1460"/>
      <c r="U229" s="1460"/>
      <c r="V229" s="1460"/>
      <c r="W229" s="1460"/>
      <c r="X229" s="1461"/>
      <c r="Y229" s="61"/>
    </row>
    <row r="230" spans="1:25">
      <c r="A230" s="62"/>
      <c r="B230" s="1451"/>
      <c r="C230" s="1452"/>
      <c r="D230" s="1452"/>
      <c r="E230" s="1452"/>
      <c r="F230" s="1452"/>
      <c r="G230" s="1453"/>
      <c r="H230" s="1462"/>
      <c r="I230" s="1463"/>
      <c r="J230" s="1463"/>
      <c r="K230" s="1463"/>
      <c r="L230" s="1463"/>
      <c r="M230" s="1463"/>
      <c r="N230" s="1463"/>
      <c r="O230" s="1463"/>
      <c r="P230" s="1463"/>
      <c r="Q230" s="1463"/>
      <c r="R230" s="1463"/>
      <c r="S230" s="1463"/>
      <c r="T230" s="1463"/>
      <c r="U230" s="1463"/>
      <c r="V230" s="1463"/>
      <c r="W230" s="1463"/>
      <c r="X230" s="1464"/>
      <c r="Y230" s="61"/>
    </row>
    <row r="231" spans="1:25">
      <c r="A231" s="62"/>
      <c r="B231" s="1451"/>
      <c r="C231" s="1452"/>
      <c r="D231" s="1452"/>
      <c r="E231" s="1452"/>
      <c r="F231" s="1452"/>
      <c r="G231" s="1453"/>
      <c r="H231" s="84"/>
      <c r="I231" s="85" t="s">
        <v>7</v>
      </c>
      <c r="J231" s="1463" t="s">
        <v>278</v>
      </c>
      <c r="K231" s="1463"/>
      <c r="L231" s="1463"/>
      <c r="M231" s="1463"/>
      <c r="N231" s="1463"/>
      <c r="O231" s="1463"/>
      <c r="P231" s="1463"/>
      <c r="Q231" s="1463"/>
      <c r="R231" s="1463"/>
      <c r="S231" s="1463"/>
      <c r="T231" s="1463"/>
      <c r="U231" s="1463"/>
      <c r="V231" s="1463"/>
      <c r="W231" s="1463"/>
      <c r="X231" s="1464"/>
      <c r="Y231" s="61"/>
    </row>
    <row r="232" spans="1:25">
      <c r="A232" s="62"/>
      <c r="B232" s="1451"/>
      <c r="C232" s="1452"/>
      <c r="D232" s="1452"/>
      <c r="E232" s="1452"/>
      <c r="F232" s="1452"/>
      <c r="G232" s="1453"/>
      <c r="H232" s="84"/>
      <c r="I232" s="85" t="s">
        <v>7</v>
      </c>
      <c r="J232" s="1463" t="s">
        <v>279</v>
      </c>
      <c r="K232" s="1463"/>
      <c r="L232" s="1463"/>
      <c r="M232" s="1463"/>
      <c r="N232" s="1463"/>
      <c r="O232" s="1463"/>
      <c r="P232" s="1463"/>
      <c r="Q232" s="1463"/>
      <c r="R232" s="1463"/>
      <c r="S232" s="1463"/>
      <c r="T232" s="1463"/>
      <c r="U232" s="1463"/>
      <c r="V232" s="1463"/>
      <c r="W232" s="1463"/>
      <c r="X232" s="1464"/>
      <c r="Y232" s="61"/>
    </row>
    <row r="233" spans="1:25">
      <c r="A233" s="62"/>
      <c r="B233" s="1451"/>
      <c r="C233" s="1452"/>
      <c r="D233" s="1452"/>
      <c r="E233" s="1452"/>
      <c r="F233" s="1452"/>
      <c r="G233" s="1453"/>
      <c r="H233" s="84"/>
      <c r="I233" s="85"/>
      <c r="J233" s="1463"/>
      <c r="K233" s="1463"/>
      <c r="L233" s="1463"/>
      <c r="M233" s="1463"/>
      <c r="N233" s="1463"/>
      <c r="O233" s="1463"/>
      <c r="P233" s="1463"/>
      <c r="Q233" s="1463"/>
      <c r="R233" s="1463"/>
      <c r="S233" s="1463"/>
      <c r="T233" s="1463"/>
      <c r="U233" s="1463"/>
      <c r="V233" s="1463"/>
      <c r="W233" s="1463"/>
      <c r="X233" s="1464"/>
      <c r="Y233" s="61"/>
    </row>
    <row r="234" spans="1:25">
      <c r="A234" s="62"/>
      <c r="B234" s="1451"/>
      <c r="C234" s="1452"/>
      <c r="D234" s="1452"/>
      <c r="E234" s="1452"/>
      <c r="F234" s="1452"/>
      <c r="G234" s="1453"/>
      <c r="H234" s="84"/>
      <c r="I234" s="85" t="s">
        <v>7</v>
      </c>
      <c r="J234" s="1463" t="s">
        <v>280</v>
      </c>
      <c r="K234" s="1463"/>
      <c r="L234" s="1463"/>
      <c r="M234" s="1463"/>
      <c r="N234" s="1463"/>
      <c r="O234" s="1463"/>
      <c r="P234" s="1463"/>
      <c r="Q234" s="1463"/>
      <c r="R234" s="1463"/>
      <c r="S234" s="1463"/>
      <c r="T234" s="1463"/>
      <c r="U234" s="1463"/>
      <c r="V234" s="1463"/>
      <c r="W234" s="1463"/>
      <c r="X234" s="1464"/>
      <c r="Y234" s="61"/>
    </row>
    <row r="235" spans="1:25">
      <c r="A235" s="62"/>
      <c r="B235" s="1451"/>
      <c r="C235" s="1452"/>
      <c r="D235" s="1452"/>
      <c r="E235" s="1452"/>
      <c r="F235" s="1452"/>
      <c r="G235" s="1453"/>
      <c r="H235" s="84"/>
      <c r="I235" s="85" t="s">
        <v>7</v>
      </c>
      <c r="J235" s="1463" t="s">
        <v>281</v>
      </c>
      <c r="K235" s="1463"/>
      <c r="L235" s="1463"/>
      <c r="M235" s="1463"/>
      <c r="N235" s="1463"/>
      <c r="O235" s="1463"/>
      <c r="P235" s="1463"/>
      <c r="Q235" s="1463"/>
      <c r="R235" s="1463"/>
      <c r="S235" s="1463"/>
      <c r="T235" s="1463"/>
      <c r="U235" s="1463"/>
      <c r="V235" s="1463"/>
      <c r="W235" s="1463"/>
      <c r="X235" s="1464"/>
      <c r="Y235" s="61"/>
    </row>
    <row r="236" spans="1:25">
      <c r="A236" s="62"/>
      <c r="B236" s="1454"/>
      <c r="C236" s="1455"/>
      <c r="D236" s="1455"/>
      <c r="E236" s="1455"/>
      <c r="F236" s="1455"/>
      <c r="G236" s="1456"/>
      <c r="H236" s="86"/>
      <c r="I236" s="87"/>
      <c r="J236" s="1465"/>
      <c r="K236" s="1465"/>
      <c r="L236" s="1465"/>
      <c r="M236" s="1465"/>
      <c r="N236" s="1465"/>
      <c r="O236" s="1465"/>
      <c r="P236" s="1465"/>
      <c r="Q236" s="1465"/>
      <c r="R236" s="1465"/>
      <c r="S236" s="1465"/>
      <c r="T236" s="1465"/>
      <c r="U236" s="1465"/>
      <c r="V236" s="1465"/>
      <c r="W236" s="1465"/>
      <c r="X236" s="1466"/>
      <c r="Y236" s="61"/>
    </row>
    <row r="237" spans="1:25">
      <c r="A237" s="62"/>
      <c r="B237" s="1448" t="s">
        <v>282</v>
      </c>
      <c r="C237" s="1449"/>
      <c r="D237" s="1449"/>
      <c r="E237" s="1449"/>
      <c r="F237" s="1449"/>
      <c r="G237" s="1450"/>
      <c r="H237" s="1462" t="s">
        <v>283</v>
      </c>
      <c r="I237" s="1463"/>
      <c r="J237" s="1463"/>
      <c r="K237" s="1463"/>
      <c r="L237" s="1463"/>
      <c r="M237" s="1463"/>
      <c r="N237" s="1463"/>
      <c r="O237" s="1463"/>
      <c r="P237" s="1463"/>
      <c r="Q237" s="1463"/>
      <c r="R237" s="1463"/>
      <c r="S237" s="1463"/>
      <c r="T237" s="1463"/>
      <c r="U237" s="1463"/>
      <c r="V237" s="1463"/>
      <c r="W237" s="1463"/>
      <c r="X237" s="1464"/>
      <c r="Y237" s="61"/>
    </row>
    <row r="238" spans="1:25">
      <c r="A238" s="62"/>
      <c r="B238" s="1451"/>
      <c r="C238" s="1452"/>
      <c r="D238" s="1452"/>
      <c r="E238" s="1452"/>
      <c r="F238" s="1452"/>
      <c r="G238" s="1453"/>
      <c r="H238" s="1462"/>
      <c r="I238" s="1463"/>
      <c r="J238" s="1463"/>
      <c r="K238" s="1463"/>
      <c r="L238" s="1463"/>
      <c r="M238" s="1463"/>
      <c r="N238" s="1463"/>
      <c r="O238" s="1463"/>
      <c r="P238" s="1463"/>
      <c r="Q238" s="1463"/>
      <c r="R238" s="1463"/>
      <c r="S238" s="1463"/>
      <c r="T238" s="1463"/>
      <c r="U238" s="1463"/>
      <c r="V238" s="1463"/>
      <c r="W238" s="1463"/>
      <c r="X238" s="1464"/>
      <c r="Y238" s="61"/>
    </row>
    <row r="239" spans="1:25">
      <c r="A239" s="62"/>
      <c r="B239" s="1451"/>
      <c r="C239" s="1452"/>
      <c r="D239" s="1452"/>
      <c r="E239" s="1452"/>
      <c r="F239" s="1452"/>
      <c r="G239" s="1453"/>
      <c r="H239" s="84"/>
      <c r="I239" s="85" t="s">
        <v>7</v>
      </c>
      <c r="J239" s="1463" t="s">
        <v>284</v>
      </c>
      <c r="K239" s="1463"/>
      <c r="L239" s="1463"/>
      <c r="M239" s="1463"/>
      <c r="N239" s="1463"/>
      <c r="O239" s="1463"/>
      <c r="P239" s="1463"/>
      <c r="Q239" s="1463"/>
      <c r="R239" s="1463"/>
      <c r="S239" s="1463"/>
      <c r="T239" s="1463"/>
      <c r="U239" s="1463"/>
      <c r="V239" s="1463"/>
      <c r="W239" s="1463"/>
      <c r="X239" s="1464"/>
      <c r="Y239" s="61"/>
    </row>
    <row r="240" spans="1:25">
      <c r="A240" s="62"/>
      <c r="B240" s="1451"/>
      <c r="C240" s="1452"/>
      <c r="D240" s="1452"/>
      <c r="E240" s="1452"/>
      <c r="F240" s="1452"/>
      <c r="G240" s="1453"/>
      <c r="H240" s="84"/>
      <c r="I240" s="85" t="s">
        <v>7</v>
      </c>
      <c r="J240" s="1463" t="s">
        <v>285</v>
      </c>
      <c r="K240" s="1463"/>
      <c r="L240" s="1463"/>
      <c r="M240" s="1463"/>
      <c r="N240" s="1463"/>
      <c r="O240" s="1463"/>
      <c r="P240" s="1463"/>
      <c r="Q240" s="1463"/>
      <c r="R240" s="1463"/>
      <c r="S240" s="1463"/>
      <c r="T240" s="1463"/>
      <c r="U240" s="1463"/>
      <c r="V240" s="1463"/>
      <c r="W240" s="1463"/>
      <c r="X240" s="1464"/>
      <c r="Y240" s="61"/>
    </row>
    <row r="241" spans="1:25">
      <c r="A241" s="62"/>
      <c r="B241" s="1451"/>
      <c r="C241" s="1452"/>
      <c r="D241" s="1452"/>
      <c r="E241" s="1452"/>
      <c r="F241" s="1452"/>
      <c r="G241" s="1453"/>
      <c r="H241" s="84"/>
      <c r="I241" s="85"/>
      <c r="J241" s="1463"/>
      <c r="K241" s="1463"/>
      <c r="L241" s="1463"/>
      <c r="M241" s="1463"/>
      <c r="N241" s="1463"/>
      <c r="O241" s="1463"/>
      <c r="P241" s="1463"/>
      <c r="Q241" s="1463"/>
      <c r="R241" s="1463"/>
      <c r="S241" s="1463"/>
      <c r="T241" s="1463"/>
      <c r="U241" s="1463"/>
      <c r="V241" s="1463"/>
      <c r="W241" s="1463"/>
      <c r="X241" s="1464"/>
      <c r="Y241" s="61"/>
    </row>
    <row r="242" spans="1:25">
      <c r="A242" s="62"/>
      <c r="B242" s="1451"/>
      <c r="C242" s="1452"/>
      <c r="D242" s="1452"/>
      <c r="E242" s="1452"/>
      <c r="F242" s="1452"/>
      <c r="G242" s="1453"/>
      <c r="H242" s="84"/>
      <c r="I242" s="85" t="s">
        <v>7</v>
      </c>
      <c r="J242" s="1463" t="s">
        <v>286</v>
      </c>
      <c r="K242" s="1463"/>
      <c r="L242" s="1463"/>
      <c r="M242" s="1463"/>
      <c r="N242" s="1463"/>
      <c r="O242" s="1463"/>
      <c r="P242" s="1463"/>
      <c r="Q242" s="1463"/>
      <c r="R242" s="1463"/>
      <c r="S242" s="1463"/>
      <c r="T242" s="1463"/>
      <c r="U242" s="1463"/>
      <c r="V242" s="1463"/>
      <c r="W242" s="1463"/>
      <c r="X242" s="1464"/>
      <c r="Y242" s="61"/>
    </row>
    <row r="243" spans="1:25">
      <c r="A243" s="62"/>
      <c r="B243" s="1454"/>
      <c r="C243" s="1455"/>
      <c r="D243" s="1455"/>
      <c r="E243" s="1455"/>
      <c r="F243" s="1455"/>
      <c r="G243" s="1456"/>
      <c r="H243" s="86"/>
      <c r="I243" s="87"/>
      <c r="J243" s="1465"/>
      <c r="K243" s="1465"/>
      <c r="L243" s="1465"/>
      <c r="M243" s="1465"/>
      <c r="N243" s="1465"/>
      <c r="O243" s="1465"/>
      <c r="P243" s="1465"/>
      <c r="Q243" s="1465"/>
      <c r="R243" s="1465"/>
      <c r="S243" s="1465"/>
      <c r="T243" s="1465"/>
      <c r="U243" s="1465"/>
      <c r="V243" s="1465"/>
      <c r="W243" s="1465"/>
      <c r="X243" s="1466"/>
      <c r="Y243" s="61"/>
    </row>
    <row r="244" spans="1:25">
      <c r="A244" s="62"/>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1"/>
    </row>
    <row r="245" spans="1:25">
      <c r="A245" s="58" t="s">
        <v>287</v>
      </c>
      <c r="B245" s="59" t="s">
        <v>288</v>
      </c>
      <c r="C245" s="60"/>
      <c r="D245" s="60"/>
      <c r="E245" s="60"/>
      <c r="F245" s="60"/>
      <c r="G245" s="60"/>
      <c r="H245" s="60"/>
      <c r="I245" s="60"/>
      <c r="J245" s="60"/>
      <c r="K245" s="60"/>
      <c r="L245" s="60"/>
      <c r="M245" s="60"/>
      <c r="N245" s="60"/>
      <c r="O245" s="60"/>
      <c r="P245" s="60"/>
      <c r="Q245" s="60"/>
      <c r="R245" s="60"/>
      <c r="S245" s="60"/>
      <c r="T245" s="60"/>
      <c r="U245" s="60"/>
      <c r="V245" s="60"/>
      <c r="W245" s="60"/>
      <c r="X245" s="60"/>
      <c r="Y245" s="61"/>
    </row>
    <row r="246" spans="1:25">
      <c r="A246" s="62"/>
      <c r="B246" s="1490" t="s">
        <v>140</v>
      </c>
      <c r="C246" s="1490"/>
      <c r="D246" s="1490"/>
      <c r="E246" s="1490"/>
      <c r="F246" s="1490"/>
      <c r="G246" s="1490"/>
      <c r="H246" s="1490" t="s">
        <v>141</v>
      </c>
      <c r="I246" s="1490"/>
      <c r="J246" s="1490"/>
      <c r="K246" s="1490"/>
      <c r="L246" s="1490"/>
      <c r="M246" s="1490"/>
      <c r="N246" s="1490"/>
      <c r="O246" s="1490"/>
      <c r="P246" s="1490"/>
      <c r="Q246" s="1490"/>
      <c r="R246" s="1490"/>
      <c r="S246" s="1490"/>
      <c r="T246" s="1490"/>
      <c r="U246" s="1490"/>
      <c r="V246" s="1490"/>
      <c r="W246" s="1490"/>
      <c r="X246" s="1490"/>
      <c r="Y246" s="61"/>
    </row>
    <row r="247" spans="1:25">
      <c r="A247" s="62"/>
      <c r="B247" s="1423" t="s">
        <v>289</v>
      </c>
      <c r="C247" s="1424"/>
      <c r="D247" s="1424"/>
      <c r="E247" s="1424"/>
      <c r="F247" s="1424"/>
      <c r="G247" s="1425"/>
      <c r="H247" s="1477" t="s">
        <v>290</v>
      </c>
      <c r="I247" s="1478"/>
      <c r="J247" s="1478"/>
      <c r="K247" s="1478"/>
      <c r="L247" s="1478"/>
      <c r="M247" s="1478"/>
      <c r="N247" s="1478"/>
      <c r="O247" s="1478"/>
      <c r="P247" s="1478"/>
      <c r="Q247" s="1478"/>
      <c r="R247" s="1478"/>
      <c r="S247" s="1478"/>
      <c r="T247" s="1478"/>
      <c r="U247" s="1478"/>
      <c r="V247" s="1478"/>
      <c r="W247" s="1478"/>
      <c r="X247" s="1479"/>
      <c r="Y247" s="61"/>
    </row>
    <row r="248" spans="1:25">
      <c r="A248" s="62"/>
      <c r="B248" s="1426"/>
      <c r="C248" s="1427"/>
      <c r="D248" s="1427"/>
      <c r="E248" s="1427"/>
      <c r="F248" s="1427"/>
      <c r="G248" s="1428"/>
      <c r="H248" s="1480"/>
      <c r="I248" s="1481"/>
      <c r="J248" s="1481"/>
      <c r="K248" s="1481"/>
      <c r="L248" s="1481"/>
      <c r="M248" s="1481"/>
      <c r="N248" s="1481"/>
      <c r="O248" s="1481"/>
      <c r="P248" s="1481"/>
      <c r="Q248" s="1481"/>
      <c r="R248" s="1481"/>
      <c r="S248" s="1481"/>
      <c r="T248" s="1481"/>
      <c r="U248" s="1481"/>
      <c r="V248" s="1481"/>
      <c r="W248" s="1481"/>
      <c r="X248" s="1482"/>
      <c r="Y248" s="61"/>
    </row>
    <row r="249" spans="1:25">
      <c r="A249" s="62"/>
      <c r="B249" s="1447" t="s">
        <v>291</v>
      </c>
      <c r="C249" s="1447"/>
      <c r="D249" s="1447"/>
      <c r="E249" s="1447"/>
      <c r="F249" s="1447"/>
      <c r="G249" s="1447"/>
      <c r="H249" s="1494" t="s">
        <v>292</v>
      </c>
      <c r="I249" s="1494"/>
      <c r="J249" s="1494"/>
      <c r="K249" s="1494"/>
      <c r="L249" s="1494"/>
      <c r="M249" s="1494"/>
      <c r="N249" s="1494"/>
      <c r="O249" s="1494"/>
      <c r="P249" s="1494"/>
      <c r="Q249" s="1494"/>
      <c r="R249" s="1494"/>
      <c r="S249" s="1494"/>
      <c r="T249" s="1494"/>
      <c r="U249" s="1494"/>
      <c r="V249" s="1494"/>
      <c r="W249" s="1494"/>
      <c r="X249" s="1494"/>
      <c r="Y249" s="61"/>
    </row>
    <row r="250" spans="1:25">
      <c r="A250" s="62"/>
      <c r="B250" s="1447"/>
      <c r="C250" s="1447"/>
      <c r="D250" s="1447"/>
      <c r="E250" s="1447"/>
      <c r="F250" s="1447"/>
      <c r="G250" s="1447"/>
      <c r="H250" s="1494"/>
      <c r="I250" s="1494"/>
      <c r="J250" s="1494"/>
      <c r="K250" s="1494"/>
      <c r="L250" s="1494"/>
      <c r="M250" s="1494"/>
      <c r="N250" s="1494"/>
      <c r="O250" s="1494"/>
      <c r="P250" s="1494"/>
      <c r="Q250" s="1494"/>
      <c r="R250" s="1494"/>
      <c r="S250" s="1494"/>
      <c r="T250" s="1494"/>
      <c r="U250" s="1494"/>
      <c r="V250" s="1494"/>
      <c r="W250" s="1494"/>
      <c r="X250" s="1494"/>
      <c r="Y250" s="61"/>
    </row>
    <row r="251" spans="1:25">
      <c r="A251" s="62"/>
      <c r="B251" s="1495" t="s">
        <v>293</v>
      </c>
      <c r="C251" s="1495"/>
      <c r="D251" s="1495"/>
      <c r="E251" s="1495"/>
      <c r="F251" s="1495"/>
      <c r="G251" s="1496"/>
      <c r="H251" s="1462" t="s">
        <v>294</v>
      </c>
      <c r="I251" s="1463"/>
      <c r="J251" s="1463"/>
      <c r="K251" s="1463"/>
      <c r="L251" s="1463"/>
      <c r="M251" s="1463"/>
      <c r="N251" s="1463"/>
      <c r="O251" s="1463"/>
      <c r="P251" s="1463"/>
      <c r="Q251" s="1463"/>
      <c r="R251" s="1463"/>
      <c r="S251" s="1463"/>
      <c r="T251" s="1463"/>
      <c r="U251" s="1463"/>
      <c r="V251" s="1463"/>
      <c r="W251" s="1463"/>
      <c r="X251" s="1464"/>
      <c r="Y251" s="61"/>
    </row>
    <row r="252" spans="1:25">
      <c r="A252" s="62"/>
      <c r="B252" s="1457"/>
      <c r="C252" s="1457"/>
      <c r="D252" s="1457"/>
      <c r="E252" s="1457"/>
      <c r="F252" s="1457"/>
      <c r="G252" s="1458"/>
      <c r="H252" s="1462"/>
      <c r="I252" s="1463"/>
      <c r="J252" s="1463"/>
      <c r="K252" s="1463"/>
      <c r="L252" s="1463"/>
      <c r="M252" s="1463"/>
      <c r="N252" s="1463"/>
      <c r="O252" s="1463"/>
      <c r="P252" s="1463"/>
      <c r="Q252" s="1463"/>
      <c r="R252" s="1463"/>
      <c r="S252" s="1463"/>
      <c r="T252" s="1463"/>
      <c r="U252" s="1463"/>
      <c r="V252" s="1463"/>
      <c r="W252" s="1463"/>
      <c r="X252" s="1464"/>
      <c r="Y252" s="61"/>
    </row>
    <row r="253" spans="1:25">
      <c r="A253" s="62"/>
      <c r="B253" s="1457"/>
      <c r="C253" s="1457"/>
      <c r="D253" s="1457"/>
      <c r="E253" s="1457"/>
      <c r="F253" s="1457"/>
      <c r="G253" s="1458"/>
      <c r="H253" s="84"/>
      <c r="I253" s="85"/>
      <c r="J253" s="1463"/>
      <c r="K253" s="1463"/>
      <c r="L253" s="1463"/>
      <c r="M253" s="1463"/>
      <c r="N253" s="1463"/>
      <c r="O253" s="1463"/>
      <c r="P253" s="1463"/>
      <c r="Q253" s="1463"/>
      <c r="R253" s="1463"/>
      <c r="S253" s="1463"/>
      <c r="T253" s="1463"/>
      <c r="U253" s="1463"/>
      <c r="V253" s="1463"/>
      <c r="W253" s="1463"/>
      <c r="X253" s="1464"/>
      <c r="Y253" s="61"/>
    </row>
    <row r="254" spans="1:25">
      <c r="A254" s="62"/>
      <c r="B254" s="1457"/>
      <c r="C254" s="1457"/>
      <c r="D254" s="1457"/>
      <c r="E254" s="1457"/>
      <c r="F254" s="1457"/>
      <c r="G254" s="1458"/>
      <c r="H254" s="84"/>
      <c r="I254" s="85"/>
      <c r="J254" s="1463"/>
      <c r="K254" s="1463"/>
      <c r="L254" s="1463"/>
      <c r="M254" s="1463"/>
      <c r="N254" s="1463"/>
      <c r="O254" s="1463"/>
      <c r="P254" s="1463"/>
      <c r="Q254" s="1463"/>
      <c r="R254" s="1463"/>
      <c r="S254" s="1463"/>
      <c r="T254" s="1463"/>
      <c r="U254" s="1463"/>
      <c r="V254" s="1463"/>
      <c r="W254" s="1463"/>
      <c r="X254" s="1464"/>
      <c r="Y254" s="61"/>
    </row>
    <row r="255" spans="1:25">
      <c r="A255" s="62"/>
      <c r="B255" s="1457"/>
      <c r="C255" s="1457"/>
      <c r="D255" s="1457"/>
      <c r="E255" s="1457"/>
      <c r="F255" s="1457"/>
      <c r="G255" s="1458"/>
      <c r="H255" s="86"/>
      <c r="I255" s="87"/>
      <c r="J255" s="1465"/>
      <c r="K255" s="1465"/>
      <c r="L255" s="1465"/>
      <c r="M255" s="1465"/>
      <c r="N255" s="1465"/>
      <c r="O255" s="1465"/>
      <c r="P255" s="1465"/>
      <c r="Q255" s="1465"/>
      <c r="R255" s="1465"/>
      <c r="S255" s="1465"/>
      <c r="T255" s="1465"/>
      <c r="U255" s="1465"/>
      <c r="V255" s="1465"/>
      <c r="W255" s="1465"/>
      <c r="X255" s="1466"/>
      <c r="Y255" s="61"/>
    </row>
    <row r="256" spans="1:25">
      <c r="A256" s="62"/>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1"/>
    </row>
    <row r="257" spans="1:25">
      <c r="A257" s="62"/>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1"/>
    </row>
    <row r="258" spans="1:25">
      <c r="A258" s="62"/>
      <c r="B258" s="60"/>
      <c r="C258" s="60"/>
      <c r="D258" s="60"/>
      <c r="E258" s="60"/>
      <c r="F258" s="60"/>
      <c r="G258" s="60"/>
      <c r="H258" s="60"/>
      <c r="I258" s="60"/>
      <c r="J258" s="60"/>
      <c r="K258" s="60"/>
      <c r="L258" s="92"/>
      <c r="M258" s="60"/>
      <c r="N258" s="60"/>
      <c r="O258" s="60"/>
      <c r="P258" s="60"/>
      <c r="Q258" s="60"/>
      <c r="R258" s="60"/>
      <c r="S258" s="60"/>
      <c r="T258" s="60"/>
      <c r="U258" s="60"/>
      <c r="V258" s="60"/>
      <c r="W258" s="60"/>
      <c r="X258" s="60"/>
      <c r="Y258" s="61"/>
    </row>
    <row r="259" spans="1:25">
      <c r="A259" s="62"/>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1"/>
    </row>
    <row r="260" spans="1:25">
      <c r="A260" s="62"/>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1"/>
    </row>
    <row r="261" spans="1:25">
      <c r="A261" s="62"/>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1"/>
    </row>
    <row r="262" spans="1:25">
      <c r="A262" s="58" t="s">
        <v>295</v>
      </c>
      <c r="B262" s="59" t="s">
        <v>296</v>
      </c>
      <c r="C262" s="60"/>
      <c r="D262" s="60"/>
      <c r="E262" s="60"/>
      <c r="F262" s="60"/>
      <c r="G262" s="60"/>
      <c r="H262" s="60"/>
      <c r="I262" s="60"/>
      <c r="J262" s="60"/>
      <c r="K262" s="60"/>
      <c r="L262" s="60"/>
      <c r="M262" s="60"/>
      <c r="N262" s="60"/>
      <c r="O262" s="60"/>
      <c r="P262" s="60"/>
      <c r="Q262" s="60"/>
      <c r="R262" s="60"/>
      <c r="S262" s="60"/>
      <c r="T262" s="60"/>
      <c r="U262" s="60"/>
      <c r="V262" s="60"/>
      <c r="W262" s="60"/>
      <c r="X262" s="60"/>
      <c r="Y262" s="61"/>
    </row>
    <row r="263" spans="1:25">
      <c r="A263" s="62"/>
      <c r="B263" s="1491" t="s">
        <v>141</v>
      </c>
      <c r="C263" s="1492"/>
      <c r="D263" s="1492"/>
      <c r="E263" s="1492"/>
      <c r="F263" s="1492"/>
      <c r="G263" s="1492"/>
      <c r="H263" s="1492"/>
      <c r="I263" s="1492"/>
      <c r="J263" s="1492"/>
      <c r="K263" s="1492"/>
      <c r="L263" s="1492"/>
      <c r="M263" s="1492"/>
      <c r="N263" s="1492"/>
      <c r="O263" s="1492"/>
      <c r="P263" s="1492"/>
      <c r="Q263" s="1492"/>
      <c r="R263" s="1492"/>
      <c r="S263" s="1492"/>
      <c r="T263" s="1492"/>
      <c r="U263" s="1492"/>
      <c r="V263" s="1492"/>
      <c r="W263" s="1492"/>
      <c r="X263" s="1493"/>
      <c r="Y263" s="61"/>
    </row>
    <row r="264" spans="1:25">
      <c r="A264" s="62"/>
      <c r="B264" s="1459" t="s">
        <v>297</v>
      </c>
      <c r="C264" s="1460"/>
      <c r="D264" s="1460"/>
      <c r="E264" s="1460"/>
      <c r="F264" s="1460"/>
      <c r="G264" s="1460"/>
      <c r="H264" s="1460"/>
      <c r="I264" s="1460"/>
      <c r="J264" s="1460"/>
      <c r="K264" s="1460"/>
      <c r="L264" s="1460"/>
      <c r="M264" s="1460"/>
      <c r="N264" s="1460"/>
      <c r="O264" s="1460"/>
      <c r="P264" s="1460"/>
      <c r="Q264" s="1460"/>
      <c r="R264" s="1460"/>
      <c r="S264" s="1460"/>
      <c r="T264" s="1460"/>
      <c r="U264" s="1460"/>
      <c r="V264" s="1460"/>
      <c r="W264" s="1460"/>
      <c r="X264" s="1461"/>
      <c r="Y264" s="61"/>
    </row>
    <row r="265" spans="1:25">
      <c r="A265" s="62"/>
      <c r="B265" s="84"/>
      <c r="C265" s="85" t="s">
        <v>7</v>
      </c>
      <c r="D265" s="1463" t="s">
        <v>298</v>
      </c>
      <c r="E265" s="1463"/>
      <c r="F265" s="1463"/>
      <c r="G265" s="1463"/>
      <c r="H265" s="1463"/>
      <c r="I265" s="1463"/>
      <c r="J265" s="1463"/>
      <c r="K265" s="1463"/>
      <c r="L265" s="1463"/>
      <c r="M265" s="1463"/>
      <c r="N265" s="1463"/>
      <c r="O265" s="1463"/>
      <c r="P265" s="1463"/>
      <c r="Q265" s="1463"/>
      <c r="R265" s="1463"/>
      <c r="S265" s="1463"/>
      <c r="T265" s="1463"/>
      <c r="U265" s="1463"/>
      <c r="V265" s="1463"/>
      <c r="W265" s="1463"/>
      <c r="X265" s="1464"/>
      <c r="Y265" s="61"/>
    </row>
    <row r="266" spans="1:25">
      <c r="A266" s="62"/>
      <c r="B266" s="84"/>
      <c r="C266" s="85"/>
      <c r="D266" s="1463" t="s">
        <v>299</v>
      </c>
      <c r="E266" s="1463"/>
      <c r="F266" s="1463"/>
      <c r="G266" s="1463"/>
      <c r="H266" s="1463"/>
      <c r="I266" s="1463"/>
      <c r="J266" s="1463"/>
      <c r="K266" s="1463"/>
      <c r="L266" s="1463"/>
      <c r="M266" s="1463"/>
      <c r="N266" s="1463"/>
      <c r="O266" s="1463"/>
      <c r="P266" s="1463"/>
      <c r="Q266" s="1463"/>
      <c r="R266" s="1463"/>
      <c r="S266" s="1463"/>
      <c r="T266" s="1463"/>
      <c r="U266" s="1463"/>
      <c r="V266" s="1463"/>
      <c r="W266" s="1463"/>
      <c r="X266" s="1464"/>
      <c r="Y266" s="61"/>
    </row>
    <row r="267" spans="1:25">
      <c r="A267" s="62"/>
      <c r="B267" s="84"/>
      <c r="C267" s="85"/>
      <c r="D267" s="1463"/>
      <c r="E267" s="1463"/>
      <c r="F267" s="1463"/>
      <c r="G267" s="1463"/>
      <c r="H267" s="1463"/>
      <c r="I267" s="1463"/>
      <c r="J267" s="1463"/>
      <c r="K267" s="1463"/>
      <c r="L267" s="1463"/>
      <c r="M267" s="1463"/>
      <c r="N267" s="1463"/>
      <c r="O267" s="1463"/>
      <c r="P267" s="1463"/>
      <c r="Q267" s="1463"/>
      <c r="R267" s="1463"/>
      <c r="S267" s="1463"/>
      <c r="T267" s="1463"/>
      <c r="U267" s="1463"/>
      <c r="V267" s="1463"/>
      <c r="W267" s="1463"/>
      <c r="X267" s="1464"/>
      <c r="Y267" s="61"/>
    </row>
    <row r="268" spans="1:25">
      <c r="A268" s="62"/>
      <c r="B268" s="84"/>
      <c r="C268" s="85"/>
      <c r="D268" s="1463"/>
      <c r="E268" s="1463"/>
      <c r="F268" s="1463"/>
      <c r="G268" s="1463"/>
      <c r="H268" s="1463"/>
      <c r="I268" s="1463"/>
      <c r="J268" s="1463"/>
      <c r="K268" s="1463"/>
      <c r="L268" s="1463"/>
      <c r="M268" s="1463"/>
      <c r="N268" s="1463"/>
      <c r="O268" s="1463"/>
      <c r="P268" s="1463"/>
      <c r="Q268" s="1463"/>
      <c r="R268" s="1463"/>
      <c r="S268" s="1463"/>
      <c r="T268" s="1463"/>
      <c r="U268" s="1463"/>
      <c r="V268" s="1463"/>
      <c r="W268" s="1463"/>
      <c r="X268" s="1464"/>
      <c r="Y268" s="61"/>
    </row>
    <row r="269" spans="1:25">
      <c r="A269" s="62"/>
      <c r="B269" s="84"/>
      <c r="C269" s="85"/>
      <c r="D269" s="1463"/>
      <c r="E269" s="1463"/>
      <c r="F269" s="1463"/>
      <c r="G269" s="1463"/>
      <c r="H269" s="1463"/>
      <c r="I269" s="1463"/>
      <c r="J269" s="1463"/>
      <c r="K269" s="1463"/>
      <c r="L269" s="1463"/>
      <c r="M269" s="1463"/>
      <c r="N269" s="1463"/>
      <c r="O269" s="1463"/>
      <c r="P269" s="1463"/>
      <c r="Q269" s="1463"/>
      <c r="R269" s="1463"/>
      <c r="S269" s="1463"/>
      <c r="T269" s="1463"/>
      <c r="U269" s="1463"/>
      <c r="V269" s="1463"/>
      <c r="W269" s="1463"/>
      <c r="X269" s="1464"/>
      <c r="Y269" s="61"/>
    </row>
    <row r="270" spans="1:25">
      <c r="A270" s="62"/>
      <c r="B270" s="84"/>
      <c r="C270" s="85"/>
      <c r="D270" s="1463"/>
      <c r="E270" s="1463"/>
      <c r="F270" s="1463"/>
      <c r="G270" s="1463"/>
      <c r="H270" s="1463"/>
      <c r="I270" s="1463"/>
      <c r="J270" s="1463"/>
      <c r="K270" s="1463"/>
      <c r="L270" s="1463"/>
      <c r="M270" s="1463"/>
      <c r="N270" s="1463"/>
      <c r="O270" s="1463"/>
      <c r="P270" s="1463"/>
      <c r="Q270" s="1463"/>
      <c r="R270" s="1463"/>
      <c r="S270" s="1463"/>
      <c r="T270" s="1463"/>
      <c r="U270" s="1463"/>
      <c r="V270" s="1463"/>
      <c r="W270" s="1463"/>
      <c r="X270" s="1464"/>
      <c r="Y270" s="61"/>
    </row>
    <row r="271" spans="1:25">
      <c r="A271" s="62"/>
      <c r="B271" s="84"/>
      <c r="C271" s="85"/>
      <c r="D271" s="1463"/>
      <c r="E271" s="1463"/>
      <c r="F271" s="1463"/>
      <c r="G271" s="1463"/>
      <c r="H271" s="1463"/>
      <c r="I271" s="1463"/>
      <c r="J271" s="1463"/>
      <c r="K271" s="1463"/>
      <c r="L271" s="1463"/>
      <c r="M271" s="1463"/>
      <c r="N271" s="1463"/>
      <c r="O271" s="1463"/>
      <c r="P271" s="1463"/>
      <c r="Q271" s="1463"/>
      <c r="R271" s="1463"/>
      <c r="S271" s="1463"/>
      <c r="T271" s="1463"/>
      <c r="U271" s="1463"/>
      <c r="V271" s="1463"/>
      <c r="W271" s="1463"/>
      <c r="X271" s="1464"/>
      <c r="Y271" s="61"/>
    </row>
    <row r="272" spans="1:25">
      <c r="A272" s="62"/>
      <c r="B272" s="86"/>
      <c r="C272" s="87"/>
      <c r="D272" s="1465"/>
      <c r="E272" s="1465"/>
      <c r="F272" s="1465"/>
      <c r="G272" s="1465"/>
      <c r="H272" s="1465"/>
      <c r="I272" s="1465"/>
      <c r="J272" s="1465"/>
      <c r="K272" s="1465"/>
      <c r="L272" s="1465"/>
      <c r="M272" s="1465"/>
      <c r="N272" s="1465"/>
      <c r="O272" s="1465"/>
      <c r="P272" s="1465"/>
      <c r="Q272" s="1465"/>
      <c r="R272" s="1465"/>
      <c r="S272" s="1465"/>
      <c r="T272" s="1465"/>
      <c r="U272" s="1465"/>
      <c r="V272" s="1465"/>
      <c r="W272" s="1465"/>
      <c r="X272" s="1466"/>
      <c r="Y272" s="61"/>
    </row>
    <row r="273" spans="1:25">
      <c r="A273" s="62"/>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1"/>
    </row>
    <row r="274" spans="1:25">
      <c r="A274" s="58" t="s">
        <v>300</v>
      </c>
      <c r="B274" s="59" t="s">
        <v>301</v>
      </c>
      <c r="C274" s="60"/>
      <c r="D274" s="60"/>
      <c r="E274" s="60"/>
      <c r="F274" s="60"/>
      <c r="G274" s="60"/>
      <c r="H274" s="60"/>
      <c r="I274" s="60"/>
      <c r="J274" s="60"/>
      <c r="K274" s="60"/>
      <c r="L274" s="60"/>
      <c r="M274" s="60"/>
      <c r="N274" s="60"/>
      <c r="O274" s="60"/>
      <c r="P274" s="60"/>
      <c r="Q274" s="60"/>
      <c r="R274" s="60"/>
      <c r="S274" s="60"/>
      <c r="T274" s="60"/>
      <c r="U274" s="60"/>
      <c r="V274" s="60"/>
      <c r="W274" s="60"/>
      <c r="X274" s="60"/>
      <c r="Y274" s="61"/>
    </row>
    <row r="275" spans="1:25">
      <c r="A275" s="62"/>
      <c r="B275" s="1491" t="s">
        <v>141</v>
      </c>
      <c r="C275" s="1492"/>
      <c r="D275" s="1492"/>
      <c r="E275" s="1492"/>
      <c r="F275" s="1492"/>
      <c r="G275" s="1492"/>
      <c r="H275" s="1492"/>
      <c r="I275" s="1492"/>
      <c r="J275" s="1492"/>
      <c r="K275" s="1492"/>
      <c r="L275" s="1492"/>
      <c r="M275" s="1492"/>
      <c r="N275" s="1492"/>
      <c r="O275" s="1492"/>
      <c r="P275" s="1492"/>
      <c r="Q275" s="1492"/>
      <c r="R275" s="1492"/>
      <c r="S275" s="1492"/>
      <c r="T275" s="1492"/>
      <c r="U275" s="1492"/>
      <c r="V275" s="1492"/>
      <c r="W275" s="1492"/>
      <c r="X275" s="1493"/>
      <c r="Y275" s="61"/>
    </row>
    <row r="276" spans="1:25">
      <c r="A276" s="62"/>
      <c r="B276" s="1459" t="s">
        <v>302</v>
      </c>
      <c r="C276" s="1460"/>
      <c r="D276" s="1460"/>
      <c r="E276" s="1460"/>
      <c r="F276" s="1460"/>
      <c r="G276" s="1460"/>
      <c r="H276" s="1460"/>
      <c r="I276" s="1460"/>
      <c r="J276" s="1460"/>
      <c r="K276" s="1460"/>
      <c r="L276" s="1460"/>
      <c r="M276" s="1460"/>
      <c r="N276" s="1460"/>
      <c r="O276" s="1460"/>
      <c r="P276" s="1460"/>
      <c r="Q276" s="1460"/>
      <c r="R276" s="1460"/>
      <c r="S276" s="1460"/>
      <c r="T276" s="1460"/>
      <c r="U276" s="1460"/>
      <c r="V276" s="1460"/>
      <c r="W276" s="1460"/>
      <c r="X276" s="1461"/>
      <c r="Y276" s="61"/>
    </row>
    <row r="277" spans="1:25">
      <c r="A277" s="62"/>
      <c r="B277" s="84"/>
      <c r="C277" s="85" t="s">
        <v>7</v>
      </c>
      <c r="D277" s="1463" t="s">
        <v>303</v>
      </c>
      <c r="E277" s="1463"/>
      <c r="F277" s="1463"/>
      <c r="G277" s="1463"/>
      <c r="H277" s="1463"/>
      <c r="I277" s="1463"/>
      <c r="J277" s="1463"/>
      <c r="K277" s="1463"/>
      <c r="L277" s="1463"/>
      <c r="M277" s="1463"/>
      <c r="N277" s="1463"/>
      <c r="O277" s="1463"/>
      <c r="P277" s="1463"/>
      <c r="Q277" s="1463"/>
      <c r="R277" s="1463"/>
      <c r="S277" s="1463"/>
      <c r="T277" s="1463"/>
      <c r="U277" s="1463"/>
      <c r="V277" s="1463"/>
      <c r="W277" s="1463"/>
      <c r="X277" s="1464"/>
      <c r="Y277" s="61"/>
    </row>
    <row r="278" spans="1:25">
      <c r="A278" s="62"/>
      <c r="B278" s="84"/>
      <c r="C278" s="85" t="s">
        <v>7</v>
      </c>
      <c r="D278" s="1463" t="s">
        <v>304</v>
      </c>
      <c r="E278" s="1463"/>
      <c r="F278" s="1463"/>
      <c r="G278" s="1463"/>
      <c r="H278" s="1463"/>
      <c r="I278" s="1463"/>
      <c r="J278" s="1463"/>
      <c r="K278" s="1463"/>
      <c r="L278" s="1463"/>
      <c r="M278" s="1463"/>
      <c r="N278" s="1463"/>
      <c r="O278" s="1463"/>
      <c r="P278" s="1463"/>
      <c r="Q278" s="1463"/>
      <c r="R278" s="1463"/>
      <c r="S278" s="1463"/>
      <c r="T278" s="1463"/>
      <c r="U278" s="1463"/>
      <c r="V278" s="1463"/>
      <c r="W278" s="1463"/>
      <c r="X278" s="1464"/>
      <c r="Y278" s="61"/>
    </row>
    <row r="279" spans="1:25">
      <c r="A279" s="62"/>
      <c r="B279" s="84"/>
      <c r="C279" s="85"/>
      <c r="D279" s="1463"/>
      <c r="E279" s="1463"/>
      <c r="F279" s="1463"/>
      <c r="G279" s="1463"/>
      <c r="H279" s="1463"/>
      <c r="I279" s="1463"/>
      <c r="J279" s="1463"/>
      <c r="K279" s="1463"/>
      <c r="L279" s="1463"/>
      <c r="M279" s="1463"/>
      <c r="N279" s="1463"/>
      <c r="O279" s="1463"/>
      <c r="P279" s="1463"/>
      <c r="Q279" s="1463"/>
      <c r="R279" s="1463"/>
      <c r="S279" s="1463"/>
      <c r="T279" s="1463"/>
      <c r="U279" s="1463"/>
      <c r="V279" s="1463"/>
      <c r="W279" s="1463"/>
      <c r="X279" s="1464"/>
      <c r="Y279" s="61"/>
    </row>
    <row r="280" spans="1:25">
      <c r="A280" s="62"/>
      <c r="B280" s="84"/>
      <c r="C280" s="85" t="s">
        <v>7</v>
      </c>
      <c r="D280" s="1463" t="s">
        <v>305</v>
      </c>
      <c r="E280" s="1463"/>
      <c r="F280" s="1463"/>
      <c r="G280" s="1463"/>
      <c r="H280" s="1463"/>
      <c r="I280" s="1463"/>
      <c r="J280" s="1463"/>
      <c r="K280" s="1463"/>
      <c r="L280" s="1463"/>
      <c r="M280" s="1463"/>
      <c r="N280" s="1463"/>
      <c r="O280" s="1463"/>
      <c r="P280" s="1463"/>
      <c r="Q280" s="1463"/>
      <c r="R280" s="1463"/>
      <c r="S280" s="1463"/>
      <c r="T280" s="1463"/>
      <c r="U280" s="1463"/>
      <c r="V280" s="1463"/>
      <c r="W280" s="1463"/>
      <c r="X280" s="1464"/>
      <c r="Y280" s="61"/>
    </row>
    <row r="281" spans="1:25">
      <c r="A281" s="62"/>
      <c r="B281" s="84"/>
      <c r="C281" s="85"/>
      <c r="D281" s="1463"/>
      <c r="E281" s="1463"/>
      <c r="F281" s="1463"/>
      <c r="G281" s="1463"/>
      <c r="H281" s="1463"/>
      <c r="I281" s="1463"/>
      <c r="J281" s="1463"/>
      <c r="K281" s="1463"/>
      <c r="L281" s="1463"/>
      <c r="M281" s="1463"/>
      <c r="N281" s="1463"/>
      <c r="O281" s="1463"/>
      <c r="P281" s="1463"/>
      <c r="Q281" s="1463"/>
      <c r="R281" s="1463"/>
      <c r="S281" s="1463"/>
      <c r="T281" s="1463"/>
      <c r="U281" s="1463"/>
      <c r="V281" s="1463"/>
      <c r="W281" s="1463"/>
      <c r="X281" s="1464"/>
      <c r="Y281" s="61"/>
    </row>
    <row r="282" spans="1:25">
      <c r="A282" s="62"/>
      <c r="B282" s="84"/>
      <c r="C282" s="85"/>
      <c r="D282" s="1463"/>
      <c r="E282" s="1463"/>
      <c r="F282" s="1463"/>
      <c r="G282" s="1463"/>
      <c r="H282" s="1463"/>
      <c r="I282" s="1463"/>
      <c r="J282" s="1463"/>
      <c r="K282" s="1463"/>
      <c r="L282" s="1463"/>
      <c r="M282" s="1463"/>
      <c r="N282" s="1463"/>
      <c r="O282" s="1463"/>
      <c r="P282" s="1463"/>
      <c r="Q282" s="1463"/>
      <c r="R282" s="1463"/>
      <c r="S282" s="1463"/>
      <c r="T282" s="1463"/>
      <c r="U282" s="1463"/>
      <c r="V282" s="1463"/>
      <c r="W282" s="1463"/>
      <c r="X282" s="1464"/>
      <c r="Y282" s="61"/>
    </row>
    <row r="283" spans="1:25">
      <c r="A283" s="62"/>
      <c r="B283" s="84"/>
      <c r="C283" s="85"/>
      <c r="D283" s="1463"/>
      <c r="E283" s="1463"/>
      <c r="F283" s="1463"/>
      <c r="G283" s="1463"/>
      <c r="H283" s="1463"/>
      <c r="I283" s="1463"/>
      <c r="J283" s="1463"/>
      <c r="K283" s="1463"/>
      <c r="L283" s="1463"/>
      <c r="M283" s="1463"/>
      <c r="N283" s="1463"/>
      <c r="O283" s="1463"/>
      <c r="P283" s="1463"/>
      <c r="Q283" s="1463"/>
      <c r="R283" s="1463"/>
      <c r="S283" s="1463"/>
      <c r="T283" s="1463"/>
      <c r="U283" s="1463"/>
      <c r="V283" s="1463"/>
      <c r="W283" s="1463"/>
      <c r="X283" s="1464"/>
      <c r="Y283" s="61"/>
    </row>
    <row r="284" spans="1:25">
      <c r="A284" s="62"/>
      <c r="B284" s="86"/>
      <c r="C284" s="88"/>
      <c r="D284" s="1465"/>
      <c r="E284" s="1465"/>
      <c r="F284" s="1465"/>
      <c r="G284" s="1465"/>
      <c r="H284" s="1465"/>
      <c r="I284" s="1465"/>
      <c r="J284" s="1465"/>
      <c r="K284" s="1465"/>
      <c r="L284" s="1465"/>
      <c r="M284" s="1465"/>
      <c r="N284" s="1465"/>
      <c r="O284" s="1465"/>
      <c r="P284" s="1465"/>
      <c r="Q284" s="1465"/>
      <c r="R284" s="1465"/>
      <c r="S284" s="1465"/>
      <c r="T284" s="1465"/>
      <c r="U284" s="1465"/>
      <c r="V284" s="1465"/>
      <c r="W284" s="1465"/>
      <c r="X284" s="1466"/>
      <c r="Y284" s="61"/>
    </row>
    <row r="285" spans="1:25">
      <c r="A285" s="62"/>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1"/>
    </row>
    <row r="286" spans="1:25">
      <c r="A286" s="58" t="s">
        <v>306</v>
      </c>
      <c r="B286" s="59" t="s">
        <v>307</v>
      </c>
      <c r="C286" s="60"/>
      <c r="D286" s="60"/>
      <c r="E286" s="60"/>
      <c r="F286" s="60"/>
      <c r="G286" s="60"/>
      <c r="H286" s="60"/>
      <c r="I286" s="60"/>
      <c r="J286" s="60"/>
      <c r="K286" s="60"/>
      <c r="L286" s="60"/>
      <c r="M286" s="60"/>
      <c r="N286" s="60"/>
      <c r="O286" s="60"/>
      <c r="P286" s="60"/>
      <c r="Q286" s="60"/>
      <c r="R286" s="60"/>
      <c r="S286" s="60"/>
      <c r="T286" s="60"/>
      <c r="U286" s="60"/>
      <c r="V286" s="60"/>
      <c r="W286" s="60"/>
      <c r="X286" s="60"/>
      <c r="Y286" s="61"/>
    </row>
    <row r="287" spans="1:25">
      <c r="A287" s="62"/>
      <c r="B287" s="1497" t="s">
        <v>141</v>
      </c>
      <c r="C287" s="1498"/>
      <c r="D287" s="1498"/>
      <c r="E287" s="1498"/>
      <c r="F287" s="1498"/>
      <c r="G287" s="1498"/>
      <c r="H287" s="1498"/>
      <c r="I287" s="1498"/>
      <c r="J287" s="1498"/>
      <c r="K287" s="1498"/>
      <c r="L287" s="1498"/>
      <c r="M287" s="1498"/>
      <c r="N287" s="1498"/>
      <c r="O287" s="1498"/>
      <c r="P287" s="1498"/>
      <c r="Q287" s="1498"/>
      <c r="R287" s="1498"/>
      <c r="S287" s="1498"/>
      <c r="T287" s="1498"/>
      <c r="U287" s="1498"/>
      <c r="V287" s="1498"/>
      <c r="W287" s="1498"/>
      <c r="X287" s="1499"/>
      <c r="Y287" s="61"/>
    </row>
    <row r="288" spans="1:25">
      <c r="A288" s="62"/>
      <c r="B288" s="1459"/>
      <c r="C288" s="1460"/>
      <c r="D288" s="1460"/>
      <c r="E288" s="1460"/>
      <c r="F288" s="1460"/>
      <c r="G288" s="1460"/>
      <c r="H288" s="1460"/>
      <c r="I288" s="1460"/>
      <c r="J288" s="1460"/>
      <c r="K288" s="1460"/>
      <c r="L288" s="1460"/>
      <c r="M288" s="1460"/>
      <c r="N288" s="1460"/>
      <c r="O288" s="1460"/>
      <c r="P288" s="1460"/>
      <c r="Q288" s="1460"/>
      <c r="R288" s="1460"/>
      <c r="S288" s="1460"/>
      <c r="T288" s="1460"/>
      <c r="U288" s="1460"/>
      <c r="V288" s="1460"/>
      <c r="W288" s="1460"/>
      <c r="X288" s="1461"/>
      <c r="Y288" s="61"/>
    </row>
    <row r="289" spans="1:25">
      <c r="A289" s="62"/>
      <c r="B289" s="84"/>
      <c r="C289" s="85"/>
      <c r="D289" s="1463"/>
      <c r="E289" s="1463"/>
      <c r="F289" s="1463"/>
      <c r="G289" s="1463"/>
      <c r="H289" s="1463"/>
      <c r="I289" s="1463"/>
      <c r="J289" s="1463"/>
      <c r="K289" s="1463"/>
      <c r="L289" s="1463"/>
      <c r="M289" s="1463"/>
      <c r="N289" s="1463"/>
      <c r="O289" s="1463"/>
      <c r="P289" s="1463"/>
      <c r="Q289" s="1463"/>
      <c r="R289" s="1463"/>
      <c r="S289" s="1463"/>
      <c r="T289" s="1463"/>
      <c r="U289" s="1463"/>
      <c r="V289" s="1463"/>
      <c r="W289" s="1463"/>
      <c r="X289" s="1464"/>
      <c r="Y289" s="61"/>
    </row>
    <row r="290" spans="1:25">
      <c r="A290" s="62"/>
      <c r="B290" s="84"/>
      <c r="C290" s="85"/>
      <c r="D290" s="1463"/>
      <c r="E290" s="1463"/>
      <c r="F290" s="1463"/>
      <c r="G290" s="1463"/>
      <c r="H290" s="1463"/>
      <c r="I290" s="1463"/>
      <c r="J290" s="1463"/>
      <c r="K290" s="1463"/>
      <c r="L290" s="1463"/>
      <c r="M290" s="1463"/>
      <c r="N290" s="1463"/>
      <c r="O290" s="1463"/>
      <c r="P290" s="1463"/>
      <c r="Q290" s="1463"/>
      <c r="R290" s="1463"/>
      <c r="S290" s="1463"/>
      <c r="T290" s="1463"/>
      <c r="U290" s="1463"/>
      <c r="V290" s="1463"/>
      <c r="W290" s="1463"/>
      <c r="X290" s="1464"/>
      <c r="Y290" s="61"/>
    </row>
    <row r="291" spans="1:25">
      <c r="A291" s="62"/>
      <c r="B291" s="84"/>
      <c r="C291" s="85"/>
      <c r="D291" s="1463"/>
      <c r="E291" s="1463"/>
      <c r="F291" s="1463"/>
      <c r="G291" s="1463"/>
      <c r="H291" s="1463"/>
      <c r="I291" s="1463"/>
      <c r="J291" s="1463"/>
      <c r="K291" s="1463"/>
      <c r="L291" s="1463"/>
      <c r="M291" s="1463"/>
      <c r="N291" s="1463"/>
      <c r="O291" s="1463"/>
      <c r="P291" s="1463"/>
      <c r="Q291" s="1463"/>
      <c r="R291" s="1463"/>
      <c r="S291" s="1463"/>
      <c r="T291" s="1463"/>
      <c r="U291" s="1463"/>
      <c r="V291" s="1463"/>
      <c r="W291" s="1463"/>
      <c r="X291" s="1464"/>
      <c r="Y291" s="61"/>
    </row>
    <row r="292" spans="1:25">
      <c r="A292" s="62"/>
      <c r="B292" s="86"/>
      <c r="C292" s="87"/>
      <c r="D292" s="1465"/>
      <c r="E292" s="1465"/>
      <c r="F292" s="1465"/>
      <c r="G292" s="1465"/>
      <c r="H292" s="1465"/>
      <c r="I292" s="1465"/>
      <c r="J292" s="1465"/>
      <c r="K292" s="1465"/>
      <c r="L292" s="1465"/>
      <c r="M292" s="1465"/>
      <c r="N292" s="1465"/>
      <c r="O292" s="1465"/>
      <c r="P292" s="1465"/>
      <c r="Q292" s="1465"/>
      <c r="R292" s="1465"/>
      <c r="S292" s="1465"/>
      <c r="T292" s="1465"/>
      <c r="U292" s="1465"/>
      <c r="V292" s="1465"/>
      <c r="W292" s="1465"/>
      <c r="X292" s="1466"/>
      <c r="Y292" s="61"/>
    </row>
    <row r="293" spans="1:25">
      <c r="A293" s="62"/>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1"/>
    </row>
    <row r="294" spans="1:25">
      <c r="A294" s="58" t="s">
        <v>308</v>
      </c>
      <c r="B294" s="59" t="s">
        <v>309</v>
      </c>
      <c r="C294" s="60"/>
      <c r="D294" s="60"/>
      <c r="E294" s="60"/>
      <c r="F294" s="60"/>
      <c r="G294" s="60"/>
      <c r="H294" s="60"/>
      <c r="I294" s="60"/>
      <c r="J294" s="60"/>
      <c r="K294" s="60"/>
      <c r="L294" s="60"/>
      <c r="M294" s="60"/>
      <c r="N294" s="60"/>
      <c r="O294" s="60"/>
      <c r="P294" s="60"/>
      <c r="Q294" s="60"/>
      <c r="R294" s="60"/>
      <c r="S294" s="60"/>
      <c r="T294" s="60"/>
      <c r="U294" s="60"/>
      <c r="V294" s="60"/>
      <c r="W294" s="60"/>
      <c r="X294" s="60"/>
      <c r="Y294" s="61"/>
    </row>
    <row r="295" spans="1:25">
      <c r="A295" s="58"/>
      <c r="B295" s="1489" t="s">
        <v>140</v>
      </c>
      <c r="C295" s="1489"/>
      <c r="D295" s="1489"/>
      <c r="E295" s="1489"/>
      <c r="F295" s="1489"/>
      <c r="G295" s="1489"/>
      <c r="H295" s="1489" t="s">
        <v>141</v>
      </c>
      <c r="I295" s="1489"/>
      <c r="J295" s="1489"/>
      <c r="K295" s="1489"/>
      <c r="L295" s="1489"/>
      <c r="M295" s="1489"/>
      <c r="N295" s="1489"/>
      <c r="O295" s="1489"/>
      <c r="P295" s="1489"/>
      <c r="Q295" s="1489"/>
      <c r="R295" s="1489"/>
      <c r="S295" s="1489"/>
      <c r="T295" s="1489"/>
      <c r="U295" s="1489"/>
      <c r="V295" s="1489"/>
      <c r="W295" s="1489"/>
      <c r="X295" s="1489"/>
      <c r="Y295" s="61"/>
    </row>
    <row r="296" spans="1:25">
      <c r="A296" s="62"/>
      <c r="B296" s="1447" t="s">
        <v>310</v>
      </c>
      <c r="C296" s="1447"/>
      <c r="D296" s="1447"/>
      <c r="E296" s="1447"/>
      <c r="F296" s="1447"/>
      <c r="G296" s="1447"/>
      <c r="H296" s="1473" t="s">
        <v>311</v>
      </c>
      <c r="I296" s="1473"/>
      <c r="J296" s="1473"/>
      <c r="K296" s="1473"/>
      <c r="L296" s="1473"/>
      <c r="M296" s="1473"/>
      <c r="N296" s="1473"/>
      <c r="O296" s="1473"/>
      <c r="P296" s="1473"/>
      <c r="Q296" s="1473"/>
      <c r="R296" s="1473"/>
      <c r="S296" s="1473"/>
      <c r="T296" s="1473"/>
      <c r="U296" s="1473"/>
      <c r="V296" s="1473"/>
      <c r="W296" s="1473"/>
      <c r="X296" s="1473"/>
      <c r="Y296" s="61"/>
    </row>
    <row r="297" spans="1:25">
      <c r="A297" s="62"/>
      <c r="B297" s="1447"/>
      <c r="C297" s="1447"/>
      <c r="D297" s="1447"/>
      <c r="E297" s="1447"/>
      <c r="F297" s="1447"/>
      <c r="G297" s="1447"/>
      <c r="H297" s="1473"/>
      <c r="I297" s="1473"/>
      <c r="J297" s="1473"/>
      <c r="K297" s="1473"/>
      <c r="L297" s="1473"/>
      <c r="M297" s="1473"/>
      <c r="N297" s="1473"/>
      <c r="O297" s="1473"/>
      <c r="P297" s="1473"/>
      <c r="Q297" s="1473"/>
      <c r="R297" s="1473"/>
      <c r="S297" s="1473"/>
      <c r="T297" s="1473"/>
      <c r="U297" s="1473"/>
      <c r="V297" s="1473"/>
      <c r="W297" s="1473"/>
      <c r="X297" s="1473"/>
      <c r="Y297" s="61"/>
    </row>
    <row r="298" spans="1:25">
      <c r="A298" s="62"/>
      <c r="B298" s="1447" t="s">
        <v>312</v>
      </c>
      <c r="C298" s="1447"/>
      <c r="D298" s="1447"/>
      <c r="E298" s="1447"/>
      <c r="F298" s="1447"/>
      <c r="G298" s="1447"/>
      <c r="H298" s="1473" t="s">
        <v>313</v>
      </c>
      <c r="I298" s="1473"/>
      <c r="J298" s="1473"/>
      <c r="K298" s="1473"/>
      <c r="L298" s="1473"/>
      <c r="M298" s="1473"/>
      <c r="N298" s="1473"/>
      <c r="O298" s="1473"/>
      <c r="P298" s="1473"/>
      <c r="Q298" s="1473"/>
      <c r="R298" s="1473"/>
      <c r="S298" s="1473"/>
      <c r="T298" s="1473"/>
      <c r="U298" s="1473"/>
      <c r="V298" s="1473"/>
      <c r="W298" s="1473"/>
      <c r="X298" s="1473"/>
      <c r="Y298" s="61"/>
    </row>
    <row r="299" spans="1:25">
      <c r="A299" s="62"/>
      <c r="B299" s="1447"/>
      <c r="C299" s="1447"/>
      <c r="D299" s="1447"/>
      <c r="E299" s="1447"/>
      <c r="F299" s="1447"/>
      <c r="G299" s="1447"/>
      <c r="H299" s="1473"/>
      <c r="I299" s="1473"/>
      <c r="J299" s="1473"/>
      <c r="K299" s="1473"/>
      <c r="L299" s="1473"/>
      <c r="M299" s="1473"/>
      <c r="N299" s="1473"/>
      <c r="O299" s="1473"/>
      <c r="P299" s="1473"/>
      <c r="Q299" s="1473"/>
      <c r="R299" s="1473"/>
      <c r="S299" s="1473"/>
      <c r="T299" s="1473"/>
      <c r="U299" s="1473"/>
      <c r="V299" s="1473"/>
      <c r="W299" s="1473"/>
      <c r="X299" s="1473"/>
      <c r="Y299" s="61"/>
    </row>
    <row r="300" spans="1:25">
      <c r="A300" s="62"/>
      <c r="B300" s="1423" t="s">
        <v>314</v>
      </c>
      <c r="C300" s="1424"/>
      <c r="D300" s="1424"/>
      <c r="E300" s="1424"/>
      <c r="F300" s="1424"/>
      <c r="G300" s="1425"/>
      <c r="H300" s="1463" t="s">
        <v>315</v>
      </c>
      <c r="I300" s="1463"/>
      <c r="J300" s="1463"/>
      <c r="K300" s="1463"/>
      <c r="L300" s="1463"/>
      <c r="M300" s="1463"/>
      <c r="N300" s="1463"/>
      <c r="O300" s="1463"/>
      <c r="P300" s="1463"/>
      <c r="Q300" s="1463"/>
      <c r="R300" s="1463"/>
      <c r="S300" s="1463"/>
      <c r="T300" s="1463"/>
      <c r="U300" s="1463"/>
      <c r="V300" s="1463"/>
      <c r="W300" s="1463"/>
      <c r="X300" s="1464"/>
      <c r="Y300" s="61"/>
    </row>
    <row r="301" spans="1:25">
      <c r="A301" s="62"/>
      <c r="B301" s="1467"/>
      <c r="C301" s="1468"/>
      <c r="D301" s="1468"/>
      <c r="E301" s="1468"/>
      <c r="F301" s="1468"/>
      <c r="G301" s="1469"/>
      <c r="H301" s="1463"/>
      <c r="I301" s="1463"/>
      <c r="J301" s="1463"/>
      <c r="K301" s="1463"/>
      <c r="L301" s="1463"/>
      <c r="M301" s="1463"/>
      <c r="N301" s="1463"/>
      <c r="O301" s="1463"/>
      <c r="P301" s="1463"/>
      <c r="Q301" s="1463"/>
      <c r="R301" s="1463"/>
      <c r="S301" s="1463"/>
      <c r="T301" s="1463"/>
      <c r="U301" s="1463"/>
      <c r="V301" s="1463"/>
      <c r="W301" s="1463"/>
      <c r="X301" s="1464"/>
      <c r="Y301" s="61"/>
    </row>
    <row r="302" spans="1:25">
      <c r="A302" s="62"/>
      <c r="B302" s="1426"/>
      <c r="C302" s="1427"/>
      <c r="D302" s="1427"/>
      <c r="E302" s="1427"/>
      <c r="F302" s="1427"/>
      <c r="G302" s="1428"/>
      <c r="H302" s="1465"/>
      <c r="I302" s="1465"/>
      <c r="J302" s="1465"/>
      <c r="K302" s="1465"/>
      <c r="L302" s="1465"/>
      <c r="M302" s="1465"/>
      <c r="N302" s="1465"/>
      <c r="O302" s="1465"/>
      <c r="P302" s="1465"/>
      <c r="Q302" s="1465"/>
      <c r="R302" s="1465"/>
      <c r="S302" s="1465"/>
      <c r="T302" s="1465"/>
      <c r="U302" s="1465"/>
      <c r="V302" s="1465"/>
      <c r="W302" s="1465"/>
      <c r="X302" s="1466"/>
      <c r="Y302" s="61"/>
    </row>
    <row r="303" spans="1:25">
      <c r="A303" s="62"/>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1"/>
    </row>
    <row r="304" spans="1:25">
      <c r="A304" s="58" t="s">
        <v>316</v>
      </c>
      <c r="B304" s="59" t="s">
        <v>317</v>
      </c>
      <c r="C304" s="60"/>
      <c r="D304" s="60"/>
      <c r="E304" s="60"/>
      <c r="F304" s="60"/>
      <c r="G304" s="60"/>
      <c r="H304" s="60"/>
      <c r="I304" s="60"/>
      <c r="J304" s="60"/>
      <c r="K304" s="60"/>
      <c r="L304" s="60"/>
      <c r="M304" s="60"/>
      <c r="N304" s="60"/>
      <c r="O304" s="60"/>
      <c r="P304" s="60"/>
      <c r="Q304" s="60"/>
      <c r="R304" s="60"/>
      <c r="S304" s="60"/>
      <c r="T304" s="60"/>
      <c r="U304" s="60"/>
      <c r="V304" s="60"/>
      <c r="W304" s="60"/>
      <c r="X304" s="60"/>
      <c r="Y304" s="61"/>
    </row>
    <row r="305" spans="1:25">
      <c r="A305" s="58"/>
      <c r="B305" s="1489" t="s">
        <v>140</v>
      </c>
      <c r="C305" s="1489"/>
      <c r="D305" s="1489"/>
      <c r="E305" s="1489"/>
      <c r="F305" s="1489"/>
      <c r="G305" s="1489"/>
      <c r="H305" s="1489" t="s">
        <v>141</v>
      </c>
      <c r="I305" s="1489"/>
      <c r="J305" s="1489"/>
      <c r="K305" s="1489"/>
      <c r="L305" s="1489"/>
      <c r="M305" s="1489"/>
      <c r="N305" s="1489"/>
      <c r="O305" s="1489"/>
      <c r="P305" s="1489"/>
      <c r="Q305" s="1489"/>
      <c r="R305" s="1489"/>
      <c r="S305" s="1489"/>
      <c r="T305" s="1489"/>
      <c r="U305" s="1489"/>
      <c r="V305" s="1489"/>
      <c r="W305" s="1489"/>
      <c r="X305" s="1489"/>
      <c r="Y305" s="61"/>
    </row>
    <row r="306" spans="1:25">
      <c r="A306" s="62"/>
      <c r="B306" s="1447" t="s">
        <v>318</v>
      </c>
      <c r="C306" s="1447"/>
      <c r="D306" s="1447"/>
      <c r="E306" s="1447"/>
      <c r="F306" s="1447"/>
      <c r="G306" s="1447"/>
      <c r="H306" s="1473" t="s">
        <v>319</v>
      </c>
      <c r="I306" s="1473"/>
      <c r="J306" s="1473"/>
      <c r="K306" s="1473"/>
      <c r="L306" s="1473"/>
      <c r="M306" s="1473"/>
      <c r="N306" s="1473"/>
      <c r="O306" s="1473"/>
      <c r="P306" s="1473"/>
      <c r="Q306" s="1473"/>
      <c r="R306" s="1473"/>
      <c r="S306" s="1473"/>
      <c r="T306" s="1473"/>
      <c r="U306" s="1473"/>
      <c r="V306" s="1473"/>
      <c r="W306" s="1473"/>
      <c r="X306" s="1473"/>
      <c r="Y306" s="61"/>
    </row>
    <row r="307" spans="1:25">
      <c r="A307" s="62"/>
      <c r="B307" s="1447"/>
      <c r="C307" s="1447"/>
      <c r="D307" s="1447"/>
      <c r="E307" s="1447"/>
      <c r="F307" s="1447"/>
      <c r="G307" s="1447"/>
      <c r="H307" s="1473"/>
      <c r="I307" s="1473"/>
      <c r="J307" s="1473"/>
      <c r="K307" s="1473"/>
      <c r="L307" s="1473"/>
      <c r="M307" s="1473"/>
      <c r="N307" s="1473"/>
      <c r="O307" s="1473"/>
      <c r="P307" s="1473"/>
      <c r="Q307" s="1473"/>
      <c r="R307" s="1473"/>
      <c r="S307" s="1473"/>
      <c r="T307" s="1473"/>
      <c r="U307" s="1473"/>
      <c r="V307" s="1473"/>
      <c r="W307" s="1473"/>
      <c r="X307" s="1473"/>
      <c r="Y307" s="61"/>
    </row>
    <row r="308" spans="1:25">
      <c r="A308" s="62"/>
      <c r="B308" s="1447" t="s">
        <v>320</v>
      </c>
      <c r="C308" s="1447"/>
      <c r="D308" s="1447"/>
      <c r="E308" s="1447"/>
      <c r="F308" s="1447"/>
      <c r="G308" s="1447"/>
      <c r="H308" s="1473" t="s">
        <v>321</v>
      </c>
      <c r="I308" s="1473"/>
      <c r="J308" s="1473"/>
      <c r="K308" s="1473"/>
      <c r="L308" s="1473"/>
      <c r="M308" s="1473"/>
      <c r="N308" s="1473"/>
      <c r="O308" s="1473"/>
      <c r="P308" s="1473"/>
      <c r="Q308" s="1473"/>
      <c r="R308" s="1473"/>
      <c r="S308" s="1473"/>
      <c r="T308" s="1473"/>
      <c r="U308" s="1473"/>
      <c r="V308" s="1473"/>
      <c r="W308" s="1473"/>
      <c r="X308" s="1473"/>
      <c r="Y308" s="61"/>
    </row>
    <row r="309" spans="1:25">
      <c r="A309" s="62"/>
      <c r="B309" s="1447"/>
      <c r="C309" s="1447"/>
      <c r="D309" s="1447"/>
      <c r="E309" s="1447"/>
      <c r="F309" s="1447"/>
      <c r="G309" s="1447"/>
      <c r="H309" s="1473"/>
      <c r="I309" s="1473"/>
      <c r="J309" s="1473"/>
      <c r="K309" s="1473"/>
      <c r="L309" s="1473"/>
      <c r="M309" s="1473"/>
      <c r="N309" s="1473"/>
      <c r="O309" s="1473"/>
      <c r="P309" s="1473"/>
      <c r="Q309" s="1473"/>
      <c r="R309" s="1473"/>
      <c r="S309" s="1473"/>
      <c r="T309" s="1473"/>
      <c r="U309" s="1473"/>
      <c r="V309" s="1473"/>
      <c r="W309" s="1473"/>
      <c r="X309" s="1473"/>
      <c r="Y309" s="61"/>
    </row>
    <row r="310" spans="1:25">
      <c r="A310" s="62"/>
      <c r="B310" s="1457" t="s">
        <v>322</v>
      </c>
      <c r="C310" s="1457"/>
      <c r="D310" s="1457"/>
      <c r="E310" s="1457"/>
      <c r="F310" s="1457"/>
      <c r="G310" s="1457"/>
      <c r="H310" s="1459" t="s">
        <v>323</v>
      </c>
      <c r="I310" s="1460"/>
      <c r="J310" s="1460"/>
      <c r="K310" s="1460"/>
      <c r="L310" s="1460"/>
      <c r="M310" s="1460"/>
      <c r="N310" s="1460"/>
      <c r="O310" s="1460"/>
      <c r="P310" s="1460"/>
      <c r="Q310" s="1460"/>
      <c r="R310" s="1460"/>
      <c r="S310" s="1460"/>
      <c r="T310" s="1460"/>
      <c r="U310" s="1460"/>
      <c r="V310" s="1460"/>
      <c r="W310" s="1460"/>
      <c r="X310" s="1461"/>
      <c r="Y310" s="61"/>
    </row>
    <row r="311" spans="1:25">
      <c r="A311" s="62"/>
      <c r="B311" s="1457"/>
      <c r="C311" s="1457"/>
      <c r="D311" s="1457"/>
      <c r="E311" s="1457"/>
      <c r="F311" s="1457"/>
      <c r="G311" s="1457"/>
      <c r="H311" s="1462"/>
      <c r="I311" s="1463"/>
      <c r="J311" s="1463"/>
      <c r="K311" s="1463"/>
      <c r="L311" s="1463"/>
      <c r="M311" s="1463"/>
      <c r="N311" s="1463"/>
      <c r="O311" s="1463"/>
      <c r="P311" s="1463"/>
      <c r="Q311" s="1463"/>
      <c r="R311" s="1463"/>
      <c r="S311" s="1463"/>
      <c r="T311" s="1463"/>
      <c r="U311" s="1463"/>
      <c r="V311" s="1463"/>
      <c r="W311" s="1463"/>
      <c r="X311" s="1464"/>
      <c r="Y311" s="61"/>
    </row>
    <row r="312" spans="1:25">
      <c r="A312" s="62"/>
      <c r="B312" s="1457"/>
      <c r="C312" s="1457"/>
      <c r="D312" s="1457"/>
      <c r="E312" s="1457"/>
      <c r="F312" s="1457"/>
      <c r="G312" s="1457"/>
      <c r="H312" s="84"/>
      <c r="I312" s="85" t="s">
        <v>7</v>
      </c>
      <c r="J312" s="1463" t="s">
        <v>324</v>
      </c>
      <c r="K312" s="1463"/>
      <c r="L312" s="1463"/>
      <c r="M312" s="1463"/>
      <c r="N312" s="1463"/>
      <c r="O312" s="1463"/>
      <c r="P312" s="1463"/>
      <c r="Q312" s="1463"/>
      <c r="R312" s="1463"/>
      <c r="S312" s="1463"/>
      <c r="T312" s="1463"/>
      <c r="U312" s="1463"/>
      <c r="V312" s="1463"/>
      <c r="W312" s="1463"/>
      <c r="X312" s="1464"/>
      <c r="Y312" s="61"/>
    </row>
    <row r="313" spans="1:25">
      <c r="A313" s="62"/>
      <c r="B313" s="1457"/>
      <c r="C313" s="1457"/>
      <c r="D313" s="1457"/>
      <c r="E313" s="1457"/>
      <c r="F313" s="1457"/>
      <c r="G313" s="1457"/>
      <c r="H313" s="84"/>
      <c r="I313" s="85" t="s">
        <v>7</v>
      </c>
      <c r="J313" s="1463" t="s">
        <v>325</v>
      </c>
      <c r="K313" s="1463"/>
      <c r="L313" s="1463"/>
      <c r="M313" s="1463"/>
      <c r="N313" s="1463"/>
      <c r="O313" s="1463"/>
      <c r="P313" s="1463"/>
      <c r="Q313" s="1463"/>
      <c r="R313" s="1463"/>
      <c r="S313" s="1463"/>
      <c r="T313" s="1463"/>
      <c r="U313" s="1463"/>
      <c r="V313" s="1463"/>
      <c r="W313" s="1463"/>
      <c r="X313" s="1464"/>
      <c r="Y313" s="61"/>
    </row>
    <row r="314" spans="1:25">
      <c r="A314" s="62"/>
      <c r="B314" s="1457"/>
      <c r="C314" s="1457"/>
      <c r="D314" s="1457"/>
      <c r="E314" s="1457"/>
      <c r="F314" s="1457"/>
      <c r="G314" s="1457"/>
      <c r="H314" s="84"/>
      <c r="I314" s="85" t="s">
        <v>7</v>
      </c>
      <c r="J314" s="1463" t="s">
        <v>326</v>
      </c>
      <c r="K314" s="1463"/>
      <c r="L314" s="1463"/>
      <c r="M314" s="1463"/>
      <c r="N314" s="1463"/>
      <c r="O314" s="1463"/>
      <c r="P314" s="1463"/>
      <c r="Q314" s="1463"/>
      <c r="R314" s="1463"/>
      <c r="S314" s="1463"/>
      <c r="T314" s="1463"/>
      <c r="U314" s="1463"/>
      <c r="V314" s="1463"/>
      <c r="W314" s="1463"/>
      <c r="X314" s="1464"/>
      <c r="Y314" s="61"/>
    </row>
    <row r="315" spans="1:25">
      <c r="A315" s="62"/>
      <c r="B315" s="1457"/>
      <c r="C315" s="1457"/>
      <c r="D315" s="1457"/>
      <c r="E315" s="1457"/>
      <c r="F315" s="1457"/>
      <c r="G315" s="1457"/>
      <c r="H315" s="86"/>
      <c r="I315" s="87" t="s">
        <v>7</v>
      </c>
      <c r="J315" s="1465" t="s">
        <v>327</v>
      </c>
      <c r="K315" s="1465"/>
      <c r="L315" s="1465"/>
      <c r="M315" s="1465"/>
      <c r="N315" s="1465"/>
      <c r="O315" s="1465"/>
      <c r="P315" s="1465"/>
      <c r="Q315" s="1465"/>
      <c r="R315" s="1465"/>
      <c r="S315" s="1465"/>
      <c r="T315" s="1465"/>
      <c r="U315" s="1465"/>
      <c r="V315" s="1465"/>
      <c r="W315" s="1465"/>
      <c r="X315" s="1466"/>
      <c r="Y315" s="61"/>
    </row>
    <row r="316" spans="1:25">
      <c r="A316" s="62"/>
      <c r="B316" s="1457" t="s">
        <v>328</v>
      </c>
      <c r="C316" s="1457"/>
      <c r="D316" s="1457"/>
      <c r="E316" s="1457"/>
      <c r="F316" s="1457"/>
      <c r="G316" s="1457"/>
      <c r="H316" s="1459" t="s">
        <v>329</v>
      </c>
      <c r="I316" s="1460"/>
      <c r="J316" s="1460"/>
      <c r="K316" s="1460"/>
      <c r="L316" s="1460"/>
      <c r="M316" s="1460"/>
      <c r="N316" s="1460"/>
      <c r="O316" s="1460"/>
      <c r="P316" s="1460"/>
      <c r="Q316" s="1460"/>
      <c r="R316" s="1460"/>
      <c r="S316" s="1460"/>
      <c r="T316" s="1460"/>
      <c r="U316" s="1460"/>
      <c r="V316" s="1460"/>
      <c r="W316" s="1460"/>
      <c r="X316" s="1461"/>
      <c r="Y316" s="61"/>
    </row>
    <row r="317" spans="1:25">
      <c r="A317" s="62"/>
      <c r="B317" s="1457"/>
      <c r="C317" s="1457"/>
      <c r="D317" s="1457"/>
      <c r="E317" s="1457"/>
      <c r="F317" s="1457"/>
      <c r="G317" s="1457"/>
      <c r="H317" s="1462"/>
      <c r="I317" s="1463"/>
      <c r="J317" s="1463"/>
      <c r="K317" s="1463"/>
      <c r="L317" s="1463"/>
      <c r="M317" s="1463"/>
      <c r="N317" s="1463"/>
      <c r="O317" s="1463"/>
      <c r="P317" s="1463"/>
      <c r="Q317" s="1463"/>
      <c r="R317" s="1463"/>
      <c r="S317" s="1463"/>
      <c r="T317" s="1463"/>
      <c r="U317" s="1463"/>
      <c r="V317" s="1463"/>
      <c r="W317" s="1463"/>
      <c r="X317" s="1464"/>
      <c r="Y317" s="61"/>
    </row>
    <row r="318" spans="1:25">
      <c r="A318" s="62"/>
      <c r="B318" s="1457"/>
      <c r="C318" s="1457"/>
      <c r="D318" s="1457"/>
      <c r="E318" s="1457"/>
      <c r="F318" s="1457"/>
      <c r="G318" s="1457"/>
      <c r="H318" s="84"/>
      <c r="I318" s="85" t="s">
        <v>7</v>
      </c>
      <c r="J318" s="1463" t="s">
        <v>330</v>
      </c>
      <c r="K318" s="1463"/>
      <c r="L318" s="1463"/>
      <c r="M318" s="1463"/>
      <c r="N318" s="1463"/>
      <c r="O318" s="1463"/>
      <c r="P318" s="1463"/>
      <c r="Q318" s="1463"/>
      <c r="R318" s="1463"/>
      <c r="S318" s="1463"/>
      <c r="T318" s="1463"/>
      <c r="U318" s="1463"/>
      <c r="V318" s="1463"/>
      <c r="W318" s="1463"/>
      <c r="X318" s="1464"/>
      <c r="Y318" s="61"/>
    </row>
    <row r="319" spans="1:25">
      <c r="A319" s="62"/>
      <c r="B319" s="1457"/>
      <c r="C319" s="1457"/>
      <c r="D319" s="1457"/>
      <c r="E319" s="1457"/>
      <c r="F319" s="1457"/>
      <c r="G319" s="1457"/>
      <c r="H319" s="84"/>
      <c r="I319" s="85" t="s">
        <v>7</v>
      </c>
      <c r="J319" s="1463" t="s">
        <v>331</v>
      </c>
      <c r="K319" s="1463"/>
      <c r="L319" s="1463"/>
      <c r="M319" s="1463"/>
      <c r="N319" s="1463"/>
      <c r="O319" s="1463"/>
      <c r="P319" s="1463"/>
      <c r="Q319" s="1463"/>
      <c r="R319" s="1463"/>
      <c r="S319" s="1463"/>
      <c r="T319" s="1463"/>
      <c r="U319" s="1463"/>
      <c r="V319" s="1463"/>
      <c r="W319" s="1463"/>
      <c r="X319" s="1464"/>
      <c r="Y319" s="61"/>
    </row>
    <row r="320" spans="1:25">
      <c r="A320" s="62"/>
      <c r="B320" s="1457"/>
      <c r="C320" s="1457"/>
      <c r="D320" s="1457"/>
      <c r="E320" s="1457"/>
      <c r="F320" s="1457"/>
      <c r="G320" s="1457"/>
      <c r="H320" s="84"/>
      <c r="I320" s="85"/>
      <c r="J320" s="1463"/>
      <c r="K320" s="1463"/>
      <c r="L320" s="1463"/>
      <c r="M320" s="1463"/>
      <c r="N320" s="1463"/>
      <c r="O320" s="1463"/>
      <c r="P320" s="1463"/>
      <c r="Q320" s="1463"/>
      <c r="R320" s="1463"/>
      <c r="S320" s="1463"/>
      <c r="T320" s="1463"/>
      <c r="U320" s="1463"/>
      <c r="V320" s="1463"/>
      <c r="W320" s="1463"/>
      <c r="X320" s="1464"/>
      <c r="Y320" s="61"/>
    </row>
    <row r="321" spans="1:25">
      <c r="A321" s="62"/>
      <c r="B321" s="1475"/>
      <c r="C321" s="1475"/>
      <c r="D321" s="1475"/>
      <c r="E321" s="1475"/>
      <c r="F321" s="1475"/>
      <c r="G321" s="1475"/>
      <c r="H321" s="84"/>
      <c r="I321" s="85" t="s">
        <v>7</v>
      </c>
      <c r="J321" s="1463" t="s">
        <v>332</v>
      </c>
      <c r="K321" s="1463"/>
      <c r="L321" s="1463"/>
      <c r="M321" s="1463"/>
      <c r="N321" s="1463"/>
      <c r="O321" s="1463"/>
      <c r="P321" s="1463"/>
      <c r="Q321" s="1463"/>
      <c r="R321" s="1463"/>
      <c r="S321" s="1463"/>
      <c r="T321" s="1463"/>
      <c r="U321" s="1463"/>
      <c r="V321" s="1463"/>
      <c r="W321" s="1463"/>
      <c r="X321" s="1464"/>
      <c r="Y321" s="61"/>
    </row>
    <row r="322" spans="1:25">
      <c r="A322" s="62"/>
      <c r="B322" s="1447" t="s">
        <v>333</v>
      </c>
      <c r="C322" s="1447"/>
      <c r="D322" s="1447"/>
      <c r="E322" s="1447"/>
      <c r="F322" s="1447"/>
      <c r="G322" s="1447"/>
      <c r="H322" s="1473"/>
      <c r="I322" s="1473"/>
      <c r="J322" s="1473"/>
      <c r="K322" s="1473"/>
      <c r="L322" s="1473"/>
      <c r="M322" s="1473"/>
      <c r="N322" s="1473"/>
      <c r="O322" s="1473"/>
      <c r="P322" s="1473"/>
      <c r="Q322" s="1473"/>
      <c r="R322" s="1473"/>
      <c r="S322" s="1473"/>
      <c r="T322" s="1473"/>
      <c r="U322" s="1473"/>
      <c r="V322" s="1473"/>
      <c r="W322" s="1473"/>
      <c r="X322" s="1473"/>
      <c r="Y322" s="61"/>
    </row>
    <row r="323" spans="1:25">
      <c r="A323" s="62"/>
      <c r="B323" s="1447"/>
      <c r="C323" s="1447"/>
      <c r="D323" s="1447"/>
      <c r="E323" s="1447"/>
      <c r="F323" s="1447"/>
      <c r="G323" s="1447"/>
      <c r="H323" s="1473"/>
      <c r="I323" s="1473"/>
      <c r="J323" s="1473"/>
      <c r="K323" s="1473"/>
      <c r="L323" s="1473"/>
      <c r="M323" s="1473"/>
      <c r="N323" s="1473"/>
      <c r="O323" s="1473"/>
      <c r="P323" s="1473"/>
      <c r="Q323" s="1473"/>
      <c r="R323" s="1473"/>
      <c r="S323" s="1473"/>
      <c r="T323" s="1473"/>
      <c r="U323" s="1473"/>
      <c r="V323" s="1473"/>
      <c r="W323" s="1473"/>
      <c r="X323" s="1473"/>
      <c r="Y323" s="61"/>
    </row>
    <row r="324" spans="1:25">
      <c r="A324" s="62"/>
      <c r="B324" s="1457" t="s">
        <v>334</v>
      </c>
      <c r="C324" s="1457"/>
      <c r="D324" s="1457"/>
      <c r="E324" s="1457"/>
      <c r="F324" s="1457"/>
      <c r="G324" s="1457"/>
      <c r="H324" s="1459"/>
      <c r="I324" s="1460"/>
      <c r="J324" s="1460"/>
      <c r="K324" s="1460"/>
      <c r="L324" s="1460"/>
      <c r="M324" s="1460"/>
      <c r="N324" s="1460"/>
      <c r="O324" s="1460"/>
      <c r="P324" s="1460"/>
      <c r="Q324" s="1460"/>
      <c r="R324" s="1460"/>
      <c r="S324" s="1460"/>
      <c r="T324" s="1460"/>
      <c r="U324" s="1460"/>
      <c r="V324" s="1460"/>
      <c r="W324" s="1460"/>
      <c r="X324" s="1461"/>
      <c r="Y324" s="61"/>
    </row>
    <row r="325" spans="1:25">
      <c r="A325" s="62"/>
      <c r="B325" s="1457"/>
      <c r="C325" s="1457"/>
      <c r="D325" s="1457"/>
      <c r="E325" s="1457"/>
      <c r="F325" s="1457"/>
      <c r="G325" s="1457"/>
      <c r="H325" s="1462"/>
      <c r="I325" s="1463"/>
      <c r="J325" s="1463"/>
      <c r="K325" s="1463"/>
      <c r="L325" s="1463"/>
      <c r="M325" s="1463"/>
      <c r="N325" s="1463"/>
      <c r="O325" s="1463"/>
      <c r="P325" s="1463"/>
      <c r="Q325" s="1463"/>
      <c r="R325" s="1463"/>
      <c r="S325" s="1463"/>
      <c r="T325" s="1463"/>
      <c r="U325" s="1463"/>
      <c r="V325" s="1463"/>
      <c r="W325" s="1463"/>
      <c r="X325" s="1464"/>
      <c r="Y325" s="61"/>
    </row>
    <row r="326" spans="1:25">
      <c r="A326" s="62"/>
      <c r="B326" s="1457"/>
      <c r="C326" s="1457"/>
      <c r="D326" s="1457"/>
      <c r="E326" s="1457"/>
      <c r="F326" s="1457"/>
      <c r="G326" s="1457"/>
      <c r="H326" s="84"/>
      <c r="I326" s="85"/>
      <c r="J326" s="1463"/>
      <c r="K326" s="1463"/>
      <c r="L326" s="1463"/>
      <c r="M326" s="1463"/>
      <c r="N326" s="1463"/>
      <c r="O326" s="1463"/>
      <c r="P326" s="1463"/>
      <c r="Q326" s="1463"/>
      <c r="R326" s="1463"/>
      <c r="S326" s="1463"/>
      <c r="T326" s="1463"/>
      <c r="U326" s="1463"/>
      <c r="V326" s="1463"/>
      <c r="W326" s="1463"/>
      <c r="X326" s="1464"/>
      <c r="Y326" s="61"/>
    </row>
    <row r="327" spans="1:25">
      <c r="A327" s="62"/>
      <c r="B327" s="1457"/>
      <c r="C327" s="1457"/>
      <c r="D327" s="1457"/>
      <c r="E327" s="1457"/>
      <c r="F327" s="1457"/>
      <c r="G327" s="1457"/>
      <c r="H327" s="84"/>
      <c r="I327" s="85"/>
      <c r="J327" s="1463"/>
      <c r="K327" s="1463"/>
      <c r="L327" s="1463"/>
      <c r="M327" s="1463"/>
      <c r="N327" s="1463"/>
      <c r="O327" s="1463"/>
      <c r="P327" s="1463"/>
      <c r="Q327" s="1463"/>
      <c r="R327" s="1463"/>
      <c r="S327" s="1463"/>
      <c r="T327" s="1463"/>
      <c r="U327" s="1463"/>
      <c r="V327" s="1463"/>
      <c r="W327" s="1463"/>
      <c r="X327" s="1464"/>
      <c r="Y327" s="61"/>
    </row>
    <row r="328" spans="1:25">
      <c r="A328" s="62"/>
      <c r="B328" s="1457"/>
      <c r="C328" s="1457"/>
      <c r="D328" s="1457"/>
      <c r="E328" s="1457"/>
      <c r="F328" s="1457"/>
      <c r="G328" s="1457"/>
      <c r="H328" s="86"/>
      <c r="I328" s="87"/>
      <c r="J328" s="1465"/>
      <c r="K328" s="1465"/>
      <c r="L328" s="1465"/>
      <c r="M328" s="1465"/>
      <c r="N328" s="1465"/>
      <c r="O328" s="1465"/>
      <c r="P328" s="1465"/>
      <c r="Q328" s="1465"/>
      <c r="R328" s="1465"/>
      <c r="S328" s="1465"/>
      <c r="T328" s="1465"/>
      <c r="U328" s="1465"/>
      <c r="V328" s="1465"/>
      <c r="W328" s="1465"/>
      <c r="X328" s="1466"/>
      <c r="Y328" s="61"/>
    </row>
    <row r="329" spans="1:25">
      <c r="A329" s="62"/>
      <c r="B329" s="1457" t="s">
        <v>335</v>
      </c>
      <c r="C329" s="1457"/>
      <c r="D329" s="1457"/>
      <c r="E329" s="1457"/>
      <c r="F329" s="1457"/>
      <c r="G329" s="1457"/>
      <c r="H329" s="1459"/>
      <c r="I329" s="1460"/>
      <c r="J329" s="1460"/>
      <c r="K329" s="1460"/>
      <c r="L329" s="1460"/>
      <c r="M329" s="1460"/>
      <c r="N329" s="1460"/>
      <c r="O329" s="1460"/>
      <c r="P329" s="1460"/>
      <c r="Q329" s="1460"/>
      <c r="R329" s="1460"/>
      <c r="S329" s="1460"/>
      <c r="T329" s="1460"/>
      <c r="U329" s="1460"/>
      <c r="V329" s="1460"/>
      <c r="W329" s="1460"/>
      <c r="X329" s="1461"/>
      <c r="Y329" s="61"/>
    </row>
    <row r="330" spans="1:25">
      <c r="A330" s="62"/>
      <c r="B330" s="1457"/>
      <c r="C330" s="1457"/>
      <c r="D330" s="1457"/>
      <c r="E330" s="1457"/>
      <c r="F330" s="1457"/>
      <c r="G330" s="1457"/>
      <c r="H330" s="1462"/>
      <c r="I330" s="1463"/>
      <c r="J330" s="1463"/>
      <c r="K330" s="1463"/>
      <c r="L330" s="1463"/>
      <c r="M330" s="1463"/>
      <c r="N330" s="1463"/>
      <c r="O330" s="1463"/>
      <c r="P330" s="1463"/>
      <c r="Q330" s="1463"/>
      <c r="R330" s="1463"/>
      <c r="S330" s="1463"/>
      <c r="T330" s="1463"/>
      <c r="U330" s="1463"/>
      <c r="V330" s="1463"/>
      <c r="W330" s="1463"/>
      <c r="X330" s="1464"/>
      <c r="Y330" s="61"/>
    </row>
    <row r="331" spans="1:25">
      <c r="A331" s="62"/>
      <c r="B331" s="1457"/>
      <c r="C331" s="1457"/>
      <c r="D331" s="1457"/>
      <c r="E331" s="1457"/>
      <c r="F331" s="1457"/>
      <c r="G331" s="1457"/>
      <c r="H331" s="1474"/>
      <c r="I331" s="1465"/>
      <c r="J331" s="1465"/>
      <c r="K331" s="1465"/>
      <c r="L331" s="1465"/>
      <c r="M331" s="1465"/>
      <c r="N331" s="1465"/>
      <c r="O331" s="1465"/>
      <c r="P331" s="1465"/>
      <c r="Q331" s="1465"/>
      <c r="R331" s="1465"/>
      <c r="S331" s="1465"/>
      <c r="T331" s="1465"/>
      <c r="U331" s="1465"/>
      <c r="V331" s="1465"/>
      <c r="W331" s="1465"/>
      <c r="X331" s="1466"/>
      <c r="Y331" s="61"/>
    </row>
    <row r="332" spans="1:25">
      <c r="A332" s="62"/>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1"/>
    </row>
    <row r="333" spans="1:25">
      <c r="A333" s="64"/>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8"/>
    </row>
    <row r="334" spans="1:25">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row>
    <row r="335" spans="1:25">
      <c r="A335" s="1410" t="s">
        <v>336</v>
      </c>
      <c r="B335" s="1410"/>
      <c r="C335" s="1410"/>
      <c r="D335" s="1410"/>
      <c r="E335" s="1410"/>
      <c r="F335" s="1410"/>
      <c r="G335" s="1410"/>
      <c r="H335" s="1410"/>
      <c r="I335" s="1410"/>
      <c r="J335" s="1410"/>
      <c r="K335" s="1410"/>
      <c r="L335" s="1410"/>
      <c r="M335" s="1410"/>
      <c r="N335" s="1410"/>
      <c r="O335" s="1410"/>
      <c r="P335" s="1410"/>
      <c r="Q335" s="1410"/>
      <c r="R335" s="1410"/>
      <c r="S335" s="1410"/>
      <c r="T335" s="1410"/>
      <c r="U335" s="1410"/>
      <c r="V335" s="1410"/>
      <c r="W335" s="1410"/>
      <c r="X335" s="1410"/>
      <c r="Y335" s="1410"/>
    </row>
    <row r="336" spans="1:25">
      <c r="A336" s="55"/>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7"/>
    </row>
    <row r="337" spans="1:25">
      <c r="A337" s="1500" t="s">
        <v>337</v>
      </c>
      <c r="B337" s="1503" t="s">
        <v>338</v>
      </c>
      <c r="C337" s="1504"/>
      <c r="D337" s="1504"/>
      <c r="E337" s="1504"/>
      <c r="F337" s="1504"/>
      <c r="G337" s="1504"/>
      <c r="H337" s="1504"/>
      <c r="I337" s="1504"/>
      <c r="J337" s="1504"/>
      <c r="K337" s="1504"/>
      <c r="L337" s="1504"/>
      <c r="M337" s="1504"/>
      <c r="N337" s="1504"/>
      <c r="O337" s="1504"/>
      <c r="P337" s="1504"/>
      <c r="Q337" s="1504"/>
      <c r="R337" s="1504"/>
      <c r="S337" s="1504"/>
      <c r="T337" s="1504"/>
      <c r="U337" s="1504"/>
      <c r="V337" s="1504"/>
      <c r="W337" s="1504"/>
      <c r="X337" s="1504"/>
      <c r="Y337" s="1505"/>
    </row>
    <row r="338" spans="1:25">
      <c r="A338" s="1501"/>
      <c r="B338" s="1506"/>
      <c r="C338" s="1441"/>
      <c r="D338" s="1441"/>
      <c r="E338" s="1441"/>
      <c r="F338" s="1441"/>
      <c r="G338" s="1441"/>
      <c r="H338" s="1441"/>
      <c r="I338" s="1441"/>
      <c r="J338" s="1441"/>
      <c r="K338" s="1441"/>
      <c r="L338" s="1441"/>
      <c r="M338" s="1441"/>
      <c r="N338" s="1441"/>
      <c r="O338" s="1441"/>
      <c r="P338" s="1441"/>
      <c r="Q338" s="1441"/>
      <c r="R338" s="1441"/>
      <c r="S338" s="1441"/>
      <c r="T338" s="1441"/>
      <c r="U338" s="1441"/>
      <c r="V338" s="1441"/>
      <c r="W338" s="1441"/>
      <c r="X338" s="1441"/>
      <c r="Y338" s="1442"/>
    </row>
    <row r="339" spans="1:25">
      <c r="A339" s="1501"/>
      <c r="B339" s="1506"/>
      <c r="C339" s="1441"/>
      <c r="D339" s="1441"/>
      <c r="E339" s="1441"/>
      <c r="F339" s="1441"/>
      <c r="G339" s="1441"/>
      <c r="H339" s="1441"/>
      <c r="I339" s="1441"/>
      <c r="J339" s="1441"/>
      <c r="K339" s="1441"/>
      <c r="L339" s="1441"/>
      <c r="M339" s="1441"/>
      <c r="N339" s="1441"/>
      <c r="O339" s="1441"/>
      <c r="P339" s="1441"/>
      <c r="Q339" s="1441"/>
      <c r="R339" s="1441"/>
      <c r="S339" s="1441"/>
      <c r="T339" s="1441"/>
      <c r="U339" s="1441"/>
      <c r="V339" s="1441"/>
      <c r="W339" s="1441"/>
      <c r="X339" s="1441"/>
      <c r="Y339" s="1442"/>
    </row>
    <row r="340" spans="1:25">
      <c r="A340" s="1501"/>
      <c r="B340" s="1506"/>
      <c r="C340" s="1441"/>
      <c r="D340" s="1441"/>
      <c r="E340" s="1441"/>
      <c r="F340" s="1441"/>
      <c r="G340" s="1441"/>
      <c r="H340" s="1441"/>
      <c r="I340" s="1441"/>
      <c r="J340" s="1441"/>
      <c r="K340" s="1441"/>
      <c r="L340" s="1441"/>
      <c r="M340" s="1441"/>
      <c r="N340" s="1441"/>
      <c r="O340" s="1441"/>
      <c r="P340" s="1441"/>
      <c r="Q340" s="1441"/>
      <c r="R340" s="1441"/>
      <c r="S340" s="1441"/>
      <c r="T340" s="1441"/>
      <c r="U340" s="1441"/>
      <c r="V340" s="1441"/>
      <c r="W340" s="1441"/>
      <c r="X340" s="1441"/>
      <c r="Y340" s="1442"/>
    </row>
    <row r="341" spans="1:25">
      <c r="A341" s="1502"/>
      <c r="B341" s="1506"/>
      <c r="C341" s="1441"/>
      <c r="D341" s="1441"/>
      <c r="E341" s="1441"/>
      <c r="F341" s="1441"/>
      <c r="G341" s="1441"/>
      <c r="H341" s="1441"/>
      <c r="I341" s="1441"/>
      <c r="J341" s="1441"/>
      <c r="K341" s="1441"/>
      <c r="L341" s="1441"/>
      <c r="M341" s="1441"/>
      <c r="N341" s="1441"/>
      <c r="O341" s="1441"/>
      <c r="P341" s="1441"/>
      <c r="Q341" s="1441"/>
      <c r="R341" s="1441"/>
      <c r="S341" s="1441"/>
      <c r="T341" s="1441"/>
      <c r="U341" s="1441"/>
      <c r="V341" s="1441"/>
      <c r="W341" s="1441"/>
      <c r="X341" s="1441"/>
      <c r="Y341" s="1442"/>
    </row>
    <row r="342" spans="1:25">
      <c r="A342" s="1500" t="s">
        <v>339</v>
      </c>
      <c r="B342" s="1503" t="s">
        <v>340</v>
      </c>
      <c r="C342" s="1504"/>
      <c r="D342" s="1504"/>
      <c r="E342" s="1504"/>
      <c r="F342" s="1504"/>
      <c r="G342" s="1504"/>
      <c r="H342" s="1504"/>
      <c r="I342" s="1504"/>
      <c r="J342" s="1504"/>
      <c r="K342" s="1504"/>
      <c r="L342" s="1504"/>
      <c r="M342" s="1504"/>
      <c r="N342" s="1504"/>
      <c r="O342" s="1504"/>
      <c r="P342" s="1504"/>
      <c r="Q342" s="1504"/>
      <c r="R342" s="1504"/>
      <c r="S342" s="1504"/>
      <c r="T342" s="1504"/>
      <c r="U342" s="1504"/>
      <c r="V342" s="1504"/>
      <c r="W342" s="1504"/>
      <c r="X342" s="1504"/>
      <c r="Y342" s="1505"/>
    </row>
    <row r="343" spans="1:25">
      <c r="A343" s="1501"/>
      <c r="B343" s="1506"/>
      <c r="C343" s="1441"/>
      <c r="D343" s="1441"/>
      <c r="E343" s="1441"/>
      <c r="F343" s="1441"/>
      <c r="G343" s="1441"/>
      <c r="H343" s="1441"/>
      <c r="I343" s="1441"/>
      <c r="J343" s="1441"/>
      <c r="K343" s="1441"/>
      <c r="L343" s="1441"/>
      <c r="M343" s="1441"/>
      <c r="N343" s="1441"/>
      <c r="O343" s="1441"/>
      <c r="P343" s="1441"/>
      <c r="Q343" s="1441"/>
      <c r="R343" s="1441"/>
      <c r="S343" s="1441"/>
      <c r="T343" s="1441"/>
      <c r="U343" s="1441"/>
      <c r="V343" s="1441"/>
      <c r="W343" s="1441"/>
      <c r="X343" s="1441"/>
      <c r="Y343" s="1442"/>
    </row>
    <row r="344" spans="1:25">
      <c r="A344" s="1501"/>
      <c r="B344" s="1506"/>
      <c r="C344" s="1441"/>
      <c r="D344" s="1441"/>
      <c r="E344" s="1441"/>
      <c r="F344" s="1441"/>
      <c r="G344" s="1441"/>
      <c r="H344" s="1441"/>
      <c r="I344" s="1441"/>
      <c r="J344" s="1441"/>
      <c r="K344" s="1441"/>
      <c r="L344" s="1441"/>
      <c r="M344" s="1441"/>
      <c r="N344" s="1441"/>
      <c r="O344" s="1441"/>
      <c r="P344" s="1441"/>
      <c r="Q344" s="1441"/>
      <c r="R344" s="1441"/>
      <c r="S344" s="1441"/>
      <c r="T344" s="1441"/>
      <c r="U344" s="1441"/>
      <c r="V344" s="1441"/>
      <c r="W344" s="1441"/>
      <c r="X344" s="1441"/>
      <c r="Y344" s="1442"/>
    </row>
    <row r="345" spans="1:25">
      <c r="A345" s="1501"/>
      <c r="B345" s="1506"/>
      <c r="C345" s="1441"/>
      <c r="D345" s="1441"/>
      <c r="E345" s="1441"/>
      <c r="F345" s="1441"/>
      <c r="G345" s="1441"/>
      <c r="H345" s="1441"/>
      <c r="I345" s="1441"/>
      <c r="J345" s="1441"/>
      <c r="K345" s="1441"/>
      <c r="L345" s="1441"/>
      <c r="M345" s="1441"/>
      <c r="N345" s="1441"/>
      <c r="O345" s="1441"/>
      <c r="P345" s="1441"/>
      <c r="Q345" s="1441"/>
      <c r="R345" s="1441"/>
      <c r="S345" s="1441"/>
      <c r="T345" s="1441"/>
      <c r="U345" s="1441"/>
      <c r="V345" s="1441"/>
      <c r="W345" s="1441"/>
      <c r="X345" s="1441"/>
      <c r="Y345" s="1442"/>
    </row>
    <row r="346" spans="1:25">
      <c r="A346" s="1502"/>
      <c r="B346" s="1507"/>
      <c r="C346" s="1443"/>
      <c r="D346" s="1443"/>
      <c r="E346" s="1443"/>
      <c r="F346" s="1443"/>
      <c r="G346" s="1443"/>
      <c r="H346" s="1443"/>
      <c r="I346" s="1443"/>
      <c r="J346" s="1443"/>
      <c r="K346" s="1443"/>
      <c r="L346" s="1443"/>
      <c r="M346" s="1443"/>
      <c r="N346" s="1443"/>
      <c r="O346" s="1443"/>
      <c r="P346" s="1443"/>
      <c r="Q346" s="1443"/>
      <c r="R346" s="1443"/>
      <c r="S346" s="1443"/>
      <c r="T346" s="1443"/>
      <c r="U346" s="1443"/>
      <c r="V346" s="1443"/>
      <c r="W346" s="1443"/>
      <c r="X346" s="1443"/>
      <c r="Y346" s="1444"/>
    </row>
    <row r="347" spans="1:25">
      <c r="A347" s="1500" t="s">
        <v>341</v>
      </c>
      <c r="B347" s="1503" t="s">
        <v>342</v>
      </c>
      <c r="C347" s="1504"/>
      <c r="D347" s="1504"/>
      <c r="E347" s="1504"/>
      <c r="F347" s="1504"/>
      <c r="G347" s="1504"/>
      <c r="H347" s="1504"/>
      <c r="I347" s="1504"/>
      <c r="J347" s="1504"/>
      <c r="K347" s="1504"/>
      <c r="L347" s="1504"/>
      <c r="M347" s="1504"/>
      <c r="N347" s="1504"/>
      <c r="O347" s="1504"/>
      <c r="P347" s="1504"/>
      <c r="Q347" s="1504"/>
      <c r="R347" s="1504"/>
      <c r="S347" s="1504"/>
      <c r="T347" s="1504"/>
      <c r="U347" s="1504"/>
      <c r="V347" s="1504"/>
      <c r="W347" s="1504"/>
      <c r="X347" s="1504"/>
      <c r="Y347" s="1505"/>
    </row>
    <row r="348" spans="1:25">
      <c r="A348" s="1501"/>
      <c r="B348" s="1506"/>
      <c r="C348" s="1441"/>
      <c r="D348" s="1441"/>
      <c r="E348" s="1441"/>
      <c r="F348" s="1441"/>
      <c r="G348" s="1441"/>
      <c r="H348" s="1441"/>
      <c r="I348" s="1441"/>
      <c r="J348" s="1441"/>
      <c r="K348" s="1441"/>
      <c r="L348" s="1441"/>
      <c r="M348" s="1441"/>
      <c r="N348" s="1441"/>
      <c r="O348" s="1441"/>
      <c r="P348" s="1441"/>
      <c r="Q348" s="1441"/>
      <c r="R348" s="1441"/>
      <c r="S348" s="1441"/>
      <c r="T348" s="1441"/>
      <c r="U348" s="1441"/>
      <c r="V348" s="1441"/>
      <c r="W348" s="1441"/>
      <c r="X348" s="1441"/>
      <c r="Y348" s="1442"/>
    </row>
    <row r="349" spans="1:25">
      <c r="A349" s="1501"/>
      <c r="B349" s="1506"/>
      <c r="C349" s="1441"/>
      <c r="D349" s="1441"/>
      <c r="E349" s="1441"/>
      <c r="F349" s="1441"/>
      <c r="G349" s="1441"/>
      <c r="H349" s="1441"/>
      <c r="I349" s="1441"/>
      <c r="J349" s="1441"/>
      <c r="K349" s="1441"/>
      <c r="L349" s="1441"/>
      <c r="M349" s="1441"/>
      <c r="N349" s="1441"/>
      <c r="O349" s="1441"/>
      <c r="P349" s="1441"/>
      <c r="Q349" s="1441"/>
      <c r="R349" s="1441"/>
      <c r="S349" s="1441"/>
      <c r="T349" s="1441"/>
      <c r="U349" s="1441"/>
      <c r="V349" s="1441"/>
      <c r="W349" s="1441"/>
      <c r="X349" s="1441"/>
      <c r="Y349" s="1442"/>
    </row>
    <row r="350" spans="1:25">
      <c r="A350" s="1501"/>
      <c r="B350" s="1506"/>
      <c r="C350" s="1441"/>
      <c r="D350" s="1441"/>
      <c r="E350" s="1441"/>
      <c r="F350" s="1441"/>
      <c r="G350" s="1441"/>
      <c r="H350" s="1441"/>
      <c r="I350" s="1441"/>
      <c r="J350" s="1441"/>
      <c r="K350" s="1441"/>
      <c r="L350" s="1441"/>
      <c r="M350" s="1441"/>
      <c r="N350" s="1441"/>
      <c r="O350" s="1441"/>
      <c r="P350" s="1441"/>
      <c r="Q350" s="1441"/>
      <c r="R350" s="1441"/>
      <c r="S350" s="1441"/>
      <c r="T350" s="1441"/>
      <c r="U350" s="1441"/>
      <c r="V350" s="1441"/>
      <c r="W350" s="1441"/>
      <c r="X350" s="1441"/>
      <c r="Y350" s="1442"/>
    </row>
    <row r="351" spans="1:25">
      <c r="A351" s="1502"/>
      <c r="B351" s="1507"/>
      <c r="C351" s="1443"/>
      <c r="D351" s="1443"/>
      <c r="E351" s="1443"/>
      <c r="F351" s="1443"/>
      <c r="G351" s="1443"/>
      <c r="H351" s="1443"/>
      <c r="I351" s="1443"/>
      <c r="J351" s="1443"/>
      <c r="K351" s="1443"/>
      <c r="L351" s="1443"/>
      <c r="M351" s="1443"/>
      <c r="N351" s="1443"/>
      <c r="O351" s="1443"/>
      <c r="P351" s="1443"/>
      <c r="Q351" s="1443"/>
      <c r="R351" s="1443"/>
      <c r="S351" s="1443"/>
      <c r="T351" s="1443"/>
      <c r="U351" s="1443"/>
      <c r="V351" s="1443"/>
      <c r="W351" s="1443"/>
      <c r="X351" s="1443"/>
      <c r="Y351" s="1444"/>
    </row>
  </sheetData>
  <mergeCells count="250">
    <mergeCell ref="A335:Y335"/>
    <mergeCell ref="A337:A341"/>
    <mergeCell ref="B337:Y341"/>
    <mergeCell ref="A342:A346"/>
    <mergeCell ref="B342:Y346"/>
    <mergeCell ref="A347:A351"/>
    <mergeCell ref="B347:Y351"/>
    <mergeCell ref="B324:G328"/>
    <mergeCell ref="H324:X325"/>
    <mergeCell ref="J326:X326"/>
    <mergeCell ref="J327:X327"/>
    <mergeCell ref="J328:X328"/>
    <mergeCell ref="B329:G331"/>
    <mergeCell ref="H329:X331"/>
    <mergeCell ref="B316:G321"/>
    <mergeCell ref="H316:X317"/>
    <mergeCell ref="J318:X318"/>
    <mergeCell ref="J319:X320"/>
    <mergeCell ref="J321:X321"/>
    <mergeCell ref="B322:G323"/>
    <mergeCell ref="H322:X323"/>
    <mergeCell ref="B306:G307"/>
    <mergeCell ref="H306:X307"/>
    <mergeCell ref="B308:G309"/>
    <mergeCell ref="H308:X309"/>
    <mergeCell ref="B310:G315"/>
    <mergeCell ref="H310:X311"/>
    <mergeCell ref="J312:X312"/>
    <mergeCell ref="J313:X313"/>
    <mergeCell ref="J314:X314"/>
    <mergeCell ref="J315:X315"/>
    <mergeCell ref="B298:G299"/>
    <mergeCell ref="H298:X299"/>
    <mergeCell ref="B300:G302"/>
    <mergeCell ref="H300:X302"/>
    <mergeCell ref="B305:G305"/>
    <mergeCell ref="H305:X305"/>
    <mergeCell ref="D289:X289"/>
    <mergeCell ref="D290:X291"/>
    <mergeCell ref="D292:X292"/>
    <mergeCell ref="B295:G295"/>
    <mergeCell ref="H295:X295"/>
    <mergeCell ref="B296:G297"/>
    <mergeCell ref="H296:X297"/>
    <mergeCell ref="D278:X279"/>
    <mergeCell ref="D280:X281"/>
    <mergeCell ref="D282:X282"/>
    <mergeCell ref="D283:X284"/>
    <mergeCell ref="B287:X287"/>
    <mergeCell ref="B288:X288"/>
    <mergeCell ref="D269:X269"/>
    <mergeCell ref="D270:X270"/>
    <mergeCell ref="D271:X272"/>
    <mergeCell ref="B275:X275"/>
    <mergeCell ref="B276:X276"/>
    <mergeCell ref="D277:X277"/>
    <mergeCell ref="B263:X263"/>
    <mergeCell ref="B264:X264"/>
    <mergeCell ref="D265:X265"/>
    <mergeCell ref="D266:X266"/>
    <mergeCell ref="D267:X267"/>
    <mergeCell ref="D268:X268"/>
    <mergeCell ref="B247:G248"/>
    <mergeCell ref="H247:X248"/>
    <mergeCell ref="B249:G250"/>
    <mergeCell ref="H249:X250"/>
    <mergeCell ref="B251:G255"/>
    <mergeCell ref="H251:X252"/>
    <mergeCell ref="J253:X254"/>
    <mergeCell ref="J255:X255"/>
    <mergeCell ref="B237:G243"/>
    <mergeCell ref="H237:X238"/>
    <mergeCell ref="J239:X239"/>
    <mergeCell ref="J240:X241"/>
    <mergeCell ref="J242:X243"/>
    <mergeCell ref="B246:G246"/>
    <mergeCell ref="H246:X246"/>
    <mergeCell ref="B229:G236"/>
    <mergeCell ref="H229:X230"/>
    <mergeCell ref="J231:X231"/>
    <mergeCell ref="J232:X233"/>
    <mergeCell ref="J234:X234"/>
    <mergeCell ref="J235:X236"/>
    <mergeCell ref="B219:G220"/>
    <mergeCell ref="H219:X220"/>
    <mergeCell ref="B221:G228"/>
    <mergeCell ref="H221:X222"/>
    <mergeCell ref="J223:X223"/>
    <mergeCell ref="J224:X224"/>
    <mergeCell ref="J225:X228"/>
    <mergeCell ref="B212:G212"/>
    <mergeCell ref="H212:X212"/>
    <mergeCell ref="B213:G218"/>
    <mergeCell ref="H213:X214"/>
    <mergeCell ref="J215:X215"/>
    <mergeCell ref="J216:X216"/>
    <mergeCell ref="J217:X218"/>
    <mergeCell ref="B199:G204"/>
    <mergeCell ref="H199:X201"/>
    <mergeCell ref="J202:X202"/>
    <mergeCell ref="J203:X203"/>
    <mergeCell ref="J204:X204"/>
    <mergeCell ref="A209:Y209"/>
    <mergeCell ref="B191:G198"/>
    <mergeCell ref="H191:X193"/>
    <mergeCell ref="J194:X194"/>
    <mergeCell ref="J195:X195"/>
    <mergeCell ref="J196:X196"/>
    <mergeCell ref="J197:X197"/>
    <mergeCell ref="J198:X198"/>
    <mergeCell ref="B184:G185"/>
    <mergeCell ref="H184:X185"/>
    <mergeCell ref="B186:G190"/>
    <mergeCell ref="H186:X187"/>
    <mergeCell ref="J188:X188"/>
    <mergeCell ref="J189:X189"/>
    <mergeCell ref="J190:X190"/>
    <mergeCell ref="B175:G183"/>
    <mergeCell ref="H175:X176"/>
    <mergeCell ref="J177:X177"/>
    <mergeCell ref="J178:X179"/>
    <mergeCell ref="J180:X180"/>
    <mergeCell ref="J181:X181"/>
    <mergeCell ref="J182:X182"/>
    <mergeCell ref="J183:X183"/>
    <mergeCell ref="B163:G163"/>
    <mergeCell ref="H163:X163"/>
    <mergeCell ref="B164:G165"/>
    <mergeCell ref="H164:X165"/>
    <mergeCell ref="B166:G174"/>
    <mergeCell ref="H166:X168"/>
    <mergeCell ref="J169:X169"/>
    <mergeCell ref="J170:X170"/>
    <mergeCell ref="J171:X174"/>
    <mergeCell ref="B155:G156"/>
    <mergeCell ref="H155:X156"/>
    <mergeCell ref="B157:G160"/>
    <mergeCell ref="H157:X158"/>
    <mergeCell ref="J159:X159"/>
    <mergeCell ref="J160:X160"/>
    <mergeCell ref="B147:G148"/>
    <mergeCell ref="H147:X148"/>
    <mergeCell ref="B149:G150"/>
    <mergeCell ref="H149:X150"/>
    <mergeCell ref="B151:G154"/>
    <mergeCell ref="H151:X154"/>
    <mergeCell ref="B139:G140"/>
    <mergeCell ref="H139:X140"/>
    <mergeCell ref="B143:G143"/>
    <mergeCell ref="H143:X143"/>
    <mergeCell ref="B144:G146"/>
    <mergeCell ref="H144:X146"/>
    <mergeCell ref="B131:G133"/>
    <mergeCell ref="H131:X133"/>
    <mergeCell ref="B134:G138"/>
    <mergeCell ref="H134:X136"/>
    <mergeCell ref="J137:X137"/>
    <mergeCell ref="J138:X138"/>
    <mergeCell ref="B125:G130"/>
    <mergeCell ref="H125:X126"/>
    <mergeCell ref="J127:X127"/>
    <mergeCell ref="J128:X128"/>
    <mergeCell ref="J129:X129"/>
    <mergeCell ref="J130:X130"/>
    <mergeCell ref="B113:G114"/>
    <mergeCell ref="H113:X114"/>
    <mergeCell ref="B115:G118"/>
    <mergeCell ref="H115:X118"/>
    <mergeCell ref="A121:Y121"/>
    <mergeCell ref="B124:G124"/>
    <mergeCell ref="H124:X124"/>
    <mergeCell ref="B98:G99"/>
    <mergeCell ref="H98:X99"/>
    <mergeCell ref="B103:G112"/>
    <mergeCell ref="H103:X105"/>
    <mergeCell ref="J106:X106"/>
    <mergeCell ref="J107:X108"/>
    <mergeCell ref="J109:X110"/>
    <mergeCell ref="J111:X112"/>
    <mergeCell ref="B89:G89"/>
    <mergeCell ref="H89:X89"/>
    <mergeCell ref="B90:G91"/>
    <mergeCell ref="H90:X91"/>
    <mergeCell ref="B92:G97"/>
    <mergeCell ref="H92:X94"/>
    <mergeCell ref="J95:X95"/>
    <mergeCell ref="J96:X96"/>
    <mergeCell ref="J97:X97"/>
    <mergeCell ref="B79:G86"/>
    <mergeCell ref="H79:X81"/>
    <mergeCell ref="J82:X82"/>
    <mergeCell ref="J83:X83"/>
    <mergeCell ref="J84:X84"/>
    <mergeCell ref="J85:X85"/>
    <mergeCell ref="J86:X86"/>
    <mergeCell ref="B69:G69"/>
    <mergeCell ref="H69:X69"/>
    <mergeCell ref="B70:G71"/>
    <mergeCell ref="H70:X71"/>
    <mergeCell ref="B72:G78"/>
    <mergeCell ref="H72:X74"/>
    <mergeCell ref="J75:X75"/>
    <mergeCell ref="J76:X76"/>
    <mergeCell ref="J77:X78"/>
    <mergeCell ref="B59:G66"/>
    <mergeCell ref="H59:X62"/>
    <mergeCell ref="J63:X63"/>
    <mergeCell ref="J64:X64"/>
    <mergeCell ref="J65:X65"/>
    <mergeCell ref="J66:X66"/>
    <mergeCell ref="B49:G52"/>
    <mergeCell ref="H49:X52"/>
    <mergeCell ref="B53:G56"/>
    <mergeCell ref="H53:X56"/>
    <mergeCell ref="B57:G58"/>
    <mergeCell ref="H57:X58"/>
    <mergeCell ref="I38:X38"/>
    <mergeCell ref="I39:X41"/>
    <mergeCell ref="B43:G44"/>
    <mergeCell ref="H43:X44"/>
    <mergeCell ref="B45:G48"/>
    <mergeCell ref="H45:X48"/>
    <mergeCell ref="I26:X26"/>
    <mergeCell ref="I27:X29"/>
    <mergeCell ref="I30:X30"/>
    <mergeCell ref="I31:X33"/>
    <mergeCell ref="I34:X34"/>
    <mergeCell ref="I35:X37"/>
    <mergeCell ref="B17:G18"/>
    <mergeCell ref="H17:X18"/>
    <mergeCell ref="B21:G21"/>
    <mergeCell ref="H21:X21"/>
    <mergeCell ref="I22:X22"/>
    <mergeCell ref="I23:X25"/>
    <mergeCell ref="B14:G14"/>
    <mergeCell ref="H14:X14"/>
    <mergeCell ref="B15:G16"/>
    <mergeCell ref="H15:X16"/>
    <mergeCell ref="B8:G9"/>
    <mergeCell ref="H8:X9"/>
    <mergeCell ref="B10:G11"/>
    <mergeCell ref="H10:X11"/>
    <mergeCell ref="B12:G13"/>
    <mergeCell ref="H12:X13"/>
    <mergeCell ref="A1:Y1"/>
    <mergeCell ref="A3:Y3"/>
    <mergeCell ref="B5:G5"/>
    <mergeCell ref="H5:X5"/>
    <mergeCell ref="B6:G7"/>
    <mergeCell ref="H6:X7"/>
  </mergeCells>
  <dataValidations count="27">
    <dataValidation type="list" allowBlank="1" showInputMessage="1" showErrorMessage="1" sqref="H57:X58">
      <formula1>$AB$227:$AB$231</formula1>
    </dataValidation>
    <dataValidation type="list" allowBlank="1" showInputMessage="1" showErrorMessage="1" sqref="H43:X43">
      <formula1>$AB$221:$AB$225</formula1>
    </dataValidation>
    <dataValidation type="list" allowBlank="1" showInputMessage="1" showErrorMessage="1" sqref="H17:X18">
      <formula1>$AB$215:$AB$219</formula1>
    </dataValidation>
    <dataValidation type="list" allowBlank="1" showInputMessage="1" showErrorMessage="1" sqref="H15:X16">
      <formula1>$AB$203:$AB$207</formula1>
    </dataValidation>
    <dataValidation type="list" allowBlank="1" showInputMessage="1" showErrorMessage="1" sqref="H14:X14">
      <formula1>$AB$197:$AB$201</formula1>
    </dataValidation>
    <dataValidation type="list" allowBlank="1" showInputMessage="1" showErrorMessage="1" sqref="H12:X13">
      <formula1>$AB$191:$AB$195</formula1>
    </dataValidation>
    <dataValidation type="list" allowBlank="1" showInputMessage="1" showErrorMessage="1" sqref="H10:X11">
      <formula1>$AB$185:$AB$189</formula1>
    </dataValidation>
    <dataValidation type="list" allowBlank="1" showInputMessage="1" showErrorMessage="1" sqref="H8:X9">
      <formula1>$AB$179:$AB$183</formula1>
    </dataValidation>
    <dataValidation type="list" allowBlank="1" showInputMessage="1" showErrorMessage="1" sqref="H6:X6">
      <formula1>$AB$172:$AB$176</formula1>
    </dataValidation>
    <dataValidation type="list" allowBlank="1" showInputMessage="1" showErrorMessage="1" sqref="H98:X102">
      <formula1>$AB$265:$AB$272</formula1>
    </dataValidation>
    <dataValidation type="list" allowBlank="1" showInputMessage="1" showErrorMessage="1" sqref="H90:X91">
      <formula1>$AB$259:$AB$263</formula1>
    </dataValidation>
    <dataValidation type="list" allowBlank="1" showInputMessage="1" showErrorMessage="1" sqref="H70:X71">
      <formula1>$AB$239:$AB$243</formula1>
    </dataValidation>
    <dataValidation type="list" allowBlank="1" showInputMessage="1" showErrorMessage="1" sqref="H113:X114">
      <formula1>$AB$274:$AB$278</formula1>
    </dataValidation>
    <dataValidation type="list" allowBlank="1" showInputMessage="1" showErrorMessage="1" sqref="H164:X165">
      <formula1>$AB$336:$AB$341</formula1>
    </dataValidation>
    <dataValidation type="list" allowBlank="1" showInputMessage="1" showErrorMessage="1" sqref="H155:X156">
      <formula1>$AB$330:$AB$334</formula1>
    </dataValidation>
    <dataValidation type="list" allowBlank="1" showInputMessage="1" showErrorMessage="1" sqref="H149:X150">
      <formula1>$AB$325:$AB$328</formula1>
    </dataValidation>
    <dataValidation type="list" allowBlank="1" showInputMessage="1" showErrorMessage="1" sqref="H147:X148">
      <formula1>$AB$319:$AB$323</formula1>
    </dataValidation>
    <dataValidation type="list" allowBlank="1" showInputMessage="1" showErrorMessage="1" sqref="H144:X146">
      <formula1>$AB$313:$AB$317</formula1>
    </dataValidation>
    <dataValidation type="list" allowBlank="1" showInputMessage="1" showErrorMessage="1" sqref="H139:X140">
      <formula1>$AB$308:$AB$311</formula1>
    </dataValidation>
    <dataValidation type="list" allowBlank="1" showInputMessage="1" showErrorMessage="1" sqref="H184:X185">
      <formula1>$AB$353:$AB$357</formula1>
    </dataValidation>
    <dataValidation type="list" allowBlank="1" showInputMessage="1" showErrorMessage="1" sqref="H219:X220">
      <formula1>$AB$388:$AB$392</formula1>
    </dataValidation>
    <dataValidation type="list" allowBlank="1" showInputMessage="1" showErrorMessage="1" sqref="H247:X250">
      <formula1>$AB$416:$AB$420</formula1>
    </dataValidation>
    <dataValidation type="list" allowBlank="1" showInputMessage="1" showErrorMessage="1" sqref="H296:X297">
      <formula1>$AB$465:$AB$468</formula1>
    </dataValidation>
    <dataValidation type="list" allowBlank="1" showInputMessage="1" showErrorMessage="1" sqref="H298:X299">
      <formula1>$AB$470:$AB$474</formula1>
    </dataValidation>
    <dataValidation type="list" allowBlank="1" showInputMessage="1" showErrorMessage="1" sqref="H308:X309">
      <formula1>$AB$482:$AB$486</formula1>
    </dataValidation>
    <dataValidation type="list" allowBlank="1" showInputMessage="1" showErrorMessage="1" sqref="H306:X307">
      <formula1>$AB$476:$AB$480</formula1>
    </dataValidation>
    <dataValidation type="list" allowBlank="1" showInputMessage="1" showErrorMessage="1" sqref="H322:X323">
      <formula1>$AB$488:$AB$492</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D99"/>
  <sheetViews>
    <sheetView view="pageBreakPreview" topLeftCell="A60" zoomScaleNormal="100" zoomScaleSheetLayoutView="100" workbookViewId="0">
      <selection activeCell="F102" sqref="F102"/>
    </sheetView>
  </sheetViews>
  <sheetFormatPr defaultColWidth="8.85546875" defaultRowHeight="15"/>
  <cols>
    <col min="1" max="1" width="10.140625" style="18" customWidth="1"/>
    <col min="2" max="2" width="16.42578125" style="18" bestFit="1" customWidth="1"/>
    <col min="3" max="3" width="15.7109375" style="18" customWidth="1"/>
    <col min="4" max="4" width="17.7109375" style="18" bestFit="1" customWidth="1"/>
    <col min="5" max="5" width="9.28515625" style="18" customWidth="1"/>
    <col min="6" max="7" width="15.7109375" style="18" customWidth="1"/>
    <col min="8" max="8" width="17.7109375" style="18" bestFit="1" customWidth="1"/>
    <col min="9" max="9" width="8.42578125" style="18" customWidth="1"/>
    <col min="10" max="11" width="15.7109375" style="18" customWidth="1"/>
    <col min="12" max="12" width="18.7109375" style="18" bestFit="1" customWidth="1"/>
    <col min="13" max="13" width="8.28515625" style="18" bestFit="1" customWidth="1"/>
    <col min="14" max="14" width="4.140625" style="18" bestFit="1" customWidth="1"/>
    <col min="15" max="16" width="18.7109375" style="18" customWidth="1"/>
    <col min="17" max="17" width="3.42578125" style="18" customWidth="1"/>
    <col min="18" max="20" width="18.7109375" style="18" customWidth="1"/>
    <col min="21" max="30" width="15.7109375" style="19" customWidth="1"/>
    <col min="31" max="255" width="8.85546875" style="19"/>
    <col min="256" max="256" width="15.7109375" style="19" customWidth="1"/>
    <col min="257" max="257" width="16.42578125" style="19" bestFit="1" customWidth="1"/>
    <col min="258" max="258" width="15.7109375" style="19" customWidth="1"/>
    <col min="259" max="259" width="17.7109375" style="19" bestFit="1" customWidth="1"/>
    <col min="260" max="262" width="15.7109375" style="19" customWidth="1"/>
    <col min="263" max="263" width="17.7109375" style="19" bestFit="1" customWidth="1"/>
    <col min="264" max="266" width="15.7109375" style="19" customWidth="1"/>
    <col min="267" max="267" width="18.7109375" style="19" bestFit="1" customWidth="1"/>
    <col min="268" max="270" width="15.7109375" style="19" customWidth="1"/>
    <col min="271" max="271" width="17.7109375" style="19" customWidth="1"/>
    <col min="272" max="272" width="20.7109375" style="19" customWidth="1"/>
    <col min="273" max="273" width="23.42578125" style="19" bestFit="1" customWidth="1"/>
    <col min="274" max="276" width="20.7109375" style="19" customWidth="1"/>
    <col min="277" max="286" width="15.7109375" style="19" customWidth="1"/>
    <col min="287" max="511" width="8.85546875" style="19"/>
    <col min="512" max="512" width="15.7109375" style="19" customWidth="1"/>
    <col min="513" max="513" width="16.42578125" style="19" bestFit="1" customWidth="1"/>
    <col min="514" max="514" width="15.7109375" style="19" customWidth="1"/>
    <col min="515" max="515" width="17.7109375" style="19" bestFit="1" customWidth="1"/>
    <col min="516" max="518" width="15.7109375" style="19" customWidth="1"/>
    <col min="519" max="519" width="17.7109375" style="19" bestFit="1" customWidth="1"/>
    <col min="520" max="522" width="15.7109375" style="19" customWidth="1"/>
    <col min="523" max="523" width="18.7109375" style="19" bestFit="1" customWidth="1"/>
    <col min="524" max="526" width="15.7109375" style="19" customWidth="1"/>
    <col min="527" max="527" width="17.7109375" style="19" customWidth="1"/>
    <col min="528" max="528" width="20.7109375" style="19" customWidth="1"/>
    <col min="529" max="529" width="23.42578125" style="19" bestFit="1" customWidth="1"/>
    <col min="530" max="532" width="20.7109375" style="19" customWidth="1"/>
    <col min="533" max="542" width="15.7109375" style="19" customWidth="1"/>
    <col min="543" max="767" width="8.85546875" style="19"/>
    <col min="768" max="768" width="15.7109375" style="19" customWidth="1"/>
    <col min="769" max="769" width="16.42578125" style="19" bestFit="1" customWidth="1"/>
    <col min="770" max="770" width="15.7109375" style="19" customWidth="1"/>
    <col min="771" max="771" width="17.7109375" style="19" bestFit="1" customWidth="1"/>
    <col min="772" max="774" width="15.7109375" style="19" customWidth="1"/>
    <col min="775" max="775" width="17.7109375" style="19" bestFit="1" customWidth="1"/>
    <col min="776" max="778" width="15.7109375" style="19" customWidth="1"/>
    <col min="779" max="779" width="18.7109375" style="19" bestFit="1" customWidth="1"/>
    <col min="780" max="782" width="15.7109375" style="19" customWidth="1"/>
    <col min="783" max="783" width="17.7109375" style="19" customWidth="1"/>
    <col min="784" max="784" width="20.7109375" style="19" customWidth="1"/>
    <col min="785" max="785" width="23.42578125" style="19" bestFit="1" customWidth="1"/>
    <col min="786" max="788" width="20.7109375" style="19" customWidth="1"/>
    <col min="789" max="798" width="15.7109375" style="19" customWidth="1"/>
    <col min="799" max="1023" width="8.85546875" style="19"/>
    <col min="1024" max="1024" width="15.7109375" style="19" customWidth="1"/>
    <col min="1025" max="1025" width="16.42578125" style="19" bestFit="1" customWidth="1"/>
    <col min="1026" max="1026" width="15.7109375" style="19" customWidth="1"/>
    <col min="1027" max="1027" width="17.7109375" style="19" bestFit="1" customWidth="1"/>
    <col min="1028" max="1030" width="15.7109375" style="19" customWidth="1"/>
    <col min="1031" max="1031" width="17.7109375" style="19" bestFit="1" customWidth="1"/>
    <col min="1032" max="1034" width="15.7109375" style="19" customWidth="1"/>
    <col min="1035" max="1035" width="18.7109375" style="19" bestFit="1" customWidth="1"/>
    <col min="1036" max="1038" width="15.7109375" style="19" customWidth="1"/>
    <col min="1039" max="1039" width="17.7109375" style="19" customWidth="1"/>
    <col min="1040" max="1040" width="20.7109375" style="19" customWidth="1"/>
    <col min="1041" max="1041" width="23.42578125" style="19" bestFit="1" customWidth="1"/>
    <col min="1042" max="1044" width="20.7109375" style="19" customWidth="1"/>
    <col min="1045" max="1054" width="15.7109375" style="19" customWidth="1"/>
    <col min="1055" max="1279" width="8.85546875" style="19"/>
    <col min="1280" max="1280" width="15.7109375" style="19" customWidth="1"/>
    <col min="1281" max="1281" width="16.42578125" style="19" bestFit="1" customWidth="1"/>
    <col min="1282" max="1282" width="15.7109375" style="19" customWidth="1"/>
    <col min="1283" max="1283" width="17.7109375" style="19" bestFit="1" customWidth="1"/>
    <col min="1284" max="1286" width="15.7109375" style="19" customWidth="1"/>
    <col min="1287" max="1287" width="17.7109375" style="19" bestFit="1" customWidth="1"/>
    <col min="1288" max="1290" width="15.7109375" style="19" customWidth="1"/>
    <col min="1291" max="1291" width="18.7109375" style="19" bestFit="1" customWidth="1"/>
    <col min="1292" max="1294" width="15.7109375" style="19" customWidth="1"/>
    <col min="1295" max="1295" width="17.7109375" style="19" customWidth="1"/>
    <col min="1296" max="1296" width="20.7109375" style="19" customWidth="1"/>
    <col min="1297" max="1297" width="23.42578125" style="19" bestFit="1" customWidth="1"/>
    <col min="1298" max="1300" width="20.7109375" style="19" customWidth="1"/>
    <col min="1301" max="1310" width="15.7109375" style="19" customWidth="1"/>
    <col min="1311" max="1535" width="8.85546875" style="19"/>
    <col min="1536" max="1536" width="15.7109375" style="19" customWidth="1"/>
    <col min="1537" max="1537" width="16.42578125" style="19" bestFit="1" customWidth="1"/>
    <col min="1538" max="1538" width="15.7109375" style="19" customWidth="1"/>
    <col min="1539" max="1539" width="17.7109375" style="19" bestFit="1" customWidth="1"/>
    <col min="1540" max="1542" width="15.7109375" style="19" customWidth="1"/>
    <col min="1543" max="1543" width="17.7109375" style="19" bestFit="1" customWidth="1"/>
    <col min="1544" max="1546" width="15.7109375" style="19" customWidth="1"/>
    <col min="1547" max="1547" width="18.7109375" style="19" bestFit="1" customWidth="1"/>
    <col min="1548" max="1550" width="15.7109375" style="19" customWidth="1"/>
    <col min="1551" max="1551" width="17.7109375" style="19" customWidth="1"/>
    <col min="1552" max="1552" width="20.7109375" style="19" customWidth="1"/>
    <col min="1553" max="1553" width="23.42578125" style="19" bestFit="1" customWidth="1"/>
    <col min="1554" max="1556" width="20.7109375" style="19" customWidth="1"/>
    <col min="1557" max="1566" width="15.7109375" style="19" customWidth="1"/>
    <col min="1567" max="1791" width="8.85546875" style="19"/>
    <col min="1792" max="1792" width="15.7109375" style="19" customWidth="1"/>
    <col min="1793" max="1793" width="16.42578125" style="19" bestFit="1" customWidth="1"/>
    <col min="1794" max="1794" width="15.7109375" style="19" customWidth="1"/>
    <col min="1795" max="1795" width="17.7109375" style="19" bestFit="1" customWidth="1"/>
    <col min="1796" max="1798" width="15.7109375" style="19" customWidth="1"/>
    <col min="1799" max="1799" width="17.7109375" style="19" bestFit="1" customWidth="1"/>
    <col min="1800" max="1802" width="15.7109375" style="19" customWidth="1"/>
    <col min="1803" max="1803" width="18.7109375" style="19" bestFit="1" customWidth="1"/>
    <col min="1804" max="1806" width="15.7109375" style="19" customWidth="1"/>
    <col min="1807" max="1807" width="17.7109375" style="19" customWidth="1"/>
    <col min="1808" max="1808" width="20.7109375" style="19" customWidth="1"/>
    <col min="1809" max="1809" width="23.42578125" style="19" bestFit="1" customWidth="1"/>
    <col min="1810" max="1812" width="20.7109375" style="19" customWidth="1"/>
    <col min="1813" max="1822" width="15.7109375" style="19" customWidth="1"/>
    <col min="1823" max="2047" width="8.85546875" style="19"/>
    <col min="2048" max="2048" width="15.7109375" style="19" customWidth="1"/>
    <col min="2049" max="2049" width="16.42578125" style="19" bestFit="1" customWidth="1"/>
    <col min="2050" max="2050" width="15.7109375" style="19" customWidth="1"/>
    <col min="2051" max="2051" width="17.7109375" style="19" bestFit="1" customWidth="1"/>
    <col min="2052" max="2054" width="15.7109375" style="19" customWidth="1"/>
    <col min="2055" max="2055" width="17.7109375" style="19" bestFit="1" customWidth="1"/>
    <col min="2056" max="2058" width="15.7109375" style="19" customWidth="1"/>
    <col min="2059" max="2059" width="18.7109375" style="19" bestFit="1" customWidth="1"/>
    <col min="2060" max="2062" width="15.7109375" style="19" customWidth="1"/>
    <col min="2063" max="2063" width="17.7109375" style="19" customWidth="1"/>
    <col min="2064" max="2064" width="20.7109375" style="19" customWidth="1"/>
    <col min="2065" max="2065" width="23.42578125" style="19" bestFit="1" customWidth="1"/>
    <col min="2066" max="2068" width="20.7109375" style="19" customWidth="1"/>
    <col min="2069" max="2078" width="15.7109375" style="19" customWidth="1"/>
    <col min="2079" max="2303" width="8.85546875" style="19"/>
    <col min="2304" max="2304" width="15.7109375" style="19" customWidth="1"/>
    <col min="2305" max="2305" width="16.42578125" style="19" bestFit="1" customWidth="1"/>
    <col min="2306" max="2306" width="15.7109375" style="19" customWidth="1"/>
    <col min="2307" max="2307" width="17.7109375" style="19" bestFit="1" customWidth="1"/>
    <col min="2308" max="2310" width="15.7109375" style="19" customWidth="1"/>
    <col min="2311" max="2311" width="17.7109375" style="19" bestFit="1" customWidth="1"/>
    <col min="2312" max="2314" width="15.7109375" style="19" customWidth="1"/>
    <col min="2315" max="2315" width="18.7109375" style="19" bestFit="1" customWidth="1"/>
    <col min="2316" max="2318" width="15.7109375" style="19" customWidth="1"/>
    <col min="2319" max="2319" width="17.7109375" style="19" customWidth="1"/>
    <col min="2320" max="2320" width="20.7109375" style="19" customWidth="1"/>
    <col min="2321" max="2321" width="23.42578125" style="19" bestFit="1" customWidth="1"/>
    <col min="2322" max="2324" width="20.7109375" style="19" customWidth="1"/>
    <col min="2325" max="2334" width="15.7109375" style="19" customWidth="1"/>
    <col min="2335" max="2559" width="8.85546875" style="19"/>
    <col min="2560" max="2560" width="15.7109375" style="19" customWidth="1"/>
    <col min="2561" max="2561" width="16.42578125" style="19" bestFit="1" customWidth="1"/>
    <col min="2562" max="2562" width="15.7109375" style="19" customWidth="1"/>
    <col min="2563" max="2563" width="17.7109375" style="19" bestFit="1" customWidth="1"/>
    <col min="2564" max="2566" width="15.7109375" style="19" customWidth="1"/>
    <col min="2567" max="2567" width="17.7109375" style="19" bestFit="1" customWidth="1"/>
    <col min="2568" max="2570" width="15.7109375" style="19" customWidth="1"/>
    <col min="2571" max="2571" width="18.7109375" style="19" bestFit="1" customWidth="1"/>
    <col min="2572" max="2574" width="15.7109375" style="19" customWidth="1"/>
    <col min="2575" max="2575" width="17.7109375" style="19" customWidth="1"/>
    <col min="2576" max="2576" width="20.7109375" style="19" customWidth="1"/>
    <col min="2577" max="2577" width="23.42578125" style="19" bestFit="1" customWidth="1"/>
    <col min="2578" max="2580" width="20.7109375" style="19" customWidth="1"/>
    <col min="2581" max="2590" width="15.7109375" style="19" customWidth="1"/>
    <col min="2591" max="2815" width="8.85546875" style="19"/>
    <col min="2816" max="2816" width="15.7109375" style="19" customWidth="1"/>
    <col min="2817" max="2817" width="16.42578125" style="19" bestFit="1" customWidth="1"/>
    <col min="2818" max="2818" width="15.7109375" style="19" customWidth="1"/>
    <col min="2819" max="2819" width="17.7109375" style="19" bestFit="1" customWidth="1"/>
    <col min="2820" max="2822" width="15.7109375" style="19" customWidth="1"/>
    <col min="2823" max="2823" width="17.7109375" style="19" bestFit="1" customWidth="1"/>
    <col min="2824" max="2826" width="15.7109375" style="19" customWidth="1"/>
    <col min="2827" max="2827" width="18.7109375" style="19" bestFit="1" customWidth="1"/>
    <col min="2828" max="2830" width="15.7109375" style="19" customWidth="1"/>
    <col min="2831" max="2831" width="17.7109375" style="19" customWidth="1"/>
    <col min="2832" max="2832" width="20.7109375" style="19" customWidth="1"/>
    <col min="2833" max="2833" width="23.42578125" style="19" bestFit="1" customWidth="1"/>
    <col min="2834" max="2836" width="20.7109375" style="19" customWidth="1"/>
    <col min="2837" max="2846" width="15.7109375" style="19" customWidth="1"/>
    <col min="2847" max="3071" width="8.85546875" style="19"/>
    <col min="3072" max="3072" width="15.7109375" style="19" customWidth="1"/>
    <col min="3073" max="3073" width="16.42578125" style="19" bestFit="1" customWidth="1"/>
    <col min="3074" max="3074" width="15.7109375" style="19" customWidth="1"/>
    <col min="3075" max="3075" width="17.7109375" style="19" bestFit="1" customWidth="1"/>
    <col min="3076" max="3078" width="15.7109375" style="19" customWidth="1"/>
    <col min="3079" max="3079" width="17.7109375" style="19" bestFit="1" customWidth="1"/>
    <col min="3080" max="3082" width="15.7109375" style="19" customWidth="1"/>
    <col min="3083" max="3083" width="18.7109375" style="19" bestFit="1" customWidth="1"/>
    <col min="3084" max="3086" width="15.7109375" style="19" customWidth="1"/>
    <col min="3087" max="3087" width="17.7109375" style="19" customWidth="1"/>
    <col min="3088" max="3088" width="20.7109375" style="19" customWidth="1"/>
    <col min="3089" max="3089" width="23.42578125" style="19" bestFit="1" customWidth="1"/>
    <col min="3090" max="3092" width="20.7109375" style="19" customWidth="1"/>
    <col min="3093" max="3102" width="15.7109375" style="19" customWidth="1"/>
    <col min="3103" max="3327" width="8.85546875" style="19"/>
    <col min="3328" max="3328" width="15.7109375" style="19" customWidth="1"/>
    <col min="3329" max="3329" width="16.42578125" style="19" bestFit="1" customWidth="1"/>
    <col min="3330" max="3330" width="15.7109375" style="19" customWidth="1"/>
    <col min="3331" max="3331" width="17.7109375" style="19" bestFit="1" customWidth="1"/>
    <col min="3332" max="3334" width="15.7109375" style="19" customWidth="1"/>
    <col min="3335" max="3335" width="17.7109375" style="19" bestFit="1" customWidth="1"/>
    <col min="3336" max="3338" width="15.7109375" style="19" customWidth="1"/>
    <col min="3339" max="3339" width="18.7109375" style="19" bestFit="1" customWidth="1"/>
    <col min="3340" max="3342" width="15.7109375" style="19" customWidth="1"/>
    <col min="3343" max="3343" width="17.7109375" style="19" customWidth="1"/>
    <col min="3344" max="3344" width="20.7109375" style="19" customWidth="1"/>
    <col min="3345" max="3345" width="23.42578125" style="19" bestFit="1" customWidth="1"/>
    <col min="3346" max="3348" width="20.7109375" style="19" customWidth="1"/>
    <col min="3349" max="3358" width="15.7109375" style="19" customWidth="1"/>
    <col min="3359" max="3583" width="8.85546875" style="19"/>
    <col min="3584" max="3584" width="15.7109375" style="19" customWidth="1"/>
    <col min="3585" max="3585" width="16.42578125" style="19" bestFit="1" customWidth="1"/>
    <col min="3586" max="3586" width="15.7109375" style="19" customWidth="1"/>
    <col min="3587" max="3587" width="17.7109375" style="19" bestFit="1" customWidth="1"/>
    <col min="3588" max="3590" width="15.7109375" style="19" customWidth="1"/>
    <col min="3591" max="3591" width="17.7109375" style="19" bestFit="1" customWidth="1"/>
    <col min="3592" max="3594" width="15.7109375" style="19" customWidth="1"/>
    <col min="3595" max="3595" width="18.7109375" style="19" bestFit="1" customWidth="1"/>
    <col min="3596" max="3598" width="15.7109375" style="19" customWidth="1"/>
    <col min="3599" max="3599" width="17.7109375" style="19" customWidth="1"/>
    <col min="3600" max="3600" width="20.7109375" style="19" customWidth="1"/>
    <col min="3601" max="3601" width="23.42578125" style="19" bestFit="1" customWidth="1"/>
    <col min="3602" max="3604" width="20.7109375" style="19" customWidth="1"/>
    <col min="3605" max="3614" width="15.7109375" style="19" customWidth="1"/>
    <col min="3615" max="3839" width="8.85546875" style="19"/>
    <col min="3840" max="3840" width="15.7109375" style="19" customWidth="1"/>
    <col min="3841" max="3841" width="16.42578125" style="19" bestFit="1" customWidth="1"/>
    <col min="3842" max="3842" width="15.7109375" style="19" customWidth="1"/>
    <col min="3843" max="3843" width="17.7109375" style="19" bestFit="1" customWidth="1"/>
    <col min="3844" max="3846" width="15.7109375" style="19" customWidth="1"/>
    <col min="3847" max="3847" width="17.7109375" style="19" bestFit="1" customWidth="1"/>
    <col min="3848" max="3850" width="15.7109375" style="19" customWidth="1"/>
    <col min="3851" max="3851" width="18.7109375" style="19" bestFit="1" customWidth="1"/>
    <col min="3852" max="3854" width="15.7109375" style="19" customWidth="1"/>
    <col min="3855" max="3855" width="17.7109375" style="19" customWidth="1"/>
    <col min="3856" max="3856" width="20.7109375" style="19" customWidth="1"/>
    <col min="3857" max="3857" width="23.42578125" style="19" bestFit="1" customWidth="1"/>
    <col min="3858" max="3860" width="20.7109375" style="19" customWidth="1"/>
    <col min="3861" max="3870" width="15.7109375" style="19" customWidth="1"/>
    <col min="3871" max="4095" width="8.85546875" style="19"/>
    <col min="4096" max="4096" width="15.7109375" style="19" customWidth="1"/>
    <col min="4097" max="4097" width="16.42578125" style="19" bestFit="1" customWidth="1"/>
    <col min="4098" max="4098" width="15.7109375" style="19" customWidth="1"/>
    <col min="4099" max="4099" width="17.7109375" style="19" bestFit="1" customWidth="1"/>
    <col min="4100" max="4102" width="15.7109375" style="19" customWidth="1"/>
    <col min="4103" max="4103" width="17.7109375" style="19" bestFit="1" customWidth="1"/>
    <col min="4104" max="4106" width="15.7109375" style="19" customWidth="1"/>
    <col min="4107" max="4107" width="18.7109375" style="19" bestFit="1" customWidth="1"/>
    <col min="4108" max="4110" width="15.7109375" style="19" customWidth="1"/>
    <col min="4111" max="4111" width="17.7109375" style="19" customWidth="1"/>
    <col min="4112" max="4112" width="20.7109375" style="19" customWidth="1"/>
    <col min="4113" max="4113" width="23.42578125" style="19" bestFit="1" customWidth="1"/>
    <col min="4114" max="4116" width="20.7109375" style="19" customWidth="1"/>
    <col min="4117" max="4126" width="15.7109375" style="19" customWidth="1"/>
    <col min="4127" max="4351" width="8.85546875" style="19"/>
    <col min="4352" max="4352" width="15.7109375" style="19" customWidth="1"/>
    <col min="4353" max="4353" width="16.42578125" style="19" bestFit="1" customWidth="1"/>
    <col min="4354" max="4354" width="15.7109375" style="19" customWidth="1"/>
    <col min="4355" max="4355" width="17.7109375" style="19" bestFit="1" customWidth="1"/>
    <col min="4356" max="4358" width="15.7109375" style="19" customWidth="1"/>
    <col min="4359" max="4359" width="17.7109375" style="19" bestFit="1" customWidth="1"/>
    <col min="4360" max="4362" width="15.7109375" style="19" customWidth="1"/>
    <col min="4363" max="4363" width="18.7109375" style="19" bestFit="1" customWidth="1"/>
    <col min="4364" max="4366" width="15.7109375" style="19" customWidth="1"/>
    <col min="4367" max="4367" width="17.7109375" style="19" customWidth="1"/>
    <col min="4368" max="4368" width="20.7109375" style="19" customWidth="1"/>
    <col min="4369" max="4369" width="23.42578125" style="19" bestFit="1" customWidth="1"/>
    <col min="4370" max="4372" width="20.7109375" style="19" customWidth="1"/>
    <col min="4373" max="4382" width="15.7109375" style="19" customWidth="1"/>
    <col min="4383" max="4607" width="8.85546875" style="19"/>
    <col min="4608" max="4608" width="15.7109375" style="19" customWidth="1"/>
    <col min="4609" max="4609" width="16.42578125" style="19" bestFit="1" customWidth="1"/>
    <col min="4610" max="4610" width="15.7109375" style="19" customWidth="1"/>
    <col min="4611" max="4611" width="17.7109375" style="19" bestFit="1" customWidth="1"/>
    <col min="4612" max="4614" width="15.7109375" style="19" customWidth="1"/>
    <col min="4615" max="4615" width="17.7109375" style="19" bestFit="1" customWidth="1"/>
    <col min="4616" max="4618" width="15.7109375" style="19" customWidth="1"/>
    <col min="4619" max="4619" width="18.7109375" style="19" bestFit="1" customWidth="1"/>
    <col min="4620" max="4622" width="15.7109375" style="19" customWidth="1"/>
    <col min="4623" max="4623" width="17.7109375" style="19" customWidth="1"/>
    <col min="4624" max="4624" width="20.7109375" style="19" customWidth="1"/>
    <col min="4625" max="4625" width="23.42578125" style="19" bestFit="1" customWidth="1"/>
    <col min="4626" max="4628" width="20.7109375" style="19" customWidth="1"/>
    <col min="4629" max="4638" width="15.7109375" style="19" customWidth="1"/>
    <col min="4639" max="4863" width="8.85546875" style="19"/>
    <col min="4864" max="4864" width="15.7109375" style="19" customWidth="1"/>
    <col min="4865" max="4865" width="16.42578125" style="19" bestFit="1" customWidth="1"/>
    <col min="4866" max="4866" width="15.7109375" style="19" customWidth="1"/>
    <col min="4867" max="4867" width="17.7109375" style="19" bestFit="1" customWidth="1"/>
    <col min="4868" max="4870" width="15.7109375" style="19" customWidth="1"/>
    <col min="4871" max="4871" width="17.7109375" style="19" bestFit="1" customWidth="1"/>
    <col min="4872" max="4874" width="15.7109375" style="19" customWidth="1"/>
    <col min="4875" max="4875" width="18.7109375" style="19" bestFit="1" customWidth="1"/>
    <col min="4876" max="4878" width="15.7109375" style="19" customWidth="1"/>
    <col min="4879" max="4879" width="17.7109375" style="19" customWidth="1"/>
    <col min="4880" max="4880" width="20.7109375" style="19" customWidth="1"/>
    <col min="4881" max="4881" width="23.42578125" style="19" bestFit="1" customWidth="1"/>
    <col min="4882" max="4884" width="20.7109375" style="19" customWidth="1"/>
    <col min="4885" max="4894" width="15.7109375" style="19" customWidth="1"/>
    <col min="4895" max="5119" width="8.85546875" style="19"/>
    <col min="5120" max="5120" width="15.7109375" style="19" customWidth="1"/>
    <col min="5121" max="5121" width="16.42578125" style="19" bestFit="1" customWidth="1"/>
    <col min="5122" max="5122" width="15.7109375" style="19" customWidth="1"/>
    <col min="5123" max="5123" width="17.7109375" style="19" bestFit="1" customWidth="1"/>
    <col min="5124" max="5126" width="15.7109375" style="19" customWidth="1"/>
    <col min="5127" max="5127" width="17.7109375" style="19" bestFit="1" customWidth="1"/>
    <col min="5128" max="5130" width="15.7109375" style="19" customWidth="1"/>
    <col min="5131" max="5131" width="18.7109375" style="19" bestFit="1" customWidth="1"/>
    <col min="5132" max="5134" width="15.7109375" style="19" customWidth="1"/>
    <col min="5135" max="5135" width="17.7109375" style="19" customWidth="1"/>
    <col min="5136" max="5136" width="20.7109375" style="19" customWidth="1"/>
    <col min="5137" max="5137" width="23.42578125" style="19" bestFit="1" customWidth="1"/>
    <col min="5138" max="5140" width="20.7109375" style="19" customWidth="1"/>
    <col min="5141" max="5150" width="15.7109375" style="19" customWidth="1"/>
    <col min="5151" max="5375" width="8.85546875" style="19"/>
    <col min="5376" max="5376" width="15.7109375" style="19" customWidth="1"/>
    <col min="5377" max="5377" width="16.42578125" style="19" bestFit="1" customWidth="1"/>
    <col min="5378" max="5378" width="15.7109375" style="19" customWidth="1"/>
    <col min="5379" max="5379" width="17.7109375" style="19" bestFit="1" customWidth="1"/>
    <col min="5380" max="5382" width="15.7109375" style="19" customWidth="1"/>
    <col min="5383" max="5383" width="17.7109375" style="19" bestFit="1" customWidth="1"/>
    <col min="5384" max="5386" width="15.7109375" style="19" customWidth="1"/>
    <col min="5387" max="5387" width="18.7109375" style="19" bestFit="1" customWidth="1"/>
    <col min="5388" max="5390" width="15.7109375" style="19" customWidth="1"/>
    <col min="5391" max="5391" width="17.7109375" style="19" customWidth="1"/>
    <col min="5392" max="5392" width="20.7109375" style="19" customWidth="1"/>
    <col min="5393" max="5393" width="23.42578125" style="19" bestFit="1" customWidth="1"/>
    <col min="5394" max="5396" width="20.7109375" style="19" customWidth="1"/>
    <col min="5397" max="5406" width="15.7109375" style="19" customWidth="1"/>
    <col min="5407" max="5631" width="8.85546875" style="19"/>
    <col min="5632" max="5632" width="15.7109375" style="19" customWidth="1"/>
    <col min="5633" max="5633" width="16.42578125" style="19" bestFit="1" customWidth="1"/>
    <col min="5634" max="5634" width="15.7109375" style="19" customWidth="1"/>
    <col min="5635" max="5635" width="17.7109375" style="19" bestFit="1" customWidth="1"/>
    <col min="5636" max="5638" width="15.7109375" style="19" customWidth="1"/>
    <col min="5639" max="5639" width="17.7109375" style="19" bestFit="1" customWidth="1"/>
    <col min="5640" max="5642" width="15.7109375" style="19" customWidth="1"/>
    <col min="5643" max="5643" width="18.7109375" style="19" bestFit="1" customWidth="1"/>
    <col min="5644" max="5646" width="15.7109375" style="19" customWidth="1"/>
    <col min="5647" max="5647" width="17.7109375" style="19" customWidth="1"/>
    <col min="5648" max="5648" width="20.7109375" style="19" customWidth="1"/>
    <col min="5649" max="5649" width="23.42578125" style="19" bestFit="1" customWidth="1"/>
    <col min="5650" max="5652" width="20.7109375" style="19" customWidth="1"/>
    <col min="5653" max="5662" width="15.7109375" style="19" customWidth="1"/>
    <col min="5663" max="5887" width="8.85546875" style="19"/>
    <col min="5888" max="5888" width="15.7109375" style="19" customWidth="1"/>
    <col min="5889" max="5889" width="16.42578125" style="19" bestFit="1" customWidth="1"/>
    <col min="5890" max="5890" width="15.7109375" style="19" customWidth="1"/>
    <col min="5891" max="5891" width="17.7109375" style="19" bestFit="1" customWidth="1"/>
    <col min="5892" max="5894" width="15.7109375" style="19" customWidth="1"/>
    <col min="5895" max="5895" width="17.7109375" style="19" bestFit="1" customWidth="1"/>
    <col min="5896" max="5898" width="15.7109375" style="19" customWidth="1"/>
    <col min="5899" max="5899" width="18.7109375" style="19" bestFit="1" customWidth="1"/>
    <col min="5900" max="5902" width="15.7109375" style="19" customWidth="1"/>
    <col min="5903" max="5903" width="17.7109375" style="19" customWidth="1"/>
    <col min="5904" max="5904" width="20.7109375" style="19" customWidth="1"/>
    <col min="5905" max="5905" width="23.42578125" style="19" bestFit="1" customWidth="1"/>
    <col min="5906" max="5908" width="20.7109375" style="19" customWidth="1"/>
    <col min="5909" max="5918" width="15.7109375" style="19" customWidth="1"/>
    <col min="5919" max="6143" width="8.85546875" style="19"/>
    <col min="6144" max="6144" width="15.7109375" style="19" customWidth="1"/>
    <col min="6145" max="6145" width="16.42578125" style="19" bestFit="1" customWidth="1"/>
    <col min="6146" max="6146" width="15.7109375" style="19" customWidth="1"/>
    <col min="6147" max="6147" width="17.7109375" style="19" bestFit="1" customWidth="1"/>
    <col min="6148" max="6150" width="15.7109375" style="19" customWidth="1"/>
    <col min="6151" max="6151" width="17.7109375" style="19" bestFit="1" customWidth="1"/>
    <col min="6152" max="6154" width="15.7109375" style="19" customWidth="1"/>
    <col min="6155" max="6155" width="18.7109375" style="19" bestFit="1" customWidth="1"/>
    <col min="6156" max="6158" width="15.7109375" style="19" customWidth="1"/>
    <col min="6159" max="6159" width="17.7109375" style="19" customWidth="1"/>
    <col min="6160" max="6160" width="20.7109375" style="19" customWidth="1"/>
    <col min="6161" max="6161" width="23.42578125" style="19" bestFit="1" customWidth="1"/>
    <col min="6162" max="6164" width="20.7109375" style="19" customWidth="1"/>
    <col min="6165" max="6174" width="15.7109375" style="19" customWidth="1"/>
    <col min="6175" max="6399" width="8.85546875" style="19"/>
    <col min="6400" max="6400" width="15.7109375" style="19" customWidth="1"/>
    <col min="6401" max="6401" width="16.42578125" style="19" bestFit="1" customWidth="1"/>
    <col min="6402" max="6402" width="15.7109375" style="19" customWidth="1"/>
    <col min="6403" max="6403" width="17.7109375" style="19" bestFit="1" customWidth="1"/>
    <col min="6404" max="6406" width="15.7109375" style="19" customWidth="1"/>
    <col min="6407" max="6407" width="17.7109375" style="19" bestFit="1" customWidth="1"/>
    <col min="6408" max="6410" width="15.7109375" style="19" customWidth="1"/>
    <col min="6411" max="6411" width="18.7109375" style="19" bestFit="1" customWidth="1"/>
    <col min="6412" max="6414" width="15.7109375" style="19" customWidth="1"/>
    <col min="6415" max="6415" width="17.7109375" style="19" customWidth="1"/>
    <col min="6416" max="6416" width="20.7109375" style="19" customWidth="1"/>
    <col min="6417" max="6417" width="23.42578125" style="19" bestFit="1" customWidth="1"/>
    <col min="6418" max="6420" width="20.7109375" style="19" customWidth="1"/>
    <col min="6421" max="6430" width="15.7109375" style="19" customWidth="1"/>
    <col min="6431" max="6655" width="8.85546875" style="19"/>
    <col min="6656" max="6656" width="15.7109375" style="19" customWidth="1"/>
    <col min="6657" max="6657" width="16.42578125" style="19" bestFit="1" customWidth="1"/>
    <col min="6658" max="6658" width="15.7109375" style="19" customWidth="1"/>
    <col min="6659" max="6659" width="17.7109375" style="19" bestFit="1" customWidth="1"/>
    <col min="6660" max="6662" width="15.7109375" style="19" customWidth="1"/>
    <col min="6663" max="6663" width="17.7109375" style="19" bestFit="1" customWidth="1"/>
    <col min="6664" max="6666" width="15.7109375" style="19" customWidth="1"/>
    <col min="6667" max="6667" width="18.7109375" style="19" bestFit="1" customWidth="1"/>
    <col min="6668" max="6670" width="15.7109375" style="19" customWidth="1"/>
    <col min="6671" max="6671" width="17.7109375" style="19" customWidth="1"/>
    <col min="6672" max="6672" width="20.7109375" style="19" customWidth="1"/>
    <col min="6673" max="6673" width="23.42578125" style="19" bestFit="1" customWidth="1"/>
    <col min="6674" max="6676" width="20.7109375" style="19" customWidth="1"/>
    <col min="6677" max="6686" width="15.7109375" style="19" customWidth="1"/>
    <col min="6687" max="6911" width="8.85546875" style="19"/>
    <col min="6912" max="6912" width="15.7109375" style="19" customWidth="1"/>
    <col min="6913" max="6913" width="16.42578125" style="19" bestFit="1" customWidth="1"/>
    <col min="6914" max="6914" width="15.7109375" style="19" customWidth="1"/>
    <col min="6915" max="6915" width="17.7109375" style="19" bestFit="1" customWidth="1"/>
    <col min="6916" max="6918" width="15.7109375" style="19" customWidth="1"/>
    <col min="6919" max="6919" width="17.7109375" style="19" bestFit="1" customWidth="1"/>
    <col min="6920" max="6922" width="15.7109375" style="19" customWidth="1"/>
    <col min="6923" max="6923" width="18.7109375" style="19" bestFit="1" customWidth="1"/>
    <col min="6924" max="6926" width="15.7109375" style="19" customWidth="1"/>
    <col min="6927" max="6927" width="17.7109375" style="19" customWidth="1"/>
    <col min="6928" max="6928" width="20.7109375" style="19" customWidth="1"/>
    <col min="6929" max="6929" width="23.42578125" style="19" bestFit="1" customWidth="1"/>
    <col min="6930" max="6932" width="20.7109375" style="19" customWidth="1"/>
    <col min="6933" max="6942" width="15.7109375" style="19" customWidth="1"/>
    <col min="6943" max="7167" width="8.85546875" style="19"/>
    <col min="7168" max="7168" width="15.7109375" style="19" customWidth="1"/>
    <col min="7169" max="7169" width="16.42578125" style="19" bestFit="1" customWidth="1"/>
    <col min="7170" max="7170" width="15.7109375" style="19" customWidth="1"/>
    <col min="7171" max="7171" width="17.7109375" style="19" bestFit="1" customWidth="1"/>
    <col min="7172" max="7174" width="15.7109375" style="19" customWidth="1"/>
    <col min="7175" max="7175" width="17.7109375" style="19" bestFit="1" customWidth="1"/>
    <col min="7176" max="7178" width="15.7109375" style="19" customWidth="1"/>
    <col min="7179" max="7179" width="18.7109375" style="19" bestFit="1" customWidth="1"/>
    <col min="7180" max="7182" width="15.7109375" style="19" customWidth="1"/>
    <col min="7183" max="7183" width="17.7109375" style="19" customWidth="1"/>
    <col min="7184" max="7184" width="20.7109375" style="19" customWidth="1"/>
    <col min="7185" max="7185" width="23.42578125" style="19" bestFit="1" customWidth="1"/>
    <col min="7186" max="7188" width="20.7109375" style="19" customWidth="1"/>
    <col min="7189" max="7198" width="15.7109375" style="19" customWidth="1"/>
    <col min="7199" max="7423" width="8.85546875" style="19"/>
    <col min="7424" max="7424" width="15.7109375" style="19" customWidth="1"/>
    <col min="7425" max="7425" width="16.42578125" style="19" bestFit="1" customWidth="1"/>
    <col min="7426" max="7426" width="15.7109375" style="19" customWidth="1"/>
    <col min="7427" max="7427" width="17.7109375" style="19" bestFit="1" customWidth="1"/>
    <col min="7428" max="7430" width="15.7109375" style="19" customWidth="1"/>
    <col min="7431" max="7431" width="17.7109375" style="19" bestFit="1" customWidth="1"/>
    <col min="7432" max="7434" width="15.7109375" style="19" customWidth="1"/>
    <col min="7435" max="7435" width="18.7109375" style="19" bestFit="1" customWidth="1"/>
    <col min="7436" max="7438" width="15.7109375" style="19" customWidth="1"/>
    <col min="7439" max="7439" width="17.7109375" style="19" customWidth="1"/>
    <col min="7440" max="7440" width="20.7109375" style="19" customWidth="1"/>
    <col min="7441" max="7441" width="23.42578125" style="19" bestFit="1" customWidth="1"/>
    <col min="7442" max="7444" width="20.7109375" style="19" customWidth="1"/>
    <col min="7445" max="7454" width="15.7109375" style="19" customWidth="1"/>
    <col min="7455" max="7679" width="8.85546875" style="19"/>
    <col min="7680" max="7680" width="15.7109375" style="19" customWidth="1"/>
    <col min="7681" max="7681" width="16.42578125" style="19" bestFit="1" customWidth="1"/>
    <col min="7682" max="7682" width="15.7109375" style="19" customWidth="1"/>
    <col min="7683" max="7683" width="17.7109375" style="19" bestFit="1" customWidth="1"/>
    <col min="7684" max="7686" width="15.7109375" style="19" customWidth="1"/>
    <col min="7687" max="7687" width="17.7109375" style="19" bestFit="1" customWidth="1"/>
    <col min="7688" max="7690" width="15.7109375" style="19" customWidth="1"/>
    <col min="7691" max="7691" width="18.7109375" style="19" bestFit="1" customWidth="1"/>
    <col min="7692" max="7694" width="15.7109375" style="19" customWidth="1"/>
    <col min="7695" max="7695" width="17.7109375" style="19" customWidth="1"/>
    <col min="7696" max="7696" width="20.7109375" style="19" customWidth="1"/>
    <col min="7697" max="7697" width="23.42578125" style="19" bestFit="1" customWidth="1"/>
    <col min="7698" max="7700" width="20.7109375" style="19" customWidth="1"/>
    <col min="7701" max="7710" width="15.7109375" style="19" customWidth="1"/>
    <col min="7711" max="7935" width="8.85546875" style="19"/>
    <col min="7936" max="7936" width="15.7109375" style="19" customWidth="1"/>
    <col min="7937" max="7937" width="16.42578125" style="19" bestFit="1" customWidth="1"/>
    <col min="7938" max="7938" width="15.7109375" style="19" customWidth="1"/>
    <col min="7939" max="7939" width="17.7109375" style="19" bestFit="1" customWidth="1"/>
    <col min="7940" max="7942" width="15.7109375" style="19" customWidth="1"/>
    <col min="7943" max="7943" width="17.7109375" style="19" bestFit="1" customWidth="1"/>
    <col min="7944" max="7946" width="15.7109375" style="19" customWidth="1"/>
    <col min="7947" max="7947" width="18.7109375" style="19" bestFit="1" customWidth="1"/>
    <col min="7948" max="7950" width="15.7109375" style="19" customWidth="1"/>
    <col min="7951" max="7951" width="17.7109375" style="19" customWidth="1"/>
    <col min="7952" max="7952" width="20.7109375" style="19" customWidth="1"/>
    <col min="7953" max="7953" width="23.42578125" style="19" bestFit="1" customWidth="1"/>
    <col min="7954" max="7956" width="20.7109375" style="19" customWidth="1"/>
    <col min="7957" max="7966" width="15.7109375" style="19" customWidth="1"/>
    <col min="7967" max="8191" width="8.85546875" style="19"/>
    <col min="8192" max="8192" width="15.7109375" style="19" customWidth="1"/>
    <col min="8193" max="8193" width="16.42578125" style="19" bestFit="1" customWidth="1"/>
    <col min="8194" max="8194" width="15.7109375" style="19" customWidth="1"/>
    <col min="8195" max="8195" width="17.7109375" style="19" bestFit="1" customWidth="1"/>
    <col min="8196" max="8198" width="15.7109375" style="19" customWidth="1"/>
    <col min="8199" max="8199" width="17.7109375" style="19" bestFit="1" customWidth="1"/>
    <col min="8200" max="8202" width="15.7109375" style="19" customWidth="1"/>
    <col min="8203" max="8203" width="18.7109375" style="19" bestFit="1" customWidth="1"/>
    <col min="8204" max="8206" width="15.7109375" style="19" customWidth="1"/>
    <col min="8207" max="8207" width="17.7109375" style="19" customWidth="1"/>
    <col min="8208" max="8208" width="20.7109375" style="19" customWidth="1"/>
    <col min="8209" max="8209" width="23.42578125" style="19" bestFit="1" customWidth="1"/>
    <col min="8210" max="8212" width="20.7109375" style="19" customWidth="1"/>
    <col min="8213" max="8222" width="15.7109375" style="19" customWidth="1"/>
    <col min="8223" max="8447" width="8.85546875" style="19"/>
    <col min="8448" max="8448" width="15.7109375" style="19" customWidth="1"/>
    <col min="8449" max="8449" width="16.42578125" style="19" bestFit="1" customWidth="1"/>
    <col min="8450" max="8450" width="15.7109375" style="19" customWidth="1"/>
    <col min="8451" max="8451" width="17.7109375" style="19" bestFit="1" customWidth="1"/>
    <col min="8452" max="8454" width="15.7109375" style="19" customWidth="1"/>
    <col min="8455" max="8455" width="17.7109375" style="19" bestFit="1" customWidth="1"/>
    <col min="8456" max="8458" width="15.7109375" style="19" customWidth="1"/>
    <col min="8459" max="8459" width="18.7109375" style="19" bestFit="1" customWidth="1"/>
    <col min="8460" max="8462" width="15.7109375" style="19" customWidth="1"/>
    <col min="8463" max="8463" width="17.7109375" style="19" customWidth="1"/>
    <col min="8464" max="8464" width="20.7109375" style="19" customWidth="1"/>
    <col min="8465" max="8465" width="23.42578125" style="19" bestFit="1" customWidth="1"/>
    <col min="8466" max="8468" width="20.7109375" style="19" customWidth="1"/>
    <col min="8469" max="8478" width="15.7109375" style="19" customWidth="1"/>
    <col min="8479" max="8703" width="8.85546875" style="19"/>
    <col min="8704" max="8704" width="15.7109375" style="19" customWidth="1"/>
    <col min="8705" max="8705" width="16.42578125" style="19" bestFit="1" customWidth="1"/>
    <col min="8706" max="8706" width="15.7109375" style="19" customWidth="1"/>
    <col min="8707" max="8707" width="17.7109375" style="19" bestFit="1" customWidth="1"/>
    <col min="8708" max="8710" width="15.7109375" style="19" customWidth="1"/>
    <col min="8711" max="8711" width="17.7109375" style="19" bestFit="1" customWidth="1"/>
    <col min="8712" max="8714" width="15.7109375" style="19" customWidth="1"/>
    <col min="8715" max="8715" width="18.7109375" style="19" bestFit="1" customWidth="1"/>
    <col min="8716" max="8718" width="15.7109375" style="19" customWidth="1"/>
    <col min="8719" max="8719" width="17.7109375" style="19" customWidth="1"/>
    <col min="8720" max="8720" width="20.7109375" style="19" customWidth="1"/>
    <col min="8721" max="8721" width="23.42578125" style="19" bestFit="1" customWidth="1"/>
    <col min="8722" max="8724" width="20.7109375" style="19" customWidth="1"/>
    <col min="8725" max="8734" width="15.7109375" style="19" customWidth="1"/>
    <col min="8735" max="8959" width="8.85546875" style="19"/>
    <col min="8960" max="8960" width="15.7109375" style="19" customWidth="1"/>
    <col min="8961" max="8961" width="16.42578125" style="19" bestFit="1" customWidth="1"/>
    <col min="8962" max="8962" width="15.7109375" style="19" customWidth="1"/>
    <col min="8963" max="8963" width="17.7109375" style="19" bestFit="1" customWidth="1"/>
    <col min="8964" max="8966" width="15.7109375" style="19" customWidth="1"/>
    <col min="8967" max="8967" width="17.7109375" style="19" bestFit="1" customWidth="1"/>
    <col min="8968" max="8970" width="15.7109375" style="19" customWidth="1"/>
    <col min="8971" max="8971" width="18.7109375" style="19" bestFit="1" customWidth="1"/>
    <col min="8972" max="8974" width="15.7109375" style="19" customWidth="1"/>
    <col min="8975" max="8975" width="17.7109375" style="19" customWidth="1"/>
    <col min="8976" max="8976" width="20.7109375" style="19" customWidth="1"/>
    <col min="8977" max="8977" width="23.42578125" style="19" bestFit="1" customWidth="1"/>
    <col min="8978" max="8980" width="20.7109375" style="19" customWidth="1"/>
    <col min="8981" max="8990" width="15.7109375" style="19" customWidth="1"/>
    <col min="8991" max="9215" width="8.85546875" style="19"/>
    <col min="9216" max="9216" width="15.7109375" style="19" customWidth="1"/>
    <col min="9217" max="9217" width="16.42578125" style="19" bestFit="1" customWidth="1"/>
    <col min="9218" max="9218" width="15.7109375" style="19" customWidth="1"/>
    <col min="9219" max="9219" width="17.7109375" style="19" bestFit="1" customWidth="1"/>
    <col min="9220" max="9222" width="15.7109375" style="19" customWidth="1"/>
    <col min="9223" max="9223" width="17.7109375" style="19" bestFit="1" customWidth="1"/>
    <col min="9224" max="9226" width="15.7109375" style="19" customWidth="1"/>
    <col min="9227" max="9227" width="18.7109375" style="19" bestFit="1" customWidth="1"/>
    <col min="9228" max="9230" width="15.7109375" style="19" customWidth="1"/>
    <col min="9231" max="9231" width="17.7109375" style="19" customWidth="1"/>
    <col min="9232" max="9232" width="20.7109375" style="19" customWidth="1"/>
    <col min="9233" max="9233" width="23.42578125" style="19" bestFit="1" customWidth="1"/>
    <col min="9234" max="9236" width="20.7109375" style="19" customWidth="1"/>
    <col min="9237" max="9246" width="15.7109375" style="19" customWidth="1"/>
    <col min="9247" max="9471" width="8.85546875" style="19"/>
    <col min="9472" max="9472" width="15.7109375" style="19" customWidth="1"/>
    <col min="9473" max="9473" width="16.42578125" style="19" bestFit="1" customWidth="1"/>
    <col min="9474" max="9474" width="15.7109375" style="19" customWidth="1"/>
    <col min="9475" max="9475" width="17.7109375" style="19" bestFit="1" customWidth="1"/>
    <col min="9476" max="9478" width="15.7109375" style="19" customWidth="1"/>
    <col min="9479" max="9479" width="17.7109375" style="19" bestFit="1" customWidth="1"/>
    <col min="9480" max="9482" width="15.7109375" style="19" customWidth="1"/>
    <col min="9483" max="9483" width="18.7109375" style="19" bestFit="1" customWidth="1"/>
    <col min="9484" max="9486" width="15.7109375" style="19" customWidth="1"/>
    <col min="9487" max="9487" width="17.7109375" style="19" customWidth="1"/>
    <col min="9488" max="9488" width="20.7109375" style="19" customWidth="1"/>
    <col min="9489" max="9489" width="23.42578125" style="19" bestFit="1" customWidth="1"/>
    <col min="9490" max="9492" width="20.7109375" style="19" customWidth="1"/>
    <col min="9493" max="9502" width="15.7109375" style="19" customWidth="1"/>
    <col min="9503" max="9727" width="8.85546875" style="19"/>
    <col min="9728" max="9728" width="15.7109375" style="19" customWidth="1"/>
    <col min="9729" max="9729" width="16.42578125" style="19" bestFit="1" customWidth="1"/>
    <col min="9730" max="9730" width="15.7109375" style="19" customWidth="1"/>
    <col min="9731" max="9731" width="17.7109375" style="19" bestFit="1" customWidth="1"/>
    <col min="9732" max="9734" width="15.7109375" style="19" customWidth="1"/>
    <col min="9735" max="9735" width="17.7109375" style="19" bestFit="1" customWidth="1"/>
    <col min="9736" max="9738" width="15.7109375" style="19" customWidth="1"/>
    <col min="9739" max="9739" width="18.7109375" style="19" bestFit="1" customWidth="1"/>
    <col min="9740" max="9742" width="15.7109375" style="19" customWidth="1"/>
    <col min="9743" max="9743" width="17.7109375" style="19" customWidth="1"/>
    <col min="9744" max="9744" width="20.7109375" style="19" customWidth="1"/>
    <col min="9745" max="9745" width="23.42578125" style="19" bestFit="1" customWidth="1"/>
    <col min="9746" max="9748" width="20.7109375" style="19" customWidth="1"/>
    <col min="9749" max="9758" width="15.7109375" style="19" customWidth="1"/>
    <col min="9759" max="9983" width="8.85546875" style="19"/>
    <col min="9984" max="9984" width="15.7109375" style="19" customWidth="1"/>
    <col min="9985" max="9985" width="16.42578125" style="19" bestFit="1" customWidth="1"/>
    <col min="9986" max="9986" width="15.7109375" style="19" customWidth="1"/>
    <col min="9987" max="9987" width="17.7109375" style="19" bestFit="1" customWidth="1"/>
    <col min="9988" max="9990" width="15.7109375" style="19" customWidth="1"/>
    <col min="9991" max="9991" width="17.7109375" style="19" bestFit="1" customWidth="1"/>
    <col min="9992" max="9994" width="15.7109375" style="19" customWidth="1"/>
    <col min="9995" max="9995" width="18.7109375" style="19" bestFit="1" customWidth="1"/>
    <col min="9996" max="9998" width="15.7109375" style="19" customWidth="1"/>
    <col min="9999" max="9999" width="17.7109375" style="19" customWidth="1"/>
    <col min="10000" max="10000" width="20.7109375" style="19" customWidth="1"/>
    <col min="10001" max="10001" width="23.42578125" style="19" bestFit="1" customWidth="1"/>
    <col min="10002" max="10004" width="20.7109375" style="19" customWidth="1"/>
    <col min="10005" max="10014" width="15.7109375" style="19" customWidth="1"/>
    <col min="10015" max="10239" width="8.85546875" style="19"/>
    <col min="10240" max="10240" width="15.7109375" style="19" customWidth="1"/>
    <col min="10241" max="10241" width="16.42578125" style="19" bestFit="1" customWidth="1"/>
    <col min="10242" max="10242" width="15.7109375" style="19" customWidth="1"/>
    <col min="10243" max="10243" width="17.7109375" style="19" bestFit="1" customWidth="1"/>
    <col min="10244" max="10246" width="15.7109375" style="19" customWidth="1"/>
    <col min="10247" max="10247" width="17.7109375" style="19" bestFit="1" customWidth="1"/>
    <col min="10248" max="10250" width="15.7109375" style="19" customWidth="1"/>
    <col min="10251" max="10251" width="18.7109375" style="19" bestFit="1" customWidth="1"/>
    <col min="10252" max="10254" width="15.7109375" style="19" customWidth="1"/>
    <col min="10255" max="10255" width="17.7109375" style="19" customWidth="1"/>
    <col min="10256" max="10256" width="20.7109375" style="19" customWidth="1"/>
    <col min="10257" max="10257" width="23.42578125" style="19" bestFit="1" customWidth="1"/>
    <col min="10258" max="10260" width="20.7109375" style="19" customWidth="1"/>
    <col min="10261" max="10270" width="15.7109375" style="19" customWidth="1"/>
    <col min="10271" max="10495" width="8.85546875" style="19"/>
    <col min="10496" max="10496" width="15.7109375" style="19" customWidth="1"/>
    <col min="10497" max="10497" width="16.42578125" style="19" bestFit="1" customWidth="1"/>
    <col min="10498" max="10498" width="15.7109375" style="19" customWidth="1"/>
    <col min="10499" max="10499" width="17.7109375" style="19" bestFit="1" customWidth="1"/>
    <col min="10500" max="10502" width="15.7109375" style="19" customWidth="1"/>
    <col min="10503" max="10503" width="17.7109375" style="19" bestFit="1" customWidth="1"/>
    <col min="10504" max="10506" width="15.7109375" style="19" customWidth="1"/>
    <col min="10507" max="10507" width="18.7109375" style="19" bestFit="1" customWidth="1"/>
    <col min="10508" max="10510" width="15.7109375" style="19" customWidth="1"/>
    <col min="10511" max="10511" width="17.7109375" style="19" customWidth="1"/>
    <col min="10512" max="10512" width="20.7109375" style="19" customWidth="1"/>
    <col min="10513" max="10513" width="23.42578125" style="19" bestFit="1" customWidth="1"/>
    <col min="10514" max="10516" width="20.7109375" style="19" customWidth="1"/>
    <col min="10517" max="10526" width="15.7109375" style="19" customWidth="1"/>
    <col min="10527" max="10751" width="8.85546875" style="19"/>
    <col min="10752" max="10752" width="15.7109375" style="19" customWidth="1"/>
    <col min="10753" max="10753" width="16.42578125" style="19" bestFit="1" customWidth="1"/>
    <col min="10754" max="10754" width="15.7109375" style="19" customWidth="1"/>
    <col min="10755" max="10755" width="17.7109375" style="19" bestFit="1" customWidth="1"/>
    <col min="10756" max="10758" width="15.7109375" style="19" customWidth="1"/>
    <col min="10759" max="10759" width="17.7109375" style="19" bestFit="1" customWidth="1"/>
    <col min="10760" max="10762" width="15.7109375" style="19" customWidth="1"/>
    <col min="10763" max="10763" width="18.7109375" style="19" bestFit="1" customWidth="1"/>
    <col min="10764" max="10766" width="15.7109375" style="19" customWidth="1"/>
    <col min="10767" max="10767" width="17.7109375" style="19" customWidth="1"/>
    <col min="10768" max="10768" width="20.7109375" style="19" customWidth="1"/>
    <col min="10769" max="10769" width="23.42578125" style="19" bestFit="1" customWidth="1"/>
    <col min="10770" max="10772" width="20.7109375" style="19" customWidth="1"/>
    <col min="10773" max="10782" width="15.7109375" style="19" customWidth="1"/>
    <col min="10783" max="11007" width="8.85546875" style="19"/>
    <col min="11008" max="11008" width="15.7109375" style="19" customWidth="1"/>
    <col min="11009" max="11009" width="16.42578125" style="19" bestFit="1" customWidth="1"/>
    <col min="11010" max="11010" width="15.7109375" style="19" customWidth="1"/>
    <col min="11011" max="11011" width="17.7109375" style="19" bestFit="1" customWidth="1"/>
    <col min="11012" max="11014" width="15.7109375" style="19" customWidth="1"/>
    <col min="11015" max="11015" width="17.7109375" style="19" bestFit="1" customWidth="1"/>
    <col min="11016" max="11018" width="15.7109375" style="19" customWidth="1"/>
    <col min="11019" max="11019" width="18.7109375" style="19" bestFit="1" customWidth="1"/>
    <col min="11020" max="11022" width="15.7109375" style="19" customWidth="1"/>
    <col min="11023" max="11023" width="17.7109375" style="19" customWidth="1"/>
    <col min="11024" max="11024" width="20.7109375" style="19" customWidth="1"/>
    <col min="11025" max="11025" width="23.42578125" style="19" bestFit="1" customWidth="1"/>
    <col min="11026" max="11028" width="20.7109375" style="19" customWidth="1"/>
    <col min="11029" max="11038" width="15.7109375" style="19" customWidth="1"/>
    <col min="11039" max="11263" width="8.85546875" style="19"/>
    <col min="11264" max="11264" width="15.7109375" style="19" customWidth="1"/>
    <col min="11265" max="11265" width="16.42578125" style="19" bestFit="1" customWidth="1"/>
    <col min="11266" max="11266" width="15.7109375" style="19" customWidth="1"/>
    <col min="11267" max="11267" width="17.7109375" style="19" bestFit="1" customWidth="1"/>
    <col min="11268" max="11270" width="15.7109375" style="19" customWidth="1"/>
    <col min="11271" max="11271" width="17.7109375" style="19" bestFit="1" customWidth="1"/>
    <col min="11272" max="11274" width="15.7109375" style="19" customWidth="1"/>
    <col min="11275" max="11275" width="18.7109375" style="19" bestFit="1" customWidth="1"/>
    <col min="11276" max="11278" width="15.7109375" style="19" customWidth="1"/>
    <col min="11279" max="11279" width="17.7109375" style="19" customWidth="1"/>
    <col min="11280" max="11280" width="20.7109375" style="19" customWidth="1"/>
    <col min="11281" max="11281" width="23.42578125" style="19" bestFit="1" customWidth="1"/>
    <col min="11282" max="11284" width="20.7109375" style="19" customWidth="1"/>
    <col min="11285" max="11294" width="15.7109375" style="19" customWidth="1"/>
    <col min="11295" max="11519" width="8.85546875" style="19"/>
    <col min="11520" max="11520" width="15.7109375" style="19" customWidth="1"/>
    <col min="11521" max="11521" width="16.42578125" style="19" bestFit="1" customWidth="1"/>
    <col min="11522" max="11522" width="15.7109375" style="19" customWidth="1"/>
    <col min="11523" max="11523" width="17.7109375" style="19" bestFit="1" customWidth="1"/>
    <col min="11524" max="11526" width="15.7109375" style="19" customWidth="1"/>
    <col min="11527" max="11527" width="17.7109375" style="19" bestFit="1" customWidth="1"/>
    <col min="11528" max="11530" width="15.7109375" style="19" customWidth="1"/>
    <col min="11531" max="11531" width="18.7109375" style="19" bestFit="1" customWidth="1"/>
    <col min="11532" max="11534" width="15.7109375" style="19" customWidth="1"/>
    <col min="11535" max="11535" width="17.7109375" style="19" customWidth="1"/>
    <col min="11536" max="11536" width="20.7109375" style="19" customWidth="1"/>
    <col min="11537" max="11537" width="23.42578125" style="19" bestFit="1" customWidth="1"/>
    <col min="11538" max="11540" width="20.7109375" style="19" customWidth="1"/>
    <col min="11541" max="11550" width="15.7109375" style="19" customWidth="1"/>
    <col min="11551" max="11775" width="8.85546875" style="19"/>
    <col min="11776" max="11776" width="15.7109375" style="19" customWidth="1"/>
    <col min="11777" max="11777" width="16.42578125" style="19" bestFit="1" customWidth="1"/>
    <col min="11778" max="11778" width="15.7109375" style="19" customWidth="1"/>
    <col min="11779" max="11779" width="17.7109375" style="19" bestFit="1" customWidth="1"/>
    <col min="11780" max="11782" width="15.7109375" style="19" customWidth="1"/>
    <col min="11783" max="11783" width="17.7109375" style="19" bestFit="1" customWidth="1"/>
    <col min="11784" max="11786" width="15.7109375" style="19" customWidth="1"/>
    <col min="11787" max="11787" width="18.7109375" style="19" bestFit="1" customWidth="1"/>
    <col min="11788" max="11790" width="15.7109375" style="19" customWidth="1"/>
    <col min="11791" max="11791" width="17.7109375" style="19" customWidth="1"/>
    <col min="11792" max="11792" width="20.7109375" style="19" customWidth="1"/>
    <col min="11793" max="11793" width="23.42578125" style="19" bestFit="1" customWidth="1"/>
    <col min="11794" max="11796" width="20.7109375" style="19" customWidth="1"/>
    <col min="11797" max="11806" width="15.7109375" style="19" customWidth="1"/>
    <col min="11807" max="12031" width="8.85546875" style="19"/>
    <col min="12032" max="12032" width="15.7109375" style="19" customWidth="1"/>
    <col min="12033" max="12033" width="16.42578125" style="19" bestFit="1" customWidth="1"/>
    <col min="12034" max="12034" width="15.7109375" style="19" customWidth="1"/>
    <col min="12035" max="12035" width="17.7109375" style="19" bestFit="1" customWidth="1"/>
    <col min="12036" max="12038" width="15.7109375" style="19" customWidth="1"/>
    <col min="12039" max="12039" width="17.7109375" style="19" bestFit="1" customWidth="1"/>
    <col min="12040" max="12042" width="15.7109375" style="19" customWidth="1"/>
    <col min="12043" max="12043" width="18.7109375" style="19" bestFit="1" customWidth="1"/>
    <col min="12044" max="12046" width="15.7109375" style="19" customWidth="1"/>
    <col min="12047" max="12047" width="17.7109375" style="19" customWidth="1"/>
    <col min="12048" max="12048" width="20.7109375" style="19" customWidth="1"/>
    <col min="12049" max="12049" width="23.42578125" style="19" bestFit="1" customWidth="1"/>
    <col min="12050" max="12052" width="20.7109375" style="19" customWidth="1"/>
    <col min="12053" max="12062" width="15.7109375" style="19" customWidth="1"/>
    <col min="12063" max="12287" width="8.85546875" style="19"/>
    <col min="12288" max="12288" width="15.7109375" style="19" customWidth="1"/>
    <col min="12289" max="12289" width="16.42578125" style="19" bestFit="1" customWidth="1"/>
    <col min="12290" max="12290" width="15.7109375" style="19" customWidth="1"/>
    <col min="12291" max="12291" width="17.7109375" style="19" bestFit="1" customWidth="1"/>
    <col min="12292" max="12294" width="15.7109375" style="19" customWidth="1"/>
    <col min="12295" max="12295" width="17.7109375" style="19" bestFit="1" customWidth="1"/>
    <col min="12296" max="12298" width="15.7109375" style="19" customWidth="1"/>
    <col min="12299" max="12299" width="18.7109375" style="19" bestFit="1" customWidth="1"/>
    <col min="12300" max="12302" width="15.7109375" style="19" customWidth="1"/>
    <col min="12303" max="12303" width="17.7109375" style="19" customWidth="1"/>
    <col min="12304" max="12304" width="20.7109375" style="19" customWidth="1"/>
    <col min="12305" max="12305" width="23.42578125" style="19" bestFit="1" customWidth="1"/>
    <col min="12306" max="12308" width="20.7109375" style="19" customWidth="1"/>
    <col min="12309" max="12318" width="15.7109375" style="19" customWidth="1"/>
    <col min="12319" max="12543" width="8.85546875" style="19"/>
    <col min="12544" max="12544" width="15.7109375" style="19" customWidth="1"/>
    <col min="12545" max="12545" width="16.42578125" style="19" bestFit="1" customWidth="1"/>
    <col min="12546" max="12546" width="15.7109375" style="19" customWidth="1"/>
    <col min="12547" max="12547" width="17.7109375" style="19" bestFit="1" customWidth="1"/>
    <col min="12548" max="12550" width="15.7109375" style="19" customWidth="1"/>
    <col min="12551" max="12551" width="17.7109375" style="19" bestFit="1" customWidth="1"/>
    <col min="12552" max="12554" width="15.7109375" style="19" customWidth="1"/>
    <col min="12555" max="12555" width="18.7109375" style="19" bestFit="1" customWidth="1"/>
    <col min="12556" max="12558" width="15.7109375" style="19" customWidth="1"/>
    <col min="12559" max="12559" width="17.7109375" style="19" customWidth="1"/>
    <col min="12560" max="12560" width="20.7109375" style="19" customWidth="1"/>
    <col min="12561" max="12561" width="23.42578125" style="19" bestFit="1" customWidth="1"/>
    <col min="12562" max="12564" width="20.7109375" style="19" customWidth="1"/>
    <col min="12565" max="12574" width="15.7109375" style="19" customWidth="1"/>
    <col min="12575" max="12799" width="8.85546875" style="19"/>
    <col min="12800" max="12800" width="15.7109375" style="19" customWidth="1"/>
    <col min="12801" max="12801" width="16.42578125" style="19" bestFit="1" customWidth="1"/>
    <col min="12802" max="12802" width="15.7109375" style="19" customWidth="1"/>
    <col min="12803" max="12803" width="17.7109375" style="19" bestFit="1" customWidth="1"/>
    <col min="12804" max="12806" width="15.7109375" style="19" customWidth="1"/>
    <col min="12807" max="12807" width="17.7109375" style="19" bestFit="1" customWidth="1"/>
    <col min="12808" max="12810" width="15.7109375" style="19" customWidth="1"/>
    <col min="12811" max="12811" width="18.7109375" style="19" bestFit="1" customWidth="1"/>
    <col min="12812" max="12814" width="15.7109375" style="19" customWidth="1"/>
    <col min="12815" max="12815" width="17.7109375" style="19" customWidth="1"/>
    <col min="12816" max="12816" width="20.7109375" style="19" customWidth="1"/>
    <col min="12817" max="12817" width="23.42578125" style="19" bestFit="1" customWidth="1"/>
    <col min="12818" max="12820" width="20.7109375" style="19" customWidth="1"/>
    <col min="12821" max="12830" width="15.7109375" style="19" customWidth="1"/>
    <col min="12831" max="13055" width="8.85546875" style="19"/>
    <col min="13056" max="13056" width="15.7109375" style="19" customWidth="1"/>
    <col min="13057" max="13057" width="16.42578125" style="19" bestFit="1" customWidth="1"/>
    <col min="13058" max="13058" width="15.7109375" style="19" customWidth="1"/>
    <col min="13059" max="13059" width="17.7109375" style="19" bestFit="1" customWidth="1"/>
    <col min="13060" max="13062" width="15.7109375" style="19" customWidth="1"/>
    <col min="13063" max="13063" width="17.7109375" style="19" bestFit="1" customWidth="1"/>
    <col min="13064" max="13066" width="15.7109375" style="19" customWidth="1"/>
    <col min="13067" max="13067" width="18.7109375" style="19" bestFit="1" customWidth="1"/>
    <col min="13068" max="13070" width="15.7109375" style="19" customWidth="1"/>
    <col min="13071" max="13071" width="17.7109375" style="19" customWidth="1"/>
    <col min="13072" max="13072" width="20.7109375" style="19" customWidth="1"/>
    <col min="13073" max="13073" width="23.42578125" style="19" bestFit="1" customWidth="1"/>
    <col min="13074" max="13076" width="20.7109375" style="19" customWidth="1"/>
    <col min="13077" max="13086" width="15.7109375" style="19" customWidth="1"/>
    <col min="13087" max="13311" width="8.85546875" style="19"/>
    <col min="13312" max="13312" width="15.7109375" style="19" customWidth="1"/>
    <col min="13313" max="13313" width="16.42578125" style="19" bestFit="1" customWidth="1"/>
    <col min="13314" max="13314" width="15.7109375" style="19" customWidth="1"/>
    <col min="13315" max="13315" width="17.7109375" style="19" bestFit="1" customWidth="1"/>
    <col min="13316" max="13318" width="15.7109375" style="19" customWidth="1"/>
    <col min="13319" max="13319" width="17.7109375" style="19" bestFit="1" customWidth="1"/>
    <col min="13320" max="13322" width="15.7109375" style="19" customWidth="1"/>
    <col min="13323" max="13323" width="18.7109375" style="19" bestFit="1" customWidth="1"/>
    <col min="13324" max="13326" width="15.7109375" style="19" customWidth="1"/>
    <col min="13327" max="13327" width="17.7109375" style="19" customWidth="1"/>
    <col min="13328" max="13328" width="20.7109375" style="19" customWidth="1"/>
    <col min="13329" max="13329" width="23.42578125" style="19" bestFit="1" customWidth="1"/>
    <col min="13330" max="13332" width="20.7109375" style="19" customWidth="1"/>
    <col min="13333" max="13342" width="15.7109375" style="19" customWidth="1"/>
    <col min="13343" max="13567" width="8.85546875" style="19"/>
    <col min="13568" max="13568" width="15.7109375" style="19" customWidth="1"/>
    <col min="13569" max="13569" width="16.42578125" style="19" bestFit="1" customWidth="1"/>
    <col min="13570" max="13570" width="15.7109375" style="19" customWidth="1"/>
    <col min="13571" max="13571" width="17.7109375" style="19" bestFit="1" customWidth="1"/>
    <col min="13572" max="13574" width="15.7109375" style="19" customWidth="1"/>
    <col min="13575" max="13575" width="17.7109375" style="19" bestFit="1" customWidth="1"/>
    <col min="13576" max="13578" width="15.7109375" style="19" customWidth="1"/>
    <col min="13579" max="13579" width="18.7109375" style="19" bestFit="1" customWidth="1"/>
    <col min="13580" max="13582" width="15.7109375" style="19" customWidth="1"/>
    <col min="13583" max="13583" width="17.7109375" style="19" customWidth="1"/>
    <col min="13584" max="13584" width="20.7109375" style="19" customWidth="1"/>
    <col min="13585" max="13585" width="23.42578125" style="19" bestFit="1" customWidth="1"/>
    <col min="13586" max="13588" width="20.7109375" style="19" customWidth="1"/>
    <col min="13589" max="13598" width="15.7109375" style="19" customWidth="1"/>
    <col min="13599" max="13823" width="8.85546875" style="19"/>
    <col min="13824" max="13824" width="15.7109375" style="19" customWidth="1"/>
    <col min="13825" max="13825" width="16.42578125" style="19" bestFit="1" customWidth="1"/>
    <col min="13826" max="13826" width="15.7109375" style="19" customWidth="1"/>
    <col min="13827" max="13827" width="17.7109375" style="19" bestFit="1" customWidth="1"/>
    <col min="13828" max="13830" width="15.7109375" style="19" customWidth="1"/>
    <col min="13831" max="13831" width="17.7109375" style="19" bestFit="1" customWidth="1"/>
    <col min="13832" max="13834" width="15.7109375" style="19" customWidth="1"/>
    <col min="13835" max="13835" width="18.7109375" style="19" bestFit="1" customWidth="1"/>
    <col min="13836" max="13838" width="15.7109375" style="19" customWidth="1"/>
    <col min="13839" max="13839" width="17.7109375" style="19" customWidth="1"/>
    <col min="13840" max="13840" width="20.7109375" style="19" customWidth="1"/>
    <col min="13841" max="13841" width="23.42578125" style="19" bestFit="1" customWidth="1"/>
    <col min="13842" max="13844" width="20.7109375" style="19" customWidth="1"/>
    <col min="13845" max="13854" width="15.7109375" style="19" customWidth="1"/>
    <col min="13855" max="14079" width="8.85546875" style="19"/>
    <col min="14080" max="14080" width="15.7109375" style="19" customWidth="1"/>
    <col min="14081" max="14081" width="16.42578125" style="19" bestFit="1" customWidth="1"/>
    <col min="14082" max="14082" width="15.7109375" style="19" customWidth="1"/>
    <col min="14083" max="14083" width="17.7109375" style="19" bestFit="1" customWidth="1"/>
    <col min="14084" max="14086" width="15.7109375" style="19" customWidth="1"/>
    <col min="14087" max="14087" width="17.7109375" style="19" bestFit="1" customWidth="1"/>
    <col min="14088" max="14090" width="15.7109375" style="19" customWidth="1"/>
    <col min="14091" max="14091" width="18.7109375" style="19" bestFit="1" customWidth="1"/>
    <col min="14092" max="14094" width="15.7109375" style="19" customWidth="1"/>
    <col min="14095" max="14095" width="17.7109375" style="19" customWidth="1"/>
    <col min="14096" max="14096" width="20.7109375" style="19" customWidth="1"/>
    <col min="14097" max="14097" width="23.42578125" style="19" bestFit="1" customWidth="1"/>
    <col min="14098" max="14100" width="20.7109375" style="19" customWidth="1"/>
    <col min="14101" max="14110" width="15.7109375" style="19" customWidth="1"/>
    <col min="14111" max="14335" width="8.85546875" style="19"/>
    <col min="14336" max="14336" width="15.7109375" style="19" customWidth="1"/>
    <col min="14337" max="14337" width="16.42578125" style="19" bestFit="1" customWidth="1"/>
    <col min="14338" max="14338" width="15.7109375" style="19" customWidth="1"/>
    <col min="14339" max="14339" width="17.7109375" style="19" bestFit="1" customWidth="1"/>
    <col min="14340" max="14342" width="15.7109375" style="19" customWidth="1"/>
    <col min="14343" max="14343" width="17.7109375" style="19" bestFit="1" customWidth="1"/>
    <col min="14344" max="14346" width="15.7109375" style="19" customWidth="1"/>
    <col min="14347" max="14347" width="18.7109375" style="19" bestFit="1" customWidth="1"/>
    <col min="14348" max="14350" width="15.7109375" style="19" customWidth="1"/>
    <col min="14351" max="14351" width="17.7109375" style="19" customWidth="1"/>
    <col min="14352" max="14352" width="20.7109375" style="19" customWidth="1"/>
    <col min="14353" max="14353" width="23.42578125" style="19" bestFit="1" customWidth="1"/>
    <col min="14354" max="14356" width="20.7109375" style="19" customWidth="1"/>
    <col min="14357" max="14366" width="15.7109375" style="19" customWidth="1"/>
    <col min="14367" max="14591" width="8.85546875" style="19"/>
    <col min="14592" max="14592" width="15.7109375" style="19" customWidth="1"/>
    <col min="14593" max="14593" width="16.42578125" style="19" bestFit="1" customWidth="1"/>
    <col min="14594" max="14594" width="15.7109375" style="19" customWidth="1"/>
    <col min="14595" max="14595" width="17.7109375" style="19" bestFit="1" customWidth="1"/>
    <col min="14596" max="14598" width="15.7109375" style="19" customWidth="1"/>
    <col min="14599" max="14599" width="17.7109375" style="19" bestFit="1" customWidth="1"/>
    <col min="14600" max="14602" width="15.7109375" style="19" customWidth="1"/>
    <col min="14603" max="14603" width="18.7109375" style="19" bestFit="1" customWidth="1"/>
    <col min="14604" max="14606" width="15.7109375" style="19" customWidth="1"/>
    <col min="14607" max="14607" width="17.7109375" style="19" customWidth="1"/>
    <col min="14608" max="14608" width="20.7109375" style="19" customWidth="1"/>
    <col min="14609" max="14609" width="23.42578125" style="19" bestFit="1" customWidth="1"/>
    <col min="14610" max="14612" width="20.7109375" style="19" customWidth="1"/>
    <col min="14613" max="14622" width="15.7109375" style="19" customWidth="1"/>
    <col min="14623" max="14847" width="8.85546875" style="19"/>
    <col min="14848" max="14848" width="15.7109375" style="19" customWidth="1"/>
    <col min="14849" max="14849" width="16.42578125" style="19" bestFit="1" customWidth="1"/>
    <col min="14850" max="14850" width="15.7109375" style="19" customWidth="1"/>
    <col min="14851" max="14851" width="17.7109375" style="19" bestFit="1" customWidth="1"/>
    <col min="14852" max="14854" width="15.7109375" style="19" customWidth="1"/>
    <col min="14855" max="14855" width="17.7109375" style="19" bestFit="1" customWidth="1"/>
    <col min="14856" max="14858" width="15.7109375" style="19" customWidth="1"/>
    <col min="14859" max="14859" width="18.7109375" style="19" bestFit="1" customWidth="1"/>
    <col min="14860" max="14862" width="15.7109375" style="19" customWidth="1"/>
    <col min="14863" max="14863" width="17.7109375" style="19" customWidth="1"/>
    <col min="14864" max="14864" width="20.7109375" style="19" customWidth="1"/>
    <col min="14865" max="14865" width="23.42578125" style="19" bestFit="1" customWidth="1"/>
    <col min="14866" max="14868" width="20.7109375" style="19" customWidth="1"/>
    <col min="14869" max="14878" width="15.7109375" style="19" customWidth="1"/>
    <col min="14879" max="15103" width="8.85546875" style="19"/>
    <col min="15104" max="15104" width="15.7109375" style="19" customWidth="1"/>
    <col min="15105" max="15105" width="16.42578125" style="19" bestFit="1" customWidth="1"/>
    <col min="15106" max="15106" width="15.7109375" style="19" customWidth="1"/>
    <col min="15107" max="15107" width="17.7109375" style="19" bestFit="1" customWidth="1"/>
    <col min="15108" max="15110" width="15.7109375" style="19" customWidth="1"/>
    <col min="15111" max="15111" width="17.7109375" style="19" bestFit="1" customWidth="1"/>
    <col min="15112" max="15114" width="15.7109375" style="19" customWidth="1"/>
    <col min="15115" max="15115" width="18.7109375" style="19" bestFit="1" customWidth="1"/>
    <col min="15116" max="15118" width="15.7109375" style="19" customWidth="1"/>
    <col min="15119" max="15119" width="17.7109375" style="19" customWidth="1"/>
    <col min="15120" max="15120" width="20.7109375" style="19" customWidth="1"/>
    <col min="15121" max="15121" width="23.42578125" style="19" bestFit="1" customWidth="1"/>
    <col min="15122" max="15124" width="20.7109375" style="19" customWidth="1"/>
    <col min="15125" max="15134" width="15.7109375" style="19" customWidth="1"/>
    <col min="15135" max="15359" width="8.85546875" style="19"/>
    <col min="15360" max="15360" width="15.7109375" style="19" customWidth="1"/>
    <col min="15361" max="15361" width="16.42578125" style="19" bestFit="1" customWidth="1"/>
    <col min="15362" max="15362" width="15.7109375" style="19" customWidth="1"/>
    <col min="15363" max="15363" width="17.7109375" style="19" bestFit="1" customWidth="1"/>
    <col min="15364" max="15366" width="15.7109375" style="19" customWidth="1"/>
    <col min="15367" max="15367" width="17.7109375" style="19" bestFit="1" customWidth="1"/>
    <col min="15368" max="15370" width="15.7109375" style="19" customWidth="1"/>
    <col min="15371" max="15371" width="18.7109375" style="19" bestFit="1" customWidth="1"/>
    <col min="15372" max="15374" width="15.7109375" style="19" customWidth="1"/>
    <col min="15375" max="15375" width="17.7109375" style="19" customWidth="1"/>
    <col min="15376" max="15376" width="20.7109375" style="19" customWidth="1"/>
    <col min="15377" max="15377" width="23.42578125" style="19" bestFit="1" customWidth="1"/>
    <col min="15378" max="15380" width="20.7109375" style="19" customWidth="1"/>
    <col min="15381" max="15390" width="15.7109375" style="19" customWidth="1"/>
    <col min="15391" max="15615" width="8.85546875" style="19"/>
    <col min="15616" max="15616" width="15.7109375" style="19" customWidth="1"/>
    <col min="15617" max="15617" width="16.42578125" style="19" bestFit="1" customWidth="1"/>
    <col min="15618" max="15618" width="15.7109375" style="19" customWidth="1"/>
    <col min="15619" max="15619" width="17.7109375" style="19" bestFit="1" customWidth="1"/>
    <col min="15620" max="15622" width="15.7109375" style="19" customWidth="1"/>
    <col min="15623" max="15623" width="17.7109375" style="19" bestFit="1" customWidth="1"/>
    <col min="15624" max="15626" width="15.7109375" style="19" customWidth="1"/>
    <col min="15627" max="15627" width="18.7109375" style="19" bestFit="1" customWidth="1"/>
    <col min="15628" max="15630" width="15.7109375" style="19" customWidth="1"/>
    <col min="15631" max="15631" width="17.7109375" style="19" customWidth="1"/>
    <col min="15632" max="15632" width="20.7109375" style="19" customWidth="1"/>
    <col min="15633" max="15633" width="23.42578125" style="19" bestFit="1" customWidth="1"/>
    <col min="15634" max="15636" width="20.7109375" style="19" customWidth="1"/>
    <col min="15637" max="15646" width="15.7109375" style="19" customWidth="1"/>
    <col min="15647" max="15871" width="8.85546875" style="19"/>
    <col min="15872" max="15872" width="15.7109375" style="19" customWidth="1"/>
    <col min="15873" max="15873" width="16.42578125" style="19" bestFit="1" customWidth="1"/>
    <col min="15874" max="15874" width="15.7109375" style="19" customWidth="1"/>
    <col min="15875" max="15875" width="17.7109375" style="19" bestFit="1" customWidth="1"/>
    <col min="15876" max="15878" width="15.7109375" style="19" customWidth="1"/>
    <col min="15879" max="15879" width="17.7109375" style="19" bestFit="1" customWidth="1"/>
    <col min="15880" max="15882" width="15.7109375" style="19" customWidth="1"/>
    <col min="15883" max="15883" width="18.7109375" style="19" bestFit="1" customWidth="1"/>
    <col min="15884" max="15886" width="15.7109375" style="19" customWidth="1"/>
    <col min="15887" max="15887" width="17.7109375" style="19" customWidth="1"/>
    <col min="15888" max="15888" width="20.7109375" style="19" customWidth="1"/>
    <col min="15889" max="15889" width="23.42578125" style="19" bestFit="1" customWidth="1"/>
    <col min="15890" max="15892" width="20.7109375" style="19" customWidth="1"/>
    <col min="15893" max="15902" width="15.7109375" style="19" customWidth="1"/>
    <col min="15903" max="16127" width="8.85546875" style="19"/>
    <col min="16128" max="16128" width="15.7109375" style="19" customWidth="1"/>
    <col min="16129" max="16129" width="16.42578125" style="19" bestFit="1" customWidth="1"/>
    <col min="16130" max="16130" width="15.7109375" style="19" customWidth="1"/>
    <col min="16131" max="16131" width="17.7109375" style="19" bestFit="1" customWidth="1"/>
    <col min="16132" max="16134" width="15.7109375" style="19" customWidth="1"/>
    <col min="16135" max="16135" width="17.7109375" style="19" bestFit="1" customWidth="1"/>
    <col min="16136" max="16138" width="15.7109375" style="19" customWidth="1"/>
    <col min="16139" max="16139" width="18.7109375" style="19" bestFit="1" customWidth="1"/>
    <col min="16140" max="16142" width="15.7109375" style="19" customWidth="1"/>
    <col min="16143" max="16143" width="17.7109375" style="19" customWidth="1"/>
    <col min="16144" max="16144" width="20.7109375" style="19" customWidth="1"/>
    <col min="16145" max="16145" width="23.42578125" style="19" bestFit="1" customWidth="1"/>
    <col min="16146" max="16148" width="20.7109375" style="19" customWidth="1"/>
    <col min="16149" max="16158" width="15.7109375" style="19" customWidth="1"/>
    <col min="16159" max="16384" width="8.85546875" style="19"/>
  </cols>
  <sheetData>
    <row r="1">
      <c r="A1" s="1512" t="s">
        <v>892</v>
      </c>
      <c r="B1" s="1512"/>
      <c r="C1" s="404"/>
      <c r="D1" s="736" t="s">
        <v>895</v>
      </c>
      <c r="E1" s="1517" t="s">
        <v>726</v>
      </c>
      <c r="F1" s="1518"/>
      <c r="G1" s="428">
        <f>'Informasi Pokok'!D6</f>
      </c>
    </row>
    <row r="2">
      <c r="A2" s="1512" t="s">
        <v>893</v>
      </c>
      <c r="B2" s="1512"/>
      <c r="C2" s="944"/>
      <c r="D2" s="736" t="s">
        <v>896</v>
      </c>
      <c r="E2" s="1514"/>
      <c r="F2" s="1514"/>
      <c r="G2" s="345"/>
    </row>
    <row r="3" spans="1:30">
      <c r="A3" s="1512" t="s">
        <v>894</v>
      </c>
      <c r="B3" s="1512"/>
      <c r="C3" s="1515">
        <f>'Informasi Pokok'!D11</f>
      </c>
      <c r="D3" s="1516"/>
      <c r="E3" s="403"/>
      <c r="F3" s="403"/>
    </row>
    <row r="4" spans="1:30" ht="8.25" customHeight="1" thickBot="1">
      <c r="A4" s="1513"/>
      <c r="B4" s="1513"/>
      <c r="C4" s="346"/>
      <c r="D4" s="347"/>
      <c r="E4" s="348"/>
      <c r="F4" s="348"/>
      <c r="H4" s="348"/>
      <c r="I4" s="348"/>
      <c r="J4" s="348"/>
      <c r="K4" s="348"/>
      <c r="L4" s="348"/>
      <c r="M4" s="348"/>
      <c r="N4" s="348"/>
      <c r="O4" s="348"/>
      <c r="P4" s="348"/>
      <c r="Q4" s="348"/>
      <c r="R4" s="348"/>
      <c r="S4" s="348"/>
      <c r="T4" s="348"/>
      <c r="U4" s="349"/>
      <c r="V4" s="350"/>
      <c r="W4" s="351"/>
      <c r="X4" s="351"/>
      <c r="Y4" s="351"/>
      <c r="Z4" s="352"/>
      <c r="AA4" s="351"/>
      <c r="AB4" s="351"/>
      <c r="AC4" s="351"/>
      <c r="AD4" s="353"/>
    </row>
    <row r="5" spans="1:30" ht="15.75" thickBot="1">
      <c r="A5" s="354" t="s">
        <v>3</v>
      </c>
      <c r="B5" s="355" t="s">
        <v>727</v>
      </c>
      <c r="C5" s="356" t="s">
        <v>728</v>
      </c>
      <c r="D5" s="357" t="s">
        <v>9</v>
      </c>
      <c r="E5" s="354" t="s">
        <v>3</v>
      </c>
      <c r="F5" s="354" t="s">
        <v>727</v>
      </c>
      <c r="G5" s="354" t="s">
        <v>728</v>
      </c>
      <c r="H5" s="358" t="s">
        <v>9</v>
      </c>
      <c r="I5" s="359" t="s">
        <v>3</v>
      </c>
      <c r="J5" s="359" t="s">
        <v>727</v>
      </c>
      <c r="K5" s="359" t="s">
        <v>728</v>
      </c>
      <c r="L5" s="360" t="s">
        <v>9</v>
      </c>
      <c r="M5" s="361"/>
      <c r="N5" s="361"/>
      <c r="O5" s="361"/>
      <c r="P5" s="361"/>
      <c r="Q5" s="361"/>
      <c r="R5" s="361"/>
      <c r="S5" s="361"/>
      <c r="T5" s="361"/>
    </row>
    <row r="6" ht="15.75">
      <c r="A6" s="564"/>
      <c r="B6" s="406"/>
      <c r="C6" s="406"/>
      <c r="D6" s="407">
        <f>E2</f>
      </c>
      <c r="E6" s="415">
        <f>IF(A6="","",DATE(YEAR(A6),MONTH(A6)+1,DAY(A6)))</f>
      </c>
      <c r="F6" s="406"/>
      <c r="G6" s="406"/>
      <c r="H6" s="409">
        <f>D53</f>
      </c>
      <c r="I6" s="422">
        <f>IF(E6="","",DATE(YEAR(E6),MONTH(E6)+1,DAY(E6)))</f>
      </c>
      <c r="J6" s="408"/>
      <c r="K6" s="406"/>
      <c r="L6" s="409">
        <f>H53</f>
      </c>
      <c r="M6" s="363" t="s">
        <v>3</v>
      </c>
      <c r="N6" s="363" t="s">
        <v>729</v>
      </c>
      <c r="O6" s="364" t="s">
        <v>730</v>
      </c>
      <c r="P6" s="364" t="s">
        <v>731</v>
      </c>
      <c r="Q6" s="364" t="s">
        <v>729</v>
      </c>
      <c r="R6" s="364" t="s">
        <v>6</v>
      </c>
      <c r="S6" s="364" t="s">
        <v>731</v>
      </c>
      <c r="T6" s="364" t="s">
        <v>732</v>
      </c>
    </row>
    <row r="7">
      <c r="A7" s="405">
        <f>$A$6</f>
      </c>
      <c r="B7" s="365"/>
      <c r="C7" s="365"/>
      <c r="D7" s="366">
        <f>D6-B7+C7</f>
      </c>
      <c r="E7" s="416">
        <f>$E$6</f>
      </c>
      <c r="F7" s="372"/>
      <c r="G7" s="372"/>
      <c r="H7" s="367">
        <f>H6-F7+G7</f>
      </c>
      <c r="I7" s="423">
        <f>$I$6</f>
      </c>
      <c r="J7" s="365"/>
      <c r="K7" s="365"/>
      <c r="L7" s="367">
        <f t="shared" ref="L7:L53" si="0">L6-J7+K7</f>
      </c>
      <c r="M7" s="368">
        <f>A6</f>
      </c>
      <c r="N7" s="402">
        <f>B57</f>
      </c>
      <c r="O7" s="369">
        <f>B55</f>
      </c>
      <c r="P7" s="369">
        <f>B56</f>
      </c>
      <c r="Q7" s="370">
        <f>C57</f>
      </c>
      <c r="R7" s="369">
        <f>C55</f>
      </c>
      <c r="S7" s="369">
        <f>C56</f>
      </c>
      <c r="T7" s="369">
        <f>D53</f>
      </c>
    </row>
    <row r="8">
      <c r="A8" s="371">
        <f t="shared" ref="A8:A53" si="1">$A$6</f>
      </c>
      <c r="B8" s="372"/>
      <c r="C8" s="365"/>
      <c r="D8" s="373">
        <f t="shared" ref="D8:D53" si="2">D7-B8+C8</f>
      </c>
      <c r="E8" s="375">
        <f t="shared" ref="E8:E53" si="3">$E$6</f>
      </c>
      <c r="F8" s="372"/>
      <c r="G8" s="372"/>
      <c r="H8" s="374">
        <f>H7-F8+G8</f>
      </c>
      <c r="I8" s="423">
        <f t="shared" ref="I8:I53" si="4">$I$6</f>
      </c>
      <c r="J8" s="372"/>
      <c r="K8" s="365"/>
      <c r="L8" s="374">
        <f t="shared" si="0"/>
      </c>
      <c r="M8" s="368">
        <f>E6</f>
      </c>
      <c r="N8" s="402">
        <f>F57</f>
      </c>
      <c r="O8" s="369">
        <f>F55</f>
      </c>
      <c r="P8" s="369">
        <f>F56</f>
      </c>
      <c r="Q8" s="370">
        <f>G57</f>
      </c>
      <c r="R8" s="369">
        <f>G55</f>
      </c>
      <c r="S8" s="369">
        <f>G56</f>
      </c>
      <c r="T8" s="369">
        <f>H53</f>
      </c>
    </row>
    <row r="9">
      <c r="A9" s="375">
        <f t="shared" si="1"/>
      </c>
      <c r="B9" s="372"/>
      <c r="C9" s="365"/>
      <c r="D9" s="373">
        <f t="shared" si="2"/>
      </c>
      <c r="E9" s="375">
        <f t="shared" si="3"/>
      </c>
      <c r="F9" s="372"/>
      <c r="G9" s="372"/>
      <c r="H9" s="374">
        <f>H8-F9+G9</f>
      </c>
      <c r="I9" s="423">
        <f t="shared" si="4"/>
      </c>
      <c r="J9" s="372"/>
      <c r="K9" s="365"/>
      <c r="L9" s="374">
        <f t="shared" si="0"/>
      </c>
      <c r="M9" s="368">
        <f>I6</f>
      </c>
      <c r="N9" s="402">
        <f>J57</f>
      </c>
      <c r="O9" s="369">
        <f>J55</f>
      </c>
      <c r="P9" s="369">
        <f>J56</f>
      </c>
      <c r="Q9" s="370">
        <f>K57</f>
      </c>
      <c r="R9" s="369">
        <f>K55</f>
      </c>
      <c r="S9" s="369">
        <f>K56</f>
      </c>
      <c r="T9" s="369">
        <f>L53</f>
      </c>
    </row>
    <row r="10">
      <c r="A10" s="375">
        <f t="shared" si="1"/>
      </c>
      <c r="B10" s="372"/>
      <c r="C10" s="365"/>
      <c r="D10" s="373">
        <f t="shared" si="2"/>
      </c>
      <c r="E10" s="375">
        <f t="shared" si="3"/>
      </c>
      <c r="F10" s="372"/>
      <c r="G10" s="372"/>
      <c r="H10" s="374">
        <f>H9-F10+G10</f>
      </c>
      <c r="I10" s="423">
        <f t="shared" si="4"/>
      </c>
      <c r="J10" s="372"/>
      <c r="K10" s="365"/>
      <c r="L10" s="374">
        <f t="shared" si="0"/>
      </c>
      <c r="M10" s="376" t="s">
        <v>733</v>
      </c>
      <c r="N10" s="377">
        <f t="shared" ref="N10:T10" si="5">AVERAGE(N7:N9)</f>
      </c>
      <c r="O10" s="369">
        <f t="shared" si="5"/>
      </c>
      <c r="P10" s="369">
        <f t="shared" si="5"/>
      </c>
      <c r="Q10" s="377">
        <f t="shared" si="5"/>
      </c>
      <c r="R10" s="369">
        <f t="shared" si="5"/>
      </c>
      <c r="S10" s="369">
        <f t="shared" si="5"/>
      </c>
      <c r="T10" s="369">
        <f t="shared" si="5"/>
      </c>
    </row>
    <row r="11">
      <c r="A11" s="375">
        <f t="shared" si="1"/>
      </c>
      <c r="B11" s="372"/>
      <c r="C11" s="365"/>
      <c r="D11" s="373">
        <f t="shared" si="2"/>
      </c>
      <c r="E11" s="375">
        <f t="shared" si="3"/>
      </c>
      <c r="F11" s="372"/>
      <c r="G11" s="372"/>
      <c r="H11" s="374">
        <f t="shared" ref="H11:H53" si="6">H10-F11+G11</f>
      </c>
      <c r="I11" s="423">
        <f t="shared" si="4"/>
      </c>
      <c r="J11" s="378"/>
      <c r="K11" s="365"/>
      <c r="L11" s="374">
        <f t="shared" si="0"/>
      </c>
      <c r="M11" s="379"/>
      <c r="N11" s="379"/>
      <c r="O11" s="379"/>
      <c r="P11" s="379"/>
      <c r="Q11" s="379"/>
      <c r="R11" s="379"/>
      <c r="S11" s="379"/>
      <c r="T11" s="379"/>
    </row>
    <row r="12">
      <c r="A12" s="375">
        <f t="shared" si="1"/>
      </c>
      <c r="B12" s="372"/>
      <c r="C12" s="365"/>
      <c r="D12" s="373">
        <f t="shared" si="2"/>
      </c>
      <c r="E12" s="375">
        <f t="shared" si="3"/>
      </c>
      <c r="F12" s="372"/>
      <c r="G12" s="372"/>
      <c r="H12" s="374">
        <f t="shared" si="6"/>
      </c>
      <c r="I12" s="423">
        <f t="shared" si="4"/>
      </c>
      <c r="J12" s="372"/>
      <c r="K12" s="372"/>
      <c r="L12" s="374">
        <f t="shared" si="0"/>
      </c>
      <c r="M12" s="380"/>
      <c r="N12" s="380"/>
      <c r="O12" s="380"/>
      <c r="P12" s="380"/>
      <c r="Q12" s="380"/>
      <c r="R12" s="380"/>
      <c r="S12" s="380"/>
      <c r="T12" s="380"/>
    </row>
    <row r="13">
      <c r="A13" s="375">
        <f t="shared" si="1"/>
      </c>
      <c r="B13" s="372"/>
      <c r="C13" s="365"/>
      <c r="D13" s="373">
        <f t="shared" si="2"/>
      </c>
      <c r="E13" s="375">
        <f t="shared" si="3"/>
      </c>
      <c r="F13" s="372"/>
      <c r="G13" s="372"/>
      <c r="H13" s="374">
        <f t="shared" si="6"/>
      </c>
      <c r="I13" s="423">
        <f t="shared" si="4"/>
      </c>
      <c r="J13" s="372"/>
      <c r="K13" s="372"/>
      <c r="L13" s="374">
        <f t="shared" si="0"/>
      </c>
      <c r="M13" s="380"/>
      <c r="N13" s="380"/>
      <c r="O13" s="380"/>
      <c r="P13" s="380"/>
      <c r="Q13" s="380"/>
      <c r="R13" s="380"/>
      <c r="S13" s="380"/>
      <c r="T13" s="380"/>
    </row>
    <row r="14">
      <c r="A14" s="375">
        <f t="shared" si="1"/>
      </c>
      <c r="B14" s="372"/>
      <c r="C14" s="365"/>
      <c r="D14" s="373">
        <f t="shared" si="2"/>
      </c>
      <c r="E14" s="375">
        <f t="shared" si="3"/>
      </c>
      <c r="F14" s="372"/>
      <c r="G14" s="372"/>
      <c r="H14" s="374">
        <f t="shared" si="6"/>
      </c>
      <c r="I14" s="423">
        <f t="shared" si="4"/>
      </c>
      <c r="J14" s="365"/>
      <c r="K14" s="365"/>
      <c r="L14" s="374">
        <f t="shared" si="0"/>
      </c>
      <c r="M14" s="380"/>
      <c r="N14" s="380"/>
      <c r="O14" s="380"/>
      <c r="P14" s="380"/>
      <c r="Q14" s="380"/>
      <c r="R14" s="380"/>
      <c r="S14" s="380"/>
      <c r="T14" s="380"/>
    </row>
    <row r="15">
      <c r="A15" s="375">
        <f t="shared" si="1"/>
      </c>
      <c r="B15" s="372"/>
      <c r="C15" s="372"/>
      <c r="D15" s="373">
        <f t="shared" si="2"/>
      </c>
      <c r="E15" s="375">
        <f t="shared" si="3"/>
      </c>
      <c r="F15" s="372"/>
      <c r="G15" s="372"/>
      <c r="H15" s="374">
        <f t="shared" si="6"/>
      </c>
      <c r="I15" s="423">
        <f t="shared" si="4"/>
      </c>
      <c r="J15" s="365"/>
      <c r="K15" s="365"/>
      <c r="L15" s="374">
        <f t="shared" si="0"/>
      </c>
      <c r="M15" s="380"/>
      <c r="N15" s="380"/>
      <c r="O15" s="380"/>
      <c r="P15" s="380"/>
      <c r="Q15" s="380"/>
      <c r="R15" s="380"/>
      <c r="S15" s="380"/>
      <c r="T15" s="380"/>
    </row>
    <row r="16">
      <c r="A16" s="375">
        <f t="shared" si="1"/>
      </c>
      <c r="B16" s="372"/>
      <c r="C16" s="372"/>
      <c r="D16" s="373">
        <f>D15-B16+C16</f>
      </c>
      <c r="E16" s="375">
        <f t="shared" si="3"/>
      </c>
      <c r="F16" s="372"/>
      <c r="G16" s="372"/>
      <c r="H16" s="374">
        <f t="shared" si="6"/>
      </c>
      <c r="I16" s="423">
        <f t="shared" si="4"/>
      </c>
      <c r="J16" s="365"/>
      <c r="K16" s="365"/>
      <c r="L16" s="374">
        <f t="shared" si="0"/>
      </c>
      <c r="M16" s="380"/>
      <c r="N16" s="380"/>
      <c r="O16" s="380"/>
      <c r="P16" s="380"/>
      <c r="Q16" s="380"/>
      <c r="R16" s="380"/>
      <c r="S16" s="380"/>
      <c r="T16" s="380"/>
    </row>
    <row r="17">
      <c r="A17" s="375">
        <f t="shared" si="1"/>
      </c>
      <c r="B17" s="372"/>
      <c r="C17" s="372"/>
      <c r="D17" s="373">
        <f>D16-B17+C17</f>
      </c>
      <c r="E17" s="375">
        <f t="shared" si="3"/>
      </c>
      <c r="F17" s="372"/>
      <c r="G17" s="372"/>
      <c r="H17" s="374">
        <f t="shared" si="6"/>
      </c>
      <c r="I17" s="423">
        <f t="shared" si="4"/>
      </c>
      <c r="J17" s="372"/>
      <c r="K17" s="365"/>
      <c r="L17" s="374">
        <f t="shared" si="0"/>
      </c>
      <c r="M17" s="380"/>
      <c r="N17" s="380"/>
      <c r="O17" s="380"/>
      <c r="P17" s="380"/>
      <c r="Q17" s="380"/>
      <c r="R17" s="380"/>
      <c r="S17" s="380"/>
      <c r="T17" s="380"/>
    </row>
    <row r="18">
      <c r="A18" s="375">
        <f t="shared" si="1"/>
      </c>
      <c r="B18" s="372"/>
      <c r="C18" s="372"/>
      <c r="D18" s="373">
        <f>D17-B18+C18</f>
      </c>
      <c r="E18" s="375">
        <f t="shared" si="3"/>
      </c>
      <c r="F18" s="372"/>
      <c r="G18" s="372"/>
      <c r="H18" s="374">
        <f t="shared" si="6"/>
      </c>
      <c r="I18" s="423">
        <f t="shared" si="4"/>
      </c>
      <c r="J18" s="372"/>
      <c r="K18" s="365"/>
      <c r="L18" s="374">
        <f t="shared" si="0"/>
      </c>
      <c r="M18" s="380"/>
      <c r="N18" s="380"/>
      <c r="O18" s="380"/>
      <c r="P18" s="380"/>
      <c r="Q18" s="380"/>
      <c r="R18" s="380"/>
      <c r="S18" s="380"/>
      <c r="T18" s="380"/>
    </row>
    <row r="19" hidden="1">
      <c r="A19" s="375">
        <f t="shared" si="1"/>
      </c>
      <c r="B19" s="372"/>
      <c r="C19" s="372"/>
      <c r="D19" s="373">
        <f>D18-B19+C19</f>
      </c>
      <c r="E19" s="375">
        <f t="shared" si="3"/>
      </c>
      <c r="F19" s="372"/>
      <c r="G19" s="372"/>
      <c r="H19" s="374">
        <f t="shared" si="6"/>
      </c>
      <c r="I19" s="423">
        <f t="shared" si="4"/>
      </c>
      <c r="J19" s="372"/>
      <c r="K19" s="372"/>
      <c r="L19" s="374">
        <f t="shared" si="0"/>
      </c>
      <c r="M19" s="380"/>
      <c r="N19" s="380"/>
      <c r="O19" s="380"/>
      <c r="P19" s="380"/>
      <c r="Q19" s="380"/>
      <c r="R19" s="380"/>
      <c r="S19" s="380"/>
      <c r="T19" s="380"/>
    </row>
    <row r="20" hidden="1">
      <c r="A20" s="375">
        <f t="shared" si="1"/>
      </c>
      <c r="B20" s="372"/>
      <c r="C20" s="372"/>
      <c r="D20" s="373">
        <f t="shared" si="2"/>
      </c>
      <c r="E20" s="375">
        <f t="shared" si="3"/>
      </c>
      <c r="F20" s="372"/>
      <c r="G20" s="372"/>
      <c r="H20" s="374">
        <f t="shared" si="6"/>
      </c>
      <c r="I20" s="423">
        <f t="shared" si="4"/>
      </c>
      <c r="J20" s="372"/>
      <c r="K20" s="365"/>
      <c r="L20" s="374">
        <f t="shared" si="0"/>
      </c>
      <c r="M20" s="380"/>
      <c r="N20" s="380"/>
      <c r="O20" s="380"/>
      <c r="P20" s="380"/>
      <c r="Q20" s="380"/>
      <c r="R20" s="380"/>
      <c r="S20" s="380"/>
      <c r="T20" s="380"/>
    </row>
    <row r="21" hidden="1">
      <c r="A21" s="375">
        <f t="shared" si="1"/>
      </c>
      <c r="B21" s="372"/>
      <c r="C21" s="372"/>
      <c r="D21" s="373">
        <f t="shared" si="2"/>
      </c>
      <c r="E21" s="375">
        <f t="shared" si="3"/>
      </c>
      <c r="F21" s="372"/>
      <c r="G21" s="372"/>
      <c r="H21" s="374">
        <f t="shared" si="6"/>
      </c>
      <c r="I21" s="423">
        <f t="shared" si="4"/>
      </c>
      <c r="J21" s="365"/>
      <c r="K21" s="365"/>
      <c r="L21" s="374">
        <f t="shared" si="0"/>
      </c>
      <c r="M21" s="380"/>
      <c r="N21" s="380"/>
      <c r="O21" s="380"/>
      <c r="P21" s="380"/>
      <c r="Q21" s="380"/>
      <c r="R21" s="380"/>
      <c r="S21" s="380"/>
      <c r="T21" s="380"/>
    </row>
    <row r="22" hidden="1">
      <c r="A22" s="375">
        <f t="shared" si="1"/>
      </c>
      <c r="B22" s="372"/>
      <c r="C22" s="372"/>
      <c r="D22" s="373">
        <f t="shared" si="2"/>
      </c>
      <c r="E22" s="375">
        <f t="shared" si="3"/>
      </c>
      <c r="F22" s="372"/>
      <c r="G22" s="372"/>
      <c r="H22" s="374">
        <f t="shared" si="6"/>
      </c>
      <c r="I22" s="423">
        <f t="shared" si="4"/>
      </c>
      <c r="J22" s="372"/>
      <c r="K22" s="365"/>
      <c r="L22" s="374">
        <f t="shared" si="0"/>
      </c>
      <c r="M22" s="380"/>
      <c r="N22" s="380"/>
      <c r="O22" s="380"/>
      <c r="P22" s="380"/>
      <c r="Q22" s="380"/>
      <c r="R22" s="380"/>
      <c r="S22" s="380"/>
      <c r="T22" s="380"/>
    </row>
    <row r="23" hidden="1">
      <c r="A23" s="375">
        <f t="shared" si="1"/>
      </c>
      <c r="B23" s="372"/>
      <c r="C23" s="372"/>
      <c r="D23" s="373">
        <f t="shared" si="2"/>
      </c>
      <c r="E23" s="375">
        <f t="shared" si="3"/>
      </c>
      <c r="F23" s="372"/>
      <c r="G23" s="372"/>
      <c r="H23" s="374">
        <f t="shared" si="6"/>
      </c>
      <c r="I23" s="423">
        <f t="shared" si="4"/>
      </c>
      <c r="J23" s="372"/>
      <c r="K23" s="365"/>
      <c r="L23" s="374">
        <f t="shared" si="0"/>
      </c>
      <c r="M23" s="380"/>
      <c r="N23" s="380"/>
      <c r="O23" s="380"/>
      <c r="P23" s="380"/>
      <c r="Q23" s="380"/>
      <c r="R23" s="380"/>
      <c r="S23" s="380"/>
      <c r="T23" s="380"/>
    </row>
    <row r="24" hidden="1">
      <c r="A24" s="375">
        <f t="shared" si="1"/>
      </c>
      <c r="B24" s="372"/>
      <c r="C24" s="372"/>
      <c r="D24" s="373">
        <f t="shared" si="2"/>
      </c>
      <c r="E24" s="375">
        <f t="shared" si="3"/>
      </c>
      <c r="F24" s="372"/>
      <c r="G24" s="372"/>
      <c r="H24" s="374">
        <f t="shared" si="6"/>
      </c>
      <c r="I24" s="423">
        <f t="shared" si="4"/>
      </c>
      <c r="J24" s="372"/>
      <c r="K24" s="372"/>
      <c r="L24" s="374">
        <f t="shared" si="0"/>
      </c>
      <c r="M24" s="380"/>
      <c r="N24" s="380"/>
      <c r="O24" s="380"/>
      <c r="P24" s="380"/>
      <c r="Q24" s="380"/>
      <c r="R24" s="380"/>
      <c r="S24" s="380"/>
      <c r="T24" s="380"/>
    </row>
    <row r="25" hidden="1">
      <c r="A25" s="375">
        <f t="shared" si="1"/>
      </c>
      <c r="B25" s="372"/>
      <c r="C25" s="372"/>
      <c r="D25" s="373">
        <f t="shared" si="2"/>
      </c>
      <c r="E25" s="375">
        <f t="shared" si="3"/>
      </c>
      <c r="F25" s="372"/>
      <c r="G25" s="372"/>
      <c r="H25" s="374">
        <f t="shared" si="6"/>
      </c>
      <c r="I25" s="423">
        <f t="shared" si="4"/>
      </c>
      <c r="J25" s="372"/>
      <c r="K25" s="372"/>
      <c r="L25" s="374">
        <f t="shared" si="0"/>
      </c>
      <c r="M25" s="380"/>
      <c r="N25" s="380"/>
      <c r="O25" s="380"/>
      <c r="P25" s="380"/>
      <c r="Q25" s="380"/>
      <c r="R25" s="380"/>
      <c r="S25" s="380"/>
      <c r="T25" s="380"/>
    </row>
    <row r="26" hidden="1">
      <c r="A26" s="375">
        <f t="shared" si="1"/>
      </c>
      <c r="B26" s="372"/>
      <c r="C26" s="372"/>
      <c r="D26" s="373">
        <f t="shared" si="2"/>
      </c>
      <c r="E26" s="375">
        <f t="shared" si="3"/>
      </c>
      <c r="F26" s="372"/>
      <c r="G26" s="372"/>
      <c r="H26" s="374">
        <f t="shared" si="6"/>
      </c>
      <c r="I26" s="423">
        <f t="shared" si="4"/>
      </c>
      <c r="J26" s="372"/>
      <c r="K26" s="372"/>
      <c r="L26" s="374">
        <f t="shared" si="0"/>
      </c>
      <c r="M26" s="380"/>
      <c r="N26" s="380"/>
      <c r="O26" s="380"/>
      <c r="P26" s="380"/>
      <c r="Q26" s="380"/>
      <c r="R26" s="380"/>
      <c r="S26" s="380"/>
      <c r="T26" s="380"/>
    </row>
    <row r="27" hidden="1">
      <c r="A27" s="375">
        <f t="shared" si="1"/>
      </c>
      <c r="B27" s="372"/>
      <c r="C27" s="372"/>
      <c r="D27" s="373">
        <f t="shared" si="2"/>
      </c>
      <c r="E27" s="375">
        <f t="shared" si="3"/>
      </c>
      <c r="F27" s="372"/>
      <c r="G27" s="372"/>
      <c r="H27" s="374">
        <f t="shared" si="6"/>
      </c>
      <c r="I27" s="423">
        <f t="shared" si="4"/>
      </c>
      <c r="J27" s="365"/>
      <c r="K27" s="372"/>
      <c r="L27" s="374">
        <f t="shared" si="0"/>
      </c>
      <c r="M27" s="380"/>
      <c r="N27" s="380"/>
      <c r="O27" s="380"/>
      <c r="P27" s="380"/>
      <c r="Q27" s="380"/>
      <c r="R27" s="380"/>
      <c r="S27" s="380"/>
      <c r="T27" s="380"/>
    </row>
    <row r="28" hidden="1">
      <c r="A28" s="375">
        <f t="shared" si="1"/>
      </c>
      <c r="B28" s="372"/>
      <c r="C28" s="372"/>
      <c r="D28" s="373">
        <f t="shared" si="2"/>
      </c>
      <c r="E28" s="375">
        <f t="shared" si="3"/>
      </c>
      <c r="F28" s="372"/>
      <c r="G28" s="372"/>
      <c r="H28" s="374">
        <f t="shared" si="6"/>
      </c>
      <c r="I28" s="423">
        <f t="shared" si="4"/>
      </c>
      <c r="J28" s="365"/>
      <c r="K28" s="372"/>
      <c r="L28" s="374">
        <f t="shared" si="0"/>
      </c>
      <c r="M28" s="380"/>
      <c r="N28" s="380"/>
      <c r="O28" s="380"/>
      <c r="P28" s="380"/>
      <c r="Q28" s="380"/>
      <c r="R28" s="380"/>
      <c r="S28" s="380"/>
      <c r="T28" s="380"/>
    </row>
    <row r="29" hidden="1">
      <c r="A29" s="375">
        <f t="shared" si="1"/>
      </c>
      <c r="B29" s="372"/>
      <c r="C29" s="372"/>
      <c r="D29" s="373">
        <f t="shared" si="2"/>
      </c>
      <c r="E29" s="375">
        <f t="shared" si="3"/>
      </c>
      <c r="F29" s="372"/>
      <c r="G29" s="372"/>
      <c r="H29" s="374">
        <f t="shared" si="6"/>
      </c>
      <c r="I29" s="423">
        <f t="shared" si="4"/>
      </c>
      <c r="J29" s="372"/>
      <c r="K29" s="372"/>
      <c r="L29" s="374">
        <f t="shared" si="0"/>
      </c>
      <c r="M29" s="380"/>
      <c r="N29" s="380"/>
      <c r="O29" s="380"/>
      <c r="P29" s="380"/>
      <c r="Q29" s="380"/>
      <c r="R29" s="380"/>
      <c r="S29" s="380"/>
      <c r="T29" s="380"/>
    </row>
    <row r="30" hidden="1">
      <c r="A30" s="375">
        <f t="shared" si="1"/>
      </c>
      <c r="B30" s="372"/>
      <c r="C30" s="372"/>
      <c r="D30" s="373">
        <f t="shared" si="2"/>
      </c>
      <c r="E30" s="375">
        <f t="shared" si="3"/>
      </c>
      <c r="F30" s="372"/>
      <c r="G30" s="372"/>
      <c r="H30" s="374">
        <f t="shared" si="6"/>
      </c>
      <c r="I30" s="423">
        <f t="shared" si="4"/>
      </c>
      <c r="J30" s="372"/>
      <c r="K30" s="372"/>
      <c r="L30" s="374">
        <f t="shared" si="0"/>
      </c>
      <c r="M30" s="380"/>
      <c r="N30" s="380"/>
      <c r="O30" s="380"/>
      <c r="P30" s="380"/>
      <c r="Q30" s="380"/>
      <c r="R30" s="380"/>
      <c r="S30" s="380"/>
      <c r="T30" s="380"/>
    </row>
    <row r="31" hidden="1">
      <c r="A31" s="375">
        <f t="shared" si="1"/>
      </c>
      <c r="B31" s="372"/>
      <c r="C31" s="372"/>
      <c r="D31" s="373">
        <f t="shared" si="2"/>
      </c>
      <c r="E31" s="375">
        <f t="shared" si="3"/>
      </c>
      <c r="F31" s="372"/>
      <c r="G31" s="372"/>
      <c r="H31" s="374">
        <f t="shared" si="6"/>
      </c>
      <c r="I31" s="423">
        <f t="shared" si="4"/>
      </c>
      <c r="J31" s="381"/>
      <c r="K31" s="372"/>
      <c r="L31" s="374">
        <f t="shared" si="0"/>
      </c>
      <c r="M31" s="380"/>
      <c r="N31" s="380"/>
      <c r="O31" s="380"/>
      <c r="P31" s="380"/>
      <c r="Q31" s="380"/>
      <c r="R31" s="380"/>
      <c r="S31" s="380"/>
      <c r="T31" s="380"/>
    </row>
    <row r="32" hidden="1">
      <c r="A32" s="375">
        <f t="shared" si="1"/>
      </c>
      <c r="B32" s="372"/>
      <c r="C32" s="372"/>
      <c r="D32" s="373">
        <f t="shared" si="2"/>
      </c>
      <c r="E32" s="375">
        <f t="shared" si="3"/>
      </c>
      <c r="F32" s="372"/>
      <c r="G32" s="372"/>
      <c r="H32" s="374">
        <f t="shared" si="6"/>
      </c>
      <c r="I32" s="423">
        <f t="shared" si="4"/>
      </c>
      <c r="J32" s="372"/>
      <c r="K32" s="372"/>
      <c r="L32" s="374">
        <f t="shared" si="0"/>
      </c>
      <c r="M32" s="380"/>
      <c r="N32" s="380"/>
      <c r="O32" s="380"/>
      <c r="P32" s="380"/>
      <c r="Q32" s="380"/>
      <c r="R32" s="380"/>
      <c r="S32" s="380"/>
      <c r="T32" s="380"/>
    </row>
    <row r="33" hidden="1">
      <c r="A33" s="375">
        <f t="shared" si="1"/>
      </c>
      <c r="B33" s="372"/>
      <c r="C33" s="372"/>
      <c r="D33" s="373">
        <f t="shared" si="2"/>
      </c>
      <c r="E33" s="375">
        <f t="shared" si="3"/>
      </c>
      <c r="F33" s="372"/>
      <c r="G33" s="372"/>
      <c r="H33" s="374">
        <f t="shared" si="6"/>
      </c>
      <c r="I33" s="423">
        <f t="shared" si="4"/>
      </c>
      <c r="J33" s="365"/>
      <c r="K33" s="372"/>
      <c r="L33" s="374">
        <f t="shared" si="0"/>
      </c>
      <c r="M33" s="380"/>
      <c r="N33" s="380"/>
      <c r="O33" s="380"/>
      <c r="P33" s="380"/>
      <c r="Q33" s="380"/>
      <c r="R33" s="380"/>
      <c r="S33" s="380"/>
      <c r="T33" s="380"/>
    </row>
    <row r="34" hidden="1">
      <c r="A34" s="375">
        <f t="shared" si="1"/>
      </c>
      <c r="B34" s="372"/>
      <c r="C34" s="372"/>
      <c r="D34" s="373">
        <f t="shared" si="2"/>
      </c>
      <c r="E34" s="375">
        <f t="shared" si="3"/>
      </c>
      <c r="F34" s="372"/>
      <c r="G34" s="372"/>
      <c r="H34" s="374">
        <f t="shared" si="6"/>
      </c>
      <c r="I34" s="423">
        <f t="shared" si="4"/>
      </c>
      <c r="J34" s="365"/>
      <c r="K34" s="372"/>
      <c r="L34" s="374">
        <f t="shared" si="0"/>
      </c>
      <c r="M34" s="380"/>
      <c r="N34" s="380"/>
      <c r="O34" s="380"/>
      <c r="P34" s="380"/>
      <c r="Q34" s="380"/>
      <c r="R34" s="380"/>
      <c r="S34" s="380"/>
      <c r="T34" s="380"/>
    </row>
    <row r="35" hidden="1">
      <c r="A35" s="375">
        <f t="shared" si="1"/>
      </c>
      <c r="B35" s="372"/>
      <c r="C35" s="372"/>
      <c r="D35" s="373">
        <f t="shared" si="2"/>
      </c>
      <c r="E35" s="375">
        <f t="shared" si="3"/>
      </c>
      <c r="F35" s="372"/>
      <c r="G35" s="372"/>
      <c r="H35" s="374">
        <f t="shared" si="6"/>
      </c>
      <c r="I35" s="423">
        <f t="shared" si="4"/>
      </c>
      <c r="J35" s="365"/>
      <c r="K35" s="372"/>
      <c r="L35" s="374">
        <f t="shared" si="0"/>
      </c>
      <c r="M35" s="380"/>
      <c r="N35" s="380"/>
      <c r="O35" s="380"/>
      <c r="P35" s="380"/>
      <c r="Q35" s="380"/>
      <c r="R35" s="380"/>
      <c r="S35" s="380"/>
      <c r="T35" s="380"/>
    </row>
    <row r="36" hidden="1">
      <c r="A36" s="375">
        <f t="shared" si="1"/>
      </c>
      <c r="B36" s="372"/>
      <c r="C36" s="372"/>
      <c r="D36" s="373">
        <f t="shared" si="2"/>
      </c>
      <c r="E36" s="375">
        <f t="shared" si="3"/>
      </c>
      <c r="F36" s="372"/>
      <c r="G36" s="372"/>
      <c r="H36" s="374">
        <f t="shared" si="6"/>
      </c>
      <c r="I36" s="423">
        <f t="shared" si="4"/>
      </c>
      <c r="J36" s="372"/>
      <c r="K36" s="372"/>
      <c r="L36" s="382">
        <f t="shared" si="0"/>
      </c>
      <c r="M36" s="380"/>
      <c r="N36" s="380"/>
      <c r="O36" s="380"/>
      <c r="P36" s="380"/>
      <c r="Q36" s="380"/>
      <c r="R36" s="380"/>
      <c r="S36" s="380"/>
      <c r="T36" s="380"/>
    </row>
    <row r="37" hidden="1">
      <c r="A37" s="375">
        <f t="shared" si="1"/>
      </c>
      <c r="B37" s="372"/>
      <c r="C37" s="372"/>
      <c r="D37" s="373">
        <f t="shared" si="2"/>
      </c>
      <c r="E37" s="375">
        <f t="shared" si="3"/>
      </c>
      <c r="F37" s="372"/>
      <c r="G37" s="372"/>
      <c r="H37" s="374">
        <f t="shared" si="6"/>
      </c>
      <c r="I37" s="423">
        <f t="shared" si="4"/>
      </c>
      <c r="J37" s="372"/>
      <c r="K37" s="372"/>
      <c r="L37" s="382">
        <f t="shared" si="0"/>
      </c>
      <c r="M37" s="380"/>
      <c r="N37" s="380"/>
      <c r="O37" s="380"/>
      <c r="P37" s="380"/>
      <c r="Q37" s="380"/>
      <c r="R37" s="380"/>
      <c r="S37" s="380"/>
      <c r="T37" s="380"/>
    </row>
    <row r="38" hidden="1">
      <c r="A38" s="375">
        <f t="shared" si="1"/>
      </c>
      <c r="B38" s="372"/>
      <c r="C38" s="372"/>
      <c r="D38" s="373">
        <f t="shared" si="2"/>
      </c>
      <c r="E38" s="375">
        <f t="shared" si="3"/>
      </c>
      <c r="F38" s="372"/>
      <c r="G38" s="372"/>
      <c r="H38" s="374">
        <f t="shared" si="6"/>
      </c>
      <c r="I38" s="423">
        <f t="shared" si="4"/>
      </c>
      <c r="J38" s="372"/>
      <c r="K38" s="372"/>
      <c r="L38" s="382">
        <f t="shared" si="0"/>
      </c>
      <c r="M38" s="380"/>
      <c r="N38" s="380"/>
      <c r="O38" s="380"/>
      <c r="P38" s="380"/>
      <c r="Q38" s="380"/>
      <c r="R38" s="380"/>
      <c r="S38" s="380"/>
      <c r="T38" s="380"/>
    </row>
    <row r="39" hidden="1">
      <c r="A39" s="375">
        <f t="shared" si="1"/>
      </c>
      <c r="B39" s="372"/>
      <c r="C39" s="372"/>
      <c r="D39" s="373">
        <f t="shared" si="2"/>
      </c>
      <c r="E39" s="375">
        <f t="shared" si="3"/>
      </c>
      <c r="F39" s="372"/>
      <c r="G39" s="372"/>
      <c r="H39" s="374">
        <f t="shared" si="6"/>
      </c>
      <c r="I39" s="423">
        <f t="shared" si="4"/>
      </c>
      <c r="J39" s="372"/>
      <c r="K39" s="372"/>
      <c r="L39" s="382">
        <f t="shared" si="0"/>
      </c>
      <c r="M39" s="380"/>
      <c r="N39" s="380"/>
      <c r="O39" s="380"/>
      <c r="P39" s="380"/>
      <c r="Q39" s="380"/>
      <c r="R39" s="380"/>
      <c r="S39" s="380"/>
      <c r="T39" s="380"/>
    </row>
    <row r="40" hidden="1">
      <c r="A40" s="375">
        <f t="shared" si="1"/>
      </c>
      <c r="B40" s="372"/>
      <c r="C40" s="372"/>
      <c r="D40" s="373">
        <f t="shared" si="2"/>
      </c>
      <c r="E40" s="375">
        <f t="shared" si="3"/>
      </c>
      <c r="F40" s="372"/>
      <c r="G40" s="372"/>
      <c r="H40" s="374">
        <f t="shared" si="6"/>
      </c>
      <c r="I40" s="423">
        <f t="shared" si="4"/>
      </c>
      <c r="J40" s="372"/>
      <c r="K40" s="372"/>
      <c r="L40" s="382">
        <f t="shared" si="0"/>
      </c>
      <c r="M40" s="380"/>
      <c r="N40" s="380"/>
      <c r="O40" s="380"/>
      <c r="P40" s="380"/>
      <c r="Q40" s="380"/>
      <c r="R40" s="380"/>
      <c r="S40" s="380"/>
      <c r="T40" s="380"/>
    </row>
    <row r="41" hidden="1">
      <c r="A41" s="375">
        <f t="shared" si="1"/>
      </c>
      <c r="B41" s="372"/>
      <c r="C41" s="372"/>
      <c r="D41" s="373">
        <f t="shared" si="2"/>
      </c>
      <c r="E41" s="375">
        <f t="shared" si="3"/>
      </c>
      <c r="F41" s="372"/>
      <c r="G41" s="372"/>
      <c r="H41" s="374">
        <f t="shared" si="6"/>
      </c>
      <c r="I41" s="423">
        <f t="shared" si="4"/>
      </c>
      <c r="J41" s="372"/>
      <c r="K41" s="372"/>
      <c r="L41" s="382">
        <f t="shared" si="0"/>
      </c>
      <c r="M41" s="380"/>
      <c r="N41" s="380"/>
      <c r="O41" s="380"/>
      <c r="P41" s="380"/>
      <c r="Q41" s="380"/>
      <c r="R41" s="380"/>
      <c r="S41" s="380"/>
      <c r="T41" s="380"/>
    </row>
    <row r="42" hidden="1">
      <c r="A42" s="375">
        <f t="shared" si="1"/>
      </c>
      <c r="B42" s="372"/>
      <c r="C42" s="372"/>
      <c r="D42" s="373">
        <f t="shared" si="2"/>
      </c>
      <c r="E42" s="375">
        <f t="shared" si="3"/>
      </c>
      <c r="F42" s="372"/>
      <c r="G42" s="372"/>
      <c r="H42" s="374">
        <f t="shared" si="6"/>
      </c>
      <c r="I42" s="423">
        <f t="shared" si="4"/>
      </c>
      <c r="J42" s="372"/>
      <c r="K42" s="372"/>
      <c r="L42" s="382">
        <f t="shared" si="0"/>
      </c>
      <c r="M42" s="380"/>
      <c r="N42" s="380"/>
      <c r="O42" s="380"/>
      <c r="P42" s="380"/>
      <c r="Q42" s="380"/>
      <c r="R42" s="380"/>
      <c r="S42" s="380"/>
      <c r="T42" s="380"/>
    </row>
    <row r="43" hidden="1">
      <c r="A43" s="375">
        <f t="shared" si="1"/>
      </c>
      <c r="B43" s="372"/>
      <c r="C43" s="372"/>
      <c r="D43" s="373">
        <f t="shared" si="2"/>
      </c>
      <c r="E43" s="375">
        <f t="shared" si="3"/>
      </c>
      <c r="F43" s="372"/>
      <c r="G43" s="372"/>
      <c r="H43" s="374">
        <f t="shared" si="6"/>
      </c>
      <c r="I43" s="423">
        <f t="shared" si="4"/>
      </c>
      <c r="J43" s="372"/>
      <c r="K43" s="372"/>
      <c r="L43" s="382">
        <f t="shared" si="0"/>
      </c>
      <c r="M43" s="380"/>
      <c r="N43" s="380"/>
      <c r="O43" s="380"/>
      <c r="P43" s="380"/>
      <c r="Q43" s="380"/>
      <c r="R43" s="380"/>
      <c r="S43" s="380"/>
      <c r="T43" s="380"/>
    </row>
    <row r="44" hidden="1">
      <c r="A44" s="375">
        <f t="shared" si="1"/>
      </c>
      <c r="B44" s="372"/>
      <c r="C44" s="372"/>
      <c r="D44" s="373">
        <f t="shared" si="2"/>
      </c>
      <c r="E44" s="375">
        <f t="shared" si="3"/>
      </c>
      <c r="F44" s="372"/>
      <c r="G44" s="372"/>
      <c r="H44" s="374">
        <f t="shared" si="6"/>
      </c>
      <c r="I44" s="423">
        <f t="shared" si="4"/>
      </c>
      <c r="J44" s="372"/>
      <c r="K44" s="372"/>
      <c r="L44" s="382">
        <f t="shared" si="0"/>
      </c>
      <c r="M44" s="380"/>
      <c r="N44" s="380"/>
      <c r="O44" s="380"/>
      <c r="P44" s="380"/>
      <c r="Q44" s="380"/>
      <c r="R44" s="380"/>
      <c r="S44" s="380"/>
      <c r="T44" s="380"/>
    </row>
    <row r="45" hidden="1">
      <c r="A45" s="375">
        <f t="shared" si="1"/>
      </c>
      <c r="B45" s="372"/>
      <c r="C45" s="372"/>
      <c r="D45" s="373">
        <f t="shared" si="2"/>
      </c>
      <c r="E45" s="375">
        <f t="shared" si="3"/>
      </c>
      <c r="F45" s="372"/>
      <c r="G45" s="372"/>
      <c r="H45" s="374">
        <f t="shared" si="6"/>
      </c>
      <c r="I45" s="423">
        <f t="shared" si="4"/>
      </c>
      <c r="J45" s="372"/>
      <c r="K45" s="372"/>
      <c r="L45" s="382">
        <f t="shared" si="0"/>
      </c>
      <c r="M45" s="380"/>
      <c r="N45" s="380"/>
      <c r="O45" s="380"/>
      <c r="P45" s="380"/>
      <c r="Q45" s="380"/>
      <c r="R45" s="380"/>
      <c r="S45" s="380"/>
      <c r="T45" s="380"/>
    </row>
    <row r="46" hidden="1">
      <c r="A46" s="375">
        <f t="shared" si="1"/>
      </c>
      <c r="B46" s="372"/>
      <c r="C46" s="372"/>
      <c r="D46" s="373">
        <f t="shared" si="2"/>
      </c>
      <c r="E46" s="375">
        <f t="shared" si="3"/>
      </c>
      <c r="F46" s="372"/>
      <c r="G46" s="372"/>
      <c r="H46" s="374">
        <f t="shared" si="6"/>
      </c>
      <c r="I46" s="423">
        <f t="shared" si="4"/>
      </c>
      <c r="J46" s="372"/>
      <c r="K46" s="372"/>
      <c r="L46" s="382">
        <f t="shared" si="0"/>
      </c>
      <c r="M46" s="380"/>
      <c r="N46" s="380"/>
      <c r="O46" s="380"/>
      <c r="P46" s="380"/>
      <c r="Q46" s="380"/>
      <c r="R46" s="380"/>
      <c r="S46" s="380"/>
      <c r="T46" s="380"/>
    </row>
    <row r="47" hidden="1">
      <c r="A47" s="375">
        <f t="shared" si="1"/>
      </c>
      <c r="B47" s="372"/>
      <c r="C47" s="372"/>
      <c r="D47" s="373">
        <f t="shared" si="2"/>
      </c>
      <c r="E47" s="375">
        <f t="shared" si="3"/>
      </c>
      <c r="F47" s="372"/>
      <c r="G47" s="372"/>
      <c r="H47" s="374">
        <f t="shared" si="6"/>
      </c>
      <c r="I47" s="423">
        <f t="shared" si="4"/>
      </c>
      <c r="J47" s="372"/>
      <c r="K47" s="372"/>
      <c r="L47" s="382">
        <f t="shared" si="0"/>
      </c>
      <c r="M47" s="380"/>
      <c r="N47" s="380"/>
      <c r="O47" s="380"/>
      <c r="P47" s="380"/>
      <c r="Q47" s="380"/>
      <c r="R47" s="380"/>
      <c r="S47" s="380"/>
      <c r="T47" s="380"/>
    </row>
    <row r="48" hidden="1">
      <c r="A48" s="375">
        <f t="shared" si="1"/>
      </c>
      <c r="B48" s="372"/>
      <c r="C48" s="372"/>
      <c r="D48" s="373">
        <f t="shared" si="2"/>
      </c>
      <c r="E48" s="375">
        <f t="shared" si="3"/>
      </c>
      <c r="F48" s="372"/>
      <c r="G48" s="372"/>
      <c r="H48" s="374">
        <f t="shared" si="6"/>
      </c>
      <c r="I48" s="423">
        <f t="shared" si="4"/>
      </c>
      <c r="J48" s="372"/>
      <c r="K48" s="372"/>
      <c r="L48" s="382">
        <f t="shared" si="0"/>
      </c>
      <c r="M48" s="380"/>
      <c r="N48" s="380"/>
      <c r="O48" s="380"/>
      <c r="P48" s="380"/>
      <c r="Q48" s="380"/>
      <c r="R48" s="380"/>
      <c r="S48" s="380"/>
      <c r="T48" s="380"/>
    </row>
    <row r="49" hidden="1">
      <c r="A49" s="375">
        <f t="shared" si="1"/>
      </c>
      <c r="B49" s="372"/>
      <c r="C49" s="372"/>
      <c r="D49" s="373">
        <f t="shared" si="2"/>
      </c>
      <c r="E49" s="375">
        <f t="shared" si="3"/>
      </c>
      <c r="F49" s="372"/>
      <c r="G49" s="372"/>
      <c r="H49" s="374">
        <f t="shared" si="6"/>
      </c>
      <c r="I49" s="423">
        <f t="shared" si="4"/>
      </c>
      <c r="J49" s="372"/>
      <c r="K49" s="372"/>
      <c r="L49" s="382">
        <f t="shared" si="0"/>
      </c>
      <c r="M49" s="380"/>
      <c r="N49" s="380"/>
      <c r="O49" s="380"/>
      <c r="P49" s="380"/>
      <c r="Q49" s="380"/>
      <c r="R49" s="380"/>
      <c r="S49" s="380"/>
      <c r="T49" s="380"/>
    </row>
    <row r="50" hidden="1">
      <c r="A50" s="375">
        <f t="shared" si="1"/>
      </c>
      <c r="B50" s="383"/>
      <c r="C50" s="383"/>
      <c r="D50" s="384">
        <f t="shared" si="2"/>
      </c>
      <c r="E50" s="375">
        <f t="shared" si="3"/>
      </c>
      <c r="F50" s="383"/>
      <c r="G50" s="383"/>
      <c r="H50" s="374">
        <f t="shared" si="6"/>
      </c>
      <c r="I50" s="423">
        <f t="shared" si="4"/>
      </c>
      <c r="J50" s="383"/>
      <c r="K50" s="383"/>
      <c r="L50" s="382">
        <f t="shared" si="0"/>
      </c>
      <c r="M50" s="380"/>
      <c r="N50" s="380"/>
      <c r="O50" s="380"/>
      <c r="P50" s="380"/>
      <c r="Q50" s="380"/>
      <c r="R50" s="380"/>
      <c r="S50" s="380"/>
      <c r="T50" s="380"/>
    </row>
    <row r="51" hidden="1">
      <c r="A51" s="375">
        <f t="shared" si="1"/>
      </c>
      <c r="B51" s="372"/>
      <c r="C51" s="372"/>
      <c r="D51" s="373">
        <f t="shared" si="2"/>
      </c>
      <c r="E51" s="375">
        <f t="shared" si="3"/>
      </c>
      <c r="F51" s="372"/>
      <c r="G51" s="372"/>
      <c r="H51" s="374">
        <f t="shared" si="6"/>
      </c>
      <c r="I51" s="423">
        <f t="shared" si="4"/>
      </c>
      <c r="J51" s="372"/>
      <c r="K51" s="372"/>
      <c r="L51" s="382">
        <f t="shared" si="0"/>
      </c>
      <c r="M51" s="380"/>
      <c r="N51" s="380"/>
      <c r="O51" s="380"/>
      <c r="P51" s="380"/>
      <c r="Q51" s="380"/>
      <c r="R51" s="380"/>
      <c r="S51" s="380"/>
      <c r="T51" s="380"/>
    </row>
    <row r="52" hidden="1">
      <c r="A52" s="375">
        <f t="shared" si="1"/>
      </c>
      <c r="B52" s="372"/>
      <c r="C52" s="372"/>
      <c r="D52" s="373">
        <f t="shared" si="2"/>
      </c>
      <c r="E52" s="375">
        <f t="shared" si="3"/>
      </c>
      <c r="F52" s="372"/>
      <c r="G52" s="372"/>
      <c r="H52" s="374">
        <f t="shared" si="6"/>
      </c>
      <c r="I52" s="423">
        <f t="shared" si="4"/>
      </c>
      <c r="J52" s="372"/>
      <c r="K52" s="372"/>
      <c r="L52" s="382">
        <f t="shared" si="0"/>
      </c>
      <c r="M52" s="380"/>
      <c r="N52" s="380"/>
      <c r="O52" s="380"/>
      <c r="P52" s="380"/>
      <c r="Q52" s="380"/>
      <c r="R52" s="380"/>
      <c r="S52" s="380"/>
      <c r="T52" s="380"/>
    </row>
    <row r="53" hidden="1">
      <c r="A53" s="375">
        <f t="shared" si="1"/>
      </c>
      <c r="B53" s="372"/>
      <c r="C53" s="372"/>
      <c r="D53" s="373">
        <f t="shared" si="2"/>
      </c>
      <c r="E53" s="375">
        <f t="shared" si="3"/>
      </c>
      <c r="F53" s="372"/>
      <c r="G53" s="372"/>
      <c r="H53" s="374">
        <f t="shared" si="6"/>
      </c>
      <c r="I53" s="423">
        <f t="shared" si="4"/>
      </c>
      <c r="J53" s="372"/>
      <c r="K53" s="372"/>
      <c r="L53" s="382">
        <f t="shared" si="0"/>
      </c>
      <c r="M53" s="380"/>
      <c r="N53" s="380"/>
      <c r="O53" s="380"/>
      <c r="P53" s="380"/>
      <c r="Q53" s="380"/>
      <c r="R53" s="380"/>
      <c r="S53" s="380"/>
      <c r="T53" s="380"/>
    </row>
    <row r="54" spans="1:30" ht="5.25" customHeight="1" thickBot="1">
      <c r="A54" s="385"/>
      <c r="B54" s="392"/>
      <c r="C54" s="383"/>
      <c r="D54" s="410"/>
      <c r="E54" s="417"/>
      <c r="F54" s="383"/>
      <c r="G54" s="383"/>
      <c r="H54" s="427"/>
      <c r="I54" s="424"/>
      <c r="J54" s="383"/>
      <c r="K54" s="383"/>
      <c r="L54" s="393"/>
      <c r="M54" s="380"/>
      <c r="N54" s="380"/>
      <c r="O54" s="380"/>
      <c r="P54" s="380"/>
      <c r="Q54" s="380"/>
      <c r="R54" s="380"/>
      <c r="S54" s="380"/>
      <c r="T54" s="380"/>
    </row>
    <row r="55" spans="1:30">
      <c r="A55" s="395" t="s">
        <v>5</v>
      </c>
      <c r="B55" s="396">
        <f>SUM(B7:B53)</f>
      </c>
      <c r="C55" s="396">
        <f>SUM(C7:C53)</f>
      </c>
      <c r="D55" s="411"/>
      <c r="E55" s="418" t="s">
        <v>5</v>
      </c>
      <c r="F55" s="396">
        <f>SUM(F7:F53)</f>
      </c>
      <c r="G55" s="396">
        <f>SUM(G7:G53)</f>
      </c>
      <c r="H55" s="362"/>
      <c r="I55" s="425" t="s">
        <v>5</v>
      </c>
      <c r="J55" s="396">
        <f>SUM(J7:J53)</f>
      </c>
      <c r="K55" s="396">
        <f>SUM(K7:K53)</f>
      </c>
      <c r="L55" s="362"/>
      <c r="M55" s="380"/>
      <c r="N55" s="380"/>
      <c r="O55" s="380"/>
      <c r="P55" s="380"/>
      <c r="Q55" s="380"/>
      <c r="R55" s="380"/>
      <c r="S55" s="380"/>
      <c r="T55" s="380"/>
    </row>
    <row r="56" spans="1:30">
      <c r="A56" s="397" t="s">
        <v>457</v>
      </c>
      <c r="B56" s="394">
        <f>AVERAGE(B7:B53)</f>
      </c>
      <c r="C56" s="394">
        <f>AVERAGE(C7:C53)</f>
      </c>
      <c r="D56" s="412"/>
      <c r="E56" s="419" t="s">
        <v>457</v>
      </c>
      <c r="F56" s="394">
        <f>AVERAGE(F7:F53)</f>
      </c>
      <c r="G56" s="394">
        <f>AVERAGE(G7:G53)</f>
      </c>
      <c r="H56" s="420"/>
      <c r="I56" s="426" t="s">
        <v>457</v>
      </c>
      <c r="J56" s="394">
        <f>AVERAGE(J7:J53)</f>
      </c>
      <c r="K56" s="394">
        <f>AVERAGE(K7:K53)</f>
      </c>
      <c r="L56" s="398"/>
      <c r="M56" s="386"/>
      <c r="N56" s="386"/>
      <c r="O56" s="386"/>
      <c r="P56" s="386"/>
      <c r="Q56" s="386"/>
      <c r="R56" s="386"/>
      <c r="S56" s="386"/>
      <c r="T56" s="386"/>
    </row>
    <row r="57" spans="1:30" ht="15.75" thickBot="1">
      <c r="A57" s="399" t="s">
        <v>729</v>
      </c>
      <c r="B57" s="400">
        <f>COUNT(B7:B53)</f>
      </c>
      <c r="C57" s="400">
        <f>COUNT(C7:C53)</f>
      </c>
      <c r="D57" s="413"/>
      <c r="E57" s="421"/>
      <c r="F57" s="400">
        <f>COUNT(F7:F53)</f>
      </c>
      <c r="G57" s="400">
        <f>COUNT(G7:G53)</f>
      </c>
      <c r="H57" s="401"/>
      <c r="I57" s="414"/>
      <c r="J57" s="400">
        <f>COUNT(J7:J53)</f>
      </c>
      <c r="K57" s="400">
        <f>COUNT(K7:K53)</f>
      </c>
      <c r="L57" s="401"/>
      <c r="U57" s="387"/>
      <c r="V57" s="350"/>
      <c r="W57" s="388"/>
      <c r="X57" s="388"/>
      <c r="Y57" s="389"/>
      <c r="Z57" s="390"/>
      <c r="AA57" s="388"/>
      <c r="AB57" s="388"/>
      <c r="AC57" s="388"/>
      <c r="AD57" s="391"/>
    </row>
    <row r="59" spans="1:30" ht="15.75" thickBot="1"/>
    <row r="60" spans="1:30" customFormat="1" ht="19.5" thickBot="1">
      <c r="A60" s="94"/>
      <c r="B60" s="1196" t="s">
        <v>757</v>
      </c>
      <c r="C60" s="1197"/>
      <c r="D60" s="1197"/>
      <c r="E60" s="1197"/>
      <c r="F60" s="1197"/>
      <c r="G60" s="1197"/>
      <c r="H60" s="1198"/>
      <c r="I60" s="529"/>
      <c r="J60" s="529"/>
      <c r="K60" s="529"/>
      <c r="L60" s="529"/>
      <c r="M60" s="529"/>
      <c r="N60" s="529"/>
      <c r="O60" s="529"/>
      <c r="P60" s="529"/>
      <c r="Q60" s="529"/>
      <c r="R60" s="529"/>
      <c r="S60" s="529"/>
      <c r="T60" s="529"/>
      <c r="U60" s="529"/>
      <c r="V60" s="529"/>
      <c r="W60" s="529"/>
      <c r="X60" s="529"/>
      <c r="Y60" s="529"/>
      <c r="Z60" s="529"/>
    </row>
    <row r="61" spans="1:30" customFormat="1" ht="5.25" customHeight="1" thickBot="1">
      <c r="A61" s="94"/>
      <c r="B61" s="496"/>
      <c r="C61" s="496"/>
      <c r="D61" s="496"/>
      <c r="E61" s="496"/>
      <c r="F61" s="496"/>
      <c r="G61" s="496"/>
      <c r="H61" s="496"/>
      <c r="I61" s="495"/>
      <c r="J61" s="495"/>
      <c r="K61" s="495"/>
      <c r="L61" s="495"/>
      <c r="M61" s="495"/>
      <c r="N61" s="495"/>
      <c r="O61" s="495"/>
      <c r="P61" s="495"/>
      <c r="Q61" s="495"/>
      <c r="R61" s="495"/>
      <c r="S61" s="495"/>
      <c r="T61" s="495"/>
      <c r="U61" s="495"/>
      <c r="V61" s="495"/>
      <c r="W61" s="495"/>
      <c r="X61" s="495"/>
      <c r="Y61" s="495"/>
      <c r="Z61" s="495"/>
    </row>
    <row r="62" customFormat="1">
      <c r="A62" s="94"/>
      <c r="B62" s="1519" t="s">
        <v>877</v>
      </c>
      <c r="C62" s="1520"/>
      <c r="D62" s="530" t="s">
        <v>761</v>
      </c>
      <c r="E62" s="20"/>
      <c r="F62" s="1519" t="s">
        <v>877</v>
      </c>
      <c r="G62" s="1520"/>
      <c r="H62" s="530"/>
      <c r="I62" s="20"/>
      <c r="J62" s="20"/>
      <c r="K62" s="20"/>
      <c r="L62" s="124"/>
      <c r="M62" s="34"/>
      <c r="N62" s="199"/>
      <c r="O62" s="20"/>
      <c r="P62" s="20"/>
      <c r="Q62" s="20"/>
      <c r="R62" s="37"/>
      <c r="S62" s="1521"/>
      <c r="T62" s="1521"/>
      <c r="U62" s="1521"/>
      <c r="V62" s="1521"/>
      <c r="W62" s="1521"/>
      <c r="X62" s="1521"/>
      <c r="Y62" s="1521"/>
      <c r="Z62" s="1521"/>
    </row>
    <row r="63" customFormat="1">
      <c r="A63" s="94"/>
      <c r="B63" s="1522" t="s">
        <v>878</v>
      </c>
      <c r="C63" s="1523"/>
      <c r="D63" s="654">
        <f>T9</f>
      </c>
      <c r="E63" s="531"/>
      <c r="F63" s="1522" t="s">
        <v>880</v>
      </c>
      <c r="G63" s="1523"/>
      <c r="H63" s="532"/>
      <c r="I63" s="531"/>
      <c r="J63" s="531"/>
      <c r="K63" s="531"/>
      <c r="L63" s="124"/>
      <c r="M63" s="34"/>
      <c r="N63" s="199"/>
      <c r="O63" s="20"/>
      <c r="P63" s="20"/>
      <c r="Q63" s="20"/>
      <c r="R63" s="37"/>
      <c r="S63" s="1521"/>
      <c r="T63" s="1521"/>
      <c r="U63" s="1521"/>
      <c r="V63" s="1521"/>
      <c r="W63" s="1521"/>
      <c r="X63" s="1521"/>
      <c r="Y63" s="1521"/>
      <c r="Z63" s="1521"/>
    </row>
    <row r="64" customFormat="1" ht="15.75" thickBot="1">
      <c r="A64" s="94"/>
      <c r="B64" s="1524" t="s">
        <v>879</v>
      </c>
      <c r="C64" s="1525"/>
      <c r="D64" s="655">
        <f>C1</f>
      </c>
      <c r="E64" s="20"/>
      <c r="F64" s="1522" t="s">
        <v>881</v>
      </c>
      <c r="G64" s="1523"/>
      <c r="H64" s="532"/>
      <c r="I64" s="20"/>
      <c r="J64" s="20"/>
      <c r="K64" s="20"/>
      <c r="L64" s="124"/>
      <c r="M64" s="34"/>
      <c r="N64" s="118"/>
      <c r="O64" s="20"/>
      <c r="P64" s="20"/>
      <c r="Q64" s="20"/>
      <c r="R64" s="37"/>
      <c r="S64" s="1521"/>
      <c r="T64" s="1521"/>
      <c r="U64" s="1521"/>
      <c r="V64" s="1521"/>
      <c r="W64" s="1521"/>
      <c r="X64" s="1521"/>
      <c r="Y64" s="1521"/>
      <c r="Z64" s="1521"/>
    </row>
    <row r="65" customFormat="1" ht="15.75" thickBot="1">
      <c r="A65" s="94"/>
      <c r="B65" s="34"/>
      <c r="C65" s="497"/>
      <c r="D65" s="533"/>
      <c r="E65" s="531"/>
      <c r="F65" s="1526" t="s">
        <v>882</v>
      </c>
      <c r="G65" s="1527"/>
      <c r="H65" s="534"/>
      <c r="I65" s="531"/>
      <c r="J65" s="531"/>
      <c r="K65" s="531"/>
      <c r="L65" s="124"/>
      <c r="M65" s="34"/>
      <c r="N65" s="118"/>
      <c r="O65" s="20"/>
      <c r="P65" s="20"/>
      <c r="Q65" s="20"/>
      <c r="R65" s="37"/>
      <c r="S65" s="1528"/>
      <c r="T65" s="1528"/>
      <c r="U65" s="1528"/>
      <c r="V65" s="1528"/>
      <c r="W65" s="1528"/>
      <c r="X65" s="1528"/>
      <c r="Y65" s="1528"/>
      <c r="Z65" s="1528"/>
    </row>
    <row r="66" spans="1:30" customFormat="1" ht="13.5" customHeight="1" thickBot="1">
      <c r="A66" s="94"/>
      <c r="B66" s="495"/>
      <c r="C66" s="495"/>
      <c r="D66" s="495"/>
      <c r="E66" s="535"/>
      <c r="F66" s="535"/>
      <c r="G66" s="535"/>
      <c r="H66" s="535"/>
      <c r="I66" s="535"/>
      <c r="J66" s="535"/>
      <c r="K66" s="535"/>
      <c r="L66" s="495"/>
      <c r="M66" s="535"/>
      <c r="N66" s="535"/>
      <c r="O66" s="535"/>
      <c r="P66" s="535"/>
      <c r="Q66" s="535"/>
      <c r="R66" s="535"/>
      <c r="S66" s="535"/>
      <c r="T66" s="535"/>
      <c r="U66" s="535"/>
      <c r="V66" s="535"/>
      <c r="W66" s="535"/>
      <c r="X66" s="535"/>
      <c r="Y66" s="535"/>
      <c r="Z66" s="535"/>
    </row>
    <row r="67" customFormat="1">
      <c r="A67" s="94"/>
      <c r="B67" s="1519" t="s">
        <v>877</v>
      </c>
      <c r="C67" s="1520"/>
      <c r="D67" s="530"/>
      <c r="E67" s="20"/>
      <c r="F67" s="1519" t="s">
        <v>877</v>
      </c>
      <c r="G67" s="1520"/>
      <c r="H67" s="530"/>
      <c r="I67" s="20"/>
      <c r="J67" s="20"/>
      <c r="K67" s="20"/>
      <c r="L67" s="124"/>
      <c r="M67" s="34"/>
      <c r="N67" s="199"/>
      <c r="O67" s="20"/>
      <c r="P67" s="20"/>
      <c r="Q67" s="20"/>
      <c r="R67" s="37"/>
      <c r="S67" s="1521"/>
      <c r="T67" s="1521"/>
      <c r="U67" s="1521"/>
      <c r="V67" s="1521"/>
      <c r="W67" s="1521"/>
      <c r="X67" s="1521"/>
      <c r="Y67" s="1521"/>
      <c r="Z67" s="1521"/>
    </row>
    <row r="68" customFormat="1">
      <c r="A68" s="94"/>
      <c r="B68" s="1522" t="s">
        <v>880</v>
      </c>
      <c r="C68" s="1523"/>
      <c r="D68" s="532"/>
      <c r="E68" s="20"/>
      <c r="F68" s="1522" t="s">
        <v>880</v>
      </c>
      <c r="G68" s="1523"/>
      <c r="H68" s="532"/>
      <c r="I68" s="20"/>
      <c r="J68" s="20"/>
      <c r="K68" s="20"/>
      <c r="L68" s="124"/>
      <c r="M68" s="34"/>
      <c r="N68" s="199"/>
      <c r="O68" s="20"/>
      <c r="P68" s="20"/>
      <c r="Q68" s="20"/>
      <c r="R68" s="37"/>
      <c r="S68" s="1521"/>
      <c r="T68" s="1521"/>
      <c r="U68" s="1521"/>
      <c r="V68" s="1521"/>
      <c r="W68" s="1521"/>
      <c r="X68" s="1521"/>
      <c r="Y68" s="1521"/>
      <c r="Z68" s="1521"/>
    </row>
    <row r="69" customFormat="1">
      <c r="A69" s="94"/>
      <c r="B69" s="1522" t="s">
        <v>881</v>
      </c>
      <c r="C69" s="1523"/>
      <c r="D69" s="532"/>
      <c r="E69" s="20"/>
      <c r="F69" s="1522" t="s">
        <v>881</v>
      </c>
      <c r="G69" s="1523"/>
      <c r="H69" s="532"/>
      <c r="I69" s="20"/>
      <c r="J69" s="20"/>
      <c r="K69" s="20"/>
      <c r="L69" s="124"/>
      <c r="M69" s="34"/>
      <c r="N69" s="118"/>
      <c r="O69" s="20"/>
      <c r="P69" s="20"/>
      <c r="Q69" s="20"/>
      <c r="R69" s="37"/>
      <c r="S69" s="1521"/>
      <c r="T69" s="1521"/>
      <c r="U69" s="1521"/>
      <c r="V69" s="1521"/>
      <c r="W69" s="1521"/>
      <c r="X69" s="1521"/>
      <c r="Y69" s="1521"/>
      <c r="Z69" s="1521"/>
    </row>
    <row r="70" customFormat="1" ht="15.75" thickBot="1">
      <c r="A70" s="94"/>
      <c r="B70" s="1526" t="s">
        <v>882</v>
      </c>
      <c r="C70" s="1527"/>
      <c r="D70" s="534"/>
      <c r="E70" s="531"/>
      <c r="F70" s="1526" t="s">
        <v>882</v>
      </c>
      <c r="G70" s="1527"/>
      <c r="H70" s="534"/>
      <c r="I70" s="531"/>
      <c r="J70" s="531"/>
      <c r="K70" s="531"/>
      <c r="L70" s="124"/>
      <c r="M70" s="34"/>
      <c r="N70" s="118"/>
      <c r="O70" s="20"/>
      <c r="P70" s="20"/>
      <c r="Q70" s="20"/>
      <c r="R70" s="37"/>
      <c r="S70" s="1528"/>
      <c r="T70" s="1528"/>
      <c r="U70" s="1528"/>
      <c r="V70" s="1528"/>
      <c r="W70" s="1528"/>
      <c r="X70" s="1528"/>
      <c r="Y70" s="1528"/>
      <c r="Z70" s="1528"/>
    </row>
    <row r="71" spans="1:30" customFormat="1" ht="3" customHeight="1" thickBot="1">
      <c r="A71" s="54"/>
      <c r="B71" s="499"/>
      <c r="C71" s="497"/>
      <c r="D71" s="498"/>
      <c r="E71" s="498"/>
      <c r="F71" s="498"/>
      <c r="G71" s="498"/>
      <c r="H71" s="498"/>
      <c r="I71" s="498"/>
      <c r="J71" s="498"/>
      <c r="K71" s="498"/>
      <c r="L71" s="124"/>
      <c r="M71" s="499"/>
      <c r="N71" s="117"/>
      <c r="O71" s="500"/>
      <c r="P71" s="500"/>
      <c r="Q71" s="500"/>
      <c r="R71" s="497"/>
      <c r="S71" s="498"/>
      <c r="T71" s="498"/>
      <c r="U71" s="498"/>
      <c r="V71" s="498"/>
      <c r="W71" s="498"/>
      <c r="X71" s="498"/>
      <c r="Y71" s="498"/>
      <c r="Z71" s="498"/>
    </row>
    <row r="72" spans="1:30" customFormat="1" ht="15.75" thickBot="1">
      <c r="A72" s="54"/>
      <c r="B72" s="1529" t="s">
        <v>883</v>
      </c>
      <c r="C72" s="1530"/>
      <c r="D72" s="1530"/>
      <c r="E72" s="536" t="s">
        <v>0</v>
      </c>
      <c r="F72" s="1531">
        <f>D63+H65+D70+H70</f>
      </c>
      <c r="G72" s="1531"/>
      <c r="H72" s="537"/>
      <c r="I72" s="538"/>
      <c r="J72" s="539"/>
      <c r="K72" s="538"/>
      <c r="L72" s="540"/>
      <c r="M72" s="1532"/>
      <c r="N72" s="1532"/>
      <c r="O72" s="1532"/>
      <c r="P72" s="1532"/>
      <c r="Q72" s="1532"/>
      <c r="R72" s="497"/>
      <c r="S72" s="498"/>
      <c r="T72" s="498"/>
      <c r="U72" s="498"/>
      <c r="V72" s="498"/>
      <c r="W72" s="498"/>
      <c r="X72" s="498"/>
      <c r="Y72" s="498"/>
      <c r="Z72" s="498"/>
    </row>
    <row r="74" spans="1:30" ht="15.75" thickBot="1"/>
    <row r="75" spans="1:30" s="54" customFormat="1" ht="16.5" thickBot="1">
      <c r="A75" s="1232" t="s">
        <v>567</v>
      </c>
      <c r="B75" s="1233"/>
      <c r="C75" s="1233"/>
      <c r="D75" s="1233"/>
      <c r="E75" s="1233"/>
      <c r="F75" s="1233"/>
      <c r="G75" s="1233"/>
      <c r="H75" s="1233"/>
      <c r="I75" s="1233"/>
      <c r="J75" s="1233"/>
      <c r="K75" s="1233"/>
      <c r="L75" s="1234"/>
      <c r="M75" s="547"/>
      <c r="N75" s="547"/>
      <c r="O75" s="547"/>
      <c r="P75" s="547"/>
      <c r="Q75" s="547"/>
      <c r="R75" s="547"/>
      <c r="S75" s="547"/>
      <c r="T75" s="547"/>
      <c r="U75" s="547"/>
      <c r="V75" s="547"/>
      <c r="W75" s="547"/>
      <c r="X75" s="547"/>
      <c r="Y75" s="547"/>
      <c r="Z75" s="547"/>
      <c r="AA75" s="547"/>
      <c r="AB75" s="547"/>
      <c r="AC75" s="528"/>
      <c r="AD75" s="316"/>
    </row>
    <row r="76" spans="1:30" s="54" customFormat="1" ht="4.5" customHeight="1">
      <c r="A76" s="98"/>
      <c r="L76" s="53"/>
      <c r="AB76"/>
      <c r="AD76" s="316"/>
    </row>
    <row r="77" spans="1:30" s="54" customFormat="1">
      <c r="A77" s="98"/>
      <c r="F77" s="969" t="s">
        <v>1013</v>
      </c>
      <c r="G77" s="969"/>
      <c r="H77" s="969"/>
      <c r="J77" s="1212" t="s">
        <v>559</v>
      </c>
      <c r="K77" s="1212"/>
      <c r="L77" s="53"/>
      <c r="T77" s="500"/>
      <c r="AC77" s="53"/>
      <c r="AD77" s="316"/>
    </row>
    <row r="78" spans="1:30" s="54" customFormat="1">
      <c r="A78" s="98"/>
      <c r="F78" s="117"/>
      <c r="G78" s="117"/>
      <c r="H78" s="117"/>
      <c r="J78" s="500"/>
      <c r="L78" s="53"/>
      <c r="T78" s="500"/>
      <c r="AC78" s="53"/>
      <c r="AD78" s="316"/>
    </row>
    <row r="79" spans="1:30" s="54" customFormat="1">
      <c r="A79" s="98"/>
      <c r="F79" s="117"/>
      <c r="G79" s="117"/>
      <c r="H79" s="117"/>
      <c r="L79" s="53"/>
      <c r="AB79"/>
      <c r="AD79" s="316"/>
    </row>
    <row r="80" spans="1:30" s="54" customFormat="1">
      <c r="A80" s="98"/>
      <c r="F80" s="117"/>
      <c r="G80" s="117"/>
      <c r="H80" s="117"/>
      <c r="L80" s="53"/>
      <c r="AB80"/>
      <c r="AD80" s="316"/>
    </row>
    <row r="81" s="54" customFormat="1" ht="17.25">
      <c r="A81" s="98"/>
      <c r="F81" s="971"/>
      <c r="G81" s="970"/>
      <c r="H81" s="970"/>
      <c r="J81" s="1511">
        <f>'Informasi Pokok'!D5</f>
      </c>
      <c r="K81" s="1511"/>
      <c r="L81" s="53"/>
      <c r="AB81"/>
      <c r="AD81" s="316"/>
    </row>
    <row r="82" spans="1:30" s="54" customFormat="1">
      <c r="A82" s="98"/>
      <c r="F82" s="969" t="s">
        <v>1015</v>
      </c>
      <c r="G82" s="969"/>
      <c r="H82" s="969"/>
      <c r="J82" s="1212" t="s">
        <v>506</v>
      </c>
      <c r="K82" s="1212"/>
      <c r="L82" s="53"/>
      <c r="AB82"/>
      <c r="AD82" s="316"/>
    </row>
    <row r="83" spans="1:30" s="54" customFormat="1" ht="17.25" hidden="1">
      <c r="A83" s="98"/>
      <c r="J83" s="548"/>
      <c r="K83" s="548"/>
      <c r="L83" s="53"/>
      <c r="T83" s="549"/>
      <c r="U83" s="117"/>
      <c r="V83" s="117"/>
      <c r="W83" s="117"/>
      <c r="X83" s="117"/>
      <c r="Y83" s="117"/>
      <c r="Z83" s="117"/>
      <c r="AA83" s="117"/>
      <c r="AB83" s="117"/>
      <c r="AC83" s="157"/>
      <c r="AD83" s="316"/>
    </row>
    <row r="84" spans="1:30" s="54" customFormat="1" hidden="1">
      <c r="A84" s="1235" t="s">
        <v>487</v>
      </c>
      <c r="B84" s="1235"/>
      <c r="C84" s="1235"/>
      <c r="D84" s="1235"/>
      <c r="E84" s="1235"/>
      <c r="F84" s="1237"/>
      <c r="G84" s="1235" t="s">
        <v>488</v>
      </c>
      <c r="H84" s="1235"/>
      <c r="I84" s="1235"/>
      <c r="J84" s="1235"/>
      <c r="K84" s="1235"/>
      <c r="L84" s="1235"/>
      <c r="M84" s="59"/>
      <c r="N84"/>
      <c r="O84" s="59"/>
      <c r="P84" s="59"/>
      <c r="Q84" s="59"/>
      <c r="R84" s="59"/>
      <c r="S84" s="59"/>
      <c r="T84" s="59"/>
      <c r="U84" s="59"/>
      <c r="V84" s="59"/>
      <c r="W84" s="59"/>
      <c r="X84" s="59"/>
      <c r="Y84" s="59"/>
      <c r="Z84" s="59"/>
      <c r="AA84" s="59"/>
      <c r="AC84" s="527"/>
      <c r="AD84" s="316"/>
    </row>
    <row r="85" spans="1:30" s="54" customFormat="1" hidden="1">
      <c r="A85" s="101"/>
      <c r="B85" s="11" t="s">
        <v>1</v>
      </c>
      <c r="C85" s="550" t="s">
        <v>0</v>
      </c>
      <c r="D85" s="11"/>
      <c r="E85" s="11"/>
      <c r="G85" s="551"/>
      <c r="H85" s="552"/>
      <c r="I85" s="552"/>
      <c r="J85" s="552"/>
      <c r="K85" s="552"/>
      <c r="L85" s="553"/>
      <c r="M85" s="554"/>
      <c r="N85" s="60"/>
      <c r="O85" s="60"/>
      <c r="P85" s="60"/>
      <c r="Q85" s="60"/>
      <c r="R85" s="60"/>
      <c r="S85" s="60"/>
      <c r="T85" s="60"/>
      <c r="U85" s="60"/>
      <c r="V85" s="60"/>
      <c r="W85" s="60"/>
      <c r="X85" s="60"/>
      <c r="Y85" s="60"/>
      <c r="Z85" s="60"/>
      <c r="AA85" s="60"/>
      <c r="AC85" s="526"/>
      <c r="AD85" s="316"/>
    </row>
    <row r="86" spans="1:30" s="54" customFormat="1" hidden="1">
      <c r="A86" s="101"/>
      <c r="B86" s="11" t="s">
        <v>489</v>
      </c>
      <c r="C86" s="550" t="s">
        <v>0</v>
      </c>
      <c r="D86" s="562" t="s">
        <v>844</v>
      </c>
      <c r="E86" s="11"/>
      <c r="G86" s="555"/>
      <c r="H86" s="160"/>
      <c r="I86" s="160"/>
      <c r="J86" s="160"/>
      <c r="K86" s="160"/>
      <c r="L86" s="556"/>
      <c r="M86" s="554"/>
      <c r="N86" s="60"/>
      <c r="O86" s="60"/>
      <c r="P86" s="60"/>
      <c r="Q86" s="60"/>
      <c r="R86" s="60"/>
      <c r="S86" s="60"/>
      <c r="T86" s="60"/>
      <c r="U86" s="60"/>
      <c r="V86" s="60"/>
      <c r="W86" s="60"/>
      <c r="X86" s="60"/>
      <c r="Y86" s="60"/>
      <c r="Z86" s="60"/>
      <c r="AA86" s="60"/>
      <c r="AC86" s="526"/>
      <c r="AD86" s="316"/>
    </row>
    <row r="87" spans="1:30" s="54" customFormat="1" hidden="1">
      <c r="A87" s="101"/>
      <c r="B87" s="11" t="s">
        <v>101</v>
      </c>
      <c r="C87" s="550" t="s">
        <v>0</v>
      </c>
      <c r="D87" s="11"/>
      <c r="E87" s="11"/>
      <c r="G87" s="557"/>
      <c r="H87" s="541"/>
      <c r="I87" s="541"/>
      <c r="J87" s="541"/>
      <c r="K87" s="541"/>
      <c r="L87" s="546"/>
      <c r="M87" s="558"/>
      <c r="N87" s="60"/>
      <c r="O87" s="60"/>
      <c r="P87" s="60"/>
      <c r="Q87" s="60"/>
      <c r="R87" s="60"/>
      <c r="S87" s="60"/>
      <c r="T87" s="60"/>
      <c r="U87" s="60"/>
      <c r="V87" s="60"/>
      <c r="W87" s="60"/>
      <c r="X87" s="60"/>
      <c r="Y87" s="60"/>
      <c r="Z87" s="60"/>
      <c r="AA87" s="60"/>
      <c r="AC87" s="526"/>
      <c r="AD87" s="316"/>
    </row>
    <row r="88" spans="1:30" s="54" customFormat="1" hidden="1">
      <c r="A88" s="101"/>
      <c r="B88" s="11" t="s">
        <v>490</v>
      </c>
      <c r="C88" s="550" t="s">
        <v>0</v>
      </c>
      <c r="D88" s="106"/>
      <c r="E88" s="107"/>
      <c r="G88" s="101"/>
      <c r="H88" s="11"/>
      <c r="I88" s="11"/>
      <c r="J88" s="11"/>
      <c r="K88" s="11"/>
      <c r="L88" s="102"/>
      <c r="M88" s="60"/>
      <c r="N88" s="60"/>
      <c r="O88" s="60"/>
      <c r="P88" s="60"/>
      <c r="Q88" s="60"/>
      <c r="R88" s="60"/>
      <c r="S88" s="60"/>
      <c r="T88" s="60"/>
      <c r="U88" s="60"/>
      <c r="V88" s="60"/>
      <c r="W88" s="60"/>
      <c r="X88" s="60"/>
      <c r="Y88" s="60"/>
      <c r="Z88" s="60"/>
      <c r="AA88" s="60"/>
      <c r="AC88" s="526"/>
      <c r="AD88" s="316"/>
    </row>
    <row r="89" spans="1:30" s="54" customFormat="1" hidden="1">
      <c r="A89" s="101"/>
      <c r="B89" s="11"/>
      <c r="C89" s="11"/>
      <c r="D89" s="101"/>
      <c r="E89" s="102"/>
      <c r="F89" s="11"/>
      <c r="G89" s="101"/>
      <c r="H89" s="11"/>
      <c r="I89" s="11"/>
      <c r="J89" s="11"/>
      <c r="K89" s="11"/>
      <c r="L89" s="102"/>
      <c r="M89" s="60"/>
      <c r="N89" s="60"/>
      <c r="O89" s="60"/>
      <c r="P89" s="60"/>
      <c r="Q89" s="60"/>
      <c r="R89" s="60"/>
      <c r="S89" s="60"/>
      <c r="T89" s="60"/>
      <c r="U89" s="60"/>
      <c r="V89" s="60"/>
      <c r="W89" s="60"/>
      <c r="X89" s="60"/>
      <c r="Y89" s="60"/>
      <c r="Z89" s="60"/>
      <c r="AA89" s="60"/>
      <c r="AC89" s="526"/>
      <c r="AD89" s="316"/>
    </row>
    <row r="90" spans="1:30" s="54" customFormat="1" hidden="1">
      <c r="A90" s="101"/>
      <c r="B90" s="11"/>
      <c r="C90" s="11"/>
      <c r="D90" s="103"/>
      <c r="E90" s="105"/>
      <c r="F90" s="11"/>
      <c r="G90" s="101"/>
      <c r="H90" s="11"/>
      <c r="I90" s="11"/>
      <c r="J90" s="11"/>
      <c r="K90" s="11"/>
      <c r="L90" s="102"/>
      <c r="M90" s="60"/>
      <c r="N90" s="60"/>
      <c r="O90" s="60"/>
      <c r="P90" s="60"/>
      <c r="Q90" s="60"/>
      <c r="R90" s="60"/>
      <c r="S90" s="60"/>
      <c r="T90" s="60"/>
      <c r="U90" s="60"/>
      <c r="V90" s="60"/>
      <c r="W90" s="60"/>
      <c r="X90" s="60"/>
      <c r="Y90" s="60"/>
      <c r="Z90" s="60"/>
      <c r="AA90" s="60"/>
      <c r="AC90" s="526"/>
      <c r="AD90" s="316"/>
    </row>
    <row r="91" spans="1:30" s="54" customFormat="1" hidden="1">
      <c r="A91" s="103"/>
      <c r="B91" s="104"/>
      <c r="C91" s="104"/>
      <c r="D91" s="104"/>
      <c r="E91" s="104"/>
      <c r="F91" s="104"/>
      <c r="G91" s="103"/>
      <c r="H91" s="104"/>
      <c r="I91" s="104"/>
      <c r="J91" s="104"/>
      <c r="K91" s="104"/>
      <c r="L91" s="105"/>
      <c r="M91" s="60"/>
      <c r="N91" s="60"/>
      <c r="O91" s="60"/>
      <c r="P91" s="60"/>
      <c r="Q91" s="60"/>
      <c r="R91" s="60"/>
      <c r="S91" s="60"/>
      <c r="T91" s="60"/>
      <c r="U91" s="60"/>
      <c r="V91" s="60"/>
      <c r="W91" s="60"/>
      <c r="X91" s="60"/>
      <c r="Y91" s="60"/>
      <c r="Z91" s="60"/>
      <c r="AA91" s="60"/>
      <c r="AC91" s="526"/>
      <c r="AD91" s="316"/>
    </row>
    <row r="92" spans="1:30" s="54" customFormat="1" hidden="1">
      <c r="A92" s="1508" t="s">
        <v>487</v>
      </c>
      <c r="B92" s="1509"/>
      <c r="C92" s="1509"/>
      <c r="D92" s="1509"/>
      <c r="E92" s="1509"/>
      <c r="F92" s="1510"/>
      <c r="G92" s="1508" t="s">
        <v>488</v>
      </c>
      <c r="H92" s="1509"/>
      <c r="I92" s="1509"/>
      <c r="J92" s="1509"/>
      <c r="K92" s="1509"/>
      <c r="L92" s="1510"/>
      <c r="M92" s="59"/>
      <c r="N92" s="59"/>
      <c r="O92" s="59"/>
      <c r="P92" s="59"/>
      <c r="Q92" s="59"/>
      <c r="R92" s="59"/>
      <c r="S92" s="59"/>
      <c r="T92" s="59"/>
      <c r="U92" s="59"/>
      <c r="V92" s="59"/>
      <c r="W92" s="59"/>
      <c r="X92" s="59"/>
      <c r="Y92" s="59"/>
      <c r="Z92" s="59"/>
      <c r="AA92" s="59"/>
      <c r="AC92" s="527"/>
      <c r="AD92" s="316"/>
    </row>
    <row r="93" spans="1:30" s="54" customFormat="1" hidden="1">
      <c r="A93" s="106"/>
      <c r="B93" s="113" t="s">
        <v>1</v>
      </c>
      <c r="C93" s="559" t="s">
        <v>0</v>
      </c>
      <c r="D93" s="113"/>
      <c r="E93" s="113"/>
      <c r="F93" s="113"/>
      <c r="G93" s="560"/>
      <c r="H93" s="542"/>
      <c r="I93" s="542"/>
      <c r="J93" s="542"/>
      <c r="K93" s="542"/>
      <c r="L93" s="544"/>
      <c r="M93" s="561"/>
      <c r="N93" s="60"/>
      <c r="O93" s="60"/>
      <c r="P93" s="60"/>
      <c r="Q93" s="60"/>
      <c r="R93" s="60"/>
      <c r="S93" s="60"/>
      <c r="T93" s="60"/>
      <c r="U93" s="60"/>
      <c r="V93" s="60"/>
      <c r="W93" s="60"/>
      <c r="X93" s="60"/>
      <c r="Y93" s="60"/>
      <c r="Z93" s="60"/>
      <c r="AA93" s="60"/>
      <c r="AC93" s="526"/>
      <c r="AD93" s="316"/>
    </row>
    <row r="94" spans="1:30" s="54" customFormat="1" hidden="1">
      <c r="A94" s="101"/>
      <c r="B94" s="11" t="s">
        <v>489</v>
      </c>
      <c r="C94" s="550" t="s">
        <v>0</v>
      </c>
      <c r="D94" s="562" t="s">
        <v>491</v>
      </c>
      <c r="E94" s="11"/>
      <c r="F94" s="11"/>
      <c r="G94" s="563"/>
      <c r="H94" s="543"/>
      <c r="I94" s="543"/>
      <c r="J94" s="543"/>
      <c r="K94" s="543"/>
      <c r="L94" s="545"/>
      <c r="M94" s="561"/>
      <c r="N94" s="60"/>
      <c r="O94" s="60"/>
      <c r="P94" s="60"/>
      <c r="Q94" s="60"/>
      <c r="R94" s="60"/>
      <c r="S94" s="60"/>
      <c r="T94" s="60"/>
      <c r="U94" s="60"/>
      <c r="V94" s="60"/>
      <c r="W94" s="60"/>
      <c r="X94" s="60"/>
      <c r="Y94" s="60"/>
      <c r="Z94" s="60"/>
      <c r="AA94" s="60"/>
      <c r="AC94" s="526"/>
      <c r="AD94" s="316"/>
    </row>
    <row r="95" spans="1:30" s="54" customFormat="1" hidden="1">
      <c r="A95" s="101"/>
      <c r="B95" s="11" t="s">
        <v>101</v>
      </c>
      <c r="C95" s="550" t="s">
        <v>0</v>
      </c>
      <c r="D95" s="11"/>
      <c r="E95" s="11"/>
      <c r="F95" s="11"/>
      <c r="G95" s="557"/>
      <c r="H95" s="541"/>
      <c r="I95" s="541"/>
      <c r="J95" s="541"/>
      <c r="K95" s="541"/>
      <c r="L95" s="546"/>
      <c r="M95" s="558"/>
      <c r="N95" s="60"/>
      <c r="O95" s="60"/>
      <c r="P95" s="60"/>
      <c r="Q95" s="60"/>
      <c r="R95" s="60"/>
      <c r="S95" s="60"/>
      <c r="T95" s="60"/>
      <c r="U95" s="60"/>
      <c r="V95" s="60"/>
      <c r="W95" s="60"/>
      <c r="X95" s="60"/>
      <c r="Y95" s="60"/>
      <c r="Z95" s="60"/>
      <c r="AA95" s="60"/>
      <c r="AC95" s="526"/>
      <c r="AD95" s="316"/>
    </row>
    <row r="96" spans="1:30" s="54" customFormat="1" hidden="1">
      <c r="A96" s="101"/>
      <c r="B96" s="11" t="s">
        <v>490</v>
      </c>
      <c r="C96" s="550" t="s">
        <v>0</v>
      </c>
      <c r="D96" s="106"/>
      <c r="E96" s="107"/>
      <c r="F96" s="11"/>
      <c r="G96" s="101"/>
      <c r="H96" s="11"/>
      <c r="I96" s="11"/>
      <c r="J96" s="11"/>
      <c r="K96" s="11"/>
      <c r="L96" s="102"/>
      <c r="M96" s="60"/>
      <c r="N96" s="60"/>
      <c r="O96" s="60"/>
      <c r="P96" s="60"/>
      <c r="Q96" s="60"/>
      <c r="R96" s="60"/>
      <c r="S96" s="60"/>
      <c r="T96" s="60"/>
      <c r="U96" s="60"/>
      <c r="V96" s="60"/>
      <c r="W96" s="60"/>
      <c r="X96" s="60"/>
      <c r="Y96" s="60"/>
      <c r="Z96" s="60"/>
      <c r="AA96" s="60"/>
      <c r="AC96" s="526"/>
      <c r="AD96" s="316"/>
    </row>
    <row r="97" spans="1:30" s="54" customFormat="1" hidden="1">
      <c r="A97" s="101"/>
      <c r="B97" s="11"/>
      <c r="C97" s="11"/>
      <c r="D97" s="101"/>
      <c r="E97" s="102"/>
      <c r="F97" s="11"/>
      <c r="G97" s="101"/>
      <c r="H97" s="11"/>
      <c r="I97" s="11"/>
      <c r="J97" s="11"/>
      <c r="K97" s="11"/>
      <c r="L97" s="102"/>
      <c r="M97" s="60"/>
      <c r="N97" s="60"/>
      <c r="O97" s="60"/>
      <c r="P97" s="60"/>
      <c r="Q97" s="60"/>
      <c r="R97" s="60"/>
      <c r="S97" s="60"/>
      <c r="T97" s="60"/>
      <c r="U97" s="60"/>
      <c r="V97" s="60"/>
      <c r="W97" s="60"/>
      <c r="X97" s="60"/>
      <c r="Y97" s="60"/>
      <c r="Z97" s="60"/>
      <c r="AA97" s="60"/>
      <c r="AC97" s="526"/>
      <c r="AD97" s="316"/>
    </row>
    <row r="98" spans="1:30" s="54" customFormat="1" hidden="1">
      <c r="A98" s="101"/>
      <c r="B98" s="11"/>
      <c r="C98" s="11"/>
      <c r="D98" s="103"/>
      <c r="E98" s="105"/>
      <c r="F98" s="11"/>
      <c r="G98" s="101"/>
      <c r="H98" s="11"/>
      <c r="I98" s="11"/>
      <c r="J98" s="11"/>
      <c r="K98" s="11"/>
      <c r="L98" s="102"/>
      <c r="M98" s="60"/>
      <c r="N98" s="60"/>
      <c r="O98" s="60"/>
      <c r="P98" s="60"/>
      <c r="Q98" s="60"/>
      <c r="R98" s="60"/>
      <c r="S98" s="60"/>
      <c r="T98" s="60"/>
      <c r="U98" s="60"/>
      <c r="V98" s="60"/>
      <c r="W98" s="60"/>
      <c r="X98" s="60"/>
      <c r="Y98" s="60"/>
      <c r="Z98" s="60"/>
      <c r="AA98" s="60"/>
      <c r="AC98" s="526"/>
      <c r="AD98" s="316"/>
    </row>
    <row r="99" spans="1:30" s="54" customFormat="1">
      <c r="A99" s="103"/>
      <c r="B99" s="104"/>
      <c r="C99" s="104"/>
      <c r="D99" s="104"/>
      <c r="E99" s="104"/>
      <c r="F99" s="104"/>
      <c r="G99" s="104"/>
      <c r="H99" s="104"/>
      <c r="I99" s="104"/>
      <c r="J99" s="104"/>
      <c r="K99" s="104"/>
      <c r="L99" s="105"/>
      <c r="M99" s="60"/>
      <c r="N99" s="60"/>
      <c r="O99" s="60"/>
      <c r="P99" s="60"/>
      <c r="Q99" s="60"/>
      <c r="R99" s="60"/>
      <c r="S99" s="60"/>
      <c r="T99" s="60"/>
      <c r="U99" s="60"/>
      <c r="V99" s="60"/>
      <c r="W99" s="60"/>
      <c r="X99" s="60"/>
      <c r="Y99" s="60"/>
      <c r="Z99" s="60"/>
      <c r="AA99" s="60"/>
      <c r="AC99" s="526"/>
      <c r="AD99" s="316"/>
    </row>
  </sheetData>
  <mergeCells count="42">
    <mergeCell ref="B72:D72"/>
    <mergeCell ref="F72:G72"/>
    <mergeCell ref="M72:Q72"/>
    <mergeCell ref="B69:C69"/>
    <mergeCell ref="F69:G69"/>
    <mergeCell ref="S69:Z69"/>
    <mergeCell ref="B70:C70"/>
    <mergeCell ref="F70:G70"/>
    <mergeCell ref="S70:Z70"/>
    <mergeCell ref="B67:C67"/>
    <mergeCell ref="F67:G67"/>
    <mergeCell ref="S67:Z67"/>
    <mergeCell ref="B68:C68"/>
    <mergeCell ref="F68:G68"/>
    <mergeCell ref="S68:Z68"/>
    <mergeCell ref="B64:C64"/>
    <mergeCell ref="F64:G64"/>
    <mergeCell ref="S64:Z64"/>
    <mergeCell ref="F65:G65"/>
    <mergeCell ref="S65:Z65"/>
    <mergeCell ref="B60:H60"/>
    <mergeCell ref="B62:C62"/>
    <mergeCell ref="F62:G62"/>
    <mergeCell ref="S62:Z62"/>
    <mergeCell ref="B63:C63"/>
    <mergeCell ref="F63:G63"/>
    <mergeCell ref="S63:Z63"/>
    <mergeCell ref="A2:B2"/>
    <mergeCell ref="A3:B3"/>
    <mergeCell ref="A4:B4"/>
    <mergeCell ref="A1:B1"/>
    <mergeCell ref="E2:F2"/>
    <mergeCell ref="C3:D3"/>
    <mergeCell ref="E1:F1"/>
    <mergeCell ref="A75:L75"/>
    <mergeCell ref="A84:F84"/>
    <mergeCell ref="G84:L84"/>
    <mergeCell ref="A92:F92"/>
    <mergeCell ref="G92:L92"/>
    <mergeCell ref="J82:K82"/>
    <mergeCell ref="J81:K81"/>
    <mergeCell ref="J77:K77"/>
  </mergeCells>
  <pageMargins left="0.7" right="0.7" top="0.75" bottom="0.75" header="0.3" footer="0.3"/>
  <pageSetup paperSize="10000" scale="74" fitToWidth="0" orientation="landscape" verticalDpi="0" r:id="rId1"/>
  <colBreaks count="1" manualBreakCount="1">
    <brk id="12" max="1048575" man="1"/>
  </col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AV119"/>
  <sheetViews>
    <sheetView topLeftCell="B73" zoomScale="120" zoomScaleNormal="120" zoomScaleSheetLayoutView="80" workbookViewId="0">
      <selection activeCell="C82" sqref="C82:X82"/>
    </sheetView>
  </sheetViews>
  <sheetFormatPr defaultColWidth="9.140625" defaultRowHeight="15"/>
  <cols>
    <col min="1" max="1" width="3.42578125" style="180" customWidth="1"/>
    <col min="2" max="4" width="3.42578125" style="118" customWidth="1"/>
    <col min="5" max="5" width="4.140625" style="118" customWidth="1"/>
    <col min="6" max="6" width="4.28515625" style="118" customWidth="1"/>
    <col min="7" max="7" width="7.7109375" style="118" customWidth="1"/>
    <col min="8" max="8" width="10.140625" style="118" customWidth="1"/>
    <col min="9" max="10" width="3.42578125" style="118" customWidth="1"/>
    <col min="11" max="11" width="9.7109375" style="118" customWidth="1"/>
    <col min="12" max="12" width="6.42578125" style="180" customWidth="1"/>
    <col min="13" max="16" width="3.42578125" style="118" customWidth="1"/>
    <col min="17" max="17" width="15.42578125" style="118" customWidth="1"/>
    <col min="18" max="18" width="3.42578125" style="118" customWidth="1"/>
    <col min="19" max="19" width="1.85546875" style="118" customWidth="1"/>
    <col min="20" max="20" width="2.42578125" style="118" customWidth="1"/>
    <col min="21" max="22" width="2.28515625" style="118" customWidth="1"/>
    <col min="23" max="23" width="1.7109375" style="118" customWidth="1"/>
    <col min="24" max="24" width="0.85546875" style="118" customWidth="1"/>
    <col min="25" max="25" width="0.7109375" style="118" customWidth="1"/>
    <col min="26" max="26" width="9.140625" style="118"/>
    <col min="27" max="28" width="14.85546875" style="118" hidden="1" customWidth="1"/>
    <col min="29" max="29" width="14" style="118" hidden="1" customWidth="1"/>
    <col min="30" max="30" width="16.85546875" style="118" hidden="1" customWidth="1"/>
    <col min="31" max="40" width="9.140625" style="118" hidden="1" customWidth="1"/>
    <col min="41" max="41" width="14.140625" style="118" hidden="1" customWidth="1"/>
    <col min="42" max="46" width="9.140625" style="118" hidden="1" customWidth="1"/>
    <col min="47" max="51" width="9.140625" style="118" customWidth="1"/>
    <col min="52" max="16384" width="9.140625" style="118"/>
  </cols>
  <sheetData>
    <row r="1" spans="1:48" ht="3.75" customHeight="1">
      <c r="A1" s="1588"/>
      <c r="B1" s="1589"/>
      <c r="C1" s="1589"/>
      <c r="D1" s="1589"/>
      <c r="E1" s="1589"/>
      <c r="F1" s="1589"/>
      <c r="G1" s="1589"/>
      <c r="H1" s="1589"/>
      <c r="I1" s="1589"/>
      <c r="J1" s="1589"/>
      <c r="K1" s="1589"/>
      <c r="L1" s="1589"/>
      <c r="M1" s="1589"/>
      <c r="N1" s="1589"/>
      <c r="O1" s="1589"/>
      <c r="P1" s="1589"/>
      <c r="Q1" s="1589"/>
      <c r="R1" s="1589"/>
      <c r="S1" s="1589"/>
      <c r="T1" s="1589"/>
      <c r="U1" s="1589"/>
      <c r="V1" s="1589"/>
      <c r="W1" s="1589"/>
      <c r="X1" s="1589"/>
      <c r="Y1" s="1590"/>
    </row>
    <row r="2" spans="1:48" s="294" customFormat="1" ht="16.5" customHeight="1">
      <c r="A2" s="1608" t="s">
        <v>552</v>
      </c>
      <c r="B2" s="1534"/>
      <c r="C2" s="1534"/>
      <c r="D2" s="1534"/>
      <c r="E2" s="1534"/>
      <c r="F2" s="1534"/>
      <c r="G2" s="1534"/>
      <c r="H2" s="1534"/>
      <c r="I2" s="1534"/>
      <c r="J2" s="1534"/>
      <c r="K2" s="1534"/>
      <c r="L2" s="1534"/>
      <c r="M2" s="1534"/>
      <c r="N2" s="1534"/>
      <c r="O2" s="1534"/>
      <c r="P2" s="1534"/>
      <c r="Q2" s="1534"/>
      <c r="R2" s="1534"/>
      <c r="S2" s="1534"/>
      <c r="T2" s="1534"/>
      <c r="U2" s="1534"/>
      <c r="V2" s="1534"/>
      <c r="W2" s="1534"/>
      <c r="X2" s="1534"/>
      <c r="Y2" s="1609"/>
      <c r="AA2" s="60" t="s">
        <v>585</v>
      </c>
      <c r="AB2" s="60" t="s">
        <v>586</v>
      </c>
      <c r="AC2" s="60"/>
      <c r="AD2" s="60"/>
      <c r="AE2" s="60"/>
      <c r="AF2" s="60"/>
    </row>
    <row r="3" spans="1:48" s="294" customFormat="1" ht="15.75">
      <c r="A3" s="435"/>
      <c r="B3" s="436" t="s">
        <v>503</v>
      </c>
      <c r="C3" s="437"/>
      <c r="D3" s="437"/>
      <c r="E3" s="437"/>
      <c r="F3" s="622" t="s">
        <v>0</v>
      </c>
      <c r="G3" s="1601">
        <f>"                 "&amp;'Informasi Pokok'!D3</f>
        <v xml:space="preserve">                 021/Reg/BS-AR/V/2025</v>
      </c>
      <c r="H3" s="1602"/>
      <c r="I3" s="1602"/>
      <c r="J3" s="1602"/>
      <c r="K3" s="1602"/>
      <c r="L3" s="1602"/>
      <c r="M3" s="1602"/>
      <c r="N3" s="1602"/>
      <c r="O3" s="1602"/>
      <c r="P3" s="1602"/>
      <c r="Q3" s="1602"/>
      <c r="R3" s="1602"/>
      <c r="S3" s="1602"/>
      <c r="T3" s="1602"/>
      <c r="U3" s="1602"/>
      <c r="V3" s="1602"/>
      <c r="W3" s="1602"/>
      <c r="X3" s="1603"/>
      <c r="Y3" s="438"/>
      <c r="AA3" s="60">
        <v>10</v>
      </c>
      <c r="AB3" s="60" t="s">
        <v>519</v>
      </c>
      <c r="AC3" s="60" t="s">
        <v>553</v>
      </c>
      <c r="AD3" s="60" t="s">
        <v>545</v>
      </c>
      <c r="AE3" s="60" t="s">
        <v>546</v>
      </c>
      <c r="AF3" s="650" t="s">
        <v>620</v>
      </c>
      <c r="AG3" s="611" t="s">
        <v>621</v>
      </c>
      <c r="AH3" s="611" t="s">
        <v>622</v>
      </c>
      <c r="AI3" s="651" t="s">
        <v>786</v>
      </c>
      <c r="AJ3" s="611" t="s">
        <v>787</v>
      </c>
      <c r="AK3" s="651" t="s">
        <v>788</v>
      </c>
      <c r="AL3" s="611" t="s">
        <v>547</v>
      </c>
      <c r="AM3" s="651" t="s">
        <v>789</v>
      </c>
      <c r="AN3" s="651" t="s">
        <v>790</v>
      </c>
      <c r="AO3" s="652">
        <f t="shared" ref="AO3:AO8" si="0">$J$49-$J$50-$J$51</f>
      </c>
      <c r="AP3" s="917" t="s">
        <v>600</v>
      </c>
      <c r="AQ3" s="917"/>
      <c r="AR3" s="917"/>
      <c r="AS3" s="917"/>
      <c r="AT3" s="917"/>
      <c r="AU3" s="917"/>
      <c r="AV3" s="917"/>
    </row>
    <row r="4" spans="1:48" s="294" customFormat="1" ht="15.75">
      <c r="A4" s="435"/>
      <c r="B4" s="436" t="s">
        <v>504</v>
      </c>
      <c r="C4" s="437"/>
      <c r="D4" s="437"/>
      <c r="E4" s="437"/>
      <c r="F4" s="622" t="s">
        <v>0</v>
      </c>
      <c r="G4" s="1604">
        <f ca="1">TODAY()</f>
      </c>
      <c r="H4" s="1604"/>
      <c r="I4" s="1604"/>
      <c r="J4" s="1604"/>
      <c r="K4" s="1604"/>
      <c r="L4" s="1604"/>
      <c r="M4" s="1604"/>
      <c r="N4" s="1604"/>
      <c r="O4" s="1604"/>
      <c r="P4" s="1604"/>
      <c r="Q4" s="1604"/>
      <c r="R4" s="1604"/>
      <c r="S4" s="1604"/>
      <c r="T4" s="1604"/>
      <c r="U4" s="1604"/>
      <c r="V4" s="1604"/>
      <c r="W4" s="1604"/>
      <c r="X4" s="1605"/>
      <c r="Y4" s="438"/>
      <c r="AA4" s="60">
        <v>11</v>
      </c>
      <c r="AB4" s="60" t="s">
        <v>587</v>
      </c>
      <c r="AC4" s="60" t="s">
        <v>553</v>
      </c>
      <c r="AD4" s="60" t="s">
        <v>545</v>
      </c>
      <c r="AE4" s="60" t="s">
        <v>546</v>
      </c>
      <c r="AF4" s="650" t="s">
        <v>620</v>
      </c>
      <c r="AG4" s="611" t="s">
        <v>621</v>
      </c>
      <c r="AH4" s="611" t="s">
        <v>622</v>
      </c>
      <c r="AI4" s="651" t="s">
        <v>786</v>
      </c>
      <c r="AJ4" s="611" t="s">
        <v>787</v>
      </c>
      <c r="AK4" s="651" t="s">
        <v>788</v>
      </c>
      <c r="AL4" s="611" t="s">
        <v>547</v>
      </c>
      <c r="AM4" s="651" t="s">
        <v>789</v>
      </c>
      <c r="AN4" s="651" t="s">
        <v>790</v>
      </c>
      <c r="AO4" s="652">
        <f t="shared" si="0"/>
      </c>
      <c r="AP4" s="917" t="s">
        <v>600</v>
      </c>
    </row>
    <row r="5" spans="1:48" s="294" customFormat="1" ht="15.75">
      <c r="A5" s="435"/>
      <c r="B5" s="436" t="s">
        <v>505</v>
      </c>
      <c r="C5" s="437"/>
      <c r="D5" s="437"/>
      <c r="E5" s="437"/>
      <c r="F5" s="622" t="s">
        <v>0</v>
      </c>
      <c r="G5" s="1606" t="s">
        <v>506</v>
      </c>
      <c r="H5" s="1606"/>
      <c r="I5" s="1606"/>
      <c r="J5" s="1606"/>
      <c r="K5" s="1606"/>
      <c r="L5" s="1606"/>
      <c r="M5" s="1606"/>
      <c r="N5" s="1606"/>
      <c r="O5" s="1606"/>
      <c r="P5" s="1606"/>
      <c r="Q5" s="1606"/>
      <c r="R5" s="1606"/>
      <c r="S5" s="1606"/>
      <c r="T5" s="1606"/>
      <c r="U5" s="1606"/>
      <c r="V5" s="1606"/>
      <c r="W5" s="1606"/>
      <c r="X5" s="1607"/>
      <c r="Y5" s="438"/>
      <c r="AA5" s="60">
        <v>20</v>
      </c>
      <c r="AB5" s="60" t="s">
        <v>520</v>
      </c>
      <c r="AC5" s="60" t="s">
        <v>553</v>
      </c>
      <c r="AD5" s="60" t="s">
        <v>545</v>
      </c>
      <c r="AE5" s="60" t="s">
        <v>546</v>
      </c>
      <c r="AF5" s="650" t="s">
        <v>620</v>
      </c>
      <c r="AG5" s="611" t="s">
        <v>621</v>
      </c>
      <c r="AH5" s="611" t="s">
        <v>622</v>
      </c>
      <c r="AI5" s="651" t="s">
        <v>786</v>
      </c>
      <c r="AJ5" s="611" t="s">
        <v>787</v>
      </c>
      <c r="AK5" s="651" t="s">
        <v>788</v>
      </c>
      <c r="AL5" s="611" t="s">
        <v>547</v>
      </c>
      <c r="AM5" s="651" t="s">
        <v>789</v>
      </c>
      <c r="AN5" s="651" t="s">
        <v>790</v>
      </c>
      <c r="AO5" s="652">
        <f t="shared" si="0"/>
      </c>
      <c r="AP5" s="917" t="s">
        <v>600</v>
      </c>
    </row>
    <row r="6" spans="1:48" s="294" customFormat="1" ht="15.75">
      <c r="A6" s="435"/>
      <c r="B6" s="436" t="s">
        <v>507</v>
      </c>
      <c r="C6" s="437"/>
      <c r="D6" s="437"/>
      <c r="E6" s="437"/>
      <c r="F6" s="622" t="s">
        <v>0</v>
      </c>
      <c r="G6" s="1606" t="s">
        <v>508</v>
      </c>
      <c r="H6" s="1606"/>
      <c r="I6" s="1606"/>
      <c r="J6" s="1606"/>
      <c r="K6" s="1606"/>
      <c r="L6" s="1606"/>
      <c r="M6" s="1606"/>
      <c r="N6" s="1606"/>
      <c r="O6" s="1606"/>
      <c r="P6" s="1606"/>
      <c r="Q6" s="1606"/>
      <c r="R6" s="1606"/>
      <c r="S6" s="1606"/>
      <c r="T6" s="1606"/>
      <c r="U6" s="1606"/>
      <c r="V6" s="1606"/>
      <c r="W6" s="1606"/>
      <c r="X6" s="1607"/>
      <c r="Y6" s="438"/>
      <c r="AA6" s="60">
        <v>30</v>
      </c>
      <c r="AB6" s="60" t="s">
        <v>521</v>
      </c>
      <c r="AC6" s="60" t="s">
        <v>553</v>
      </c>
      <c r="AD6" s="60" t="s">
        <v>545</v>
      </c>
      <c r="AE6" s="60" t="s">
        <v>546</v>
      </c>
      <c r="AF6" s="650" t="s">
        <v>620</v>
      </c>
      <c r="AG6" s="611" t="s">
        <v>621</v>
      </c>
      <c r="AH6" s="611" t="s">
        <v>622</v>
      </c>
      <c r="AI6" s="651" t="s">
        <v>786</v>
      </c>
      <c r="AJ6" s="611" t="s">
        <v>787</v>
      </c>
      <c r="AK6" s="651" t="s">
        <v>788</v>
      </c>
      <c r="AL6" s="611" t="s">
        <v>547</v>
      </c>
      <c r="AM6" s="651" t="s">
        <v>789</v>
      </c>
      <c r="AN6" s="651" t="s">
        <v>790</v>
      </c>
      <c r="AO6" s="652">
        <f t="shared" si="0"/>
      </c>
      <c r="AP6" s="917" t="s">
        <v>600</v>
      </c>
    </row>
    <row r="7" spans="1:48" s="294" customFormat="1" ht="15.75">
      <c r="A7" s="435"/>
      <c r="B7" s="436" t="s">
        <v>509</v>
      </c>
      <c r="C7" s="437"/>
      <c r="D7" s="437"/>
      <c r="E7" s="437"/>
      <c r="F7" s="622" t="s">
        <v>0</v>
      </c>
      <c r="G7" s="1606">
        <f>"Permohonan Pembiayaan atas nama "&amp;N14</f>
      </c>
      <c r="H7" s="1606"/>
      <c r="I7" s="1606"/>
      <c r="J7" s="1606"/>
      <c r="K7" s="1606"/>
      <c r="L7" s="1606"/>
      <c r="M7" s="1606"/>
      <c r="N7" s="1606"/>
      <c r="O7" s="1606"/>
      <c r="P7" s="1606"/>
      <c r="Q7" s="1606"/>
      <c r="R7" s="1606"/>
      <c r="S7" s="1606"/>
      <c r="T7" s="1606"/>
      <c r="U7" s="1606"/>
      <c r="V7" s="1606"/>
      <c r="W7" s="1606"/>
      <c r="X7" s="1607"/>
      <c r="Y7" s="438"/>
      <c r="AA7" s="60">
        <v>50</v>
      </c>
      <c r="AB7" s="60" t="s">
        <v>522</v>
      </c>
      <c r="AC7" s="60" t="s">
        <v>588</v>
      </c>
      <c r="AD7" s="60" t="s">
        <v>589</v>
      </c>
      <c r="AE7" s="60" t="s">
        <v>590</v>
      </c>
      <c r="AF7" s="650" t="s">
        <v>792</v>
      </c>
      <c r="AG7" s="611" t="s">
        <v>621</v>
      </c>
      <c r="AH7" s="611" t="s">
        <v>622</v>
      </c>
      <c r="AI7" s="651" t="s">
        <v>786</v>
      </c>
      <c r="AJ7" s="611" t="s">
        <v>787</v>
      </c>
      <c r="AK7" s="611" t="s">
        <v>793</v>
      </c>
      <c r="AL7" s="611" t="s">
        <v>794</v>
      </c>
      <c r="AM7" s="611" t="s">
        <v>795</v>
      </c>
      <c r="AN7" s="611" t="s">
        <v>796</v>
      </c>
      <c r="AO7" s="652">
        <f t="shared" si="0"/>
      </c>
      <c r="AP7" s="917" t="s">
        <v>600</v>
      </c>
    </row>
    <row r="8" spans="1:48" s="294" customFormat="1" ht="8.25" customHeight="1">
      <c r="A8" s="435"/>
      <c r="B8" s="439"/>
      <c r="C8" s="439"/>
      <c r="D8" s="439"/>
      <c r="E8" s="439"/>
      <c r="F8" s="439"/>
      <c r="G8" s="439"/>
      <c r="H8" s="439"/>
      <c r="I8" s="439"/>
      <c r="J8" s="439"/>
      <c r="K8" s="439"/>
      <c r="L8" s="439"/>
      <c r="M8" s="439"/>
      <c r="N8" s="439"/>
      <c r="O8" s="439"/>
      <c r="P8" s="439"/>
      <c r="Q8" s="439"/>
      <c r="R8" s="439"/>
      <c r="S8" s="439"/>
      <c r="T8" s="440"/>
      <c r="U8" s="440"/>
      <c r="V8" s="440"/>
      <c r="W8" s="440"/>
      <c r="X8" s="440"/>
      <c r="Y8" s="438"/>
      <c r="AA8" s="60">
        <v>51</v>
      </c>
      <c r="AB8" s="60" t="s">
        <v>524</v>
      </c>
      <c r="AC8" s="60" t="s">
        <v>588</v>
      </c>
      <c r="AD8" s="60" t="s">
        <v>589</v>
      </c>
      <c r="AE8" s="60" t="s">
        <v>590</v>
      </c>
      <c r="AF8" s="650" t="s">
        <v>792</v>
      </c>
      <c r="AG8" s="611" t="s">
        <v>621</v>
      </c>
      <c r="AH8" s="611" t="s">
        <v>622</v>
      </c>
      <c r="AI8" s="651" t="s">
        <v>786</v>
      </c>
      <c r="AJ8" s="611" t="s">
        <v>787</v>
      </c>
      <c r="AK8" s="611" t="s">
        <v>793</v>
      </c>
      <c r="AL8" s="611" t="s">
        <v>794</v>
      </c>
      <c r="AM8" s="611" t="s">
        <v>795</v>
      </c>
      <c r="AN8" s="611" t="s">
        <v>796</v>
      </c>
      <c r="AO8" s="652">
        <f t="shared" si="0"/>
      </c>
      <c r="AP8" s="917" t="s">
        <v>600</v>
      </c>
    </row>
    <row r="9" spans="1:48" s="294" customFormat="1" ht="15.75">
      <c r="A9" s="435"/>
      <c r="B9" s="441" t="s">
        <v>510</v>
      </c>
      <c r="C9" s="442"/>
      <c r="D9" s="442"/>
      <c r="E9" s="442"/>
      <c r="F9" s="442"/>
      <c r="G9" s="442"/>
      <c r="H9" s="442"/>
      <c r="I9" s="442"/>
      <c r="J9" s="442"/>
      <c r="K9" s="442"/>
      <c r="L9" s="442"/>
      <c r="M9" s="442"/>
      <c r="N9" s="442"/>
      <c r="O9" s="442"/>
      <c r="P9" s="442"/>
      <c r="Q9" s="442"/>
      <c r="R9" s="442"/>
      <c r="S9" s="443"/>
      <c r="T9" s="440"/>
      <c r="U9" s="440"/>
      <c r="V9" s="440"/>
      <c r="W9" s="440"/>
      <c r="X9" s="440"/>
      <c r="Y9" s="438"/>
      <c r="AA9" s="60">
        <v>70</v>
      </c>
      <c r="AB9" s="60" t="s">
        <v>526</v>
      </c>
      <c r="AC9" s="294" t="s">
        <v>603</v>
      </c>
      <c r="AD9" s="60" t="s">
        <v>800</v>
      </c>
      <c r="AE9" s="60" t="s">
        <v>5</v>
      </c>
      <c r="AF9" s="650" t="s">
        <v>801</v>
      </c>
      <c r="AG9" s="611" t="s">
        <v>802</v>
      </c>
      <c r="AH9" s="651" t="s">
        <v>803</v>
      </c>
      <c r="AI9" s="651" t="s">
        <v>786</v>
      </c>
      <c r="AJ9" s="611" t="s">
        <v>787</v>
      </c>
      <c r="AK9" s="651" t="s">
        <v>852</v>
      </c>
      <c r="AL9" s="611" t="s">
        <v>547</v>
      </c>
      <c r="AM9" s="651" t="s">
        <v>854</v>
      </c>
      <c r="AN9" s="651" t="s">
        <v>853</v>
      </c>
      <c r="AO9" s="652">
        <f>$J$49-$J$50</f>
      </c>
      <c r="AP9" s="917" t="s">
        <v>851</v>
      </c>
    </row>
    <row r="10" spans="1:48" s="294" customFormat="1" ht="15.75">
      <c r="A10" s="435"/>
      <c r="B10" s="442">
        <f>"Kami sampaikan Memorandum Usulan Pembiayaan atas nama "&amp;N14&amp;" dengan hal-hal sebagai berikut:"</f>
      </c>
      <c r="C10" s="442"/>
      <c r="D10" s="442"/>
      <c r="E10" s="442"/>
      <c r="F10" s="442"/>
      <c r="G10" s="442"/>
      <c r="H10" s="442"/>
      <c r="I10" s="442"/>
      <c r="J10" s="442"/>
      <c r="K10" s="442"/>
      <c r="L10" s="442"/>
      <c r="M10" s="442"/>
      <c r="N10" s="442"/>
      <c r="O10" s="442"/>
      <c r="P10" s="442"/>
      <c r="Q10" s="442"/>
      <c r="R10" s="442"/>
      <c r="S10" s="443"/>
      <c r="T10" s="440"/>
      <c r="U10" s="440"/>
      <c r="V10" s="440"/>
      <c r="W10" s="440"/>
      <c r="X10" s="440"/>
      <c r="Y10" s="438"/>
      <c r="AA10" s="60">
        <v>60</v>
      </c>
      <c r="AB10" s="60" t="s">
        <v>525</v>
      </c>
      <c r="AC10" s="60" t="s">
        <v>603</v>
      </c>
      <c r="AD10" s="60" t="s">
        <v>800</v>
      </c>
      <c r="AE10" s="60" t="s">
        <v>5</v>
      </c>
      <c r="AF10" s="650" t="s">
        <v>801</v>
      </c>
      <c r="AG10" s="611" t="s">
        <v>802</v>
      </c>
      <c r="AH10" s="651" t="s">
        <v>803</v>
      </c>
      <c r="AI10" s="651" t="s">
        <v>786</v>
      </c>
      <c r="AJ10" s="611" t="s">
        <v>787</v>
      </c>
      <c r="AK10" s="651" t="s">
        <v>852</v>
      </c>
      <c r="AL10" s="611" t="s">
        <v>547</v>
      </c>
      <c r="AM10" s="651" t="s">
        <v>854</v>
      </c>
      <c r="AN10" s="651" t="s">
        <v>853</v>
      </c>
      <c r="AO10" s="652">
        <f>$J$49-$J$50</f>
      </c>
      <c r="AP10" s="917" t="s">
        <v>851</v>
      </c>
    </row>
    <row r="11" spans="1:48" s="294" customFormat="1" ht="6" customHeight="1">
      <c r="A11" s="444"/>
      <c r="B11" s="445"/>
      <c r="C11" s="445"/>
      <c r="D11" s="445"/>
      <c r="E11" s="445"/>
      <c r="F11" s="445"/>
      <c r="G11" s="445"/>
      <c r="H11" s="445"/>
      <c r="I11" s="445"/>
      <c r="J11" s="445"/>
      <c r="K11" s="445"/>
      <c r="L11" s="445"/>
      <c r="M11" s="445"/>
      <c r="N11" s="445"/>
      <c r="O11" s="445"/>
      <c r="P11" s="445"/>
      <c r="Q11" s="445"/>
      <c r="R11" s="445"/>
      <c r="S11" s="445"/>
      <c r="T11" s="446"/>
      <c r="U11" s="446"/>
      <c r="V11" s="446"/>
      <c r="W11" s="446"/>
      <c r="X11" s="446"/>
      <c r="Y11" s="447"/>
      <c r="AA11" s="60">
        <v>65</v>
      </c>
      <c r="AB11" s="650" t="s">
        <v>850</v>
      </c>
      <c r="AC11" s="60" t="s">
        <v>804</v>
      </c>
      <c r="AD11" s="650" t="s">
        <v>805</v>
      </c>
      <c r="AE11" s="650" t="s">
        <v>590</v>
      </c>
      <c r="AF11" s="650" t="s">
        <v>797</v>
      </c>
      <c r="AG11" s="611" t="s">
        <v>798</v>
      </c>
      <c r="AH11" s="611" t="s">
        <v>806</v>
      </c>
      <c r="AI11" s="611" t="s">
        <v>807</v>
      </c>
      <c r="AJ11" s="611" t="s">
        <v>799</v>
      </c>
      <c r="AK11" s="611" t="s">
        <v>793</v>
      </c>
      <c r="AL11" s="611" t="s">
        <v>794</v>
      </c>
      <c r="AM11" s="611" t="s">
        <v>808</v>
      </c>
      <c r="AN11" s="611" t="s">
        <v>796</v>
      </c>
      <c r="AO11" s="652">
        <f>J49-J52</f>
      </c>
      <c r="AP11" s="917" t="s">
        <v>600</v>
      </c>
    </row>
    <row r="12" spans="1:48" s="294" customFormat="1" ht="18.75">
      <c r="A12" s="1533" t="s">
        <v>83</v>
      </c>
      <c r="B12" s="1534"/>
      <c r="C12" s="1534"/>
      <c r="D12" s="1534"/>
      <c r="E12" s="1534"/>
      <c r="F12" s="1534"/>
      <c r="G12" s="1534"/>
      <c r="H12" s="1534"/>
      <c r="I12" s="1534"/>
      <c r="J12" s="1534"/>
      <c r="K12" s="1534"/>
      <c r="L12" s="1534"/>
      <c r="M12" s="1534"/>
      <c r="N12" s="1534"/>
      <c r="O12" s="1534"/>
      <c r="P12" s="1534"/>
      <c r="Q12" s="1534"/>
      <c r="R12" s="1534"/>
      <c r="S12" s="1534"/>
      <c r="T12" s="1534"/>
      <c r="U12" s="1534"/>
      <c r="V12" s="1534"/>
      <c r="W12" s="1534"/>
      <c r="X12" s="1534"/>
      <c r="Y12" s="1535"/>
      <c r="AA12" s="60">
        <v>52</v>
      </c>
      <c r="AB12" s="60" t="s">
        <v>856</v>
      </c>
      <c r="AC12" s="60" t="s">
        <v>588</v>
      </c>
      <c r="AD12" s="60" t="s">
        <v>589</v>
      </c>
      <c r="AE12" s="60" t="s">
        <v>590</v>
      </c>
      <c r="AF12" s="650" t="s">
        <v>797</v>
      </c>
      <c r="AG12" s="611" t="s">
        <v>798</v>
      </c>
      <c r="AH12" s="651" t="s">
        <v>786</v>
      </c>
      <c r="AI12" s="651" t="s">
        <v>786</v>
      </c>
      <c r="AJ12" s="611" t="s">
        <v>799</v>
      </c>
      <c r="AK12" s="611" t="s">
        <v>793</v>
      </c>
      <c r="AL12" s="611" t="s">
        <v>794</v>
      </c>
      <c r="AM12" s="611" t="s">
        <v>795</v>
      </c>
      <c r="AN12" s="611" t="s">
        <v>796</v>
      </c>
      <c r="AO12" s="652">
        <f>J50</f>
      </c>
      <c r="AP12" s="917" t="s">
        <v>600</v>
      </c>
    </row>
    <row r="13" spans="1:48" s="294" customFormat="1" ht="6" customHeight="1">
      <c r="A13" s="435"/>
      <c r="B13" s="440"/>
      <c r="C13" s="440"/>
      <c r="D13" s="440"/>
      <c r="E13" s="440"/>
      <c r="F13" s="440"/>
      <c r="G13" s="440"/>
      <c r="H13" s="440"/>
      <c r="I13" s="440"/>
      <c r="J13" s="440"/>
      <c r="K13" s="440"/>
      <c r="L13" s="440"/>
      <c r="M13" s="440"/>
      <c r="N13" s="446"/>
      <c r="O13" s="446"/>
      <c r="P13" s="446"/>
      <c r="Q13" s="446"/>
      <c r="R13" s="446"/>
      <c r="S13" s="446"/>
      <c r="T13" s="446"/>
      <c r="U13" s="446"/>
      <c r="V13" s="446"/>
      <c r="W13" s="446"/>
      <c r="X13" s="440"/>
      <c r="Y13" s="438"/>
      <c r="AA13" s="60">
        <v>40</v>
      </c>
      <c r="AB13" s="650" t="s">
        <v>855</v>
      </c>
      <c r="AC13" s="60" t="s">
        <v>603</v>
      </c>
      <c r="AD13" s="651" t="s">
        <v>786</v>
      </c>
      <c r="AE13" s="651" t="s">
        <v>786</v>
      </c>
      <c r="AF13" s="651" t="s">
        <v>786</v>
      </c>
      <c r="AG13" s="651" t="s">
        <v>786</v>
      </c>
      <c r="AH13" s="651" t="s">
        <v>786</v>
      </c>
      <c r="AI13" s="651" t="s">
        <v>786</v>
      </c>
      <c r="AJ13" s="611" t="s">
        <v>787</v>
      </c>
      <c r="AK13" s="508" t="s">
        <v>7</v>
      </c>
      <c r="AL13" s="508" t="s">
        <v>7</v>
      </c>
      <c r="AM13" s="651" t="s">
        <v>791</v>
      </c>
      <c r="AN13" s="651" t="s">
        <v>790</v>
      </c>
      <c r="AO13" s="652">
        <f>J49</f>
      </c>
      <c r="AP13" s="917" t="s">
        <v>600</v>
      </c>
    </row>
    <row r="14" spans="1:48" s="294" customFormat="1" ht="15.75">
      <c r="A14" s="448">
        <v>1</v>
      </c>
      <c r="B14" s="449" t="s">
        <v>82</v>
      </c>
      <c r="C14" s="450"/>
      <c r="D14" s="450"/>
      <c r="E14" s="450"/>
      <c r="F14" s="450"/>
      <c r="G14" s="450"/>
      <c r="H14" s="450"/>
      <c r="I14" s="450"/>
      <c r="J14" s="450"/>
      <c r="K14" s="451"/>
      <c r="L14" s="452" t="s">
        <v>0</v>
      </c>
      <c r="M14" s="644"/>
      <c r="N14" s="1597">
        <f>'Informasi Pokok'!D11</f>
      </c>
      <c r="O14" s="1598"/>
      <c r="P14" s="1598"/>
      <c r="Q14" s="1598"/>
      <c r="R14" s="1599"/>
      <c r="S14" s="1599"/>
      <c r="T14" s="1599"/>
      <c r="U14" s="1599"/>
      <c r="V14" s="1599"/>
      <c r="W14" s="1600"/>
      <c r="X14" s="184"/>
      <c r="Y14" s="193"/>
      <c r="AA14" s="60"/>
      <c r="AB14" s="60"/>
      <c r="AC14" s="60"/>
      <c r="AD14" s="60"/>
      <c r="AE14" s="651"/>
      <c r="AF14" s="651"/>
      <c r="AG14" s="651"/>
      <c r="AH14" s="651"/>
      <c r="AI14" s="651"/>
      <c r="AJ14" s="611"/>
      <c r="AK14" s="508"/>
      <c r="AL14" s="508"/>
      <c r="AM14" s="651"/>
      <c r="AN14" s="651"/>
      <c r="AO14" s="652"/>
      <c r="AP14" s="917"/>
    </row>
    <row r="15" spans="1:48" s="294" customFormat="1" ht="15.75">
      <c r="A15" s="453">
        <v>2</v>
      </c>
      <c r="B15" s="454" t="s">
        <v>529</v>
      </c>
      <c r="C15" s="455"/>
      <c r="D15" s="455"/>
      <c r="E15" s="455"/>
      <c r="F15" s="455"/>
      <c r="G15" s="455"/>
      <c r="H15" s="455"/>
      <c r="I15" s="455"/>
      <c r="J15" s="455"/>
      <c r="K15" s="456"/>
      <c r="L15" s="452" t="s">
        <v>0</v>
      </c>
      <c r="M15" s="644"/>
      <c r="N15" s="1594">
        <f>'Informasi Pokok'!D58</f>
      </c>
      <c r="O15" s="1595"/>
      <c r="P15" s="1595"/>
      <c r="Q15" s="1596"/>
      <c r="R15" s="184"/>
      <c r="S15" s="184"/>
      <c r="T15" s="184"/>
      <c r="U15" s="184"/>
      <c r="V15" s="184"/>
      <c r="W15" s="184"/>
      <c r="X15" s="184"/>
      <c r="Y15" s="193"/>
    </row>
    <row r="16" spans="1:48" s="294" customFormat="1" ht="15.75">
      <c r="A16" s="453">
        <v>3</v>
      </c>
      <c r="B16" s="454" t="s">
        <v>98</v>
      </c>
      <c r="C16" s="455"/>
      <c r="D16" s="455"/>
      <c r="E16" s="455"/>
      <c r="F16" s="455"/>
      <c r="G16" s="455"/>
      <c r="H16" s="455"/>
      <c r="I16" s="455"/>
      <c r="J16" s="455"/>
      <c r="K16" s="456"/>
      <c r="L16" s="452" t="s">
        <v>0</v>
      </c>
      <c r="N16" s="1594">
        <f>'Informasi Pokok'!D60</f>
      </c>
      <c r="O16" s="1595"/>
      <c r="P16" s="1595"/>
      <c r="Q16" s="1596"/>
      <c r="R16" s="184"/>
      <c r="S16" s="184"/>
      <c r="T16" s="184"/>
      <c r="U16" s="184"/>
      <c r="V16" s="184"/>
      <c r="W16" s="184"/>
      <c r="X16" s="184"/>
      <c r="Y16" s="193"/>
    </row>
    <row r="17" spans="1:42" s="294" customFormat="1" ht="15.75">
      <c r="A17" s="453">
        <v>4</v>
      </c>
      <c r="B17" s="454" t="s">
        <v>975</v>
      </c>
      <c r="C17" s="455"/>
      <c r="D17" s="455"/>
      <c r="E17" s="455"/>
      <c r="F17" s="455"/>
      <c r="G17" s="455"/>
      <c r="H17" s="455"/>
      <c r="I17" s="455"/>
      <c r="J17" s="455"/>
      <c r="K17" s="456"/>
      <c r="L17" s="452" t="s">
        <v>0</v>
      </c>
      <c r="M17" s="644"/>
      <c r="N17" s="1591">
        <f>'Informasi Pokok'!D55</f>
      </c>
      <c r="O17" s="1592"/>
      <c r="P17" s="1592"/>
      <c r="Q17" s="1593"/>
      <c r="R17" s="186"/>
      <c r="S17" s="184"/>
      <c r="T17" s="184"/>
      <c r="U17" s="184"/>
      <c r="V17" s="184"/>
      <c r="W17" s="184"/>
      <c r="X17" s="184"/>
      <c r="Y17" s="193"/>
    </row>
    <row r="18" spans="1:42" s="294" customFormat="1" ht="15.75">
      <c r="A18" s="453">
        <v>5</v>
      </c>
      <c r="B18" s="454" t="s">
        <v>547</v>
      </c>
      <c r="C18" s="455"/>
      <c r="D18" s="455"/>
      <c r="E18" s="455"/>
      <c r="F18" s="455"/>
      <c r="G18" s="455"/>
      <c r="H18" s="455"/>
      <c r="I18" s="455"/>
      <c r="J18" s="455"/>
      <c r="K18" s="456"/>
      <c r="L18" s="452" t="s">
        <v>0</v>
      </c>
      <c r="M18" s="644"/>
      <c r="N18" s="1570">
        <f>'Informasi Pokok'!D57</f>
      </c>
      <c r="O18" s="1571"/>
      <c r="P18" s="1571"/>
      <c r="Q18" s="1572"/>
      <c r="R18" s="457">
        <f>'Informasi Pokok'!E57</f>
      </c>
      <c r="S18" s="184"/>
      <c r="T18" s="184"/>
      <c r="U18" s="184"/>
      <c r="V18" s="184"/>
      <c r="W18" s="184"/>
      <c r="X18" s="184"/>
      <c r="Y18" s="193"/>
    </row>
    <row r="19" spans="1:42" s="294" customFormat="1" ht="15.75">
      <c r="A19" s="453">
        <v>6</v>
      </c>
      <c r="B19" s="454" t="s">
        <v>2</v>
      </c>
      <c r="C19" s="455"/>
      <c r="D19" s="455"/>
      <c r="E19" s="455"/>
      <c r="F19" s="455"/>
      <c r="G19" s="455"/>
      <c r="H19" s="455"/>
      <c r="I19" s="455"/>
      <c r="J19" s="455"/>
      <c r="K19" s="456"/>
      <c r="L19" s="452" t="s">
        <v>0</v>
      </c>
      <c r="M19" s="644"/>
      <c r="N19" s="1573">
        <f>'Informasi Pokok'!D56</f>
      </c>
      <c r="O19" s="1574"/>
      <c r="P19" s="1574"/>
      <c r="Q19" s="1575"/>
      <c r="R19" s="186" t="s">
        <v>3</v>
      </c>
      <c r="S19" s="184"/>
      <c r="T19" s="184"/>
      <c r="U19" s="184"/>
      <c r="V19" s="184"/>
      <c r="W19" s="184"/>
      <c r="X19" s="184"/>
      <c r="Y19" s="193"/>
      <c r="AA19" s="653"/>
      <c r="AB19" s="60">
        <f>'Informasi Pokok'!D58</f>
      </c>
      <c r="AC19" s="60">
        <f>VLOOKUP($AB$19,$AB$3:$AO$14,2,0)</f>
      </c>
      <c r="AD19" s="60">
        <f>VLOOKUP($AB$19,$AB$3:$AO$14,3,0)</f>
      </c>
      <c r="AE19" s="60">
        <f>VLOOKUP($AB$19,$AB$3:$AO$14,4,0)</f>
      </c>
      <c r="AF19" s="60">
        <f>VLOOKUP($AB$19,$AB$3:$AO$14,5,0)</f>
      </c>
      <c r="AG19" s="60">
        <f>VLOOKUP($AB$19,$AB$3:$AO$14,6,0)</f>
      </c>
      <c r="AH19" s="60">
        <f>VLOOKUP($AB$19,$AB$3:$AO$14,7,0)</f>
      </c>
      <c r="AI19" s="60">
        <f>VLOOKUP($AB$19,$AB$3:$AO$14,8,0)</f>
      </c>
      <c r="AJ19" s="60">
        <f>VLOOKUP($AB$19,$AB$3:$AO$14,9,0)</f>
      </c>
      <c r="AK19" s="60">
        <f>VLOOKUP($AB$19,$AB$3:$AO$14,10,0)</f>
      </c>
      <c r="AL19" s="60">
        <f>VLOOKUP($AB$19,$AB$3:$AO$14,11,0)</f>
      </c>
      <c r="AM19" s="60">
        <f>VLOOKUP($AB$19,$AB$3:$AO$14,12,0)</f>
      </c>
      <c r="AN19" s="60">
        <f>VLOOKUP($AB$19,$AB$3:$AO$14,13,0)</f>
      </c>
      <c r="AO19" s="660">
        <f>VLOOKUP($AB$19,$AB$3:$AO$14,14,0)</f>
      </c>
      <c r="AP19" s="660">
        <f>VLOOKUP($AB$19,$AB$3:$AP$14,15,0)</f>
      </c>
    </row>
    <row r="20" spans="1:42" s="294" customFormat="1" ht="15.75">
      <c r="A20" s="458">
        <v>7</v>
      </c>
      <c r="B20" s="459" t="s">
        <v>502</v>
      </c>
      <c r="C20" s="460"/>
      <c r="D20" s="460"/>
      <c r="E20" s="460"/>
      <c r="F20" s="460"/>
      <c r="G20" s="460"/>
      <c r="H20" s="460"/>
      <c r="I20" s="460"/>
      <c r="J20" s="460"/>
      <c r="K20" s="461"/>
      <c r="L20" s="452" t="s">
        <v>0</v>
      </c>
      <c r="M20" s="644"/>
      <c r="N20" s="1576">
        <f>IF(R18="Flat",AB20,AC20)</f>
      </c>
      <c r="O20" s="1577"/>
      <c r="P20" s="1577"/>
      <c r="Q20" s="1578"/>
      <c r="R20" s="184"/>
      <c r="S20" s="184"/>
      <c r="T20" s="184"/>
      <c r="U20" s="184"/>
      <c r="V20" s="184"/>
      <c r="W20" s="184"/>
      <c r="X20" s="184"/>
      <c r="Y20" s="193"/>
      <c r="AB20" s="731">
        <f>(N17*N18*N19+N17)/N19</f>
      </c>
      <c r="AC20" s="732">
        <f>PMT(N18,N19,-N17)</f>
      </c>
    </row>
    <row r="21" spans="1:42" s="294" customFormat="1" ht="6.75" customHeight="1">
      <c r="A21" s="462"/>
      <c r="B21" s="463"/>
      <c r="C21" s="184"/>
      <c r="D21" s="184"/>
      <c r="E21" s="184"/>
      <c r="F21" s="184"/>
      <c r="G21" s="184"/>
      <c r="H21" s="184"/>
      <c r="I21" s="184"/>
      <c r="J21" s="184"/>
      <c r="K21" s="184"/>
      <c r="L21" s="644"/>
      <c r="M21" s="644"/>
      <c r="N21" s="464"/>
      <c r="O21" s="464"/>
      <c r="P21" s="464"/>
      <c r="Q21" s="464"/>
      <c r="R21" s="186"/>
      <c r="S21" s="184"/>
      <c r="T21" s="184"/>
      <c r="U21" s="184"/>
      <c r="V21" s="184"/>
      <c r="W21" s="184"/>
      <c r="X21" s="184"/>
      <c r="Y21" s="193"/>
      <c r="AB21" s="509"/>
    </row>
    <row r="22" spans="1:42" s="294" customFormat="1" ht="18.75">
      <c r="A22" s="1533" t="s">
        <v>51</v>
      </c>
      <c r="B22" s="1534"/>
      <c r="C22" s="1534"/>
      <c r="D22" s="1534"/>
      <c r="E22" s="1534"/>
      <c r="F22" s="1534"/>
      <c r="G22" s="1534"/>
      <c r="H22" s="1534"/>
      <c r="I22" s="1534"/>
      <c r="J22" s="1534"/>
      <c r="K22" s="1534"/>
      <c r="L22" s="1534"/>
      <c r="M22" s="1534"/>
      <c r="N22" s="1534"/>
      <c r="O22" s="1534"/>
      <c r="P22" s="1534"/>
      <c r="Q22" s="1534"/>
      <c r="R22" s="1534"/>
      <c r="S22" s="1534"/>
      <c r="T22" s="1534"/>
      <c r="U22" s="1534"/>
      <c r="V22" s="1534"/>
      <c r="W22" s="1534"/>
      <c r="X22" s="1534"/>
      <c r="Y22" s="1535"/>
      <c r="AC22" s="294">
        <v>1.75</v>
      </c>
      <c r="AD22" s="294">
        <v>2</v>
      </c>
    </row>
    <row r="23" spans="1:42" s="294" customFormat="1" ht="14.25" customHeight="1">
      <c r="A23" s="435"/>
      <c r="B23" s="440"/>
      <c r="C23" s="440"/>
      <c r="D23" s="440"/>
      <c r="E23" s="440"/>
      <c r="F23" s="440"/>
      <c r="G23" s="440"/>
      <c r="H23" s="440"/>
      <c r="I23" s="440"/>
      <c r="J23" s="440"/>
      <c r="K23" s="440"/>
      <c r="L23" s="440"/>
      <c r="M23" s="440"/>
      <c r="N23" s="446"/>
      <c r="O23" s="446"/>
      <c r="P23" s="446"/>
      <c r="Q23" s="446"/>
      <c r="R23" s="440"/>
      <c r="S23" s="440"/>
      <c r="T23" s="440"/>
      <c r="U23" s="440"/>
      <c r="V23" s="440"/>
      <c r="W23" s="440"/>
      <c r="X23" s="440"/>
      <c r="Y23" s="438"/>
    </row>
    <row r="24" spans="1:42" s="294" customFormat="1">
      <c r="A24" s="870">
        <v>1</v>
      </c>
      <c r="B24" s="871" t="s">
        <v>989</v>
      </c>
      <c r="C24" s="872"/>
      <c r="D24" s="872"/>
      <c r="E24" s="872"/>
      <c r="F24" s="872"/>
      <c r="G24" s="872"/>
      <c r="H24" s="872"/>
      <c r="I24" s="872"/>
      <c r="J24" s="872"/>
      <c r="K24" s="872"/>
      <c r="L24" s="452" t="s">
        <v>0</v>
      </c>
      <c r="M24" s="186"/>
      <c r="N24" s="1536">
        <f>'Aspek Keuangan'!M12</f>
      </c>
      <c r="O24" s="1537"/>
      <c r="P24" s="1537"/>
      <c r="Q24" s="1538"/>
      <c r="R24" s="184"/>
      <c r="S24" s="184"/>
      <c r="T24" s="184"/>
      <c r="U24" s="184"/>
      <c r="V24" s="184"/>
      <c r="W24" s="184"/>
      <c r="X24" s="184"/>
      <c r="Y24" s="193"/>
    </row>
    <row r="25" spans="1:42" s="294" customFormat="1">
      <c r="A25" s="870">
        <v>2</v>
      </c>
      <c r="B25" s="1586" t="s">
        <v>990</v>
      </c>
      <c r="C25" s="1586"/>
      <c r="D25" s="1586"/>
      <c r="E25" s="1586"/>
      <c r="F25" s="1586"/>
      <c r="G25" s="1586"/>
      <c r="H25" s="1586"/>
      <c r="I25" s="1586"/>
      <c r="J25" s="1586"/>
      <c r="K25" s="1586"/>
      <c r="L25" s="452" t="s">
        <v>0</v>
      </c>
      <c r="M25" s="186"/>
      <c r="N25" s="1536">
        <f>'Aspek Keuangan'!M69</f>
      </c>
      <c r="O25" s="1537"/>
      <c r="P25" s="1537"/>
      <c r="Q25" s="1538"/>
      <c r="R25" s="184"/>
      <c r="S25" s="184"/>
      <c r="T25" s="184"/>
      <c r="U25" s="184"/>
      <c r="V25" s="184"/>
      <c r="W25" s="184"/>
      <c r="X25" s="184"/>
      <c r="Y25" s="193"/>
    </row>
    <row r="26" spans="1:42" s="294" customFormat="1" ht="15" customHeight="1">
      <c r="A26" s="870">
        <v>3</v>
      </c>
      <c r="B26" s="1586" t="s">
        <v>760</v>
      </c>
      <c r="C26" s="1586"/>
      <c r="D26" s="1586"/>
      <c r="E26" s="1586"/>
      <c r="F26" s="1586"/>
      <c r="G26" s="1586"/>
      <c r="H26" s="1586"/>
      <c r="I26" s="1586"/>
      <c r="J26" s="1586"/>
      <c r="K26" s="1586"/>
      <c r="L26" s="452" t="s">
        <v>0</v>
      </c>
      <c r="M26" s="186"/>
      <c r="N26" s="1585">
        <f>'Aspek Keuangan'!N81+'Aspek Keuangan'!N93</f>
      </c>
      <c r="O26" s="1585"/>
      <c r="P26" s="1585"/>
      <c r="Q26" s="1585"/>
      <c r="R26" s="184"/>
      <c r="S26" s="184"/>
      <c r="T26" s="184"/>
      <c r="U26" s="184"/>
      <c r="V26" s="184"/>
      <c r="W26" s="184"/>
      <c r="X26" s="184"/>
      <c r="Y26" s="193"/>
    </row>
    <row r="27" spans="1:42" s="294" customFormat="1" ht="15" customHeight="1">
      <c r="A27" s="870">
        <v>4</v>
      </c>
      <c r="B27" s="1586" t="s">
        <v>759</v>
      </c>
      <c r="C27" s="1586"/>
      <c r="D27" s="1586"/>
      <c r="E27" s="1586"/>
      <c r="F27" s="1586"/>
      <c r="G27" s="1586"/>
      <c r="H27" s="1586"/>
      <c r="I27" s="1586"/>
      <c r="J27" s="1586"/>
      <c r="K27" s="1586"/>
      <c r="L27" s="452" t="s">
        <v>0</v>
      </c>
      <c r="M27" s="186"/>
      <c r="N27" s="1585">
        <f>(N24+N25)-N26</f>
      </c>
      <c r="O27" s="1585"/>
      <c r="P27" s="1585"/>
      <c r="Q27" s="1585"/>
      <c r="R27" s="184"/>
      <c r="S27" s="184"/>
      <c r="T27" s="184"/>
      <c r="U27" s="184"/>
      <c r="V27" s="184"/>
      <c r="W27" s="184"/>
      <c r="X27" s="184"/>
      <c r="Y27" s="193"/>
    </row>
    <row r="28" spans="1:42" s="294" customFormat="1">
      <c r="A28" s="462"/>
      <c r="B28" s="484"/>
      <c r="C28" s="484"/>
      <c r="D28" s="484"/>
      <c r="E28" s="484"/>
      <c r="F28" s="484"/>
      <c r="G28" s="484"/>
      <c r="H28" s="484"/>
      <c r="I28" s="484"/>
      <c r="J28" s="484"/>
      <c r="K28" s="484"/>
      <c r="L28" s="644"/>
      <c r="M28" s="186"/>
      <c r="N28" s="941"/>
      <c r="O28" s="941"/>
      <c r="P28" s="941"/>
      <c r="Q28" s="941"/>
      <c r="R28" s="184"/>
      <c r="S28" s="184"/>
      <c r="T28" s="184"/>
      <c r="U28" s="184"/>
      <c r="V28" s="184"/>
      <c r="W28" s="184"/>
      <c r="X28" s="184"/>
      <c r="Y28" s="193"/>
    </row>
    <row r="29" spans="1:42" s="294" customFormat="1" ht="18.75">
      <c r="A29" s="1533" t="s">
        <v>566</v>
      </c>
      <c r="B29" s="1534"/>
      <c r="C29" s="1534"/>
      <c r="D29" s="1534"/>
      <c r="E29" s="1534"/>
      <c r="F29" s="1534"/>
      <c r="G29" s="1534"/>
      <c r="H29" s="1534"/>
      <c r="I29" s="1534"/>
      <c r="J29" s="1534"/>
      <c r="K29" s="1534"/>
      <c r="L29" s="1534"/>
      <c r="M29" s="1534"/>
      <c r="N29" s="1534"/>
      <c r="O29" s="1534"/>
      <c r="P29" s="1534"/>
      <c r="Q29" s="1534"/>
      <c r="R29" s="1534"/>
      <c r="S29" s="1534"/>
      <c r="T29" s="1534"/>
      <c r="U29" s="1534"/>
      <c r="V29" s="1534"/>
      <c r="W29" s="1534"/>
      <c r="X29" s="1534"/>
      <c r="Y29" s="1535"/>
    </row>
    <row r="30" spans="1:42" s="294" customFormat="1" ht="3" customHeight="1">
      <c r="A30" s="465"/>
      <c r="B30" s="466"/>
      <c r="C30" s="466"/>
      <c r="D30" s="467"/>
      <c r="E30" s="467"/>
      <c r="F30" s="467"/>
      <c r="G30" s="467"/>
      <c r="H30" s="467"/>
      <c r="I30" s="467"/>
      <c r="J30" s="467"/>
      <c r="K30" s="468"/>
      <c r="L30" s="469"/>
      <c r="M30" s="1687"/>
      <c r="N30" s="1687"/>
      <c r="O30" s="1687"/>
      <c r="P30" s="1687"/>
      <c r="Q30" s="1687"/>
      <c r="R30" s="470"/>
      <c r="S30" s="471"/>
      <c r="T30" s="472"/>
      <c r="U30" s="472"/>
      <c r="V30" s="472"/>
      <c r="W30" s="473"/>
      <c r="X30" s="473"/>
      <c r="Y30" s="474"/>
    </row>
    <row r="31" spans="1:42" s="294" customFormat="1" ht="15.75" customHeight="1">
      <c r="A31" s="475" t="s">
        <v>550</v>
      </c>
      <c r="B31" s="476"/>
      <c r="C31" s="476"/>
      <c r="D31" s="476"/>
      <c r="E31" s="476"/>
      <c r="F31" s="476"/>
      <c r="G31" s="476"/>
      <c r="H31" s="476"/>
      <c r="I31" s="1579"/>
      <c r="J31" s="1579"/>
      <c r="K31" s="1579"/>
      <c r="L31" s="1579"/>
      <c r="M31" s="1579"/>
      <c r="N31" s="1579"/>
      <c r="O31" s="1579"/>
      <c r="P31" s="1579"/>
      <c r="Q31" s="1579"/>
      <c r="R31" s="1579"/>
      <c r="S31" s="1579"/>
      <c r="T31" s="473"/>
      <c r="U31" s="473"/>
      <c r="V31" s="473"/>
      <c r="W31" s="473"/>
      <c r="X31" s="473"/>
      <c r="Y31" s="474"/>
      <c r="AA31" s="510">
        <v>1</v>
      </c>
      <c r="AB31" s="511" t="s">
        <v>711</v>
      </c>
      <c r="AC31" s="512" t="s">
        <v>712</v>
      </c>
      <c r="AD31" s="512"/>
      <c r="AE31" s="512"/>
    </row>
    <row r="32" spans="1:42" s="294" customFormat="1" ht="15.75" customHeight="1">
      <c r="A32" s="477"/>
      <c r="C32" s="478"/>
      <c r="D32" s="479"/>
      <c r="E32" s="480"/>
      <c r="F32" s="479"/>
      <c r="G32" s="479"/>
      <c r="H32" s="184"/>
      <c r="I32" s="1542">
        <f>AC19</f>
      </c>
      <c r="J32" s="1542"/>
      <c r="K32" s="1542"/>
      <c r="L32" s="1542"/>
      <c r="M32" s="1542"/>
      <c r="N32" s="1542"/>
      <c r="O32" s="1542"/>
      <c r="P32" s="513" t="s">
        <v>0</v>
      </c>
      <c r="Q32" s="1615">
        <f>(Q34/(100%+(J54*J55)))</f>
      </c>
      <c r="R32" s="1615"/>
      <c r="S32" s="1615"/>
      <c r="T32" s="442"/>
      <c r="U32" s="473"/>
      <c r="V32" s="473"/>
      <c r="W32" s="473"/>
      <c r="X32" s="473"/>
      <c r="Y32" s="474"/>
      <c r="AA32" s="510">
        <v>0.3</v>
      </c>
      <c r="AB32" s="514" t="s">
        <v>717</v>
      </c>
      <c r="AC32" s="514" t="s">
        <v>722</v>
      </c>
      <c r="AD32" s="514" t="s">
        <v>723</v>
      </c>
      <c r="AE32" s="514" t="s">
        <v>718</v>
      </c>
    </row>
    <row r="33" spans="1:32" s="294" customFormat="1" ht="15.75" customHeight="1">
      <c r="A33" s="477"/>
      <c r="B33" s="442"/>
      <c r="C33" s="442"/>
      <c r="D33" s="480"/>
      <c r="E33" s="478"/>
      <c r="F33" s="442"/>
      <c r="G33" s="478"/>
      <c r="H33" s="184"/>
      <c r="I33" s="1540">
        <f>AD19</f>
      </c>
      <c r="J33" s="1540"/>
      <c r="K33" s="1540"/>
      <c r="L33" s="1540"/>
      <c r="M33" s="1540"/>
      <c r="N33" s="1540"/>
      <c r="O33" s="1540"/>
      <c r="P33" s="515" t="s">
        <v>0</v>
      </c>
      <c r="Q33" s="1539">
        <f>Q34-Q32</f>
      </c>
      <c r="R33" s="1539"/>
      <c r="S33" s="1539"/>
      <c r="T33" s="1613"/>
      <c r="U33" s="1613"/>
      <c r="V33" s="473"/>
      <c r="W33" s="473"/>
      <c r="X33" s="473"/>
      <c r="Y33" s="474"/>
      <c r="AA33" s="510">
        <v>0.35</v>
      </c>
      <c r="AB33" s="514" t="s">
        <v>715</v>
      </c>
      <c r="AC33" s="514" t="s">
        <v>716</v>
      </c>
      <c r="AD33" s="514" t="s">
        <v>724</v>
      </c>
      <c r="AE33" s="514" t="s">
        <v>718</v>
      </c>
    </row>
    <row r="34" spans="1:32" s="294" customFormat="1" ht="15.75" customHeight="1">
      <c r="A34" s="477"/>
      <c r="B34" s="442"/>
      <c r="C34" s="478"/>
      <c r="D34" s="480"/>
      <c r="E34" s="442"/>
      <c r="F34" s="442"/>
      <c r="G34" s="478"/>
      <c r="H34" s="184"/>
      <c r="I34" s="1540">
        <f>AE19</f>
      </c>
      <c r="J34" s="1540"/>
      <c r="K34" s="1540"/>
      <c r="L34" s="1540"/>
      <c r="M34" s="1540"/>
      <c r="N34" s="1540"/>
      <c r="O34" s="1540"/>
      <c r="P34" s="515" t="s">
        <v>0</v>
      </c>
      <c r="Q34" s="1583">
        <f>N27*J54</f>
      </c>
      <c r="R34" s="1583"/>
      <c r="S34" s="1583"/>
      <c r="T34" s="1613"/>
      <c r="U34" s="1613"/>
      <c r="V34" s="473"/>
      <c r="W34" s="473"/>
      <c r="X34" s="473"/>
      <c r="Y34" s="474"/>
      <c r="AA34" s="510">
        <v>0.4</v>
      </c>
      <c r="AB34" s="514" t="s">
        <v>683</v>
      </c>
      <c r="AC34" s="514" t="s">
        <v>721</v>
      </c>
      <c r="AD34" s="514" t="s">
        <v>713</v>
      </c>
      <c r="AE34" s="514" t="s">
        <v>714</v>
      </c>
    </row>
    <row r="35" spans="1:32" s="294" customFormat="1" ht="15.75">
      <c r="A35" s="477"/>
      <c r="B35" s="442"/>
      <c r="C35" s="478"/>
      <c r="D35" s="480"/>
      <c r="E35" s="442"/>
      <c r="F35" s="442"/>
      <c r="G35" s="478"/>
      <c r="H35" s="184"/>
      <c r="I35" s="1581" t="s">
        <v>548</v>
      </c>
      <c r="J35" s="1581"/>
      <c r="K35" s="1581"/>
      <c r="L35" s="1581"/>
      <c r="M35" s="1581"/>
      <c r="N35" s="1581"/>
      <c r="O35" s="1581"/>
      <c r="P35" s="516" t="s">
        <v>0</v>
      </c>
      <c r="Q35" s="1584">
        <f>Q34/J54</f>
      </c>
      <c r="R35" s="1584"/>
      <c r="S35" s="1584"/>
      <c r="T35" s="643"/>
      <c r="U35" s="643"/>
      <c r="V35" s="473"/>
      <c r="W35" s="473"/>
      <c r="X35" s="473"/>
      <c r="Y35" s="474"/>
      <c r="AA35" s="517">
        <f>N25</f>
      </c>
      <c r="AB35" s="518">
        <f>AA31/AA35</f>
      </c>
      <c r="AC35" s="512"/>
      <c r="AD35" s="512"/>
      <c r="AE35" s="512"/>
    </row>
    <row r="36" spans="1:32" s="294" customFormat="1" ht="4.5" customHeight="1">
      <c r="A36" s="477"/>
      <c r="B36" s="442"/>
      <c r="C36" s="478"/>
      <c r="D36" s="480"/>
      <c r="E36" s="442"/>
      <c r="F36" s="442"/>
      <c r="G36" s="478"/>
      <c r="H36" s="184"/>
      <c r="I36" s="1614"/>
      <c r="J36" s="1614"/>
      <c r="K36" s="1614"/>
      <c r="L36" s="1614"/>
      <c r="M36" s="1614"/>
      <c r="N36" s="640"/>
      <c r="O36" s="1587"/>
      <c r="P36" s="1587"/>
      <c r="Q36" s="182"/>
      <c r="R36" s="1689"/>
      <c r="S36" s="1689"/>
      <c r="T36" s="1582"/>
      <c r="U36" s="1582"/>
      <c r="V36" s="1582"/>
      <c r="W36" s="1582"/>
      <c r="X36" s="1582"/>
      <c r="Y36" s="474"/>
    </row>
    <row r="37" spans="1:32" s="294" customFormat="1" ht="15.75">
      <c r="A37" s="475" t="s">
        <v>551</v>
      </c>
      <c r="B37" s="442"/>
      <c r="C37" s="478"/>
      <c r="D37" s="480"/>
      <c r="E37" s="442"/>
      <c r="F37" s="442"/>
      <c r="G37" s="478"/>
      <c r="H37" s="184"/>
      <c r="I37" s="481"/>
      <c r="J37" s="640"/>
      <c r="K37" s="640"/>
      <c r="L37" s="640"/>
      <c r="M37" s="640"/>
      <c r="N37" s="640"/>
      <c r="O37" s="640"/>
      <c r="P37" s="482"/>
      <c r="Q37" s="183"/>
      <c r="R37" s="183"/>
      <c r="S37" s="183"/>
      <c r="T37" s="643"/>
      <c r="U37" s="643"/>
      <c r="V37" s="473"/>
      <c r="W37" s="473"/>
      <c r="X37" s="473"/>
      <c r="Y37" s="474"/>
      <c r="AA37" s="519">
        <f>B74</f>
      </c>
      <c r="AB37" s="294">
        <f>VLOOKUP(AA35,AA31:AE34,3,0)</f>
      </c>
    </row>
    <row r="38" spans="1:32" s="294" customFormat="1" ht="15.75" customHeight="1">
      <c r="A38" s="477"/>
      <c r="B38" s="442"/>
      <c r="C38" s="478"/>
      <c r="D38" s="480"/>
      <c r="E38" s="442"/>
      <c r="F38" s="442"/>
      <c r="G38" s="478"/>
      <c r="H38" s="184"/>
      <c r="I38" s="1542">
        <f>AC19</f>
      </c>
      <c r="J38" s="1542"/>
      <c r="K38" s="1542"/>
      <c r="L38" s="1542"/>
      <c r="M38" s="1542"/>
      <c r="N38" s="1542"/>
      <c r="O38" s="1542"/>
      <c r="P38" s="513" t="s">
        <v>0</v>
      </c>
      <c r="Q38" s="1541">
        <f>N17</f>
      </c>
      <c r="R38" s="1541"/>
      <c r="S38" s="1541"/>
      <c r="T38" s="1688"/>
      <c r="U38" s="1688"/>
      <c r="V38" s="1688"/>
      <c r="W38" s="1688"/>
      <c r="X38" s="1688"/>
      <c r="Y38" s="474"/>
    </row>
    <row r="39" spans="1:32" s="294" customFormat="1" ht="15.75" customHeight="1">
      <c r="A39" s="477"/>
      <c r="B39" s="442"/>
      <c r="C39" s="478"/>
      <c r="D39" s="480"/>
      <c r="E39" s="442"/>
      <c r="F39" s="442"/>
      <c r="G39" s="478"/>
      <c r="H39" s="184"/>
      <c r="I39" s="1540">
        <f>AD19</f>
      </c>
      <c r="J39" s="1540"/>
      <c r="K39" s="1540"/>
      <c r="L39" s="1540"/>
      <c r="M39" s="1540"/>
      <c r="N39" s="1540"/>
      <c r="O39" s="1540"/>
      <c r="P39" s="515" t="s">
        <v>0</v>
      </c>
      <c r="Q39" s="1539">
        <f>Q38*N18*N19</f>
      </c>
      <c r="R39" s="1539"/>
      <c r="S39" s="1539"/>
      <c r="T39" s="1582"/>
      <c r="U39" s="1582"/>
      <c r="V39" s="473"/>
      <c r="W39" s="473"/>
      <c r="X39" s="473"/>
      <c r="Y39" s="474"/>
      <c r="AA39" s="520">
        <v>0.4</v>
      </c>
      <c r="AB39" s="293">
        <f>IF($AA$37&lt;2.5,"RPC &lt;2.50",IF(AND($AA$37&gt;=2.5,$AA$37&lt;=4),"RPC 2.50 sd. 4",IF(AND($AA$37&gt;4,$AA$37&lt;=6),"RPC &gt;4 sd. 6",IF($AA$37&gt;6,"RPC &gt;6"))))</f>
      </c>
      <c r="AC39" s="293">
        <f>IF($AA$37&lt;2.5,AB34,IF(AND($AA$37&gt;=2.5,$AA$37&lt;=4),AC34,IF(AND($AA$37&gt;4,$AA$37&lt;=6),AD34,IF($AA$37&gt;6,AE34))))</f>
      </c>
    </row>
    <row r="40" spans="1:32" s="294" customFormat="1" ht="15.75" customHeight="1">
      <c r="A40" s="477"/>
      <c r="B40" s="442"/>
      <c r="C40" s="478"/>
      <c r="D40" s="480"/>
      <c r="E40" s="442"/>
      <c r="F40" s="442"/>
      <c r="G40" s="478"/>
      <c r="H40" s="184"/>
      <c r="I40" s="1540">
        <f>AE19</f>
      </c>
      <c r="J40" s="1540"/>
      <c r="K40" s="1540"/>
      <c r="L40" s="1540"/>
      <c r="M40" s="1540"/>
      <c r="N40" s="1540"/>
      <c r="O40" s="1540"/>
      <c r="P40" s="515" t="s">
        <v>0</v>
      </c>
      <c r="Q40" s="1583">
        <f>SUM(Q38:S39)</f>
      </c>
      <c r="R40" s="1583"/>
      <c r="S40" s="1583"/>
      <c r="T40" s="1582"/>
      <c r="U40" s="1582"/>
      <c r="V40" s="473"/>
      <c r="W40" s="473"/>
      <c r="X40" s="473"/>
      <c r="Y40" s="474"/>
      <c r="AA40" s="520">
        <v>0.35</v>
      </c>
      <c r="AB40" s="293">
        <f>IF($AA$37&lt;2.86,"RPC &lt;2.86",IF(AND($AA$37&gt;=2.86,$AA$37&lt;=4.25),"RPC 2.86 sd. 4.25",IF(AND($AA$37&gt;4.25,$AA$37&lt;=6.5),"RPC &gt;4.25 sd. 6.50",IF($AA$37&gt;6.5,"RPC &gt;6.50"))))</f>
      </c>
      <c r="AC40" s="293">
        <f>IF($AA$37&lt;2.86,AB33,IF(AND($AA$37&gt;=2.86,$AA$37&lt;=4.25),AC33,IF(AND($AA$37&gt;4.25,$AA$37&lt;=6.5),AD33,IF($AA$37&gt;6.5,AE33))))</f>
      </c>
    </row>
    <row r="41" spans="1:32" s="294" customFormat="1" ht="15.75">
      <c r="A41" s="477"/>
      <c r="B41" s="442"/>
      <c r="C41" s="478"/>
      <c r="D41" s="480"/>
      <c r="E41" s="442"/>
      <c r="F41" s="442"/>
      <c r="G41" s="478"/>
      <c r="H41" s="184"/>
      <c r="I41" s="1540" t="s">
        <v>549</v>
      </c>
      <c r="J41" s="1540"/>
      <c r="K41" s="1540"/>
      <c r="L41" s="1540"/>
      <c r="M41" s="1540"/>
      <c r="N41" s="1540"/>
      <c r="O41" s="1540"/>
      <c r="P41" s="515" t="s">
        <v>0</v>
      </c>
      <c r="Q41" s="1583">
        <f>Q40/N19</f>
      </c>
      <c r="R41" s="1583"/>
      <c r="S41" s="1583"/>
      <c r="T41" s="643"/>
      <c r="U41" s="643"/>
      <c r="V41" s="473"/>
      <c r="W41" s="473"/>
      <c r="X41" s="473"/>
      <c r="Y41" s="474"/>
      <c r="AA41" s="520">
        <v>0.3</v>
      </c>
      <c r="AB41" s="293">
        <f>IF($AA$37&lt;3.33,"RPC &lt;3.33",IF(AND($AA$37&gt;=3.33,$AA$37&lt;=4.5),"RPC 3.33 sd. 4.50",IF(AND($AA$37&gt;4.5,$AA$37&lt;=6.5),"RPC &gt;4 sd. 6.50",IF($AA$37&gt;6.5,"RPC &gt;6.50"))))</f>
      </c>
      <c r="AC41" s="293">
        <f>IF($AA$37&lt;3.33,AB32,IF(AND($AA$37&gt;=3.33,$AA$37&lt;=4.5),AC32,IF(AND($AA$37&gt;4.5,$AA$37&lt;=6.5),AD32,IF($AA$37&gt;6.5,AE32))))</f>
      </c>
    </row>
    <row r="42" spans="1:32" s="294" customFormat="1" ht="15.75">
      <c r="A42" s="477"/>
      <c r="B42" s="442"/>
      <c r="C42" s="478"/>
      <c r="D42" s="480"/>
      <c r="E42" s="442"/>
      <c r="F42" s="442"/>
      <c r="G42" s="478"/>
      <c r="H42" s="184"/>
      <c r="I42" s="1581" t="s">
        <v>569</v>
      </c>
      <c r="J42" s="1581"/>
      <c r="K42" s="1581"/>
      <c r="L42" s="1581"/>
      <c r="M42" s="1581"/>
      <c r="N42" s="635"/>
      <c r="O42" s="521"/>
      <c r="P42" s="516" t="s">
        <v>0</v>
      </c>
      <c r="Q42" s="1584">
        <f>N27-Q41</f>
      </c>
      <c r="R42" s="1584"/>
      <c r="S42" s="1584"/>
      <c r="T42" s="1582"/>
      <c r="U42" s="1582"/>
      <c r="V42" s="1582"/>
      <c r="W42" s="1582"/>
      <c r="X42" s="1582"/>
      <c r="Y42" s="474"/>
    </row>
    <row r="43" spans="1:32" s="294" customFormat="1" ht="3" customHeight="1">
      <c r="A43" s="477"/>
      <c r="B43" s="442"/>
      <c r="C43" s="478"/>
      <c r="D43" s="480"/>
      <c r="E43" s="442"/>
      <c r="F43" s="442"/>
      <c r="G43" s="478"/>
      <c r="H43" s="184"/>
      <c r="I43" s="640"/>
      <c r="J43" s="640"/>
      <c r="K43" s="640"/>
      <c r="L43" s="640"/>
      <c r="M43" s="640"/>
      <c r="N43" s="640"/>
      <c r="O43" s="641"/>
      <c r="P43" s="641"/>
      <c r="Q43" s="182"/>
      <c r="R43" s="642"/>
      <c r="S43" s="642"/>
      <c r="T43" s="643"/>
      <c r="U43" s="643"/>
      <c r="V43" s="643"/>
      <c r="W43" s="643"/>
      <c r="X43" s="643"/>
      <c r="Y43" s="474"/>
    </row>
    <row r="44" spans="1:32" s="294" customFormat="1" ht="3" customHeight="1">
      <c r="A44" s="477"/>
      <c r="B44" s="483"/>
      <c r="C44" s="483"/>
      <c r="D44" s="184"/>
      <c r="E44" s="184"/>
      <c r="F44" s="184"/>
      <c r="G44" s="184"/>
      <c r="H44" s="184"/>
      <c r="I44" s="184"/>
      <c r="J44" s="1580"/>
      <c r="K44" s="1580"/>
      <c r="L44" s="1580"/>
      <c r="M44" s="1580"/>
      <c r="N44" s="1580"/>
      <c r="O44" s="1580"/>
      <c r="P44" s="1580"/>
      <c r="Q44" s="1580"/>
      <c r="R44" s="1580"/>
      <c r="S44" s="1580"/>
      <c r="T44" s="473"/>
      <c r="U44" s="473"/>
      <c r="V44" s="473"/>
      <c r="W44" s="473"/>
      <c r="X44" s="473"/>
      <c r="Y44" s="474"/>
    </row>
    <row r="45" spans="1:32" s="294" customFormat="1" ht="12.75" customHeight="1">
      <c r="A45" s="462"/>
      <c r="B45" s="484"/>
      <c r="C45" s="484"/>
      <c r="D45" s="484"/>
      <c r="E45" s="484"/>
      <c r="F45" s="484"/>
      <c r="G45" s="484"/>
      <c r="H45" s="484"/>
      <c r="I45" s="485"/>
      <c r="J45" s="185"/>
      <c r="K45" s="185"/>
      <c r="L45" s="185"/>
      <c r="M45" s="186"/>
      <c r="N45" s="187"/>
      <c r="O45" s="187"/>
      <c r="P45" s="187"/>
      <c r="Q45" s="187"/>
      <c r="R45" s="184"/>
      <c r="S45" s="184"/>
      <c r="T45" s="184"/>
      <c r="U45" s="184"/>
      <c r="V45" s="184"/>
      <c r="W45" s="184"/>
      <c r="X45" s="184"/>
      <c r="Y45" s="193"/>
      <c r="AF45" s="294">
        <f>IF(AE58=0,0,AE56)</f>
      </c>
    </row>
    <row r="46" spans="1:32" s="294" customFormat="1" ht="3.75" customHeight="1">
      <c r="A46" s="940"/>
      <c r="B46" s="184"/>
      <c r="C46" s="184"/>
      <c r="D46" s="184"/>
      <c r="E46" s="184"/>
      <c r="F46" s="184"/>
      <c r="G46" s="184"/>
      <c r="H46" s="184"/>
      <c r="I46" s="184"/>
      <c r="J46" s="184"/>
      <c r="K46" s="184"/>
      <c r="L46" s="440"/>
      <c r="M46" s="184"/>
      <c r="N46" s="184"/>
      <c r="O46" s="184"/>
      <c r="P46" s="184"/>
      <c r="Q46" s="184"/>
      <c r="R46" s="184"/>
      <c r="S46" s="184"/>
      <c r="T46" s="184"/>
      <c r="U46" s="184"/>
      <c r="V46" s="184"/>
      <c r="W46" s="184"/>
      <c r="X46" s="184"/>
      <c r="Y46" s="193"/>
    </row>
    <row r="47" spans="1:32" s="294" customFormat="1" ht="18.75">
      <c r="A47" s="1533" t="s">
        <v>514</v>
      </c>
      <c r="B47" s="1534"/>
      <c r="C47" s="1534"/>
      <c r="D47" s="1534"/>
      <c r="E47" s="1534"/>
      <c r="F47" s="1534"/>
      <c r="G47" s="1534"/>
      <c r="H47" s="1534"/>
      <c r="I47" s="1534"/>
      <c r="J47" s="1534"/>
      <c r="K47" s="1534"/>
      <c r="L47" s="1534"/>
      <c r="M47" s="1534"/>
      <c r="N47" s="1534"/>
      <c r="O47" s="1534"/>
      <c r="P47" s="1534"/>
      <c r="Q47" s="1534"/>
      <c r="R47" s="1534"/>
      <c r="S47" s="1534"/>
      <c r="T47" s="1534"/>
      <c r="U47" s="1534"/>
      <c r="V47" s="1534"/>
      <c r="W47" s="1534"/>
      <c r="X47" s="1534"/>
      <c r="Y47" s="1535"/>
    </row>
    <row r="48" spans="1:32" s="294" customFormat="1" ht="16.5" thickBot="1">
      <c r="A48" s="435"/>
      <c r="B48" s="11"/>
      <c r="C48" s="11"/>
      <c r="D48" s="11"/>
      <c r="E48" s="11"/>
      <c r="F48" s="11"/>
      <c r="G48" s="11"/>
      <c r="H48" s="11"/>
      <c r="I48" s="526"/>
      <c r="J48" s="11"/>
      <c r="K48" s="11"/>
      <c r="L48" s="11"/>
      <c r="M48" s="11"/>
      <c r="N48" s="929">
        <f>IF(Parameter!G32&lt;=2,'Usulan Pembiayaan'!AC48,'Usulan Pembiayaan'!AC49)</f>
      </c>
      <c r="O48" s="184"/>
      <c r="P48" s="930"/>
      <c r="Q48" s="184"/>
      <c r="R48" s="184"/>
      <c r="S48" s="184"/>
      <c r="T48" s="184"/>
      <c r="U48" s="184"/>
      <c r="V48" s="184"/>
      <c r="W48" s="184"/>
      <c r="X48" s="184"/>
      <c r="Y48" s="438"/>
      <c r="AA48" s="931">
        <f>Parameter!H253</f>
      </c>
      <c r="AB48" s="294">
        <f>AA48*12</f>
      </c>
      <c r="AC48" s="611">
        <f>IF(J54&gt;AB48,"Jangka Waktu Melebihi Usia Pensiun","")</f>
      </c>
      <c r="AD48" s="611"/>
    </row>
    <row r="49" ht="18.75">
      <c r="A49" s="637"/>
      <c r="B49" s="1624">
        <f>$AF$19</f>
      </c>
      <c r="C49" s="1625"/>
      <c r="D49" s="1625"/>
      <c r="E49" s="1625"/>
      <c r="F49" s="1625"/>
      <c r="G49" s="1625"/>
      <c r="H49" s="1626"/>
      <c r="I49" s="214" t="s">
        <v>0</v>
      </c>
      <c r="J49" s="1618"/>
      <c r="K49" s="1619"/>
      <c r="L49" s="1620"/>
      <c r="M49" s="160"/>
      <c r="N49" s="160"/>
      <c r="O49" s="117"/>
      <c r="P49" s="213"/>
      <c r="Q49" s="117"/>
      <c r="R49" s="117"/>
      <c r="S49" s="117"/>
      <c r="T49" s="117"/>
      <c r="U49" s="117"/>
      <c r="V49" s="117"/>
      <c r="W49" s="117"/>
      <c r="X49" s="117"/>
      <c r="Y49" s="639"/>
      <c r="AA49" s="931">
        <f>Parameter!H254</f>
      </c>
      <c r="AB49" s="294">
        <f>AA49*12</f>
      </c>
      <c r="AC49" s="611">
        <f>IF(J54&gt;AB49,"Jangka Waktu &gt; Usia Pensiun","")</f>
      </c>
      <c r="AD49" s="611"/>
      <c r="AE49" s="294"/>
      <c r="AF49" s="294"/>
      <c r="AG49" s="294"/>
      <c r="AH49" s="294"/>
      <c r="AI49" s="294"/>
    </row>
    <row r="50" ht="27" customHeight="1">
      <c r="A50" s="637"/>
      <c r="B50" s="1546">
        <f>$AG$19</f>
      </c>
      <c r="C50" s="1547"/>
      <c r="D50" s="1547"/>
      <c r="E50" s="1547"/>
      <c r="F50" s="1547"/>
      <c r="G50" s="1547"/>
      <c r="H50" s="1548"/>
      <c r="I50" s="215" t="s">
        <v>0</v>
      </c>
      <c r="J50" s="1621"/>
      <c r="K50" s="1622"/>
      <c r="L50" s="1623"/>
      <c r="M50" s="1627">
        <f>AB52</f>
      </c>
      <c r="N50" s="1627"/>
      <c r="O50" s="1627"/>
      <c r="P50" s="1627"/>
      <c r="Q50" s="1627"/>
      <c r="R50" s="1627"/>
      <c r="S50" s="1627"/>
      <c r="T50" s="1627"/>
      <c r="U50" s="1627"/>
      <c r="V50" s="1627"/>
      <c r="W50" s="1627"/>
      <c r="X50" s="1627"/>
      <c r="Y50" s="1628"/>
      <c r="AA50" s="294"/>
      <c r="AB50" s="294" t="s">
        <v>974</v>
      </c>
      <c r="AC50" s="294"/>
      <c r="AD50" s="294"/>
      <c r="AE50" s="294"/>
      <c r="AF50" s="294"/>
      <c r="AG50" s="294"/>
      <c r="AH50" s="294"/>
      <c r="AI50" s="294"/>
    </row>
    <row r="51" ht="18.75">
      <c r="A51" s="637"/>
      <c r="B51" s="1546">
        <f>$AH$19</f>
      </c>
      <c r="C51" s="1547"/>
      <c r="D51" s="1547"/>
      <c r="E51" s="1547"/>
      <c r="F51" s="1547"/>
      <c r="G51" s="1547"/>
      <c r="H51" s="1548"/>
      <c r="I51" s="215" t="s">
        <v>0</v>
      </c>
      <c r="J51" s="1621"/>
      <c r="K51" s="1622"/>
      <c r="L51" s="1623"/>
      <c r="M51" s="160"/>
      <c r="N51" s="160"/>
      <c r="O51" s="117"/>
      <c r="P51" s="213"/>
      <c r="Q51" s="212"/>
      <c r="R51" s="212"/>
      <c r="S51" s="212"/>
      <c r="T51" s="212"/>
      <c r="U51" s="212"/>
      <c r="V51" s="212"/>
      <c r="W51" s="212"/>
      <c r="X51" s="212"/>
      <c r="Y51" s="639"/>
      <c r="AA51" s="294"/>
      <c r="AB51" s="294">
        <f>IF(AB19="Murabahah",AB50,"")</f>
      </c>
      <c r="AC51" s="294"/>
      <c r="AD51" s="294"/>
      <c r="AE51" s="294"/>
      <c r="AF51" s="294"/>
      <c r="AG51" s="294"/>
      <c r="AH51" s="294"/>
      <c r="AI51" s="294"/>
    </row>
    <row r="52" ht="18.75">
      <c r="A52" s="637"/>
      <c r="B52" s="1546">
        <f>$AI$19</f>
      </c>
      <c r="C52" s="1547"/>
      <c r="D52" s="1547"/>
      <c r="E52" s="1547"/>
      <c r="F52" s="1547"/>
      <c r="G52" s="1547"/>
      <c r="H52" s="1548"/>
      <c r="I52" s="215" t="s">
        <v>0</v>
      </c>
      <c r="J52" s="1621"/>
      <c r="K52" s="1622"/>
      <c r="L52" s="1623"/>
      <c r="M52" s="160"/>
      <c r="N52" s="160"/>
      <c r="O52" s="117"/>
      <c r="P52" s="213"/>
      <c r="Q52" s="212"/>
      <c r="R52" s="212"/>
      <c r="S52" s="212"/>
      <c r="T52" s="212"/>
      <c r="U52" s="212"/>
      <c r="V52" s="212"/>
      <c r="W52" s="212"/>
      <c r="X52" s="212"/>
      <c r="Y52" s="639"/>
      <c r="AA52" s="294"/>
      <c r="AB52" s="294">
        <f>IF(J50&gt;0,AB51,"")</f>
      </c>
      <c r="AC52" s="294"/>
      <c r="AD52" s="294"/>
      <c r="AE52" s="294"/>
      <c r="AF52" s="294"/>
      <c r="AG52" s="294"/>
      <c r="AH52" s="294"/>
      <c r="AI52" s="294"/>
    </row>
    <row r="53" spans="1:35" ht="19.5" customHeight="1">
      <c r="A53" s="637"/>
      <c r="B53" s="1546">
        <f>$AJ$19</f>
      </c>
      <c r="C53" s="1547"/>
      <c r="D53" s="1547"/>
      <c r="E53" s="1547"/>
      <c r="F53" s="1547"/>
      <c r="G53" s="1547"/>
      <c r="H53" s="1548"/>
      <c r="I53" s="215" t="s">
        <v>0</v>
      </c>
      <c r="J53" s="1555">
        <f>AO19</f>
      </c>
      <c r="K53" s="1556"/>
      <c r="L53" s="1557"/>
      <c r="M53" s="939"/>
      <c r="N53" s="939"/>
      <c r="O53" s="117"/>
      <c r="P53" s="434"/>
      <c r="Q53" s="117"/>
      <c r="R53" s="117"/>
      <c r="S53" s="117"/>
      <c r="T53" s="117"/>
      <c r="U53" s="117"/>
      <c r="V53" s="117"/>
      <c r="W53" s="117"/>
      <c r="X53" s="117"/>
      <c r="Y53" s="639"/>
      <c r="AA53" s="294"/>
      <c r="AB53" s="611" t="s">
        <v>711</v>
      </c>
      <c r="AC53" s="611" t="s">
        <v>712</v>
      </c>
      <c r="AD53" s="611" t="s">
        <v>982</v>
      </c>
      <c r="AE53" s="294"/>
      <c r="AF53" s="294"/>
      <c r="AG53" s="294"/>
      <c r="AH53" s="294"/>
      <c r="AI53" s="294"/>
    </row>
    <row r="54" ht="19.5" customHeight="1">
      <c r="A54" s="637"/>
      <c r="B54" s="1546" t="s">
        <v>2</v>
      </c>
      <c r="C54" s="1547"/>
      <c r="D54" s="1547"/>
      <c r="E54" s="1547"/>
      <c r="F54" s="1547"/>
      <c r="G54" s="1547"/>
      <c r="H54" s="1548"/>
      <c r="I54" s="215" t="s">
        <v>0</v>
      </c>
      <c r="J54" s="1561"/>
      <c r="K54" s="1562"/>
      <c r="L54" s="1563"/>
      <c r="M54" s="124" t="s">
        <v>3</v>
      </c>
      <c r="N54" s="117"/>
      <c r="O54" s="434"/>
      <c r="P54" s="434"/>
      <c r="Q54" s="117"/>
      <c r="R54" s="117"/>
      <c r="S54" s="117"/>
      <c r="T54" s="117"/>
      <c r="U54" s="117"/>
      <c r="V54" s="117"/>
      <c r="W54" s="117"/>
      <c r="X54" s="117"/>
      <c r="Y54" s="639"/>
      <c r="AA54" s="933">
        <f>'Aspek Keuangan'!M5+'Aspek Keuangan'!M65</f>
      </c>
      <c r="AB54" s="934">
        <f>AA58</f>
      </c>
      <c r="AC54" s="934">
        <f>AB54+AC22</f>
      </c>
      <c r="AD54" s="934">
        <f>AC54+AD22</f>
      </c>
      <c r="AE54" s="294"/>
      <c r="AF54" s="294"/>
      <c r="AG54" s="294"/>
      <c r="AH54" s="294"/>
      <c r="AI54" s="294"/>
    </row>
    <row r="55" ht="19.5" customHeight="1">
      <c r="A55" s="637"/>
      <c r="B55" s="1546">
        <f>AL19</f>
      </c>
      <c r="C55" s="1547"/>
      <c r="D55" s="1547"/>
      <c r="E55" s="1547"/>
      <c r="F55" s="1547"/>
      <c r="G55" s="1547"/>
      <c r="H55" s="1548"/>
      <c r="I55" s="216" t="s">
        <v>0</v>
      </c>
      <c r="J55" s="1558"/>
      <c r="K55" s="1559"/>
      <c r="L55" s="1560"/>
      <c r="M55" s="1629"/>
      <c r="N55" s="1629"/>
      <c r="O55" s="501"/>
      <c r="P55" s="502"/>
      <c r="Q55" s="566"/>
      <c r="R55" s="566"/>
      <c r="S55" s="503">
        <f>"Setara Margin "&amp;Jadang!R25&amp;" Per Bulan:"</f>
      </c>
      <c r="T55" s="1564">
        <f>IF(M55="Flat",Jadang!Q37,Jadang!P37)</f>
      </c>
      <c r="U55" s="1564"/>
      <c r="V55" s="1564"/>
      <c r="W55" s="1565"/>
      <c r="X55" s="157"/>
      <c r="Y55" s="639"/>
      <c r="AA55" s="933">
        <f>('Aspek Keuangan'!M5*60%)+('Aspek Keuangan'!M65*20%)</f>
      </c>
      <c r="AB55" s="294">
        <f>"RPC "&amp;"&lt;"&amp;AB54</f>
      </c>
      <c r="AC55" s="294">
        <f>"RPC "&amp;AB54&amp;" sd. "&amp;AC54</f>
      </c>
      <c r="AD55" s="294">
        <f>"RPC&gt;"&amp;AC54&amp;" sd. "&amp;AD54</f>
      </c>
      <c r="AE55" s="294">
        <f>"RPC&gt;"&amp;AD54</f>
      </c>
      <c r="AF55" s="294"/>
      <c r="AG55" s="294"/>
      <c r="AH55" s="294"/>
      <c r="AI55" s="294"/>
    </row>
    <row r="56" spans="1:35" s="294" customFormat="1" ht="19.5" customHeight="1">
      <c r="A56" s="435"/>
      <c r="B56" s="1549">
        <f>AD19</f>
      </c>
      <c r="C56" s="1550"/>
      <c r="D56" s="1550"/>
      <c r="E56" s="1550"/>
      <c r="F56" s="1550"/>
      <c r="G56" s="1550"/>
      <c r="H56" s="1551"/>
      <c r="I56" s="918" t="s">
        <v>0</v>
      </c>
      <c r="J56" s="1555">
        <f>IF(M55="Flat",Jadang!U129,Jadang!X129)</f>
      </c>
      <c r="K56" s="1556"/>
      <c r="L56" s="1557"/>
      <c r="M56" s="919"/>
      <c r="N56" s="919"/>
      <c r="O56" s="920"/>
      <c r="P56" s="605"/>
      <c r="Q56" s="921"/>
      <c r="R56" s="922"/>
      <c r="S56" s="923" t="s">
        <v>698</v>
      </c>
      <c r="T56" s="1566">
        <f>IF(M55="Flat",Jadang!Q38,Jadang!P38)</f>
      </c>
      <c r="U56" s="1566"/>
      <c r="V56" s="1566"/>
      <c r="W56" s="1567"/>
      <c r="X56" s="440"/>
      <c r="Y56" s="438"/>
      <c r="AA56" s="294">
        <f>AA54/AA55</f>
      </c>
      <c r="AB56" s="294">
        <v>0</v>
      </c>
      <c r="AC56" s="294">
        <v>9</v>
      </c>
      <c r="AD56" s="294">
        <v>13.5</v>
      </c>
      <c r="AE56" s="294">
        <v>18</v>
      </c>
    </row>
    <row r="57" spans="1:35" s="294" customFormat="1" ht="19.5" customHeight="1">
      <c r="A57" s="435"/>
      <c r="B57" s="1549">
        <f>AE19</f>
      </c>
      <c r="C57" s="1550"/>
      <c r="D57" s="1550"/>
      <c r="E57" s="1550"/>
      <c r="F57" s="1550"/>
      <c r="G57" s="1550"/>
      <c r="H57" s="1551"/>
      <c r="I57" s="918" t="s">
        <v>0</v>
      </c>
      <c r="J57" s="1555">
        <f>J56+J53</f>
      </c>
      <c r="K57" s="1556"/>
      <c r="L57" s="1557"/>
      <c r="M57" s="919"/>
      <c r="N57" s="919"/>
      <c r="O57" s="440"/>
      <c r="P57" s="440"/>
      <c r="Q57" s="440"/>
      <c r="R57" s="440"/>
      <c r="S57" s="440"/>
      <c r="T57" s="440"/>
      <c r="U57" s="440"/>
      <c r="V57" s="440"/>
      <c r="W57" s="440"/>
      <c r="X57" s="440"/>
      <c r="Y57" s="438"/>
      <c r="AA57" s="933">
        <f>N26+J60</f>
      </c>
      <c r="AB57" s="294">
        <f>IF(AA59&lt;AB54,AB55,0)</f>
      </c>
      <c r="AC57" s="294">
        <f>IF(AND(AA59&gt;=AB54,AA59&lt;=AC54),AC55,0)</f>
      </c>
      <c r="AD57" s="294">
        <f>IF(AND(AA59&gt;AC54,AA59&lt;=AD54),AD55,0)</f>
      </c>
      <c r="AE57" s="294">
        <f>IF(AA59&gt;AD54,AE55,0)</f>
      </c>
    </row>
    <row r="58" spans="1:35" s="294" customFormat="1" ht="19.5" customHeight="1">
      <c r="A58" s="435"/>
      <c r="B58" s="1568">
        <f>AK19</f>
      </c>
      <c r="C58" s="1569"/>
      <c r="D58" s="1569"/>
      <c r="E58" s="1569"/>
      <c r="F58" s="1569"/>
      <c r="G58" s="1569"/>
      <c r="H58" s="1569"/>
      <c r="I58" s="918" t="s">
        <v>0</v>
      </c>
      <c r="J58" s="1555">
        <f>Jadang!E8</f>
      </c>
      <c r="K58" s="1556"/>
      <c r="L58" s="1557"/>
      <c r="M58" s="919"/>
      <c r="N58" s="919"/>
      <c r="O58" s="440"/>
      <c r="P58" s="440"/>
      <c r="Q58" s="440"/>
      <c r="R58" s="440"/>
      <c r="S58" s="440"/>
      <c r="T58" s="440"/>
      <c r="U58" s="440"/>
      <c r="V58" s="440"/>
      <c r="W58" s="440"/>
      <c r="X58" s="440"/>
      <c r="Y58" s="438"/>
      <c r="AA58" s="937">
        <f>AA56</f>
      </c>
      <c r="AB58" s="294">
        <f>IF(AB57=0,0,1)</f>
      </c>
      <c r="AC58" s="294">
        <f>IF(AC57=0,0,1)</f>
      </c>
      <c r="AD58" s="294">
        <f>IF(AD57=0,0,1)</f>
      </c>
      <c r="AE58" s="294">
        <f>IF(AE57=0,0,1)</f>
      </c>
    </row>
    <row r="59" spans="1:35" s="294" customFormat="1" ht="19.5" customHeight="1">
      <c r="A59" s="435"/>
      <c r="B59" s="1568">
        <f>AM19</f>
      </c>
      <c r="C59" s="1569"/>
      <c r="D59" s="1569"/>
      <c r="E59" s="1569"/>
      <c r="F59" s="1569"/>
      <c r="G59" s="1569"/>
      <c r="H59" s="1569"/>
      <c r="I59" s="918" t="s">
        <v>0</v>
      </c>
      <c r="J59" s="1555">
        <f>Jadang!D8</f>
      </c>
      <c r="K59" s="1556"/>
      <c r="L59" s="1557"/>
      <c r="M59" s="919"/>
      <c r="N59" s="919"/>
      <c r="O59" s="440"/>
      <c r="P59" s="440"/>
      <c r="Q59" s="440"/>
      <c r="R59" s="440"/>
      <c r="S59" s="440"/>
      <c r="T59" s="440"/>
      <c r="U59" s="440"/>
      <c r="V59" s="440"/>
      <c r="W59" s="440"/>
      <c r="X59" s="440"/>
      <c r="Y59" s="438"/>
      <c r="AA59" s="937">
        <f>AA54/(N26+J60)</f>
      </c>
      <c r="AF59" s="294">
        <f>IF(AB58=0,0,AB56)</f>
      </c>
    </row>
    <row r="60" spans="1:35" s="294" customFormat="1" ht="20.25" customHeight="1">
      <c r="A60" s="435"/>
      <c r="B60" s="1549">
        <f>AN19</f>
      </c>
      <c r="C60" s="1550"/>
      <c r="D60" s="1550"/>
      <c r="E60" s="1550"/>
      <c r="F60" s="1550"/>
      <c r="G60" s="1550"/>
      <c r="H60" s="1551"/>
      <c r="I60" s="918" t="s">
        <v>0</v>
      </c>
      <c r="J60" s="1555">
        <f>J57/J54</f>
      </c>
      <c r="K60" s="1556"/>
      <c r="L60" s="1557"/>
      <c r="M60" s="919"/>
      <c r="N60" s="919"/>
      <c r="O60" s="440"/>
      <c r="P60" s="440"/>
      <c r="Q60" s="440"/>
      <c r="R60" s="440"/>
      <c r="S60" s="440"/>
      <c r="T60" s="440"/>
      <c r="U60" s="440"/>
      <c r="V60" s="440"/>
      <c r="W60" s="440"/>
      <c r="X60" s="440"/>
      <c r="Y60" s="438"/>
      <c r="AC60" s="293"/>
      <c r="AF60" s="294">
        <f>IF(AC58=0,0,AC56)</f>
      </c>
    </row>
    <row r="61" spans="1:35" s="294" customFormat="1" ht="20.25" customHeight="1" thickBot="1">
      <c r="A61" s="435"/>
      <c r="B61" s="1543">
        <f>AP19</f>
      </c>
      <c r="C61" s="1544"/>
      <c r="D61" s="1544"/>
      <c r="E61" s="1544"/>
      <c r="F61" s="1544"/>
      <c r="G61" s="1544"/>
      <c r="H61" s="1545"/>
      <c r="I61" s="924" t="s">
        <v>0</v>
      </c>
      <c r="J61" s="1552">
        <f>N27-J60</f>
      </c>
      <c r="K61" s="1553"/>
      <c r="L61" s="1554"/>
      <c r="M61" s="919"/>
      <c r="N61" s="919"/>
      <c r="O61" s="440"/>
      <c r="P61" s="440"/>
      <c r="Q61" s="440"/>
      <c r="R61" s="440"/>
      <c r="S61" s="440"/>
      <c r="T61" s="440"/>
      <c r="U61" s="440"/>
      <c r="V61" s="440"/>
      <c r="W61" s="440"/>
      <c r="X61" s="440"/>
      <c r="Y61" s="438"/>
      <c r="AF61" s="294">
        <f>IF(AD58=0,0,AD56)</f>
      </c>
    </row>
    <row r="62" spans="1:35" s="294" customFormat="1" ht="14.25" customHeight="1">
      <c r="A62" s="435"/>
      <c r="B62" s="925"/>
      <c r="C62" s="926"/>
      <c r="D62" s="926"/>
      <c r="E62" s="926"/>
      <c r="F62" s="926"/>
      <c r="G62" s="926"/>
      <c r="H62" s="926"/>
      <c r="I62" s="927"/>
      <c r="J62" s="928"/>
      <c r="K62" s="928"/>
      <c r="L62" s="928"/>
      <c r="M62" s="919"/>
      <c r="N62" s="919"/>
      <c r="O62" s="440"/>
      <c r="P62" s="440"/>
      <c r="Q62" s="440"/>
      <c r="R62" s="440"/>
      <c r="S62" s="440"/>
      <c r="T62" s="440"/>
      <c r="U62" s="440"/>
      <c r="V62" s="440"/>
      <c r="W62" s="440"/>
      <c r="X62" s="440"/>
      <c r="Y62" s="438"/>
      <c r="AF62" s="294">
        <f>IF(AE58=0,0,AE56)</f>
      </c>
    </row>
    <row r="63" spans="1:35" s="294" customFormat="1" ht="18.75">
      <c r="A63" s="1533" t="s">
        <v>496</v>
      </c>
      <c r="B63" s="1534"/>
      <c r="C63" s="1534"/>
      <c r="D63" s="1534"/>
      <c r="E63" s="1534"/>
      <c r="F63" s="1534"/>
      <c r="G63" s="1534"/>
      <c r="H63" s="1534"/>
      <c r="I63" s="1534"/>
      <c r="J63" s="1534"/>
      <c r="K63" s="1534"/>
      <c r="L63" s="1534"/>
      <c r="M63" s="1534"/>
      <c r="N63" s="1534"/>
      <c r="O63" s="1534"/>
      <c r="P63" s="1534"/>
      <c r="Q63" s="1534"/>
      <c r="R63" s="1534"/>
      <c r="S63" s="1534"/>
      <c r="T63" s="1534"/>
      <c r="U63" s="1534"/>
      <c r="V63" s="1534"/>
      <c r="W63" s="1534"/>
      <c r="X63" s="1534"/>
      <c r="Y63" s="1535"/>
      <c r="AA63" s="522">
        <f>'Informasi Pokok'!D32</f>
      </c>
    </row>
    <row r="64" spans="1:35" s="294" customFormat="1" ht="7.5" customHeight="1" thickBot="1">
      <c r="A64" s="462"/>
      <c r="B64" s="484"/>
      <c r="C64" s="484"/>
      <c r="D64" s="484"/>
      <c r="E64" s="484"/>
      <c r="F64" s="484"/>
      <c r="G64" s="484"/>
      <c r="H64" s="484"/>
      <c r="I64" s="485"/>
      <c r="J64" s="185"/>
      <c r="K64" s="185"/>
      <c r="L64" s="185"/>
      <c r="M64" s="186"/>
      <c r="N64" s="187"/>
      <c r="O64" s="187"/>
      <c r="P64" s="187"/>
      <c r="Q64" s="187"/>
      <c r="R64" s="184"/>
      <c r="S64" s="184"/>
      <c r="T64" s="184"/>
      <c r="U64" s="184"/>
      <c r="V64" s="184"/>
      <c r="W64" s="184"/>
      <c r="X64" s="184"/>
      <c r="Y64" s="193"/>
      <c r="AB64" s="224"/>
    </row>
    <row r="65" spans="1:33" s="294" customFormat="1" ht="15" customHeight="1">
      <c r="A65" s="1681" t="s">
        <v>746</v>
      </c>
      <c r="B65" s="1682"/>
      <c r="C65" s="1682"/>
      <c r="D65" s="1682"/>
      <c r="E65" s="1682"/>
      <c r="F65" s="1682"/>
      <c r="G65" s="1682"/>
      <c r="H65" s="1682"/>
      <c r="I65" s="1686" t="s">
        <v>0</v>
      </c>
      <c r="J65" s="1675">
        <f>'Aspek Non Keuangan'!I62/J53</f>
      </c>
      <c r="K65" s="1676"/>
      <c r="L65" s="1632">
        <f>"Persentase Agunan "&amp;Parameter!T120</f>
      </c>
      <c r="M65" s="1633"/>
      <c r="N65" s="1633"/>
      <c r="O65" s="1633"/>
      <c r="P65" s="1633"/>
      <c r="Q65" s="1633"/>
      <c r="R65" s="1633"/>
      <c r="S65" s="1634"/>
      <c r="T65" s="184"/>
      <c r="U65" s="184"/>
      <c r="V65" s="184"/>
      <c r="W65" s="184"/>
      <c r="X65" s="184"/>
      <c r="Y65" s="193"/>
      <c r="Z65" s="486"/>
      <c r="AA65" s="294">
        <f>IF(AA63="Potong Gaji Langsung",1,2)</f>
      </c>
      <c r="AB65" s="294">
        <v>1</v>
      </c>
      <c r="AC65" s="224" t="s">
        <v>745</v>
      </c>
      <c r="AD65" s="487"/>
      <c r="AE65" s="487"/>
      <c r="AF65" s="487"/>
      <c r="AG65" s="487"/>
    </row>
    <row r="66" spans="1:33" s="294" customFormat="1" ht="15.75" customHeight="1" thickBot="1">
      <c r="A66" s="1681"/>
      <c r="B66" s="1682"/>
      <c r="C66" s="1682"/>
      <c r="D66" s="1682"/>
      <c r="E66" s="1682"/>
      <c r="F66" s="1682"/>
      <c r="G66" s="1682"/>
      <c r="H66" s="1682"/>
      <c r="I66" s="1686"/>
      <c r="J66" s="1677"/>
      <c r="K66" s="1678"/>
      <c r="L66" s="1635"/>
      <c r="M66" s="1636"/>
      <c r="N66" s="1636"/>
      <c r="O66" s="1636"/>
      <c r="P66" s="1636"/>
      <c r="Q66" s="1636"/>
      <c r="R66" s="1636"/>
      <c r="S66" s="1637"/>
      <c r="T66" s="184"/>
      <c r="U66" s="184"/>
      <c r="V66" s="184"/>
      <c r="W66" s="184"/>
      <c r="X66" s="184"/>
      <c r="Y66" s="193"/>
      <c r="Z66" s="523"/>
      <c r="AB66" s="224">
        <v>2</v>
      </c>
      <c r="AC66" s="524" t="s">
        <v>604</v>
      </c>
      <c r="AD66" s="525"/>
      <c r="AE66" s="525"/>
      <c r="AF66" s="525"/>
      <c r="AG66" s="525"/>
    </row>
    <row r="67" spans="1:33" s="294" customFormat="1" ht="8.25" customHeight="1">
      <c r="A67" s="486"/>
      <c r="B67" s="487"/>
      <c r="C67" s="487"/>
      <c r="D67" s="487"/>
      <c r="E67" s="487"/>
      <c r="F67" s="487"/>
      <c r="G67" s="487"/>
      <c r="H67" s="487"/>
      <c r="I67" s="634"/>
      <c r="J67" s="487"/>
      <c r="K67" s="487"/>
      <c r="L67" s="487"/>
      <c r="M67" s="487"/>
      <c r="N67" s="487"/>
      <c r="O67" s="487"/>
      <c r="P67" s="487"/>
      <c r="Q67" s="487"/>
      <c r="R67" s="184"/>
      <c r="S67" s="224"/>
      <c r="T67" s="184"/>
      <c r="U67" s="184"/>
      <c r="V67" s="184"/>
      <c r="W67" s="184"/>
      <c r="X67" s="184"/>
      <c r="Y67" s="193"/>
      <c r="Z67" s="224"/>
      <c r="AB67" s="224"/>
    </row>
    <row r="68" spans="1:33" s="294" customFormat="1" ht="18.75">
      <c r="A68" s="1533" t="s">
        <v>596</v>
      </c>
      <c r="B68" s="1534"/>
      <c r="C68" s="1534"/>
      <c r="D68" s="1534"/>
      <c r="E68" s="1534"/>
      <c r="F68" s="1534"/>
      <c r="G68" s="1534"/>
      <c r="H68" s="1534"/>
      <c r="I68" s="1534"/>
      <c r="J68" s="1534"/>
      <c r="K68" s="1534"/>
      <c r="L68" s="1534"/>
      <c r="M68" s="1534"/>
      <c r="N68" s="1534"/>
      <c r="O68" s="1534"/>
      <c r="P68" s="1534"/>
      <c r="Q68" s="1534"/>
      <c r="R68" s="1534"/>
      <c r="S68" s="1534"/>
      <c r="T68" s="1534"/>
      <c r="U68" s="1534"/>
      <c r="V68" s="1534"/>
      <c r="W68" s="1534"/>
      <c r="X68" s="1534"/>
      <c r="Y68" s="1535"/>
      <c r="AA68" s="294">
        <f>VLOOKUP(AA35,AA39:AC41,3,0)</f>
      </c>
    </row>
    <row r="69" spans="1:33" s="294" customFormat="1" ht="6" customHeight="1" thickBot="1">
      <c r="A69" s="435"/>
      <c r="B69" s="644"/>
      <c r="C69" s="440"/>
      <c r="D69" s="440"/>
      <c r="E69" s="440"/>
      <c r="F69" s="440"/>
      <c r="G69" s="440"/>
      <c r="H69" s="644"/>
      <c r="I69" s="186"/>
      <c r="J69" s="488"/>
      <c r="K69" s="440"/>
      <c r="L69" s="440"/>
      <c r="M69" s="440"/>
      <c r="N69" s="489"/>
      <c r="O69" s="440"/>
      <c r="P69" s="440"/>
      <c r="Q69" s="440"/>
      <c r="R69" s="440"/>
      <c r="S69" s="440"/>
      <c r="T69" s="440"/>
      <c r="U69" s="440"/>
      <c r="V69" s="440"/>
      <c r="W69" s="440"/>
      <c r="X69" s="440"/>
      <c r="Y69" s="438"/>
    </row>
    <row r="70" spans="1:33" s="294" customFormat="1" ht="15.75" customHeight="1" thickBot="1">
      <c r="A70" s="435"/>
      <c r="B70" s="1630" t="s">
        <v>482</v>
      </c>
      <c r="C70" s="1680"/>
      <c r="D70" s="1680"/>
      <c r="E70" s="1630" t="s">
        <v>483</v>
      </c>
      <c r="F70" s="1680"/>
      <c r="G70" s="1630" t="s">
        <v>484</v>
      </c>
      <c r="H70" s="1631"/>
      <c r="I70" s="490"/>
      <c r="J70" s="1638">
        <f>IFERROR(VLOOKUP(E71,Rating!E4:I23,5,0),"Unrated")</f>
      </c>
      <c r="K70" s="1639"/>
      <c r="L70" s="1639"/>
      <c r="M70" s="1639"/>
      <c r="N70" s="1639"/>
      <c r="O70" s="1639"/>
      <c r="P70" s="1639"/>
      <c r="Q70" s="1639"/>
      <c r="R70" s="1639"/>
      <c r="S70" s="1639"/>
      <c r="T70" s="1639"/>
      <c r="U70" s="1639"/>
      <c r="V70" s="1639"/>
      <c r="W70" s="1639"/>
      <c r="X70" s="1640"/>
      <c r="Y70" s="571"/>
      <c r="AB70" s="294">
        <f>VLOOKUP($AA$35,$AA$32:$AE$34,2,0)</f>
      </c>
      <c r="AC70" s="294">
        <v>1</v>
      </c>
    </row>
    <row r="71" spans="1:33" s="294" customFormat="1" ht="19.5" customHeight="1" thickBot="1">
      <c r="A71" s="435"/>
      <c r="B71" s="1683">
        <f>Parameter!U143</f>
      </c>
      <c r="C71" s="1684"/>
      <c r="D71" s="1685"/>
      <c r="E71" s="1616">
        <f>IFERROR(VLOOKUP(ROUND(B71,0),Rating!$D$26:$F$126,2,0),"Unrated")</f>
      </c>
      <c r="F71" s="1679"/>
      <c r="G71" s="1616">
        <f>IF(B71="unrated","input Error",IF(B71&gt;=70,"Layak","Tidak Layak"))</f>
      </c>
      <c r="H71" s="1617"/>
      <c r="I71" s="186"/>
      <c r="J71" s="1641"/>
      <c r="K71" s="1642"/>
      <c r="L71" s="1642"/>
      <c r="M71" s="1642"/>
      <c r="N71" s="1642"/>
      <c r="O71" s="1642"/>
      <c r="P71" s="1642"/>
      <c r="Q71" s="1642"/>
      <c r="R71" s="1642"/>
      <c r="S71" s="1642"/>
      <c r="T71" s="1642"/>
      <c r="U71" s="1642"/>
      <c r="V71" s="1642"/>
      <c r="W71" s="1642"/>
      <c r="X71" s="1643"/>
      <c r="Y71" s="571"/>
      <c r="AB71" s="294">
        <f>VLOOKUP($AA$35,$AA$32:$AE$34,3,0)</f>
      </c>
      <c r="AC71" s="294">
        <v>5</v>
      </c>
    </row>
    <row r="72" spans="1:33" s="294" customFormat="1">
      <c r="A72" s="184"/>
      <c r="B72" s="184"/>
      <c r="C72" s="184"/>
      <c r="D72" s="184"/>
      <c r="E72" s="184"/>
      <c r="F72" s="184"/>
      <c r="G72" s="184"/>
      <c r="H72" s="184"/>
      <c r="I72" s="186"/>
      <c r="J72" s="1641"/>
      <c r="K72" s="1642"/>
      <c r="L72" s="1642"/>
      <c r="M72" s="1642"/>
      <c r="N72" s="1642"/>
      <c r="O72" s="1642"/>
      <c r="P72" s="1642"/>
      <c r="Q72" s="1642"/>
      <c r="R72" s="1642"/>
      <c r="S72" s="1642"/>
      <c r="T72" s="1642"/>
      <c r="U72" s="1642"/>
      <c r="V72" s="1642"/>
      <c r="W72" s="1642"/>
      <c r="X72" s="1643"/>
      <c r="Y72" s="571"/>
      <c r="AB72" s="294">
        <f>VLOOKUP($AA$35,$AA$32:$AE$34,4,0)</f>
      </c>
      <c r="AC72" s="294">
        <v>7</v>
      </c>
    </row>
    <row r="73" spans="1:33" s="294" customFormat="1" ht="15.75" customHeight="1">
      <c r="A73" s="435"/>
      <c r="B73" s="1670" t="s">
        <v>597</v>
      </c>
      <c r="C73" s="1670"/>
      <c r="D73" s="1670"/>
      <c r="E73" s="1670"/>
      <c r="F73" s="1670"/>
      <c r="G73" s="1670"/>
      <c r="H73" s="1670"/>
      <c r="I73" s="186"/>
      <c r="J73" s="1641"/>
      <c r="K73" s="1642"/>
      <c r="L73" s="1642"/>
      <c r="M73" s="1642"/>
      <c r="N73" s="1642"/>
      <c r="O73" s="1642"/>
      <c r="P73" s="1642"/>
      <c r="Q73" s="1642"/>
      <c r="R73" s="1642"/>
      <c r="S73" s="1642"/>
      <c r="T73" s="1642"/>
      <c r="U73" s="1642"/>
      <c r="V73" s="1642"/>
      <c r="W73" s="1642"/>
      <c r="X73" s="1643"/>
      <c r="Y73" s="571"/>
      <c r="AB73" s="294">
        <f>VLOOKUP($AA$35,$AA$32:$AE$34,5,0)</f>
      </c>
      <c r="AC73" s="294">
        <v>10</v>
      </c>
    </row>
    <row r="74" spans="1:33" s="294" customFormat="1" ht="15" customHeight="1">
      <c r="A74" s="435"/>
      <c r="B74" s="1671">
        <f>AA59</f>
      </c>
      <c r="C74" s="1671"/>
      <c r="D74" s="1672"/>
      <c r="E74" s="1673">
        <f>AD81</f>
      </c>
      <c r="F74" s="1674"/>
      <c r="G74" s="1674"/>
      <c r="H74" s="1674"/>
      <c r="I74" s="186"/>
      <c r="J74" s="1641"/>
      <c r="K74" s="1642"/>
      <c r="L74" s="1642"/>
      <c r="M74" s="1642"/>
      <c r="N74" s="1642"/>
      <c r="O74" s="1642"/>
      <c r="P74" s="1642"/>
      <c r="Q74" s="1642"/>
      <c r="R74" s="1642"/>
      <c r="S74" s="1642"/>
      <c r="T74" s="1642"/>
      <c r="U74" s="1642"/>
      <c r="V74" s="1642"/>
      <c r="W74" s="1642"/>
      <c r="X74" s="1643"/>
      <c r="Y74" s="571"/>
    </row>
    <row r="75" spans="1:33" s="294" customFormat="1" ht="15.75" customHeight="1" thickBot="1">
      <c r="A75" s="435"/>
      <c r="B75" s="1671"/>
      <c r="C75" s="1671"/>
      <c r="D75" s="1672"/>
      <c r="E75" s="1673"/>
      <c r="F75" s="1674"/>
      <c r="G75" s="1674"/>
      <c r="H75" s="1674"/>
      <c r="I75" s="186"/>
      <c r="J75" s="1644"/>
      <c r="K75" s="1645"/>
      <c r="L75" s="1645"/>
      <c r="M75" s="1645"/>
      <c r="N75" s="1645"/>
      <c r="O75" s="1645"/>
      <c r="P75" s="1645"/>
      <c r="Q75" s="1645"/>
      <c r="R75" s="1645"/>
      <c r="S75" s="1645"/>
      <c r="T75" s="1645"/>
      <c r="U75" s="1645"/>
      <c r="V75" s="1645"/>
      <c r="W75" s="1645"/>
      <c r="X75" s="1646"/>
      <c r="Y75" s="571"/>
    </row>
    <row r="76" spans="1:33" ht="3.75" customHeight="1">
      <c r="A76" s="637"/>
      <c r="B76" s="588"/>
      <c r="C76" s="588"/>
      <c r="D76" s="588"/>
      <c r="E76" s="589"/>
      <c r="F76" s="589"/>
      <c r="G76" s="589"/>
      <c r="H76" s="589"/>
      <c r="I76" s="124"/>
      <c r="J76" s="590"/>
      <c r="K76" s="590"/>
      <c r="L76" s="590"/>
      <c r="M76" s="590"/>
      <c r="N76" s="590"/>
      <c r="O76" s="590"/>
      <c r="P76" s="590"/>
      <c r="Q76" s="590"/>
      <c r="R76" s="590"/>
      <c r="S76" s="590"/>
      <c r="T76" s="590"/>
      <c r="U76" s="590"/>
      <c r="V76" s="590"/>
      <c r="W76" s="590"/>
      <c r="X76" s="590"/>
      <c r="Y76" s="587"/>
    </row>
    <row r="77" spans="1:33" ht="15.75" customHeight="1" thickBot="1">
      <c r="A77" s="591" t="s">
        <v>762</v>
      </c>
      <c r="B77" s="592"/>
      <c r="C77" s="117"/>
      <c r="D77" s="117"/>
      <c r="E77" s="117"/>
      <c r="F77" s="117"/>
      <c r="G77" s="117"/>
      <c r="H77" s="117"/>
      <c r="I77" s="124"/>
      <c r="J77" s="593"/>
      <c r="K77" s="593"/>
      <c r="L77" s="593"/>
      <c r="M77" s="593"/>
      <c r="N77" s="593"/>
      <c r="O77" s="593"/>
      <c r="P77" s="593"/>
      <c r="Q77" s="593"/>
      <c r="R77" s="593"/>
      <c r="S77" s="593"/>
      <c r="T77" s="593"/>
      <c r="U77" s="593"/>
      <c r="V77" s="593"/>
      <c r="W77" s="593"/>
      <c r="X77" s="593"/>
      <c r="Y77" s="587"/>
      <c r="AD77" s="118">
        <f>VLOOKUP(AA68,AB70:AC73,2,0)</f>
      </c>
    </row>
    <row r="78" spans="1:33" ht="15.75" hidden="1" thickBot="1">
      <c r="A78" s="506"/>
      <c r="B78" s="507"/>
      <c r="C78" s="507"/>
      <c r="D78" s="507"/>
      <c r="E78" s="507"/>
      <c r="F78" s="507"/>
      <c r="G78" s="507"/>
      <c r="H78" s="507"/>
      <c r="I78" s="124"/>
      <c r="J78" s="572"/>
      <c r="K78" s="572"/>
      <c r="L78" s="572"/>
      <c r="M78" s="572"/>
      <c r="N78" s="572"/>
      <c r="O78" s="572"/>
      <c r="P78" s="572"/>
      <c r="Q78" s="572"/>
      <c r="R78" s="572"/>
      <c r="S78" s="572"/>
      <c r="T78" s="572"/>
      <c r="U78" s="572"/>
      <c r="V78" s="572"/>
      <c r="W78" s="572"/>
      <c r="X78" s="572"/>
      <c r="Y78" s="572"/>
      <c r="Z78" s="505"/>
    </row>
    <row r="79" spans="1:33" ht="15" customHeight="1">
      <c r="A79" s="507"/>
      <c r="B79" s="949" t="s">
        <v>1066</v>
      </c>
      <c r="C79" s="950"/>
      <c r="D79" s="951"/>
      <c r="E79" s="951"/>
      <c r="F79" s="951"/>
      <c r="G79" s="951"/>
      <c r="H79" s="951"/>
      <c r="I79" s="951"/>
      <c r="J79" s="951"/>
      <c r="K79" s="951"/>
      <c r="L79" s="951"/>
      <c r="M79" s="951"/>
      <c r="N79" s="951"/>
      <c r="O79" s="951"/>
      <c r="P79" s="951"/>
      <c r="Q79" s="951"/>
      <c r="R79" s="951"/>
      <c r="S79" s="951"/>
      <c r="T79" s="951"/>
      <c r="U79" s="951"/>
      <c r="V79" s="951"/>
      <c r="W79" s="951"/>
      <c r="X79" s="952"/>
      <c r="Y79" s="504"/>
    </row>
    <row r="80" ht="15" customHeight="1">
      <c r="A80" s="507"/>
      <c r="B80" s="953">
        <v>1</v>
      </c>
      <c r="C80" s="954"/>
      <c r="D80" s="954"/>
      <c r="E80" s="954"/>
      <c r="F80" s="954"/>
      <c r="G80" s="954"/>
      <c r="H80" s="954"/>
      <c r="I80" s="954"/>
      <c r="J80" s="954"/>
      <c r="K80" s="954"/>
      <c r="L80" s="955"/>
      <c r="M80" s="955"/>
      <c r="N80" s="955"/>
      <c r="O80" s="955"/>
      <c r="P80" s="955"/>
      <c r="Q80" s="955"/>
      <c r="R80" s="955"/>
      <c r="S80" s="955"/>
      <c r="T80" s="955"/>
      <c r="U80" s="955"/>
      <c r="V80" s="955"/>
      <c r="W80" s="955"/>
      <c r="X80" s="956"/>
      <c r="Y80" s="504"/>
    </row>
    <row r="81" ht="15" customHeight="1">
      <c r="A81" s="507"/>
      <c r="B81" s="953">
        <v>2</v>
      </c>
      <c r="C81" s="1610"/>
      <c r="D81" s="1610"/>
      <c r="E81" s="1610"/>
      <c r="F81" s="1610"/>
      <c r="G81" s="1610"/>
      <c r="H81" s="1610"/>
      <c r="I81" s="1610"/>
      <c r="J81" s="1610"/>
      <c r="K81" s="1610"/>
      <c r="L81" s="955"/>
      <c r="M81" s="955"/>
      <c r="N81" s="955"/>
      <c r="O81" s="955"/>
      <c r="P81" s="955"/>
      <c r="Q81" s="955"/>
      <c r="R81" s="955"/>
      <c r="S81" s="955"/>
      <c r="T81" s="955"/>
      <c r="U81" s="955"/>
      <c r="V81" s="955"/>
      <c r="W81" s="955"/>
      <c r="X81" s="956"/>
      <c r="Y81" s="504"/>
      <c r="AA81" s="118">
        <f>IF(B74&gt;=AA58,"Memadai","Tidak Memadai")</f>
      </c>
      <c r="AB81" s="942">
        <f>IF(AA81="Memadai",1,2)</f>
      </c>
      <c r="AC81" s="942">
        <f>MAX(AB81:AB82)</f>
      </c>
      <c r="AD81" s="942">
        <f>IF(AC81=1,"Memadai","Tidak Memadai")</f>
      </c>
    </row>
    <row r="82" ht="15.75" customHeight="1" thickBot="1">
      <c r="A82" s="507"/>
      <c r="B82" s="957"/>
      <c r="C82" s="1611"/>
      <c r="D82" s="1611"/>
      <c r="E82" s="1611"/>
      <c r="F82" s="1611"/>
      <c r="G82" s="1611"/>
      <c r="H82" s="1611"/>
      <c r="I82" s="1611"/>
      <c r="J82" s="1611"/>
      <c r="K82" s="1611"/>
      <c r="L82" s="1611"/>
      <c r="M82" s="1611"/>
      <c r="N82" s="1611"/>
      <c r="O82" s="1611"/>
      <c r="P82" s="1611"/>
      <c r="Q82" s="1611"/>
      <c r="R82" s="1611"/>
      <c r="S82" s="1611"/>
      <c r="T82" s="1611"/>
      <c r="U82" s="1611"/>
      <c r="V82" s="1611"/>
      <c r="W82" s="1611"/>
      <c r="X82" s="1612"/>
      <c r="Y82" s="504"/>
      <c r="AB82" s="942">
        <f>IF(N48="Jangka Waktu &gt; Usia Pensiun",2,1)</f>
      </c>
    </row>
    <row r="83" spans="1:30" ht="9" customHeight="1">
      <c r="A83" s="637"/>
      <c r="B83" s="161"/>
      <c r="C83" s="161"/>
      <c r="D83" s="161"/>
      <c r="E83" s="161"/>
      <c r="F83" s="161"/>
      <c r="G83" s="161"/>
      <c r="H83" s="161"/>
      <c r="I83" s="162"/>
      <c r="J83" s="112"/>
      <c r="K83" s="112"/>
      <c r="L83" s="112"/>
      <c r="M83" s="112"/>
      <c r="N83" s="112"/>
      <c r="O83" s="157"/>
      <c r="P83" s="157"/>
      <c r="Q83" s="157"/>
      <c r="R83" s="157"/>
      <c r="S83" s="157"/>
      <c r="T83" s="157"/>
      <c r="U83" s="157"/>
      <c r="V83" s="157"/>
      <c r="W83" s="157"/>
      <c r="X83" s="157"/>
      <c r="Y83" s="639"/>
    </row>
    <row r="84" spans="1:30" ht="15.75">
      <c r="A84" s="1664" t="s">
        <v>567</v>
      </c>
      <c r="B84" s="1665"/>
      <c r="C84" s="1665"/>
      <c r="D84" s="1665"/>
      <c r="E84" s="1665"/>
      <c r="F84" s="1665"/>
      <c r="G84" s="1665"/>
      <c r="H84" s="1665"/>
      <c r="I84" s="1665"/>
      <c r="J84" s="1665"/>
      <c r="K84" s="1665"/>
      <c r="L84" s="1665"/>
      <c r="M84" s="1665"/>
      <c r="N84" s="1665"/>
      <c r="O84" s="1665"/>
      <c r="P84" s="1665"/>
      <c r="Q84" s="1665"/>
      <c r="R84" s="1665"/>
      <c r="S84" s="1665"/>
      <c r="T84" s="1665"/>
      <c r="U84" s="1665"/>
      <c r="V84" s="1665"/>
      <c r="W84" s="1665"/>
      <c r="X84" s="1665"/>
      <c r="Y84" s="1666"/>
    </row>
    <row r="85" spans="1:30" ht="9" customHeight="1">
      <c r="A85" s="159"/>
      <c r="B85" s="117"/>
      <c r="C85" s="117"/>
      <c r="D85" s="117"/>
      <c r="E85" s="117"/>
      <c r="F85" s="117"/>
      <c r="G85" s="117"/>
      <c r="H85" s="117"/>
      <c r="I85" s="117"/>
      <c r="J85" s="117"/>
      <c r="K85" s="117"/>
      <c r="L85" s="157"/>
      <c r="M85" s="117"/>
      <c r="N85" s="117"/>
      <c r="O85" s="117"/>
      <c r="P85" s="117"/>
      <c r="Q85" s="117"/>
      <c r="R85" s="117"/>
      <c r="S85" s="117"/>
      <c r="T85" s="117"/>
      <c r="U85" s="117"/>
      <c r="V85" s="117"/>
      <c r="W85" s="117"/>
      <c r="X85" s="117"/>
      <c r="Y85" s="158"/>
    </row>
    <row r="86" spans="1:30">
      <c r="A86" s="159"/>
      <c r="B86" s="117"/>
      <c r="C86" s="117"/>
      <c r="D86" s="117"/>
      <c r="E86" s="117"/>
      <c r="F86" s="117"/>
      <c r="G86" s="117"/>
      <c r="H86" s="117"/>
      <c r="I86" s="117"/>
      <c r="J86" s="969" t="s">
        <v>1013</v>
      </c>
      <c r="K86" s="117"/>
      <c r="L86" s="157"/>
      <c r="M86" s="117"/>
      <c r="N86" s="117"/>
      <c r="O86" s="117"/>
      <c r="P86" s="1230" t="s">
        <v>559</v>
      </c>
      <c r="Q86" s="1230"/>
      <c r="R86" s="1230"/>
      <c r="S86" s="1230"/>
      <c r="T86" s="1230"/>
      <c r="U86" s="117"/>
      <c r="V86" s="117"/>
      <c r="W86" s="117"/>
      <c r="X86" s="117"/>
      <c r="Y86" s="158"/>
    </row>
    <row r="87" spans="1:30">
      <c r="A87" s="159"/>
      <c r="B87" s="117"/>
      <c r="C87" s="117"/>
      <c r="D87" s="117"/>
      <c r="E87" s="117"/>
      <c r="F87" s="117"/>
      <c r="G87" s="117"/>
      <c r="H87" s="117"/>
      <c r="I87" s="117"/>
      <c r="J87" s="117"/>
      <c r="K87" s="117"/>
      <c r="L87" s="157"/>
      <c r="M87" s="117"/>
      <c r="N87" s="117"/>
      <c r="O87" s="117"/>
      <c r="P87" s="948"/>
      <c r="Q87" s="948"/>
      <c r="R87" s="948"/>
      <c r="S87" s="948"/>
      <c r="T87" s="948"/>
      <c r="U87" s="117"/>
      <c r="V87" s="117"/>
      <c r="W87" s="117"/>
      <c r="X87" s="117"/>
      <c r="Y87" s="158"/>
    </row>
    <row r="88" spans="1:30">
      <c r="A88" s="159"/>
      <c r="B88" s="117"/>
      <c r="C88" s="117"/>
      <c r="D88" s="117"/>
      <c r="E88" s="117"/>
      <c r="F88" s="117"/>
      <c r="G88" s="117"/>
      <c r="H88" s="117"/>
      <c r="I88" s="117"/>
      <c r="J88" s="117"/>
      <c r="K88" s="117"/>
      <c r="L88" s="157"/>
      <c r="M88" s="117"/>
      <c r="N88" s="117"/>
      <c r="O88" s="117"/>
      <c r="P88" s="117"/>
      <c r="Q88" s="117"/>
      <c r="R88" s="117"/>
      <c r="S88" s="117"/>
      <c r="T88" s="117"/>
      <c r="U88" s="117"/>
      <c r="V88" s="117"/>
      <c r="W88" s="117"/>
      <c r="X88" s="117"/>
      <c r="Y88" s="158"/>
    </row>
    <row r="89" spans="1:30">
      <c r="A89" s="159"/>
      <c r="B89" s="117"/>
      <c r="C89" s="117"/>
      <c r="D89" s="117"/>
      <c r="E89" s="117"/>
      <c r="F89" s="117"/>
      <c r="G89" s="117"/>
      <c r="H89" s="117"/>
      <c r="I89" s="117"/>
      <c r="J89" s="117"/>
      <c r="K89" s="117"/>
      <c r="L89" s="157"/>
      <c r="M89" s="117"/>
      <c r="N89" s="117"/>
      <c r="O89" s="117"/>
      <c r="P89" s="117"/>
      <c r="Q89" s="117"/>
      <c r="R89" s="117"/>
      <c r="S89" s="117"/>
      <c r="T89" s="117"/>
      <c r="U89" s="117"/>
      <c r="V89" s="117"/>
      <c r="W89" s="117"/>
      <c r="X89" s="117"/>
      <c r="Y89" s="158"/>
    </row>
    <row r="90" ht="17.25">
      <c r="A90" s="159"/>
      <c r="B90" s="117"/>
      <c r="C90" s="117"/>
      <c r="D90" s="117"/>
      <c r="E90" s="117"/>
      <c r="F90" s="117"/>
      <c r="G90" s="117"/>
      <c r="H90" s="117"/>
      <c r="I90" s="117"/>
      <c r="J90" s="968"/>
      <c r="K90" s="972"/>
      <c r="L90" s="973"/>
      <c r="M90" s="117"/>
      <c r="N90" s="117"/>
      <c r="O90" s="117"/>
      <c r="P90" s="1242">
        <f>'Informasi Pokok'!D5</f>
      </c>
      <c r="Q90" s="1242"/>
      <c r="R90" s="1242"/>
      <c r="S90" s="1242"/>
      <c r="T90" s="1242"/>
      <c r="U90" s="117"/>
      <c r="V90" s="117"/>
      <c r="W90" s="117"/>
      <c r="X90" s="117"/>
      <c r="Y90" s="158"/>
    </row>
    <row r="91" spans="1:30">
      <c r="A91" s="159"/>
      <c r="B91" s="117"/>
      <c r="C91" s="117"/>
      <c r="D91" s="117"/>
      <c r="E91" s="117"/>
      <c r="F91" s="117"/>
      <c r="G91" s="117"/>
      <c r="H91" s="117"/>
      <c r="I91" s="117"/>
      <c r="J91" s="969" t="s">
        <v>1015</v>
      </c>
      <c r="K91" s="117"/>
      <c r="L91" s="157"/>
      <c r="M91" s="117"/>
      <c r="N91" s="117"/>
      <c r="O91" s="117"/>
      <c r="P91" s="1230" t="s">
        <v>506</v>
      </c>
      <c r="Q91" s="1230"/>
      <c r="R91" s="1230"/>
      <c r="S91" s="1230"/>
      <c r="T91" s="1230"/>
      <c r="U91" s="117"/>
      <c r="V91" s="117"/>
      <c r="W91" s="117"/>
      <c r="X91" s="117"/>
      <c r="Y91" s="158"/>
    </row>
    <row r="92" spans="1:30" ht="9.75" customHeight="1">
      <c r="A92" s="159"/>
      <c r="B92" s="117"/>
      <c r="C92" s="117"/>
      <c r="D92" s="117"/>
      <c r="E92" s="117"/>
      <c r="F92" s="117"/>
      <c r="G92" s="117"/>
      <c r="H92" s="117"/>
      <c r="I92" s="117"/>
      <c r="J92" s="117"/>
      <c r="K92" s="117"/>
      <c r="L92" s="157"/>
      <c r="M92" s="117"/>
      <c r="N92" s="117"/>
      <c r="O92" s="117"/>
      <c r="P92" s="117"/>
      <c r="Q92" s="117"/>
      <c r="R92" s="117"/>
      <c r="S92" s="117"/>
      <c r="T92" s="117"/>
      <c r="U92" s="117"/>
      <c r="V92" s="117"/>
      <c r="W92" s="117"/>
      <c r="X92" s="117"/>
      <c r="Y92" s="158"/>
    </row>
    <row r="93" spans="1:30" ht="5.25" hidden="1" customHeight="1" thickBot="1">
      <c r="A93" s="159"/>
      <c r="B93" s="164"/>
      <c r="C93" s="165"/>
      <c r="D93" s="165"/>
      <c r="E93" s="165"/>
      <c r="F93" s="165"/>
      <c r="G93" s="165"/>
      <c r="H93" s="165"/>
      <c r="I93" s="166"/>
      <c r="J93" s="165"/>
      <c r="K93" s="165"/>
      <c r="L93" s="167"/>
      <c r="M93" s="165"/>
      <c r="N93" s="165"/>
      <c r="O93" s="165"/>
      <c r="P93" s="165"/>
      <c r="Q93" s="165"/>
      <c r="R93" s="165"/>
      <c r="S93" s="165"/>
      <c r="T93" s="165"/>
      <c r="U93" s="165"/>
      <c r="V93" s="165"/>
      <c r="W93" s="165"/>
      <c r="X93" s="165"/>
      <c r="Y93" s="168"/>
    </row>
    <row r="94" spans="1:30" ht="15.75" hidden="1" thickBot="1">
      <c r="A94" s="159"/>
      <c r="B94" s="1650">
        <f>'Aspek Non Keuangan'!H101</f>
      </c>
      <c r="C94" s="1654"/>
      <c r="D94" s="1654"/>
      <c r="E94" s="1654"/>
      <c r="F94" s="1654"/>
      <c r="G94" s="1654"/>
      <c r="H94" s="1669"/>
      <c r="I94" s="163"/>
      <c r="J94" s="169"/>
      <c r="K94" s="1650" t="s">
        <v>346</v>
      </c>
      <c r="L94" s="1651"/>
      <c r="M94" s="1651"/>
      <c r="N94" s="117"/>
      <c r="O94" s="169"/>
      <c r="P94" s="117"/>
      <c r="Q94" s="1667" t="s">
        <v>347</v>
      </c>
      <c r="R94" s="1668"/>
      <c r="S94" s="1668"/>
      <c r="T94" s="1668"/>
      <c r="U94" s="1668"/>
      <c r="V94" s="1668"/>
      <c r="W94" s="1668"/>
      <c r="X94" s="117"/>
      <c r="Y94" s="158"/>
    </row>
    <row r="95" spans="1:30" ht="2.25" hidden="1" customHeight="1">
      <c r="A95" s="159"/>
      <c r="B95" s="170"/>
      <c r="C95" s="117"/>
      <c r="D95" s="117"/>
      <c r="E95" s="117"/>
      <c r="F95" s="117"/>
      <c r="G95" s="117"/>
      <c r="H95" s="117"/>
      <c r="I95" s="171"/>
      <c r="J95" s="172"/>
      <c r="K95" s="172"/>
      <c r="L95" s="633"/>
      <c r="M95" s="172"/>
      <c r="N95" s="172"/>
      <c r="O95" s="172"/>
      <c r="P95" s="172"/>
      <c r="Q95" s="172"/>
      <c r="R95" s="172"/>
      <c r="S95" s="172"/>
      <c r="T95" s="172"/>
      <c r="U95" s="172"/>
      <c r="V95" s="172"/>
      <c r="W95" s="172"/>
      <c r="X95" s="172"/>
      <c r="Y95" s="173"/>
    </row>
    <row r="96" spans="1:30" hidden="1">
      <c r="A96" s="159"/>
      <c r="B96" s="170"/>
      <c r="C96" s="117"/>
      <c r="D96" s="117"/>
      <c r="E96" s="117"/>
      <c r="F96" s="117"/>
      <c r="G96" s="117"/>
      <c r="H96" s="117"/>
      <c r="I96" s="1655"/>
      <c r="J96" s="1656"/>
      <c r="K96" s="1656"/>
      <c r="L96" s="1656"/>
      <c r="M96" s="1656"/>
      <c r="N96" s="1656"/>
      <c r="O96" s="1656"/>
      <c r="P96" s="1656"/>
      <c r="Q96" s="1656"/>
      <c r="R96" s="1656"/>
      <c r="S96" s="1656"/>
      <c r="T96" s="1656"/>
      <c r="U96" s="1656"/>
      <c r="V96" s="1656"/>
      <c r="W96" s="1656"/>
      <c r="X96" s="1656"/>
      <c r="Y96" s="1657"/>
    </row>
    <row r="97" spans="1:25" hidden="1">
      <c r="A97" s="159"/>
      <c r="B97" s="170"/>
      <c r="C97" s="117"/>
      <c r="D97" s="117"/>
      <c r="E97" s="117"/>
      <c r="F97" s="117"/>
      <c r="G97" s="117"/>
      <c r="H97" s="117"/>
      <c r="I97" s="1658"/>
      <c r="J97" s="1659"/>
      <c r="K97" s="1659"/>
      <c r="L97" s="1659"/>
      <c r="M97" s="1659"/>
      <c r="N97" s="1659"/>
      <c r="O97" s="1659"/>
      <c r="P97" s="1659"/>
      <c r="Q97" s="1659"/>
      <c r="R97" s="1659"/>
      <c r="S97" s="1659"/>
      <c r="T97" s="1659"/>
      <c r="U97" s="1659"/>
      <c r="V97" s="1659"/>
      <c r="W97" s="1659"/>
      <c r="X97" s="1659"/>
      <c r="Y97" s="1660"/>
    </row>
    <row r="98" spans="1:25" hidden="1">
      <c r="A98" s="159"/>
      <c r="B98" s="170"/>
      <c r="C98" s="117"/>
      <c r="D98" s="117"/>
      <c r="E98" s="117"/>
      <c r="F98" s="117"/>
      <c r="G98" s="117"/>
      <c r="H98" s="117"/>
      <c r="I98" s="1658"/>
      <c r="J98" s="1659"/>
      <c r="K98" s="1659"/>
      <c r="L98" s="1659"/>
      <c r="M98" s="1659"/>
      <c r="N98" s="1659"/>
      <c r="O98" s="1659"/>
      <c r="P98" s="1659"/>
      <c r="Q98" s="1659"/>
      <c r="R98" s="1659"/>
      <c r="S98" s="1659"/>
      <c r="T98" s="1659"/>
      <c r="U98" s="1659"/>
      <c r="V98" s="1659"/>
      <c r="W98" s="1659"/>
      <c r="X98" s="1659"/>
      <c r="Y98" s="1660"/>
    </row>
    <row r="99" spans="1:25" hidden="1">
      <c r="A99" s="159"/>
      <c r="B99" s="170"/>
      <c r="C99" s="117"/>
      <c r="D99" s="117"/>
      <c r="E99" s="117"/>
      <c r="F99" s="117"/>
      <c r="G99" s="117"/>
      <c r="H99" s="117"/>
      <c r="I99" s="1658"/>
      <c r="J99" s="1659"/>
      <c r="K99" s="1659"/>
      <c r="L99" s="1659"/>
      <c r="M99" s="1659"/>
      <c r="N99" s="1659"/>
      <c r="O99" s="1659"/>
      <c r="P99" s="1659"/>
      <c r="Q99" s="1659"/>
      <c r="R99" s="1659"/>
      <c r="S99" s="1659"/>
      <c r="T99" s="1659"/>
      <c r="U99" s="1659"/>
      <c r="V99" s="1659"/>
      <c r="W99" s="1659"/>
      <c r="X99" s="1659"/>
      <c r="Y99" s="1660"/>
    </row>
    <row r="100" spans="1:25" hidden="1">
      <c r="A100" s="159"/>
      <c r="B100" s="170"/>
      <c r="C100" s="117"/>
      <c r="D100" s="117"/>
      <c r="E100" s="117"/>
      <c r="F100" s="117"/>
      <c r="G100" s="117"/>
      <c r="H100" s="117"/>
      <c r="I100" s="1658"/>
      <c r="J100" s="1659"/>
      <c r="K100" s="1659"/>
      <c r="L100" s="1659"/>
      <c r="M100" s="1659"/>
      <c r="N100" s="1659"/>
      <c r="O100" s="1659"/>
      <c r="P100" s="1659"/>
      <c r="Q100" s="1659"/>
      <c r="R100" s="1659"/>
      <c r="S100" s="1659"/>
      <c r="T100" s="1659"/>
      <c r="U100" s="1659"/>
      <c r="V100" s="1659"/>
      <c r="W100" s="1659"/>
      <c r="X100" s="1659"/>
      <c r="Y100" s="1660"/>
    </row>
    <row r="101" spans="1:25" ht="15.75" hidden="1" thickBot="1">
      <c r="A101" s="159"/>
      <c r="B101" s="1647" t="s">
        <v>349</v>
      </c>
      <c r="C101" s="1648"/>
      <c r="D101" s="1648"/>
      <c r="E101" s="1648"/>
      <c r="F101" s="1648"/>
      <c r="G101" s="1648"/>
      <c r="H101" s="1649"/>
      <c r="I101" s="1661"/>
      <c r="J101" s="1662"/>
      <c r="K101" s="1662"/>
      <c r="L101" s="1662"/>
      <c r="M101" s="1662"/>
      <c r="N101" s="1662"/>
      <c r="O101" s="1662"/>
      <c r="P101" s="1662"/>
      <c r="Q101" s="1662"/>
      <c r="R101" s="1662"/>
      <c r="S101" s="1662"/>
      <c r="T101" s="1662"/>
      <c r="U101" s="1662"/>
      <c r="V101" s="1662"/>
      <c r="W101" s="1662"/>
      <c r="X101" s="1662"/>
      <c r="Y101" s="1663"/>
    </row>
    <row r="102" spans="1:25" ht="5.25" hidden="1" customHeight="1" thickBot="1">
      <c r="A102" s="159"/>
      <c r="B102" s="637"/>
      <c r="C102" s="157"/>
      <c r="D102" s="157"/>
      <c r="E102" s="157"/>
      <c r="F102" s="157"/>
      <c r="G102" s="157"/>
      <c r="H102" s="157"/>
      <c r="I102" s="174"/>
      <c r="J102" s="119"/>
      <c r="K102" s="119"/>
      <c r="L102" s="638"/>
      <c r="M102" s="119"/>
      <c r="N102" s="119"/>
      <c r="O102" s="119"/>
      <c r="P102" s="119"/>
      <c r="Q102" s="119"/>
      <c r="R102" s="119"/>
      <c r="S102" s="119"/>
      <c r="T102" s="119"/>
      <c r="U102" s="119"/>
      <c r="V102" s="119"/>
      <c r="W102" s="119"/>
      <c r="X102" s="119"/>
      <c r="Y102" s="175"/>
    </row>
    <row r="103" spans="1:25" ht="15.75" hidden="1" thickBot="1">
      <c r="A103" s="159"/>
      <c r="B103" s="1650">
        <f>'Aspek Non Keuangan'!H109</f>
      </c>
      <c r="C103" s="1654"/>
      <c r="D103" s="1654"/>
      <c r="E103" s="1654"/>
      <c r="F103" s="1654"/>
      <c r="G103" s="1654"/>
      <c r="H103" s="1654"/>
      <c r="I103" s="163"/>
      <c r="J103" s="169"/>
      <c r="K103" s="1650" t="s">
        <v>345</v>
      </c>
      <c r="L103" s="1651"/>
      <c r="M103" s="1651"/>
      <c r="N103" s="117"/>
      <c r="O103" s="169"/>
      <c r="P103" s="117"/>
      <c r="Q103" s="1652" t="s">
        <v>348</v>
      </c>
      <c r="R103" s="1653"/>
      <c r="S103" s="1653"/>
      <c r="T103" s="1653"/>
      <c r="U103" s="1653"/>
      <c r="V103" s="1653"/>
      <c r="W103" s="1653"/>
      <c r="X103" s="117"/>
      <c r="Y103" s="158"/>
    </row>
    <row r="104" spans="1:25" ht="6.75" hidden="1" customHeight="1">
      <c r="A104" s="159"/>
      <c r="B104" s="170"/>
      <c r="C104" s="117"/>
      <c r="D104" s="117"/>
      <c r="E104" s="117"/>
      <c r="F104" s="117"/>
      <c r="G104" s="117"/>
      <c r="H104" s="117"/>
      <c r="I104" s="171"/>
      <c r="J104" s="172"/>
      <c r="K104" s="172"/>
      <c r="L104" s="633"/>
      <c r="M104" s="172"/>
      <c r="N104" s="172"/>
      <c r="O104" s="172"/>
      <c r="P104" s="172"/>
      <c r="Q104" s="172"/>
      <c r="R104" s="172"/>
      <c r="S104" s="172"/>
      <c r="T104" s="172"/>
      <c r="U104" s="172"/>
      <c r="V104" s="172"/>
      <c r="W104" s="172"/>
      <c r="X104" s="172"/>
      <c r="Y104" s="173"/>
    </row>
    <row r="105" spans="1:25" hidden="1">
      <c r="A105" s="159"/>
      <c r="B105" s="170"/>
      <c r="C105" s="117"/>
      <c r="D105" s="117"/>
      <c r="E105" s="117"/>
      <c r="F105" s="117"/>
      <c r="G105" s="117"/>
      <c r="H105" s="117"/>
      <c r="I105" s="163"/>
      <c r="J105" s="117"/>
      <c r="K105" s="117"/>
      <c r="L105" s="157"/>
      <c r="M105" s="117"/>
      <c r="N105" s="117"/>
      <c r="O105" s="117"/>
      <c r="P105" s="117"/>
      <c r="Q105" s="117"/>
      <c r="R105" s="117"/>
      <c r="S105" s="117"/>
      <c r="T105" s="117"/>
      <c r="U105" s="117"/>
      <c r="V105" s="117"/>
      <c r="W105" s="117"/>
      <c r="X105" s="117"/>
      <c r="Y105" s="158"/>
    </row>
    <row r="106" spans="1:25" hidden="1">
      <c r="A106" s="159"/>
      <c r="B106" s="170"/>
      <c r="C106" s="117"/>
      <c r="D106" s="117"/>
      <c r="E106" s="117"/>
      <c r="F106" s="117"/>
      <c r="G106" s="117"/>
      <c r="H106" s="117"/>
      <c r="I106" s="163"/>
      <c r="J106" s="117"/>
      <c r="K106" s="117"/>
      <c r="L106" s="157"/>
      <c r="M106" s="117"/>
      <c r="N106" s="117"/>
      <c r="O106" s="117"/>
      <c r="P106" s="117"/>
      <c r="Q106" s="117"/>
      <c r="R106" s="117"/>
      <c r="S106" s="117"/>
      <c r="T106" s="117"/>
      <c r="U106" s="117"/>
      <c r="V106" s="117"/>
      <c r="W106" s="117"/>
      <c r="X106" s="117"/>
      <c r="Y106" s="158"/>
    </row>
    <row r="107" spans="1:25" hidden="1">
      <c r="A107" s="159"/>
      <c r="B107" s="170"/>
      <c r="C107" s="117"/>
      <c r="D107" s="117"/>
      <c r="E107" s="117"/>
      <c r="F107" s="117"/>
      <c r="G107" s="117"/>
      <c r="H107" s="117"/>
      <c r="I107" s="163"/>
      <c r="J107" s="117"/>
      <c r="K107" s="117"/>
      <c r="L107" s="157"/>
      <c r="M107" s="117"/>
      <c r="N107" s="117"/>
      <c r="O107" s="117"/>
      <c r="P107" s="117"/>
      <c r="Q107" s="117"/>
      <c r="R107" s="117"/>
      <c r="S107" s="117"/>
      <c r="T107" s="117"/>
      <c r="U107" s="117"/>
      <c r="V107" s="117"/>
      <c r="W107" s="117"/>
      <c r="X107" s="117"/>
      <c r="Y107" s="158"/>
    </row>
    <row r="108" spans="1:25" hidden="1">
      <c r="A108" s="159"/>
      <c r="B108" s="170"/>
      <c r="C108" s="117"/>
      <c r="D108" s="117"/>
      <c r="E108" s="117"/>
      <c r="F108" s="117"/>
      <c r="G108" s="117"/>
      <c r="H108" s="117"/>
      <c r="I108" s="163"/>
      <c r="J108" s="117"/>
      <c r="K108" s="117"/>
      <c r="L108" s="157"/>
      <c r="M108" s="117"/>
      <c r="N108" s="117"/>
      <c r="O108" s="117"/>
      <c r="P108" s="117"/>
      <c r="Q108" s="117"/>
      <c r="R108" s="117"/>
      <c r="S108" s="117"/>
      <c r="T108" s="117"/>
      <c r="U108" s="117"/>
      <c r="V108" s="117"/>
      <c r="W108" s="117"/>
      <c r="X108" s="117"/>
      <c r="Y108" s="158"/>
    </row>
    <row r="109" spans="1:25" hidden="1">
      <c r="A109" s="159"/>
      <c r="B109" s="170"/>
      <c r="C109" s="117"/>
      <c r="D109" s="117"/>
      <c r="E109" s="117"/>
      <c r="F109" s="117"/>
      <c r="G109" s="117"/>
      <c r="H109" s="117"/>
      <c r="I109" s="163"/>
      <c r="J109" s="117"/>
      <c r="K109" s="117"/>
      <c r="L109" s="157"/>
      <c r="M109" s="117"/>
      <c r="N109" s="117"/>
      <c r="O109" s="117"/>
      <c r="P109" s="117"/>
      <c r="Q109" s="117"/>
      <c r="R109" s="117"/>
      <c r="S109" s="117"/>
      <c r="T109" s="117"/>
      <c r="U109" s="117"/>
      <c r="V109" s="117"/>
      <c r="W109" s="117"/>
      <c r="X109" s="117"/>
      <c r="Y109" s="158"/>
    </row>
    <row r="110" spans="1:25" ht="15.75" hidden="1" thickBot="1">
      <c r="A110" s="159"/>
      <c r="B110" s="1647" t="s">
        <v>350</v>
      </c>
      <c r="C110" s="1648"/>
      <c r="D110" s="1648"/>
      <c r="E110" s="1648"/>
      <c r="F110" s="1648"/>
      <c r="G110" s="1648"/>
      <c r="H110" s="1649"/>
      <c r="I110" s="176"/>
      <c r="J110" s="177"/>
      <c r="K110" s="177"/>
      <c r="L110" s="636"/>
      <c r="M110" s="177"/>
      <c r="N110" s="177"/>
      <c r="O110" s="177"/>
      <c r="P110" s="177"/>
      <c r="Q110" s="177"/>
      <c r="R110" s="177"/>
      <c r="S110" s="177"/>
      <c r="T110" s="177"/>
      <c r="U110" s="177"/>
      <c r="V110" s="177"/>
      <c r="W110" s="177"/>
      <c r="X110" s="177"/>
      <c r="Y110" s="178"/>
    </row>
    <row r="111" spans="1:25" ht="15.75" thickBot="1">
      <c r="A111" s="179"/>
      <c r="B111" s="177"/>
      <c r="C111" s="177"/>
      <c r="D111" s="177"/>
      <c r="E111" s="177"/>
      <c r="F111" s="177"/>
      <c r="G111" s="177"/>
      <c r="H111" s="177"/>
      <c r="I111" s="177"/>
      <c r="J111" s="177"/>
      <c r="K111" s="177"/>
      <c r="L111" s="636"/>
      <c r="M111" s="177"/>
      <c r="N111" s="177"/>
      <c r="O111" s="177"/>
      <c r="P111" s="177"/>
      <c r="Q111" s="177"/>
      <c r="R111" s="177"/>
      <c r="S111" s="177"/>
      <c r="T111" s="177"/>
      <c r="U111" s="177"/>
      <c r="V111" s="177"/>
      <c r="W111" s="177"/>
      <c r="X111" s="177"/>
      <c r="Y111" s="178"/>
    </row>
    <row r="118" spans="27:27">
      <c r="AA118" s="181"/>
    </row>
    <row r="119" spans="27:27">
      <c r="AA119" s="181"/>
    </row>
  </sheetData>
  <sheetProtection algorithmName="SHA-512" hashValue="MGkV1UDd8Im5MshtRGeD7cpnIesZ3riz4yM4EW/9v4vchEVKOF7ZQW61i9+SxU9vvkSuIFOr9yfC28H49RSydA==" saltValue="qFsKoBWUrwImwqeBs3F+GQ==" spinCount="100000" sheet="1" objects="1" scenarios="1" formatCells="0" formatColumns="0" formatRows="0" insertColumns="0" insertRows="0" deleteColumns="0" deleteRows="0"/>
  <mergeCells count="117">
    <mergeCell ref="M30:Q30"/>
    <mergeCell ref="Q33:S33"/>
    <mergeCell ref="T38:X38"/>
    <mergeCell ref="T36:X36"/>
    <mergeCell ref="T40:U40"/>
    <mergeCell ref="I39:O39"/>
    <mergeCell ref="I40:O40"/>
    <mergeCell ref="Q40:S40"/>
    <mergeCell ref="R36:S36"/>
    <mergeCell ref="B73:H73"/>
    <mergeCell ref="B74:D75"/>
    <mergeCell ref="E74:H75"/>
    <mergeCell ref="J65:K66"/>
    <mergeCell ref="E71:F71"/>
    <mergeCell ref="B70:D70"/>
    <mergeCell ref="E70:F70"/>
    <mergeCell ref="A68:Y68"/>
    <mergeCell ref="A65:H66"/>
    <mergeCell ref="B71:D71"/>
    <mergeCell ref="I65:I66"/>
    <mergeCell ref="B110:H110"/>
    <mergeCell ref="K103:M103"/>
    <mergeCell ref="Q103:W103"/>
    <mergeCell ref="B101:H101"/>
    <mergeCell ref="B103:H103"/>
    <mergeCell ref="I96:Y101"/>
    <mergeCell ref="A84:Y84"/>
    <mergeCell ref="K94:M94"/>
    <mergeCell ref="Q94:W94"/>
    <mergeCell ref="B94:H94"/>
    <mergeCell ref="P86:T86"/>
    <mergeCell ref="P90:T90"/>
    <mergeCell ref="P91:T91"/>
    <mergeCell ref="C81:K81"/>
    <mergeCell ref="C82:X82"/>
    <mergeCell ref="T33:U33"/>
    <mergeCell ref="T34:U34"/>
    <mergeCell ref="I32:O32"/>
    <mergeCell ref="I36:M36"/>
    <mergeCell ref="Q32:S32"/>
    <mergeCell ref="G71:H71"/>
    <mergeCell ref="J49:L49"/>
    <mergeCell ref="J50:L50"/>
    <mergeCell ref="J51:L51"/>
    <mergeCell ref="J52:L52"/>
    <mergeCell ref="B51:H51"/>
    <mergeCell ref="B50:H50"/>
    <mergeCell ref="B49:H49"/>
    <mergeCell ref="M50:Y50"/>
    <mergeCell ref="B55:H55"/>
    <mergeCell ref="B54:H54"/>
    <mergeCell ref="M55:N55"/>
    <mergeCell ref="J59:L59"/>
    <mergeCell ref="J53:L53"/>
    <mergeCell ref="G70:H70"/>
    <mergeCell ref="L65:S66"/>
    <mergeCell ref="J70:X75"/>
    <mergeCell ref="A1:Y1"/>
    <mergeCell ref="A12:Y12"/>
    <mergeCell ref="N17:Q17"/>
    <mergeCell ref="N15:Q15"/>
    <mergeCell ref="N14:W14"/>
    <mergeCell ref="G3:X3"/>
    <mergeCell ref="G4:X4"/>
    <mergeCell ref="G5:X5"/>
    <mergeCell ref="G6:X6"/>
    <mergeCell ref="G7:X7"/>
    <mergeCell ref="N16:Q16"/>
    <mergeCell ref="A2:Y2"/>
    <mergeCell ref="N18:Q18"/>
    <mergeCell ref="N19:Q19"/>
    <mergeCell ref="N20:Q20"/>
    <mergeCell ref="A29:Y29"/>
    <mergeCell ref="I31:S31"/>
    <mergeCell ref="N25:Q25"/>
    <mergeCell ref="J44:S44"/>
    <mergeCell ref="I42:M42"/>
    <mergeCell ref="A22:Y22"/>
    <mergeCell ref="T39:U39"/>
    <mergeCell ref="Q41:S41"/>
    <mergeCell ref="I41:O41"/>
    <mergeCell ref="Q42:S42"/>
    <mergeCell ref="N26:Q26"/>
    <mergeCell ref="B25:K25"/>
    <mergeCell ref="T42:X42"/>
    <mergeCell ref="B26:K26"/>
    <mergeCell ref="N27:Q27"/>
    <mergeCell ref="I35:O35"/>
    <mergeCell ref="Q35:S35"/>
    <mergeCell ref="Q34:S34"/>
    <mergeCell ref="I33:O33"/>
    <mergeCell ref="O36:P36"/>
    <mergeCell ref="B27:K27"/>
    <mergeCell ref="A63:Y63"/>
    <mergeCell ref="N24:Q24"/>
    <mergeCell ref="Q39:S39"/>
    <mergeCell ref="I34:O34"/>
    <mergeCell ref="Q38:S38"/>
    <mergeCell ref="I38:O38"/>
    <mergeCell ref="B61:H61"/>
    <mergeCell ref="B53:H53"/>
    <mergeCell ref="B57:H57"/>
    <mergeCell ref="B60:H60"/>
    <mergeCell ref="B56:H56"/>
    <mergeCell ref="A47:Y47"/>
    <mergeCell ref="J61:L61"/>
    <mergeCell ref="J60:L60"/>
    <mergeCell ref="J57:L57"/>
    <mergeCell ref="J56:L56"/>
    <mergeCell ref="J55:L55"/>
    <mergeCell ref="J54:L54"/>
    <mergeCell ref="B52:H52"/>
    <mergeCell ref="T55:W55"/>
    <mergeCell ref="T56:W56"/>
    <mergeCell ref="B58:H58"/>
    <mergeCell ref="B59:H59"/>
    <mergeCell ref="J58:L58"/>
  </mergeCells>
  <conditionalFormatting sqref="E74:H75">
    <cfRule type="expression" dxfId="1" priority="1">
      <formula>$E$74="Tidak Memadai"</formula>
    </cfRule>
    <cfRule type="expression" dxfId="0" priority="2">
      <formula>$E$74="Memadai"</formula>
    </cfRule>
  </conditionalFormatting>
  <pageMargins left="0.7" right="0.3" top="0.4" bottom="0.4" header="0.31496062992126" footer="0.31496062992126"/>
  <pageSetup paperSize="10000" scale="68" fitToWidth="0"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Jadang!$P$4:$P$5</xm:f>
          </x14:formula1>
          <xm:sqref>M55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2:AC43"/>
  <sheetViews>
    <sheetView topLeftCell="J4" workbookViewId="0">
      <selection activeCell="Z21" sqref="Z21"/>
    </sheetView>
  </sheetViews>
  <sheetFormatPr defaultColWidth="8.85546875" defaultRowHeight="15"/>
  <cols>
    <col min="2" max="23" width="4.7109375" customWidth="1"/>
    <col min="25" max="25" width="28.28515625" bestFit="1" customWidth="1"/>
    <col min="26" max="26" width="24.42578125" bestFit="1" customWidth="1"/>
    <col min="28" max="28" width="28.28515625" bestFit="1" customWidth="1"/>
    <col min="29" max="29" width="21.7109375" customWidth="1"/>
  </cols>
  <sheetData>
    <row r="2" spans="2:29">
      <c r="B2" s="1722" t="s">
        <v>18</v>
      </c>
      <c r="C2" s="1723"/>
      <c r="D2" s="1723"/>
      <c r="E2" s="1723"/>
      <c r="F2" s="1723"/>
      <c r="G2" s="1723"/>
      <c r="H2" s="1723"/>
      <c r="I2" s="1723"/>
      <c r="J2" s="1723"/>
      <c r="K2" s="1723"/>
      <c r="L2" s="1723"/>
      <c r="M2" s="1723"/>
      <c r="N2" s="1723"/>
      <c r="O2" s="1723"/>
      <c r="P2" s="1723"/>
      <c r="Q2" s="1723"/>
      <c r="R2" s="1723"/>
      <c r="S2" s="1723"/>
      <c r="T2" s="1723"/>
      <c r="U2" s="1723"/>
      <c r="V2" s="1723"/>
      <c r="W2" s="1724"/>
    </row>
    <row r="3" spans="2:29">
      <c r="B3" s="1725"/>
      <c r="C3" s="1726"/>
      <c r="D3" s="1726"/>
      <c r="E3" s="1726"/>
      <c r="F3" s="1726"/>
      <c r="G3" s="1726"/>
      <c r="H3" s="1726"/>
      <c r="I3" s="1726"/>
      <c r="J3" s="1726"/>
      <c r="K3" s="1726"/>
      <c r="L3" s="1726"/>
      <c r="M3" s="1726"/>
      <c r="N3" s="1727"/>
      <c r="O3" s="1727"/>
      <c r="P3" s="1727"/>
      <c r="Q3" s="1727"/>
      <c r="R3" s="1727"/>
      <c r="S3" s="1726"/>
      <c r="T3" s="1726"/>
      <c r="U3" s="1726"/>
      <c r="V3" s="1726"/>
      <c r="W3" s="1728"/>
      <c r="Y3" s="1692" t="s">
        <v>127</v>
      </c>
      <c r="Z3" s="1693"/>
      <c r="AA3" s="19"/>
      <c r="AB3" s="1694" t="s">
        <v>128</v>
      </c>
      <c r="AC3" s="1694"/>
    </row>
    <row r="4" spans="2:29">
      <c r="B4" s="7" t="s">
        <v>19</v>
      </c>
      <c r="C4" s="1"/>
      <c r="D4" s="1"/>
      <c r="E4" s="1"/>
      <c r="F4" s="1"/>
      <c r="G4" s="1"/>
      <c r="H4" s="1" t="s">
        <v>0</v>
      </c>
      <c r="I4" s="43" t="s">
        <v>20</v>
      </c>
      <c r="J4" s="1718" t="s">
        <v>11</v>
      </c>
      <c r="K4" s="1718"/>
      <c r="L4" s="1718"/>
      <c r="M4" s="1719" t="s">
        <v>17</v>
      </c>
      <c r="N4" s="1729">
        <f>'Usulan Pembiayaan'!N24:Q24</f>
      </c>
      <c r="O4" s="1729"/>
      <c r="P4" s="1729"/>
      <c r="Q4" s="1729"/>
      <c r="R4" s="1729"/>
      <c r="S4" s="1719" t="s">
        <v>17</v>
      </c>
      <c r="T4" s="1730">
        <f>N4/N5</f>
      </c>
      <c r="U4" s="1730"/>
      <c r="V4" s="1708" t="s">
        <v>21</v>
      </c>
      <c r="W4" s="1709"/>
      <c r="Y4" s="44" t="s">
        <v>129</v>
      </c>
      <c r="Z4" s="45">
        <f>+N17+N11</f>
      </c>
      <c r="AA4" s="19"/>
      <c r="AB4" s="44" t="s">
        <v>130</v>
      </c>
      <c r="AC4" s="46">
        <f>+N17*30/N4</f>
      </c>
    </row>
    <row r="5" spans="2:29">
      <c r="B5" s="10"/>
      <c r="C5" s="3"/>
      <c r="D5" s="3"/>
      <c r="E5" s="3"/>
      <c r="F5" s="3"/>
      <c r="G5" s="3"/>
      <c r="H5" s="3"/>
      <c r="I5" s="3"/>
      <c r="J5" s="1712" t="s">
        <v>22</v>
      </c>
      <c r="K5" s="1712"/>
      <c r="L5" s="1712"/>
      <c r="M5" s="1702"/>
      <c r="N5" s="1732">
        <f>'Aspek Keuangan'!#REF!</f>
      </c>
      <c r="O5" s="1732"/>
      <c r="P5" s="1732"/>
      <c r="Q5" s="1732"/>
      <c r="R5" s="1732"/>
      <c r="S5" s="1702"/>
      <c r="T5" s="1731"/>
      <c r="U5" s="1731"/>
      <c r="V5" s="1710"/>
      <c r="W5" s="1711"/>
      <c r="Y5" s="44" t="s">
        <v>131</v>
      </c>
      <c r="Z5" s="45">
        <f>'Aspek Keuangan'!#REF!</f>
      </c>
      <c r="AA5" s="19"/>
      <c r="AB5" s="44" t="s">
        <v>24</v>
      </c>
      <c r="AC5" s="46">
        <f>+N11*30/N4</f>
      </c>
    </row>
    <row r="6" spans="2:29">
      <c r="B6" s="10"/>
      <c r="C6" s="3"/>
      <c r="D6" s="3"/>
      <c r="E6" s="3"/>
      <c r="F6" s="3"/>
      <c r="G6" s="3"/>
      <c r="H6" s="3"/>
      <c r="I6" s="3"/>
      <c r="J6" s="3"/>
      <c r="K6" s="3"/>
      <c r="L6" s="3"/>
      <c r="M6" s="3"/>
      <c r="N6" s="3"/>
      <c r="O6" s="3"/>
      <c r="P6" s="3"/>
      <c r="Q6" s="3"/>
      <c r="R6" s="3"/>
      <c r="S6" s="3"/>
      <c r="T6" s="3"/>
      <c r="U6" s="3"/>
      <c r="V6" s="3"/>
      <c r="W6" s="4"/>
      <c r="Y6" s="44" t="s">
        <v>132</v>
      </c>
      <c r="Z6" s="45">
        <f>+Z4-Z5</f>
      </c>
      <c r="AA6" s="19"/>
      <c r="AB6" s="44" t="s">
        <v>133</v>
      </c>
      <c r="AC6" s="46">
        <f>('Aspek Keuangan'!#REF!+200000000)*30/N4</f>
      </c>
    </row>
    <row r="7" spans="2:29">
      <c r="B7" s="10"/>
      <c r="C7" s="3"/>
      <c r="D7" s="3"/>
      <c r="E7" s="3"/>
      <c r="F7" s="3"/>
      <c r="G7" s="3"/>
      <c r="H7" s="3"/>
      <c r="I7" s="1714" t="s">
        <v>20</v>
      </c>
      <c r="J7" s="1702" t="s">
        <v>23</v>
      </c>
      <c r="K7" s="1702"/>
      <c r="L7" s="1702" t="s">
        <v>17</v>
      </c>
      <c r="M7" s="1715">
        <v>30</v>
      </c>
      <c r="N7" s="1715"/>
      <c r="O7" s="1702" t="s">
        <v>17</v>
      </c>
      <c r="P7" s="1702">
        <f>M7/M8</f>
      </c>
      <c r="Q7" s="1702"/>
      <c r="R7" s="1710" t="s">
        <v>12</v>
      </c>
      <c r="S7" s="1710"/>
      <c r="T7" s="3"/>
      <c r="U7" s="3"/>
      <c r="V7" s="3"/>
      <c r="W7" s="4"/>
      <c r="Y7" s="44" t="s">
        <v>134</v>
      </c>
      <c r="Z7" s="45">
        <f>'Aspek Keuangan'!#REF!*Z6</f>
      </c>
      <c r="AA7" s="19"/>
      <c r="AB7" s="44" t="s">
        <v>135</v>
      </c>
      <c r="AC7" s="47">
        <f>+(AC4+AC5)-AC6</f>
      </c>
    </row>
    <row r="8" spans="2:29">
      <c r="B8" s="10"/>
      <c r="C8" s="3"/>
      <c r="D8" s="3"/>
      <c r="E8" s="3"/>
      <c r="F8" s="3"/>
      <c r="G8" s="3"/>
      <c r="H8" s="3"/>
      <c r="I8" s="1714"/>
      <c r="J8" s="1702"/>
      <c r="K8" s="1702"/>
      <c r="L8" s="1702"/>
      <c r="M8" s="1717">
        <f>T4</f>
      </c>
      <c r="N8" s="1717"/>
      <c r="O8" s="1702"/>
      <c r="P8" s="1702"/>
      <c r="Q8" s="1702"/>
      <c r="R8" s="1710"/>
      <c r="S8" s="1710"/>
      <c r="T8" s="3"/>
      <c r="U8" s="3"/>
      <c r="V8" s="3"/>
      <c r="W8" s="4"/>
      <c r="Y8" s="48" t="s">
        <v>136</v>
      </c>
      <c r="Z8" s="49">
        <f>+Z6-Z7</f>
      </c>
      <c r="AA8" s="19"/>
      <c r="AB8" s="48" t="s">
        <v>136</v>
      </c>
      <c r="AC8" s="50">
        <f>((1-(100%-85%))*((N4*AC7)/30))</f>
      </c>
    </row>
    <row r="9" spans="2:29">
      <c r="B9" s="9"/>
      <c r="C9" s="5"/>
      <c r="D9" s="5"/>
      <c r="E9" s="5"/>
      <c r="F9" s="5"/>
      <c r="G9" s="5"/>
      <c r="H9" s="5"/>
      <c r="I9" s="5"/>
      <c r="J9" s="5"/>
      <c r="K9" s="5"/>
      <c r="L9" s="5"/>
      <c r="M9" s="5"/>
      <c r="N9" s="5"/>
      <c r="O9" s="5"/>
      <c r="P9" s="5"/>
      <c r="Q9" s="5"/>
      <c r="R9" s="5"/>
      <c r="S9" s="5"/>
      <c r="T9" s="5"/>
      <c r="U9" s="5"/>
      <c r="V9" s="5"/>
      <c r="W9" s="6"/>
      <c r="Y9" s="51">
        <v>1.1000000000000001</v>
      </c>
      <c r="Z9" s="31">
        <f>Z8*Y9</f>
      </c>
      <c r="AC9" s="29">
        <f>S34-AC8</f>
      </c>
    </row>
    <row r="10" spans="2:29">
      <c r="B10" s="7" t="s">
        <v>24</v>
      </c>
      <c r="C10" s="1"/>
      <c r="D10" s="1"/>
      <c r="E10" s="1"/>
      <c r="F10" s="1"/>
      <c r="G10" s="1"/>
      <c r="H10" s="1" t="s">
        <v>0</v>
      </c>
      <c r="I10" s="43" t="s">
        <v>20</v>
      </c>
      <c r="J10" s="1718" t="s">
        <v>11</v>
      </c>
      <c r="K10" s="1718"/>
      <c r="L10" s="1718"/>
      <c r="M10" s="1719" t="s">
        <v>17</v>
      </c>
      <c r="N10" s="1720">
        <f>N4</f>
      </c>
      <c r="O10" s="1720"/>
      <c r="P10" s="1720"/>
      <c r="Q10" s="1720"/>
      <c r="R10" s="1720"/>
      <c r="S10" s="1719" t="s">
        <v>17</v>
      </c>
      <c r="T10" s="1721">
        <f>N10/N11</f>
      </c>
      <c r="U10" s="1721"/>
      <c r="V10" s="1708" t="s">
        <v>21</v>
      </c>
      <c r="W10" s="1709"/>
      <c r="AC10" s="93">
        <f>AC9/S34</f>
      </c>
    </row>
    <row r="11" spans="2:29">
      <c r="B11" s="10"/>
      <c r="C11" s="3"/>
      <c r="D11" s="3"/>
      <c r="E11" s="3"/>
      <c r="F11" s="3"/>
      <c r="G11" s="3"/>
      <c r="H11" s="3"/>
      <c r="I11" s="3"/>
      <c r="J11" s="1712" t="s">
        <v>13</v>
      </c>
      <c r="K11" s="1712"/>
      <c r="L11" s="1712"/>
      <c r="M11" s="1702"/>
      <c r="N11" s="1713">
        <f>'Aspek Keuangan'!#REF!</f>
      </c>
      <c r="O11" s="1713"/>
      <c r="P11" s="1713"/>
      <c r="Q11" s="1713"/>
      <c r="R11" s="1713"/>
      <c r="S11" s="1702"/>
      <c r="T11" s="1716"/>
      <c r="U11" s="1716"/>
      <c r="V11" s="1710"/>
      <c r="W11" s="1711"/>
    </row>
    <row r="12" spans="2:29">
      <c r="B12" s="10"/>
      <c r="C12" s="3"/>
      <c r="D12" s="3"/>
      <c r="E12" s="3"/>
      <c r="F12" s="3"/>
      <c r="G12" s="3"/>
      <c r="H12" s="3"/>
      <c r="I12" s="3"/>
      <c r="J12" s="3"/>
      <c r="K12" s="3"/>
      <c r="L12" s="3"/>
      <c r="M12" s="3"/>
      <c r="N12" s="3"/>
      <c r="O12" s="3"/>
      <c r="P12" s="3"/>
      <c r="Q12" s="3"/>
      <c r="R12" s="3"/>
      <c r="S12" s="3"/>
      <c r="T12" s="3"/>
      <c r="U12" s="3"/>
      <c r="V12" s="3"/>
      <c r="W12" s="4"/>
    </row>
    <row r="13" spans="2:29">
      <c r="B13" s="10"/>
      <c r="C13" s="3"/>
      <c r="D13" s="3"/>
      <c r="E13" s="3"/>
      <c r="F13" s="3"/>
      <c r="G13" s="3"/>
      <c r="H13" s="3"/>
      <c r="I13" s="1714" t="s">
        <v>20</v>
      </c>
      <c r="J13" s="1702" t="s">
        <v>23</v>
      </c>
      <c r="K13" s="1702"/>
      <c r="L13" s="1702" t="s">
        <v>17</v>
      </c>
      <c r="M13" s="1715">
        <v>30</v>
      </c>
      <c r="N13" s="1715"/>
      <c r="O13" s="1702" t="s">
        <v>17</v>
      </c>
      <c r="P13" s="1716">
        <f>M13/M14</f>
      </c>
      <c r="Q13" s="1716"/>
      <c r="R13" s="1710" t="s">
        <v>12</v>
      </c>
      <c r="S13" s="1710"/>
      <c r="T13" s="3"/>
      <c r="U13" s="3"/>
      <c r="V13" s="3"/>
      <c r="W13" s="4"/>
    </row>
    <row r="14" spans="2:29">
      <c r="B14" s="10"/>
      <c r="C14" s="3"/>
      <c r="D14" s="3"/>
      <c r="E14" s="3"/>
      <c r="F14" s="3"/>
      <c r="G14" s="3"/>
      <c r="H14" s="3"/>
      <c r="I14" s="1714"/>
      <c r="J14" s="1702"/>
      <c r="K14" s="1702"/>
      <c r="L14" s="1702"/>
      <c r="M14" s="1717">
        <f>T10</f>
      </c>
      <c r="N14" s="1717"/>
      <c r="O14" s="1702"/>
      <c r="P14" s="1716"/>
      <c r="Q14" s="1716"/>
      <c r="R14" s="1710"/>
      <c r="S14" s="1710"/>
      <c r="T14" s="3"/>
      <c r="U14" s="3"/>
      <c r="V14" s="3"/>
      <c r="W14" s="4"/>
      <c r="Y14" s="31">
        <f>N4*85%</f>
      </c>
    </row>
    <row r="15" spans="2:29">
      <c r="B15" s="9"/>
      <c r="C15" s="5"/>
      <c r="D15" s="5"/>
      <c r="E15" s="5"/>
      <c r="F15" s="5"/>
      <c r="G15" s="5"/>
      <c r="H15" s="5"/>
      <c r="I15" s="5"/>
      <c r="J15" s="5"/>
      <c r="K15" s="5"/>
      <c r="L15" s="5"/>
      <c r="M15" s="5"/>
      <c r="N15" s="5"/>
      <c r="O15" s="5"/>
      <c r="P15" s="5"/>
      <c r="Q15" s="5"/>
      <c r="R15" s="5"/>
      <c r="S15" s="5"/>
      <c r="T15" s="5"/>
      <c r="U15" s="5"/>
      <c r="V15" s="5"/>
      <c r="W15" s="6"/>
    </row>
    <row r="16" spans="2:29">
      <c r="B16" s="7" t="s">
        <v>25</v>
      </c>
      <c r="C16" s="1"/>
      <c r="D16" s="1"/>
      <c r="E16" s="1"/>
      <c r="F16" s="1"/>
      <c r="G16" s="1"/>
      <c r="H16" s="1" t="s">
        <v>0</v>
      </c>
      <c r="I16" s="43" t="s">
        <v>20</v>
      </c>
      <c r="J16" s="1718" t="s">
        <v>26</v>
      </c>
      <c r="K16" s="1718"/>
      <c r="L16" s="1718"/>
      <c r="M16" s="1719" t="s">
        <v>17</v>
      </c>
      <c r="N16" s="1720">
        <f>Y14</f>
      </c>
      <c r="O16" s="1720"/>
      <c r="P16" s="1720"/>
      <c r="Q16" s="1720"/>
      <c r="R16" s="1720"/>
      <c r="S16" s="1719" t="s">
        <v>17</v>
      </c>
      <c r="T16" s="1721">
        <f>N16/N17</f>
      </c>
      <c r="U16" s="1721"/>
      <c r="V16" s="1708" t="s">
        <v>21</v>
      </c>
      <c r="W16" s="1709"/>
    </row>
    <row r="17" spans="2:23">
      <c r="B17" s="10"/>
      <c r="C17" s="3"/>
      <c r="D17" s="3"/>
      <c r="E17" s="3"/>
      <c r="F17" s="3"/>
      <c r="G17" s="3"/>
      <c r="H17" s="3"/>
      <c r="I17" s="3"/>
      <c r="J17" s="1712" t="s">
        <v>14</v>
      </c>
      <c r="K17" s="1712"/>
      <c r="L17" s="1712"/>
      <c r="M17" s="1702"/>
      <c r="N17" s="1713">
        <f>'Aspek Keuangan'!#REF!</f>
      </c>
      <c r="O17" s="1713"/>
      <c r="P17" s="1713"/>
      <c r="Q17" s="1713"/>
      <c r="R17" s="1713"/>
      <c r="S17" s="1702"/>
      <c r="T17" s="1716"/>
      <c r="U17" s="1716"/>
      <c r="V17" s="1710"/>
      <c r="W17" s="1711"/>
    </row>
    <row r="18" spans="2:23">
      <c r="B18" s="10"/>
      <c r="C18" s="3"/>
      <c r="D18" s="3"/>
      <c r="E18" s="3"/>
      <c r="F18" s="3"/>
      <c r="G18" s="3"/>
      <c r="H18" s="3"/>
      <c r="I18" s="3"/>
      <c r="J18" s="3"/>
      <c r="K18" s="3"/>
      <c r="L18" s="3"/>
      <c r="M18" s="3"/>
      <c r="N18" s="3"/>
      <c r="O18" s="3"/>
      <c r="P18" s="3"/>
      <c r="Q18" s="3"/>
      <c r="R18" s="3"/>
      <c r="S18" s="3"/>
      <c r="T18" s="3"/>
      <c r="U18" s="3"/>
      <c r="V18" s="3"/>
      <c r="W18" s="4"/>
    </row>
    <row r="19" spans="2:23">
      <c r="B19" s="10"/>
      <c r="C19" s="3"/>
      <c r="D19" s="3"/>
      <c r="E19" s="3"/>
      <c r="F19" s="3"/>
      <c r="G19" s="3"/>
      <c r="H19" s="3"/>
      <c r="I19" s="1714" t="s">
        <v>20</v>
      </c>
      <c r="J19" s="1702" t="s">
        <v>23</v>
      </c>
      <c r="K19" s="1702"/>
      <c r="L19" s="1702" t="s">
        <v>17</v>
      </c>
      <c r="M19" s="1715">
        <v>30</v>
      </c>
      <c r="N19" s="1715"/>
      <c r="O19" s="1702" t="s">
        <v>17</v>
      </c>
      <c r="P19" s="1716">
        <f>M19/M20</f>
      </c>
      <c r="Q19" s="1716"/>
      <c r="R19" s="1710" t="s">
        <v>12</v>
      </c>
      <c r="S19" s="1710"/>
      <c r="T19" s="3"/>
      <c r="U19" s="3"/>
      <c r="V19" s="3"/>
      <c r="W19" s="4"/>
    </row>
    <row r="20" spans="2:23">
      <c r="B20" s="10"/>
      <c r="C20" s="3"/>
      <c r="D20" s="3"/>
      <c r="E20" s="3"/>
      <c r="F20" s="3"/>
      <c r="G20" s="3"/>
      <c r="H20" s="3"/>
      <c r="I20" s="1714"/>
      <c r="J20" s="1702"/>
      <c r="K20" s="1702"/>
      <c r="L20" s="1702"/>
      <c r="M20" s="1717">
        <f>T16</f>
      </c>
      <c r="N20" s="1717"/>
      <c r="O20" s="1702"/>
      <c r="P20" s="1716"/>
      <c r="Q20" s="1716"/>
      <c r="R20" s="1710"/>
      <c r="S20" s="1710"/>
      <c r="T20" s="3"/>
      <c r="U20" s="3"/>
      <c r="V20" s="3"/>
      <c r="W20" s="4"/>
    </row>
    <row r="21" spans="2:23">
      <c r="B21" s="9"/>
      <c r="C21" s="5"/>
      <c r="D21" s="5"/>
      <c r="E21" s="5"/>
      <c r="F21" s="5"/>
      <c r="G21" s="5"/>
      <c r="H21" s="5"/>
      <c r="I21" s="5"/>
      <c r="J21" s="5"/>
      <c r="K21" s="5"/>
      <c r="L21" s="5"/>
      <c r="M21" s="5"/>
      <c r="N21" s="5"/>
      <c r="O21" s="5"/>
      <c r="P21" s="5"/>
      <c r="Q21" s="5"/>
      <c r="R21" s="5"/>
      <c r="S21" s="5"/>
      <c r="T21" s="5"/>
      <c r="U21" s="5"/>
      <c r="V21" s="5"/>
      <c r="W21" s="6"/>
    </row>
    <row r="22" spans="2:23">
      <c r="B22" s="7"/>
      <c r="C22" s="1"/>
      <c r="D22" s="1"/>
      <c r="E22" s="1"/>
      <c r="F22" s="1"/>
      <c r="G22" s="1"/>
      <c r="H22" s="1"/>
      <c r="I22" s="1"/>
      <c r="J22" s="1"/>
      <c r="K22" s="1"/>
      <c r="L22" s="1"/>
      <c r="M22" s="1"/>
      <c r="N22" s="1"/>
      <c r="O22" s="1"/>
      <c r="P22" s="1"/>
      <c r="Q22" s="1"/>
      <c r="R22" s="1"/>
      <c r="S22" s="1"/>
      <c r="T22" s="1"/>
      <c r="U22" s="1"/>
      <c r="V22" s="1"/>
      <c r="W22" s="2"/>
    </row>
    <row r="23" spans="2:23">
      <c r="B23" s="10" t="s">
        <v>27</v>
      </c>
      <c r="C23" s="3"/>
      <c r="D23" s="3"/>
      <c r="E23" s="3"/>
      <c r="F23" s="3"/>
      <c r="G23" s="28" t="s">
        <v>0</v>
      </c>
      <c r="H23" s="1705">
        <f>P7</f>
      </c>
      <c r="I23" s="1705"/>
      <c r="J23" s="1702" t="s">
        <v>28</v>
      </c>
      <c r="K23" s="1706">
        <f>N4</f>
      </c>
      <c r="L23" s="1706"/>
      <c r="M23" s="1706"/>
      <c r="N23" s="1706"/>
      <c r="O23" s="1702" t="s">
        <v>28</v>
      </c>
      <c r="P23" s="1707">
        <v>1</v>
      </c>
      <c r="Q23" s="1707"/>
      <c r="R23" s="1702" t="s">
        <v>17</v>
      </c>
      <c r="S23" s="1703">
        <f>(H23*K23/H24)*P23</f>
      </c>
      <c r="T23" s="1703"/>
      <c r="U23" s="1703"/>
      <c r="V23" s="1703"/>
      <c r="W23" s="4"/>
    </row>
    <row r="24" spans="2:23">
      <c r="B24" s="10"/>
      <c r="C24" s="3"/>
      <c r="D24" s="3"/>
      <c r="E24" s="3"/>
      <c r="F24" s="3"/>
      <c r="G24" s="28"/>
      <c r="H24" s="1704">
        <v>30</v>
      </c>
      <c r="I24" s="1704"/>
      <c r="J24" s="1702"/>
      <c r="K24" s="1706"/>
      <c r="L24" s="1706"/>
      <c r="M24" s="1706"/>
      <c r="N24" s="1706"/>
      <c r="O24" s="1702"/>
      <c r="P24" s="1707"/>
      <c r="Q24" s="1707"/>
      <c r="R24" s="1702"/>
      <c r="S24" s="1703"/>
      <c r="T24" s="1703"/>
      <c r="U24" s="1703"/>
      <c r="V24" s="1703"/>
      <c r="W24" s="4"/>
    </row>
    <row r="25" spans="2:23">
      <c r="B25" s="10"/>
      <c r="C25" s="3"/>
      <c r="D25" s="3"/>
      <c r="E25" s="3"/>
      <c r="F25" s="3"/>
      <c r="G25" s="28"/>
      <c r="H25" s="3"/>
      <c r="I25" s="3"/>
      <c r="J25" s="3"/>
      <c r="K25" s="3"/>
      <c r="L25" s="3"/>
      <c r="M25" s="3"/>
      <c r="N25" s="3"/>
      <c r="O25" s="3"/>
      <c r="P25" s="3"/>
      <c r="Q25" s="3"/>
      <c r="R25" s="3"/>
      <c r="S25" s="13"/>
      <c r="T25" s="13"/>
      <c r="U25" s="13"/>
      <c r="V25" s="13"/>
      <c r="W25" s="4"/>
    </row>
    <row r="26" spans="2:23">
      <c r="B26" s="10" t="s">
        <v>29</v>
      </c>
      <c r="C26" s="3"/>
      <c r="D26" s="3"/>
      <c r="E26" s="3"/>
      <c r="F26" s="3"/>
      <c r="G26" s="28" t="s">
        <v>0</v>
      </c>
      <c r="H26" s="1705">
        <f>P13</f>
      </c>
      <c r="I26" s="1705"/>
      <c r="J26" s="1702" t="s">
        <v>28</v>
      </c>
      <c r="K26" s="1706">
        <f>N10</f>
      </c>
      <c r="L26" s="1706"/>
      <c r="M26" s="1706"/>
      <c r="N26" s="1706"/>
      <c r="O26" s="1702" t="s">
        <v>28</v>
      </c>
      <c r="P26" s="1707">
        <v>1.2</v>
      </c>
      <c r="Q26" s="1707"/>
      <c r="R26" s="1702" t="s">
        <v>17</v>
      </c>
      <c r="S26" s="1703">
        <f>(K26*H26/H27)*P26</f>
      </c>
      <c r="T26" s="1703"/>
      <c r="U26" s="1703"/>
      <c r="V26" s="1703"/>
      <c r="W26" s="4"/>
    </row>
    <row r="27" spans="2:23">
      <c r="B27" s="10"/>
      <c r="C27" s="3"/>
      <c r="D27" s="3"/>
      <c r="E27" s="3"/>
      <c r="F27" s="3"/>
      <c r="G27" s="28"/>
      <c r="H27" s="1704">
        <v>30</v>
      </c>
      <c r="I27" s="1704"/>
      <c r="J27" s="1702"/>
      <c r="K27" s="1706"/>
      <c r="L27" s="1706"/>
      <c r="M27" s="1706"/>
      <c r="N27" s="1706"/>
      <c r="O27" s="1702"/>
      <c r="P27" s="1707"/>
      <c r="Q27" s="1707"/>
      <c r="R27" s="1702"/>
      <c r="S27" s="1703"/>
      <c r="T27" s="1703"/>
      <c r="U27" s="1703"/>
      <c r="V27" s="1703"/>
      <c r="W27" s="4"/>
    </row>
    <row r="28" spans="2:23">
      <c r="B28" s="10"/>
      <c r="C28" s="3"/>
      <c r="D28" s="3"/>
      <c r="E28" s="3"/>
      <c r="F28" s="3"/>
      <c r="G28" s="28"/>
      <c r="H28" s="3"/>
      <c r="I28" s="3"/>
      <c r="J28" s="3"/>
      <c r="K28" s="3"/>
      <c r="L28" s="3"/>
      <c r="M28" s="3"/>
      <c r="N28" s="3"/>
      <c r="O28" s="3"/>
      <c r="P28" s="3"/>
      <c r="Q28" s="3"/>
      <c r="R28" s="3"/>
      <c r="S28" s="13"/>
      <c r="T28" s="13"/>
      <c r="U28" s="13"/>
      <c r="V28" s="13"/>
      <c r="W28" s="4"/>
    </row>
    <row r="29" spans="2:23">
      <c r="B29" s="10" t="s">
        <v>30</v>
      </c>
      <c r="C29" s="3"/>
      <c r="D29" s="3"/>
      <c r="E29" s="3"/>
      <c r="F29" s="3"/>
      <c r="G29" s="28" t="s">
        <v>0</v>
      </c>
      <c r="H29" s="1705">
        <f>P19</f>
      </c>
      <c r="I29" s="1705"/>
      <c r="J29" s="1702" t="s">
        <v>28</v>
      </c>
      <c r="K29" s="1706">
        <f>N16</f>
      </c>
      <c r="L29" s="1706"/>
      <c r="M29" s="1706"/>
      <c r="N29" s="1706"/>
      <c r="O29" s="1702" t="s">
        <v>28</v>
      </c>
      <c r="P29" s="1707">
        <v>1.2</v>
      </c>
      <c r="Q29" s="1707"/>
      <c r="R29" s="1702" t="s">
        <v>17</v>
      </c>
      <c r="S29" s="1703">
        <f>(K29*H29/H30)*P29</f>
      </c>
      <c r="T29" s="1703"/>
      <c r="U29" s="1703"/>
      <c r="V29" s="1703"/>
      <c r="W29" s="4"/>
    </row>
    <row r="30" spans="2:23">
      <c r="B30" s="10"/>
      <c r="C30" s="3"/>
      <c r="D30" s="3"/>
      <c r="E30" s="3"/>
      <c r="F30" s="3"/>
      <c r="G30" s="3"/>
      <c r="H30" s="1704">
        <v>30</v>
      </c>
      <c r="I30" s="1704"/>
      <c r="J30" s="1702"/>
      <c r="K30" s="1706"/>
      <c r="L30" s="1706"/>
      <c r="M30" s="1706"/>
      <c r="N30" s="1706"/>
      <c r="O30" s="1702"/>
      <c r="P30" s="1707"/>
      <c r="Q30" s="1707"/>
      <c r="R30" s="1702"/>
      <c r="S30" s="1703"/>
      <c r="T30" s="1703"/>
      <c r="U30" s="1703"/>
      <c r="V30" s="1703"/>
      <c r="W30" s="1690"/>
    </row>
    <row r="31" spans="2:23">
      <c r="B31" s="10"/>
      <c r="C31" s="3"/>
      <c r="D31" s="3"/>
      <c r="E31" s="3"/>
      <c r="F31" s="3"/>
      <c r="G31" s="3"/>
      <c r="H31" s="3"/>
      <c r="I31" s="3"/>
      <c r="J31" s="3"/>
      <c r="K31" s="3"/>
      <c r="L31" s="3"/>
      <c r="M31" s="3"/>
      <c r="N31" s="3"/>
      <c r="O31" s="3"/>
      <c r="P31" s="3"/>
      <c r="Q31" s="3"/>
      <c r="R31" s="3"/>
      <c r="S31" s="3"/>
      <c r="T31" s="3"/>
      <c r="U31" s="3"/>
      <c r="V31" s="3"/>
      <c r="W31" s="1690"/>
    </row>
    <row r="32" spans="2:23">
      <c r="B32" s="10" t="s">
        <v>31</v>
      </c>
      <c r="C32" s="3"/>
      <c r="D32" s="3"/>
      <c r="E32" s="3"/>
      <c r="F32" s="3"/>
      <c r="G32" s="3"/>
      <c r="H32" s="3"/>
      <c r="I32" s="3"/>
      <c r="J32" s="3"/>
      <c r="K32" s="3"/>
      <c r="L32" s="3"/>
      <c r="M32" s="3"/>
      <c r="N32" s="3"/>
      <c r="O32" s="3"/>
      <c r="P32" s="3"/>
      <c r="Q32" s="3"/>
      <c r="R32" s="3"/>
      <c r="S32" s="1695">
        <f>S23+S26+S29</f>
      </c>
      <c r="T32" s="1695"/>
      <c r="U32" s="1695"/>
      <c r="V32" s="1695"/>
      <c r="W32" s="4"/>
    </row>
    <row r="33" spans="2:23">
      <c r="B33" s="10"/>
      <c r="C33" s="3"/>
      <c r="D33" s="3"/>
      <c r="E33" s="3"/>
      <c r="F33" s="3"/>
      <c r="G33" s="3"/>
      <c r="H33" s="3"/>
      <c r="I33" s="3"/>
      <c r="J33" s="3"/>
      <c r="K33" s="3"/>
      <c r="L33" s="3"/>
      <c r="M33" s="3"/>
      <c r="N33" s="3"/>
      <c r="O33" s="3"/>
      <c r="P33" s="3"/>
      <c r="Q33" s="3"/>
      <c r="R33" s="3"/>
      <c r="S33" s="3"/>
      <c r="T33" s="3"/>
      <c r="U33" s="3"/>
      <c r="V33" s="3"/>
      <c r="W33" s="4"/>
    </row>
    <row r="34" spans="2:23">
      <c r="B34" s="10" t="s">
        <v>32</v>
      </c>
      <c r="C34" s="3"/>
      <c r="D34" s="3"/>
      <c r="E34" s="3"/>
      <c r="F34" s="3"/>
      <c r="G34" s="3"/>
      <c r="H34" s="3"/>
      <c r="I34" s="3"/>
      <c r="J34" s="3"/>
      <c r="K34" s="3"/>
      <c r="L34" s="3"/>
      <c r="M34" s="3"/>
      <c r="N34" s="3"/>
      <c r="O34" s="3"/>
      <c r="P34" s="3"/>
      <c r="Q34" s="3"/>
      <c r="R34" s="3"/>
      <c r="S34" s="1697">
        <f>N17+N11+N5</f>
      </c>
      <c r="T34" s="1697"/>
      <c r="U34" s="1697"/>
      <c r="V34" s="1697"/>
      <c r="W34" s="1690" t="s">
        <v>16</v>
      </c>
    </row>
    <row r="35" spans="2:23">
      <c r="B35" s="10"/>
      <c r="C35" s="3"/>
      <c r="D35" s="3"/>
      <c r="E35" s="3"/>
      <c r="F35" s="3"/>
      <c r="G35" s="3"/>
      <c r="H35" s="3"/>
      <c r="I35" s="3"/>
      <c r="J35" s="3"/>
      <c r="K35" s="3"/>
      <c r="L35" s="3"/>
      <c r="M35" s="3"/>
      <c r="N35" s="3"/>
      <c r="O35" s="3"/>
      <c r="P35" s="3"/>
      <c r="Q35" s="3"/>
      <c r="R35" s="3"/>
      <c r="S35" s="1700">
        <f>S32-S34</f>
      </c>
      <c r="T35" s="1700"/>
      <c r="U35" s="1700"/>
      <c r="V35" s="1700"/>
      <c r="W35" s="1690"/>
    </row>
    <row r="36" spans="2:23">
      <c r="B36" s="14" t="s">
        <v>33</v>
      </c>
      <c r="C36" s="8"/>
      <c r="D36" s="8"/>
      <c r="E36" s="8"/>
      <c r="F36" s="8"/>
      <c r="G36" s="8"/>
      <c r="H36" s="8"/>
      <c r="I36" s="8"/>
      <c r="J36" s="8"/>
      <c r="K36" s="8"/>
      <c r="L36" s="8"/>
      <c r="M36" s="8"/>
      <c r="N36" s="8"/>
      <c r="O36" s="8"/>
      <c r="P36" s="8"/>
      <c r="Q36" s="8"/>
      <c r="R36" s="8"/>
      <c r="S36" s="1701"/>
      <c r="T36" s="1701"/>
      <c r="U36" s="1701"/>
      <c r="V36" s="1701"/>
      <c r="W36" s="15"/>
    </row>
    <row r="37" spans="2:23">
      <c r="B37" s="10"/>
      <c r="C37" s="3"/>
      <c r="D37" s="3"/>
      <c r="E37" s="3"/>
      <c r="F37" s="3"/>
      <c r="G37" s="3"/>
      <c r="H37" s="3"/>
      <c r="I37" s="3"/>
      <c r="J37" s="3"/>
      <c r="K37" s="3"/>
      <c r="L37" s="3"/>
      <c r="M37" s="3"/>
      <c r="N37" s="3"/>
      <c r="O37" s="3"/>
      <c r="P37" s="3"/>
      <c r="Q37" s="3"/>
      <c r="R37" s="3"/>
      <c r="S37" s="3"/>
      <c r="T37" s="3"/>
      <c r="U37" s="3"/>
      <c r="V37" s="3"/>
      <c r="W37" s="4"/>
    </row>
    <row r="38" spans="2:23">
      <c r="B38" s="10" t="s">
        <v>15</v>
      </c>
      <c r="C38" s="3"/>
      <c r="D38" s="3"/>
      <c r="E38" s="3"/>
      <c r="F38" s="3"/>
      <c r="G38" s="3"/>
      <c r="H38" s="1695"/>
      <c r="I38" s="1695"/>
      <c r="J38" s="1695"/>
      <c r="K38" s="1695"/>
      <c r="L38" s="3"/>
      <c r="M38" s="3"/>
      <c r="N38" s="3"/>
      <c r="O38" s="3"/>
      <c r="P38" s="3"/>
      <c r="Q38" s="3"/>
      <c r="R38" s="3"/>
      <c r="S38" s="1696"/>
      <c r="T38" s="1696"/>
      <c r="U38" s="1696"/>
      <c r="V38" s="1696"/>
      <c r="W38" s="4"/>
    </row>
    <row r="39" spans="2:23">
      <c r="B39" s="10"/>
      <c r="C39" s="3"/>
      <c r="D39" s="3"/>
      <c r="E39" s="3"/>
      <c r="F39" s="3"/>
      <c r="G39" s="3"/>
      <c r="H39" s="3"/>
      <c r="I39" s="3"/>
      <c r="J39" s="3"/>
      <c r="K39" s="3"/>
      <c r="L39" s="3"/>
      <c r="M39" s="3"/>
      <c r="N39" s="3"/>
      <c r="O39" s="3"/>
      <c r="P39" s="3"/>
      <c r="Q39" s="3"/>
      <c r="R39" s="3"/>
      <c r="S39" s="3"/>
      <c r="T39" s="3"/>
      <c r="U39" s="3"/>
      <c r="V39" s="3"/>
      <c r="W39" s="4"/>
    </row>
    <row r="40" spans="2:23">
      <c r="B40" s="10" t="s">
        <v>34</v>
      </c>
      <c r="C40" s="3"/>
      <c r="D40" s="3"/>
      <c r="E40" s="3"/>
      <c r="F40" s="3"/>
      <c r="G40" s="3"/>
      <c r="H40" s="1697"/>
      <c r="I40" s="1697"/>
      <c r="J40" s="1697"/>
      <c r="K40" s="1697"/>
      <c r="L40" s="1698" t="s">
        <v>35</v>
      </c>
      <c r="M40" s="3"/>
      <c r="N40" s="3"/>
      <c r="O40" s="3"/>
      <c r="P40" s="3"/>
      <c r="Q40" s="3"/>
      <c r="R40" s="3"/>
      <c r="S40" s="3"/>
      <c r="T40" s="3"/>
      <c r="U40" s="3"/>
      <c r="V40" s="3"/>
      <c r="W40" s="4"/>
    </row>
    <row r="41" spans="2:23">
      <c r="B41" s="10"/>
      <c r="C41" s="3"/>
      <c r="D41" s="3"/>
      <c r="E41" s="3"/>
      <c r="F41" s="3"/>
      <c r="G41" s="3"/>
      <c r="H41" s="1699"/>
      <c r="I41" s="1699"/>
      <c r="J41" s="1699"/>
      <c r="K41" s="1699"/>
      <c r="L41" s="1698"/>
      <c r="M41" s="3"/>
      <c r="N41" s="3"/>
      <c r="O41" s="3"/>
      <c r="P41" s="3"/>
      <c r="Q41" s="3"/>
      <c r="R41" s="3"/>
      <c r="S41" s="1691">
        <f>H38+H40</f>
      </c>
      <c r="T41" s="1691"/>
      <c r="U41" s="1691"/>
      <c r="V41" s="1691"/>
      <c r="W41" s="1690" t="s">
        <v>35</v>
      </c>
    </row>
    <row r="42" spans="2:23">
      <c r="B42" s="10"/>
      <c r="C42" s="3"/>
      <c r="D42" s="3"/>
      <c r="E42" s="3"/>
      <c r="F42" s="3"/>
      <c r="G42" s="3"/>
      <c r="H42" s="3"/>
      <c r="I42" s="3"/>
      <c r="J42" s="3"/>
      <c r="K42" s="3"/>
      <c r="L42" s="3"/>
      <c r="M42" s="3"/>
      <c r="N42" s="3"/>
      <c r="O42" s="3"/>
      <c r="P42" s="3"/>
      <c r="Q42" s="3"/>
      <c r="R42" s="3"/>
      <c r="S42" s="3"/>
      <c r="T42" s="3"/>
      <c r="U42" s="3"/>
      <c r="V42" s="3"/>
      <c r="W42" s="1690"/>
    </row>
    <row r="43" spans="2:23">
      <c r="B43" s="12" t="s">
        <v>36</v>
      </c>
      <c r="C43" s="16"/>
      <c r="D43" s="16"/>
      <c r="E43" s="16"/>
      <c r="F43" s="16"/>
      <c r="G43" s="16"/>
      <c r="H43" s="16"/>
      <c r="I43" s="16"/>
      <c r="J43" s="16"/>
      <c r="K43" s="16"/>
      <c r="L43" s="16"/>
      <c r="M43" s="16"/>
      <c r="N43" s="16"/>
      <c r="O43" s="16"/>
      <c r="P43" s="16"/>
      <c r="Q43" s="16"/>
      <c r="R43" s="16"/>
      <c r="S43" s="1691">
        <f>S35+S41</f>
      </c>
      <c r="T43" s="1691"/>
      <c r="U43" s="1691"/>
      <c r="V43" s="1691"/>
      <c r="W43" s="17"/>
    </row>
  </sheetData>
  <mergeCells count="89">
    <mergeCell ref="B2:W3"/>
    <mergeCell ref="J4:L4"/>
    <mergeCell ref="M4:M5"/>
    <mergeCell ref="N4:R4"/>
    <mergeCell ref="S4:S5"/>
    <mergeCell ref="T4:U5"/>
    <mergeCell ref="V4:W5"/>
    <mergeCell ref="J5:L5"/>
    <mergeCell ref="N5:R5"/>
    <mergeCell ref="I7:I8"/>
    <mergeCell ref="J7:K8"/>
    <mergeCell ref="L7:L8"/>
    <mergeCell ref="M7:N7"/>
    <mergeCell ref="O7:O8"/>
    <mergeCell ref="R7:S8"/>
    <mergeCell ref="M8:N8"/>
    <mergeCell ref="J10:L10"/>
    <mergeCell ref="M10:M11"/>
    <mergeCell ref="N10:R10"/>
    <mergeCell ref="S10:S11"/>
    <mergeCell ref="P7:Q8"/>
    <mergeCell ref="T10:U11"/>
    <mergeCell ref="V10:W11"/>
    <mergeCell ref="J11:L11"/>
    <mergeCell ref="N11:R11"/>
    <mergeCell ref="I13:I14"/>
    <mergeCell ref="J13:K14"/>
    <mergeCell ref="L13:L14"/>
    <mergeCell ref="M13:N13"/>
    <mergeCell ref="O13:O14"/>
    <mergeCell ref="P13:Q14"/>
    <mergeCell ref="R13:S14"/>
    <mergeCell ref="M14:N14"/>
    <mergeCell ref="V16:W17"/>
    <mergeCell ref="J17:L17"/>
    <mergeCell ref="N17:R17"/>
    <mergeCell ref="I19:I20"/>
    <mergeCell ref="J19:K20"/>
    <mergeCell ref="L19:L20"/>
    <mergeCell ref="M19:N19"/>
    <mergeCell ref="O19:O20"/>
    <mergeCell ref="P19:Q20"/>
    <mergeCell ref="R19:S20"/>
    <mergeCell ref="M20:N20"/>
    <mergeCell ref="J16:L16"/>
    <mergeCell ref="M16:M17"/>
    <mergeCell ref="N16:R16"/>
    <mergeCell ref="S16:S17"/>
    <mergeCell ref="T16:U17"/>
    <mergeCell ref="R23:R24"/>
    <mergeCell ref="S23:V24"/>
    <mergeCell ref="H24:I24"/>
    <mergeCell ref="S26:V27"/>
    <mergeCell ref="H27:I27"/>
    <mergeCell ref="H23:I23"/>
    <mergeCell ref="J23:J24"/>
    <mergeCell ref="K23:N24"/>
    <mergeCell ref="O23:O24"/>
    <mergeCell ref="P23:Q24"/>
    <mergeCell ref="R29:R30"/>
    <mergeCell ref="S29:V30"/>
    <mergeCell ref="H30:I30"/>
    <mergeCell ref="H26:I26"/>
    <mergeCell ref="J26:J27"/>
    <mergeCell ref="K26:N27"/>
    <mergeCell ref="O26:O27"/>
    <mergeCell ref="P26:Q27"/>
    <mergeCell ref="R26:R27"/>
    <mergeCell ref="H29:I29"/>
    <mergeCell ref="J29:J30"/>
    <mergeCell ref="K29:N30"/>
    <mergeCell ref="O29:O30"/>
    <mergeCell ref="P29:Q30"/>
    <mergeCell ref="W41:W42"/>
    <mergeCell ref="S43:V43"/>
    <mergeCell ref="Y3:Z3"/>
    <mergeCell ref="AB3:AC3"/>
    <mergeCell ref="H38:K38"/>
    <mergeCell ref="S38:V38"/>
    <mergeCell ref="H40:K40"/>
    <mergeCell ref="L40:L41"/>
    <mergeCell ref="H41:K41"/>
    <mergeCell ref="S41:V41"/>
    <mergeCell ref="W30:W31"/>
    <mergeCell ref="S32:V32"/>
    <mergeCell ref="S34:V34"/>
    <mergeCell ref="W34:W35"/>
    <mergeCell ref="S35:V35"/>
    <mergeCell ref="S36:V3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D51"/>
  <sheetViews>
    <sheetView topLeftCell="A7" workbookViewId="0">
      <selection activeCell="AB20" sqref="AB20"/>
    </sheetView>
  </sheetViews>
  <sheetFormatPr defaultColWidth="8.85546875" defaultRowHeight="15"/>
  <cols>
    <col min="1" max="12" width="3.42578125" customWidth="1"/>
    <col min="13" max="13" width="13" customWidth="1"/>
    <col min="14" max="17" width="3.42578125" customWidth="1"/>
    <col min="18" max="18" width="5" customWidth="1"/>
    <col min="19" max="26" width="3.42578125" customWidth="1"/>
  </cols>
  <sheetData>
    <row r="1" spans="1:26">
      <c r="A1" s="1733" t="s">
        <v>87</v>
      </c>
      <c r="B1" s="1734"/>
      <c r="C1" s="1734"/>
      <c r="D1" s="1734"/>
      <c r="E1" s="1734"/>
      <c r="F1" s="1734"/>
      <c r="G1" s="1734"/>
      <c r="H1" s="1734"/>
      <c r="I1" s="1734"/>
      <c r="J1" s="1734"/>
      <c r="K1" s="1734"/>
      <c r="L1" s="1734"/>
      <c r="M1" s="1734"/>
      <c r="N1" s="1734"/>
      <c r="O1" s="1734"/>
      <c r="P1" s="1734"/>
      <c r="Q1" s="1734"/>
      <c r="R1" s="1734"/>
      <c r="S1" s="1734"/>
      <c r="T1" s="1734"/>
      <c r="U1" s="1734"/>
      <c r="V1" s="1734"/>
      <c r="W1" s="1734"/>
      <c r="X1" s="1734"/>
      <c r="Y1" s="1734"/>
      <c r="Z1" s="1735"/>
    </row>
    <row r="2">
      <c r="A2" s="1736"/>
      <c r="B2" s="1737"/>
      <c r="C2" s="1737"/>
      <c r="D2" s="1737"/>
      <c r="E2" s="1737"/>
      <c r="F2" s="1737"/>
      <c r="G2" s="1737"/>
      <c r="H2" s="1737"/>
      <c r="I2" s="1737"/>
      <c r="J2" s="1737"/>
      <c r="K2" s="1737"/>
      <c r="L2" s="1737"/>
      <c r="M2" s="1737"/>
      <c r="N2" s="1737"/>
      <c r="O2" s="1737"/>
      <c r="P2" s="1737"/>
      <c r="Q2" s="1737"/>
      <c r="R2" s="1737"/>
      <c r="S2" s="1737"/>
      <c r="T2" s="1737"/>
      <c r="U2" s="1737"/>
      <c r="V2" s="1737"/>
      <c r="W2" s="1737"/>
      <c r="X2" s="1737"/>
      <c r="Y2" s="1737"/>
      <c r="Z2" s="1738"/>
    </row>
    <row r="3" spans="1:26">
      <c r="R3" s="1741" t="s">
        <v>101</v>
      </c>
      <c r="S3" s="1741"/>
      <c r="T3" s="1741"/>
      <c r="U3" s="1742">
        <f ca="1">TODAY()</f>
      </c>
      <c r="V3" s="1743"/>
      <c r="W3" s="1743"/>
      <c r="X3" s="1743"/>
      <c r="Y3" s="1743"/>
      <c r="Z3" s="1743"/>
    </row>
    <row r="4" spans="1:26">
      <c r="A4" s="22" t="s">
        <v>89</v>
      </c>
      <c r="B4" s="33" t="s">
        <v>90</v>
      </c>
      <c r="S4" s="1739"/>
      <c r="T4" s="1739"/>
      <c r="U4" s="1739"/>
      <c r="V4" s="1739"/>
      <c r="W4" s="1739"/>
      <c r="X4" s="1739"/>
      <c r="Y4" s="1739"/>
      <c r="Z4" s="1739"/>
    </row>
    <row r="5" spans="1:26">
      <c r="B5" s="34" t="s">
        <v>7</v>
      </c>
      <c r="C5" s="20" t="s">
        <v>91</v>
      </c>
      <c r="I5" s="37" t="s">
        <v>0</v>
      </c>
      <c r="J5" s="1744">
        <f>'Informasi Pokok'!D11</f>
      </c>
      <c r="K5" s="1745"/>
      <c r="L5" s="1745"/>
      <c r="M5" s="1745"/>
      <c r="N5" s="1745"/>
      <c r="O5" s="1745"/>
      <c r="P5" s="1745"/>
      <c r="Q5" s="1745"/>
      <c r="R5" s="1745"/>
      <c r="S5" s="1745"/>
      <c r="T5" s="1745"/>
      <c r="U5" s="1745"/>
      <c r="V5" s="1745"/>
      <c r="W5" s="1745"/>
      <c r="X5" s="1745"/>
      <c r="Y5" s="1745"/>
      <c r="Z5" s="1745"/>
    </row>
    <row r="6" spans="1:26">
      <c r="B6" s="34" t="s">
        <v>7</v>
      </c>
      <c r="C6" s="20" t="s">
        <v>92</v>
      </c>
      <c r="I6" s="37" t="s">
        <v>0</v>
      </c>
      <c r="J6" s="1744">
        <f>'Informasi Pokok'!D15</f>
      </c>
      <c r="K6" s="1745"/>
      <c r="L6" s="1745"/>
      <c r="M6" s="1745"/>
      <c r="N6" s="1745"/>
      <c r="O6" s="1745"/>
      <c r="P6" s="1745"/>
      <c r="Q6" s="1745"/>
      <c r="R6" s="1745"/>
      <c r="S6" s="1745"/>
      <c r="T6" s="1745"/>
      <c r="U6" s="1745"/>
      <c r="V6" s="1745"/>
      <c r="W6" s="1745"/>
      <c r="X6" s="1745"/>
      <c r="Y6" s="1745"/>
      <c r="Z6" s="1745"/>
    </row>
    <row r="7">
      <c r="B7" s="34" t="s">
        <v>7</v>
      </c>
      <c r="C7" s="20" t="s">
        <v>93</v>
      </c>
      <c r="I7" s="37" t="s">
        <v>0</v>
      </c>
      <c r="J7" s="1746"/>
      <c r="K7" s="1745"/>
      <c r="L7" s="1745"/>
      <c r="M7" s="1745"/>
      <c r="N7" s="1745"/>
      <c r="O7" s="1745"/>
      <c r="P7" s="1745"/>
      <c r="Q7" s="1745"/>
      <c r="R7" s="1745"/>
      <c r="S7" s="1745"/>
      <c r="T7" s="1745"/>
      <c r="U7" s="1745"/>
      <c r="V7" s="1745"/>
      <c r="W7" s="1745"/>
      <c r="X7" s="1745"/>
      <c r="Y7" s="1745"/>
      <c r="Z7" s="1745"/>
    </row>
    <row r="9" spans="1:26">
      <c r="A9" s="22" t="s">
        <v>94</v>
      </c>
      <c r="B9" s="33" t="s">
        <v>95</v>
      </c>
    </row>
    <row r="10" spans="1:26">
      <c r="B10" s="34" t="s">
        <v>7</v>
      </c>
      <c r="C10" s="35">
        <f>'Usulan Pembiayaan'!B15</f>
      </c>
      <c r="I10" s="37" t="s">
        <v>0</v>
      </c>
      <c r="J10" s="1740">
        <f>'Usulan Pembiayaan'!N15</f>
      </c>
      <c r="K10" s="1740"/>
      <c r="L10" s="1740"/>
      <c r="M10" s="1740"/>
      <c r="O10" s="34" t="s">
        <v>7</v>
      </c>
      <c r="P10" s="20" t="s">
        <v>96</v>
      </c>
      <c r="U10" s="37" t="s">
        <v>0</v>
      </c>
      <c r="V10" s="1751">
        <v>875</v>
      </c>
      <c r="W10" s="1740"/>
    </row>
    <row r="11" spans="1:26">
      <c r="B11" s="34" t="s">
        <v>7</v>
      </c>
      <c r="C11" s="35">
        <f>'Usulan Pembiayaan'!#REF!</f>
      </c>
      <c r="I11" s="37" t="s">
        <v>0</v>
      </c>
      <c r="J11" s="1740">
        <f>'Usulan Pembiayaan'!#REF!</f>
      </c>
      <c r="K11" s="1740"/>
      <c r="L11" s="1740"/>
      <c r="M11" s="1740"/>
      <c r="O11" s="34" t="s">
        <v>7</v>
      </c>
      <c r="P11" s="20" t="s">
        <v>97</v>
      </c>
      <c r="U11" s="37" t="s">
        <v>0</v>
      </c>
      <c r="V11" s="1740">
        <v>3</v>
      </c>
      <c r="W11" s="1740"/>
    </row>
    <row r="12" spans="1:26">
      <c r="B12" s="34" t="s">
        <v>7</v>
      </c>
      <c r="C12" s="35">
        <f>'Usulan Pembiayaan'!#REF!</f>
      </c>
      <c r="I12" s="37" t="s">
        <v>0</v>
      </c>
      <c r="J12" s="1749">
        <f>'Usulan Pembiayaan'!#REF!</f>
      </c>
      <c r="K12" s="1740"/>
      <c r="L12" s="1740"/>
      <c r="M12" s="1740"/>
      <c r="O12" s="34" t="s">
        <v>7</v>
      </c>
      <c r="P12" s="20" t="s">
        <v>98</v>
      </c>
      <c r="U12" s="37" t="s">
        <v>0</v>
      </c>
      <c r="V12" s="1740">
        <v>10</v>
      </c>
      <c r="W12" s="1740"/>
    </row>
    <row r="13" spans="1:26">
      <c r="B13" s="34" t="s">
        <v>7</v>
      </c>
      <c r="C13" s="36">
        <f>'Usulan Pembiayaan'!#REF!</f>
      </c>
      <c r="I13" s="37" t="s">
        <v>0</v>
      </c>
      <c r="J13" s="1740">
        <f>'Usulan Pembiayaan'!#REF!</f>
      </c>
      <c r="K13" s="1740"/>
      <c r="L13" s="1740"/>
      <c r="M13" s="1740"/>
      <c r="O13" s="34" t="s">
        <v>7</v>
      </c>
      <c r="P13" s="20" t="s">
        <v>99</v>
      </c>
      <c r="U13" s="37" t="s">
        <v>0</v>
      </c>
      <c r="V13" s="1740">
        <v>1007</v>
      </c>
      <c r="W13" s="1740"/>
    </row>
    <row r="14" spans="1:26">
      <c r="B14" s="34" t="s">
        <v>7</v>
      </c>
      <c r="C14" s="36">
        <f>'Usulan Pembiayaan'!#REF!</f>
      </c>
      <c r="I14" s="37" t="s">
        <v>0</v>
      </c>
      <c r="J14" s="1750">
        <f>'Usulan Pembiayaan'!#REF!</f>
      </c>
      <c r="K14" s="1740"/>
      <c r="L14" s="1740"/>
      <c r="M14" s="1740"/>
      <c r="O14" s="34" t="s">
        <v>7</v>
      </c>
      <c r="P14" s="20" t="s">
        <v>100</v>
      </c>
      <c r="U14" s="37" t="s">
        <v>0</v>
      </c>
      <c r="V14" s="1751" t="s">
        <v>121</v>
      </c>
      <c r="W14" s="1740"/>
    </row>
    <row r="15" spans="1:26">
      <c r="B15" s="34" t="s">
        <v>7</v>
      </c>
      <c r="C15" s="36">
        <f>'Usulan Pembiayaan'!#REF!</f>
      </c>
      <c r="I15" s="37" t="s">
        <v>0</v>
      </c>
      <c r="J15" s="1749">
        <f>'Usulan Pembiayaan'!#REF!</f>
      </c>
      <c r="K15" s="1740"/>
      <c r="L15" s="1740"/>
      <c r="M15" s="1740"/>
      <c r="O15" s="34"/>
    </row>
    <row r="17" spans="1:26">
      <c r="A17" s="22" t="s">
        <v>102</v>
      </c>
      <c r="B17" s="33" t="s">
        <v>103</v>
      </c>
    </row>
    <row r="18" spans="1:26">
      <c r="B18" s="26" t="s">
        <v>8</v>
      </c>
      <c r="C18" s="1747" t="s">
        <v>46</v>
      </c>
      <c r="D18" s="1747"/>
      <c r="E18" s="1747"/>
      <c r="F18" s="1747"/>
      <c r="G18" s="1747"/>
      <c r="H18" s="1747"/>
      <c r="I18" s="1747"/>
      <c r="J18" s="1747"/>
      <c r="K18" s="1747" t="s">
        <v>47</v>
      </c>
      <c r="L18" s="1747"/>
      <c r="M18" s="1747"/>
      <c r="N18" s="1747" t="s">
        <v>48</v>
      </c>
      <c r="O18" s="1747"/>
      <c r="P18" s="1747"/>
      <c r="Q18" s="1747"/>
      <c r="R18" s="25" t="s">
        <v>10</v>
      </c>
      <c r="S18" s="1747" t="s">
        <v>50</v>
      </c>
      <c r="T18" s="1747"/>
      <c r="U18" s="1747"/>
      <c r="V18" s="1747"/>
      <c r="W18" s="1747" t="s">
        <v>49</v>
      </c>
      <c r="X18" s="1747"/>
      <c r="Y18" s="1747"/>
      <c r="Z18" s="1748"/>
    </row>
    <row r="19" ht="92.25" customHeight="1">
      <c r="B19" s="24">
        <v>1</v>
      </c>
      <c r="C19" s="1755"/>
      <c r="D19" s="1756"/>
      <c r="E19" s="1756"/>
      <c r="F19" s="1756"/>
      <c r="G19" s="1756"/>
      <c r="H19" s="1756"/>
      <c r="I19" s="1756"/>
      <c r="J19" s="1756"/>
      <c r="K19" s="1740">
        <f>'Aspek Non Keuangan'!#REF!</f>
      </c>
      <c r="L19" s="1740"/>
      <c r="M19" s="1740"/>
      <c r="N19" s="1749">
        <f>'Aspek Non Keuangan'!#REF!</f>
      </c>
      <c r="O19" s="1740"/>
      <c r="P19" s="1740"/>
      <c r="Q19" s="1740"/>
      <c r="R19" s="30">
        <v>0.8</v>
      </c>
      <c r="S19" s="1749">
        <f>'Aspek Non Keuangan'!#REF!</f>
      </c>
      <c r="T19" s="1740"/>
      <c r="U19" s="1740"/>
      <c r="V19" s="1740"/>
      <c r="W19" s="1749">
        <f>'Aspek Non Keuangan'!#REF!</f>
      </c>
      <c r="X19" s="1740"/>
      <c r="Y19" s="1740"/>
      <c r="Z19" s="1754"/>
    </row>
    <row r="20" ht="114.75" customHeight="1">
      <c r="B20" s="24">
        <v>2</v>
      </c>
      <c r="C20" s="1752"/>
      <c r="D20" s="1753"/>
      <c r="E20" s="1753"/>
      <c r="F20" s="1753"/>
      <c r="G20" s="1753"/>
      <c r="H20" s="1753"/>
      <c r="I20" s="1753"/>
      <c r="J20" s="1753"/>
      <c r="K20" s="1740">
        <f>'Aspek Non Keuangan'!#REF!</f>
      </c>
      <c r="L20" s="1740"/>
      <c r="M20" s="1740"/>
      <c r="N20" s="1749">
        <f>'Aspek Non Keuangan'!#REF!</f>
      </c>
      <c r="O20" s="1740"/>
      <c r="P20" s="1740"/>
      <c r="Q20" s="1740"/>
      <c r="R20" s="30">
        <v>0.6</v>
      </c>
      <c r="S20" s="1749">
        <f>'Aspek Non Keuangan'!#REF!</f>
      </c>
      <c r="T20" s="1740"/>
      <c r="U20" s="1740"/>
      <c r="V20" s="1740"/>
      <c r="W20" s="1749">
        <f>'Aspek Non Keuangan'!#REF!</f>
      </c>
      <c r="X20" s="1740"/>
      <c r="Y20" s="1740"/>
      <c r="Z20" s="1754"/>
    </row>
    <row r="21" ht="109.5" customHeight="1">
      <c r="B21" s="24">
        <v>3</v>
      </c>
      <c r="C21" s="1755"/>
      <c r="D21" s="1756"/>
      <c r="E21" s="1756"/>
      <c r="F21" s="1756"/>
      <c r="G21" s="1756"/>
      <c r="H21" s="1756"/>
      <c r="I21" s="1756"/>
      <c r="J21" s="1756"/>
      <c r="K21" s="1740">
        <f>'Aspek Non Keuangan'!#REF!</f>
      </c>
      <c r="L21" s="1740"/>
      <c r="M21" s="1740"/>
      <c r="N21" s="1749">
        <f>'Aspek Non Keuangan'!#REF!</f>
      </c>
      <c r="O21" s="1740"/>
      <c r="P21" s="1740"/>
      <c r="Q21" s="1740"/>
      <c r="R21" s="30">
        <v>0.6</v>
      </c>
      <c r="S21" s="1749">
        <f>'Aspek Non Keuangan'!#REF!</f>
      </c>
      <c r="T21" s="1740"/>
      <c r="U21" s="1740"/>
      <c r="V21" s="1740"/>
      <c r="W21" s="1749">
        <f>'Aspek Non Keuangan'!#REF!</f>
      </c>
      <c r="X21" s="1740"/>
      <c r="Y21" s="1740"/>
      <c r="Z21" s="1754"/>
    </row>
    <row r="22" spans="1:26">
      <c r="B22" s="1758" t="s">
        <v>5</v>
      </c>
      <c r="C22" s="1747"/>
      <c r="D22" s="1747"/>
      <c r="E22" s="1747"/>
      <c r="F22" s="1747"/>
      <c r="G22" s="1747"/>
      <c r="H22" s="1747"/>
      <c r="I22" s="1747"/>
      <c r="J22" s="1747"/>
      <c r="K22" s="1747"/>
      <c r="L22" s="1747"/>
      <c r="M22" s="1747"/>
      <c r="N22" s="1759">
        <f>SUM(N19:Q21)</f>
      </c>
      <c r="O22" s="1747"/>
      <c r="P22" s="1747"/>
      <c r="Q22" s="1747"/>
      <c r="R22" s="21"/>
      <c r="S22" s="1759">
        <f>SUM(S19:V21)</f>
      </c>
      <c r="T22" s="1747"/>
      <c r="U22" s="1747"/>
      <c r="V22" s="1747"/>
      <c r="W22" s="1759">
        <f>SUM(W19:Z21)</f>
      </c>
      <c r="X22" s="1747"/>
      <c r="Y22" s="1747"/>
      <c r="Z22" s="1748"/>
    </row>
    <row r="23" spans="1:26">
      <c r="B23" s="22" t="s">
        <v>38</v>
      </c>
    </row>
    <row r="24">
      <c r="B24" s="1757"/>
      <c r="C24" s="1757"/>
      <c r="D24" s="1757"/>
      <c r="E24" s="1757"/>
      <c r="F24" s="1757"/>
      <c r="G24" s="1757"/>
      <c r="H24" s="1757"/>
      <c r="I24" s="1757"/>
      <c r="J24" s="1757"/>
      <c r="K24" s="1757"/>
      <c r="L24" s="1757"/>
      <c r="M24" s="1757"/>
      <c r="N24" s="1757"/>
      <c r="O24" s="1757"/>
      <c r="P24" s="1757"/>
      <c r="Q24" s="1757"/>
      <c r="R24" s="1757"/>
      <c r="S24" s="1757"/>
      <c r="T24" s="1757"/>
      <c r="U24" s="1757"/>
      <c r="V24" s="1757"/>
      <c r="W24" s="1757"/>
      <c r="X24" s="1757"/>
      <c r="Y24" s="1757"/>
      <c r="Z24" s="1757"/>
    </row>
    <row r="25" spans="1:26">
      <c r="B25" s="1757"/>
      <c r="C25" s="1757"/>
      <c r="D25" s="1757"/>
      <c r="E25" s="1757"/>
      <c r="F25" s="1757"/>
      <c r="G25" s="1757"/>
      <c r="H25" s="1757"/>
      <c r="I25" s="1757"/>
      <c r="J25" s="1757"/>
      <c r="K25" s="1757"/>
      <c r="L25" s="1757"/>
      <c r="M25" s="1757"/>
      <c r="N25" s="1757"/>
      <c r="O25" s="1757"/>
      <c r="P25" s="1757"/>
      <c r="Q25" s="1757"/>
      <c r="R25" s="1757"/>
      <c r="S25" s="1757"/>
      <c r="T25" s="1757"/>
      <c r="U25" s="1757"/>
      <c r="V25" s="1757"/>
      <c r="W25" s="1757"/>
      <c r="X25" s="1757"/>
      <c r="Y25" s="1757"/>
      <c r="Z25" s="1757"/>
    </row>
    <row r="27" spans="1:26">
      <c r="A27" s="22" t="s">
        <v>105</v>
      </c>
      <c r="B27" s="33" t="s">
        <v>106</v>
      </c>
    </row>
    <row r="28" spans="1:26">
      <c r="B28" s="41" t="s">
        <v>7</v>
      </c>
      <c r="C28" s="20" t="s">
        <v>107</v>
      </c>
      <c r="L28" s="37" t="s">
        <v>0</v>
      </c>
      <c r="M28" t="s">
        <v>124</v>
      </c>
    </row>
    <row r="29" spans="1:26">
      <c r="B29" s="41" t="s">
        <v>7</v>
      </c>
      <c r="C29" s="20" t="s">
        <v>108</v>
      </c>
      <c r="L29" s="37" t="s">
        <v>0</v>
      </c>
      <c r="M29" t="s">
        <v>125</v>
      </c>
    </row>
    <row r="30" spans="1:26">
      <c r="B30" s="41" t="s">
        <v>7</v>
      </c>
      <c r="C30" t="s">
        <v>123</v>
      </c>
      <c r="L30" s="27" t="s">
        <v>0</v>
      </c>
      <c r="M30" t="s">
        <v>126</v>
      </c>
    </row>
    <row r="31" spans="1:26">
      <c r="B31" s="34"/>
    </row>
    <row r="32" spans="1:26">
      <c r="A32" s="20" t="s">
        <v>120</v>
      </c>
      <c r="B32" s="22"/>
      <c r="C32" s="22"/>
      <c r="D32" s="22"/>
      <c r="E32" s="22"/>
      <c r="F32" s="22"/>
      <c r="G32" s="22"/>
      <c r="H32" s="22"/>
      <c r="I32" s="22"/>
      <c r="J32" s="22"/>
      <c r="K32" s="22"/>
    </row>
    <row r="33" spans="1:30">
      <c r="A33" s="22"/>
      <c r="B33" s="22"/>
      <c r="C33" s="22"/>
      <c r="D33" s="22"/>
      <c r="E33" s="22"/>
      <c r="F33" s="22"/>
      <c r="G33" s="22"/>
      <c r="H33" s="22"/>
      <c r="I33" s="22"/>
      <c r="J33" s="22"/>
      <c r="K33" s="22"/>
    </row>
    <row r="34" spans="1:30">
      <c r="A34" s="1764" t="s">
        <v>114</v>
      </c>
      <c r="B34" s="1765"/>
      <c r="C34" s="1765"/>
      <c r="D34" s="1765"/>
      <c r="E34" s="1765"/>
      <c r="F34" s="1765"/>
      <c r="G34" s="1765"/>
      <c r="H34" s="1765"/>
      <c r="I34" s="1765"/>
      <c r="J34" s="1765"/>
      <c r="K34" s="1766"/>
      <c r="L34" s="1760"/>
      <c r="M34" s="1743"/>
      <c r="N34" s="1743"/>
      <c r="O34" s="1743"/>
      <c r="P34" s="1743"/>
      <c r="Q34" s="1743"/>
      <c r="R34" s="1743"/>
      <c r="S34" s="1743"/>
      <c r="T34" s="1743"/>
      <c r="U34" s="1743"/>
      <c r="V34" s="1743"/>
      <c r="W34" s="1743"/>
      <c r="X34" s="1743"/>
      <c r="Y34" s="1743"/>
      <c r="Z34" s="1761"/>
    </row>
    <row r="35" spans="1:30">
      <c r="A35" s="1767" t="s">
        <v>115</v>
      </c>
      <c r="B35" s="1768"/>
      <c r="C35" s="1768"/>
      <c r="D35" s="1768"/>
      <c r="E35" s="1768"/>
      <c r="F35" s="1768"/>
      <c r="G35" s="1768"/>
      <c r="H35" s="1768"/>
      <c r="I35" s="1768"/>
      <c r="J35" s="1768"/>
      <c r="K35" s="1769"/>
      <c r="L35" s="1762"/>
      <c r="M35" s="1739"/>
      <c r="N35" s="1739"/>
      <c r="O35" s="1739"/>
      <c r="P35" s="1739"/>
      <c r="Q35" s="1739"/>
      <c r="R35" s="1739"/>
      <c r="S35" s="1739"/>
      <c r="T35" s="1739"/>
      <c r="U35" s="1739"/>
      <c r="V35" s="1739"/>
      <c r="W35" s="1739"/>
      <c r="X35" s="1739"/>
      <c r="Y35" s="1739"/>
      <c r="Z35" s="1763"/>
    </row>
    <row r="36" spans="1:30">
      <c r="A36" s="39"/>
      <c r="B36" s="22"/>
      <c r="C36" s="22"/>
      <c r="D36" s="22"/>
      <c r="E36" s="22"/>
      <c r="F36" s="22"/>
      <c r="G36" s="22"/>
      <c r="H36" s="22"/>
      <c r="I36" s="22"/>
      <c r="J36" s="22"/>
      <c r="K36" s="40"/>
      <c r="L36" s="1762"/>
      <c r="M36" s="1739"/>
      <c r="N36" s="1739"/>
      <c r="O36" s="1739"/>
      <c r="P36" s="1739"/>
      <c r="Q36" s="1739"/>
      <c r="R36" s="1739"/>
      <c r="S36" s="1739"/>
      <c r="T36" s="1739"/>
      <c r="U36" s="1739"/>
      <c r="V36" s="1739"/>
      <c r="W36" s="1739"/>
      <c r="X36" s="1739"/>
      <c r="Y36" s="1739"/>
      <c r="Z36" s="1763"/>
    </row>
    <row r="37" spans="1:30">
      <c r="A37" s="39"/>
      <c r="B37" s="22"/>
      <c r="C37" s="22"/>
      <c r="D37" s="22"/>
      <c r="E37" s="22"/>
      <c r="F37" s="22"/>
      <c r="G37" s="22"/>
      <c r="H37" s="22"/>
      <c r="I37" s="22"/>
      <c r="J37" s="22"/>
      <c r="K37" s="40"/>
      <c r="L37" s="1762"/>
      <c r="M37" s="1739"/>
      <c r="N37" s="1739"/>
      <c r="O37" s="1739"/>
      <c r="P37" s="1739"/>
      <c r="Q37" s="1739"/>
      <c r="R37" s="1739"/>
      <c r="S37" s="1739"/>
      <c r="T37" s="1739"/>
      <c r="U37" s="1739"/>
      <c r="V37" s="1739"/>
      <c r="W37" s="1739"/>
      <c r="X37" s="1739"/>
      <c r="Y37" s="1739"/>
      <c r="Z37" s="1763"/>
    </row>
    <row r="38" spans="1:30">
      <c r="A38" s="39"/>
      <c r="B38" s="22"/>
      <c r="C38" s="22"/>
      <c r="D38" s="22"/>
      <c r="E38" s="22"/>
      <c r="F38" s="22"/>
      <c r="G38" s="22"/>
      <c r="H38" s="22"/>
      <c r="I38" s="22"/>
      <c r="J38" s="22"/>
      <c r="K38" s="40"/>
      <c r="L38" s="1762"/>
      <c r="M38" s="1739"/>
      <c r="N38" s="1739"/>
      <c r="O38" s="1739"/>
      <c r="P38" s="1739"/>
      <c r="Q38" s="1739"/>
      <c r="R38" s="1739"/>
      <c r="S38" s="1739"/>
      <c r="T38" s="1739"/>
      <c r="U38" s="1739"/>
      <c r="V38" s="1739"/>
      <c r="W38" s="1739"/>
      <c r="X38" s="1739"/>
      <c r="Y38" s="1739"/>
      <c r="Z38" s="1763"/>
    </row>
    <row r="39">
      <c r="A39" s="1770"/>
      <c r="B39" s="1771"/>
      <c r="C39" s="1771"/>
      <c r="D39" s="1771"/>
      <c r="E39" s="1771"/>
      <c r="F39" s="1771"/>
      <c r="G39" s="1771"/>
      <c r="H39" s="1771"/>
      <c r="I39" s="1771"/>
      <c r="J39" s="1771"/>
      <c r="K39" s="1772"/>
      <c r="L39" s="38"/>
      <c r="M39" s="23"/>
      <c r="N39" s="23"/>
      <c r="O39" s="23"/>
      <c r="P39" s="23"/>
      <c r="Q39" s="23"/>
      <c r="R39" s="23"/>
      <c r="S39" s="23"/>
      <c r="T39" s="23"/>
      <c r="U39" s="23"/>
      <c r="V39" s="23"/>
      <c r="W39" s="23"/>
      <c r="X39" s="23"/>
      <c r="Y39" s="23"/>
      <c r="Z39" s="32"/>
      <c r="AC39">
        <v>3241250</v>
      </c>
    </row>
    <row r="40" spans="1:30">
      <c r="A40" s="1764" t="s">
        <v>114</v>
      </c>
      <c r="B40" s="1765"/>
      <c r="C40" s="1765"/>
      <c r="D40" s="1765"/>
      <c r="E40" s="1765"/>
      <c r="F40" s="1765"/>
      <c r="G40" s="1765"/>
      <c r="H40" s="1765"/>
      <c r="I40" s="1765"/>
      <c r="J40" s="1765"/>
      <c r="K40" s="1766"/>
      <c r="L40" s="1760"/>
      <c r="M40" s="1743"/>
      <c r="N40" s="1743"/>
      <c r="O40" s="1743"/>
      <c r="P40" s="1743"/>
      <c r="Q40" s="1743"/>
      <c r="R40" s="1743"/>
      <c r="S40" s="1743"/>
      <c r="T40" s="1743"/>
      <c r="U40" s="1743"/>
      <c r="V40" s="1743"/>
      <c r="W40" s="1743"/>
      <c r="X40" s="1743"/>
      <c r="Y40" s="1743"/>
      <c r="Z40" s="1761"/>
      <c r="AC40">
        <v>874500</v>
      </c>
    </row>
    <row r="41" spans="1:30">
      <c r="A41" s="1767" t="s">
        <v>116</v>
      </c>
      <c r="B41" s="1768"/>
      <c r="C41" s="1768"/>
      <c r="D41" s="1768"/>
      <c r="E41" s="1768"/>
      <c r="F41" s="1768"/>
      <c r="G41" s="1768"/>
      <c r="H41" s="1768"/>
      <c r="I41" s="1768"/>
      <c r="J41" s="1768"/>
      <c r="K41" s="1769"/>
      <c r="L41" s="1762"/>
      <c r="M41" s="1739"/>
      <c r="N41" s="1739"/>
      <c r="O41" s="1739"/>
      <c r="P41" s="1739"/>
      <c r="Q41" s="1739"/>
      <c r="R41" s="1739"/>
      <c r="S41" s="1739"/>
      <c r="T41" s="1739"/>
      <c r="U41" s="1739"/>
      <c r="V41" s="1739"/>
      <c r="W41" s="1739"/>
      <c r="X41" s="1739"/>
      <c r="Y41" s="1739"/>
      <c r="Z41" s="1763"/>
      <c r="AC41">
        <f>+AC39-AC40</f>
      </c>
    </row>
    <row r="42" spans="1:30">
      <c r="A42" s="39"/>
      <c r="B42" s="22"/>
      <c r="C42" s="22"/>
      <c r="D42" s="22"/>
      <c r="E42" s="22"/>
      <c r="F42" s="22"/>
      <c r="G42" s="22"/>
      <c r="H42" s="22"/>
      <c r="I42" s="22"/>
      <c r="J42" s="22"/>
      <c r="K42" s="40"/>
      <c r="L42" s="1762"/>
      <c r="M42" s="1739"/>
      <c r="N42" s="1739"/>
      <c r="O42" s="1739"/>
      <c r="P42" s="1739"/>
      <c r="Q42" s="1739"/>
      <c r="R42" s="1739"/>
      <c r="S42" s="1739"/>
      <c r="T42" s="1739"/>
      <c r="U42" s="1739"/>
      <c r="V42" s="1739"/>
      <c r="W42" s="1739"/>
      <c r="X42" s="1739"/>
      <c r="Y42" s="1739"/>
      <c r="Z42" s="1763"/>
      <c r="AC42">
        <v>955556</v>
      </c>
      <c r="AD42" s="42">
        <f>+AC41/AC42</f>
      </c>
    </row>
    <row r="43" spans="1:30">
      <c r="A43" s="39"/>
      <c r="B43" s="22"/>
      <c r="C43" s="22"/>
      <c r="D43" s="22"/>
      <c r="E43" s="22"/>
      <c r="F43" s="22"/>
      <c r="G43" s="22"/>
      <c r="H43" s="22"/>
      <c r="I43" s="22"/>
      <c r="J43" s="22"/>
      <c r="K43" s="40"/>
      <c r="L43" s="1762"/>
      <c r="M43" s="1739"/>
      <c r="N43" s="1739"/>
      <c r="O43" s="1739"/>
      <c r="P43" s="1739"/>
      <c r="Q43" s="1739"/>
      <c r="R43" s="1739"/>
      <c r="S43" s="1739"/>
      <c r="T43" s="1739"/>
      <c r="U43" s="1739"/>
      <c r="V43" s="1739"/>
      <c r="W43" s="1739"/>
      <c r="X43" s="1739"/>
      <c r="Y43" s="1739"/>
      <c r="Z43" s="1763"/>
      <c r="AC43">
        <f>+AC41-AC42</f>
      </c>
    </row>
    <row r="44" spans="1:30">
      <c r="A44" s="39"/>
      <c r="B44" s="22"/>
      <c r="C44" s="22"/>
      <c r="D44" s="22"/>
      <c r="E44" s="22"/>
      <c r="F44" s="22"/>
      <c r="G44" s="22"/>
      <c r="H44" s="22"/>
      <c r="I44" s="22"/>
      <c r="J44" s="22"/>
      <c r="K44" s="40"/>
      <c r="L44" s="1762"/>
      <c r="M44" s="1739"/>
      <c r="N44" s="1739"/>
      <c r="O44" s="1739"/>
      <c r="P44" s="1739"/>
      <c r="Q44" s="1739"/>
      <c r="R44" s="1739"/>
      <c r="S44" s="1739"/>
      <c r="T44" s="1739"/>
      <c r="U44" s="1739"/>
      <c r="V44" s="1739"/>
      <c r="W44" s="1739"/>
      <c r="X44" s="1739"/>
      <c r="Y44" s="1739"/>
      <c r="Z44" s="1763"/>
    </row>
    <row r="45">
      <c r="A45" s="1770"/>
      <c r="B45" s="1771"/>
      <c r="C45" s="1771"/>
      <c r="D45" s="1771"/>
      <c r="E45" s="1771"/>
      <c r="F45" s="1771"/>
      <c r="G45" s="1771"/>
      <c r="H45" s="1771"/>
      <c r="I45" s="1771"/>
      <c r="J45" s="1771"/>
      <c r="K45" s="1772"/>
      <c r="L45" s="38"/>
      <c r="M45" s="23"/>
      <c r="N45" s="23"/>
      <c r="O45" s="23"/>
      <c r="P45" s="23"/>
      <c r="Q45" s="23"/>
      <c r="R45" s="23"/>
      <c r="S45" s="23"/>
      <c r="T45" s="23"/>
      <c r="U45" s="23"/>
      <c r="V45" s="23"/>
      <c r="W45" s="23"/>
      <c r="X45" s="23"/>
      <c r="Y45" s="23"/>
      <c r="Z45" s="32"/>
    </row>
    <row r="46" spans="1:30">
      <c r="A46" s="1764" t="s">
        <v>122</v>
      </c>
      <c r="B46" s="1765"/>
      <c r="C46" s="1765"/>
      <c r="D46" s="1765"/>
      <c r="E46" s="1765"/>
      <c r="F46" s="1765"/>
      <c r="G46" s="1765"/>
      <c r="H46" s="1765"/>
      <c r="I46" s="1765"/>
      <c r="J46" s="1765"/>
      <c r="K46" s="1766"/>
      <c r="L46" s="1760"/>
      <c r="M46" s="1743"/>
      <c r="N46" s="1743"/>
      <c r="O46" s="1743"/>
      <c r="P46" s="1743"/>
      <c r="Q46" s="1743"/>
      <c r="R46" s="1743"/>
      <c r="S46" s="1743"/>
      <c r="T46" s="1743"/>
      <c r="U46" s="1743"/>
      <c r="V46" s="1743"/>
      <c r="W46" s="1743"/>
      <c r="X46" s="1743"/>
      <c r="Y46" s="1743"/>
      <c r="Z46" s="1761"/>
    </row>
    <row r="47" spans="1:30">
      <c r="A47" s="1767" t="s">
        <v>118</v>
      </c>
      <c r="B47" s="1768"/>
      <c r="C47" s="1768"/>
      <c r="D47" s="1768"/>
      <c r="E47" s="1768"/>
      <c r="F47" s="1768"/>
      <c r="G47" s="1768"/>
      <c r="H47" s="1768"/>
      <c r="I47" s="1768"/>
      <c r="J47" s="1768"/>
      <c r="K47" s="1769"/>
      <c r="L47" s="1762"/>
      <c r="M47" s="1739"/>
      <c r="N47" s="1739"/>
      <c r="O47" s="1739"/>
      <c r="P47" s="1739"/>
      <c r="Q47" s="1739"/>
      <c r="R47" s="1739"/>
      <c r="S47" s="1739"/>
      <c r="T47" s="1739"/>
      <c r="U47" s="1739"/>
      <c r="V47" s="1739"/>
      <c r="W47" s="1739"/>
      <c r="X47" s="1739"/>
      <c r="Y47" s="1739"/>
      <c r="Z47" s="1763"/>
    </row>
    <row r="48" spans="1:30">
      <c r="A48" s="39"/>
      <c r="B48" s="22"/>
      <c r="C48" s="22"/>
      <c r="D48" s="22"/>
      <c r="E48" s="22"/>
      <c r="F48" s="22"/>
      <c r="G48" s="22"/>
      <c r="H48" s="22"/>
      <c r="I48" s="22"/>
      <c r="J48" s="22"/>
      <c r="K48" s="40"/>
      <c r="L48" s="1762"/>
      <c r="M48" s="1739"/>
      <c r="N48" s="1739"/>
      <c r="O48" s="1739"/>
      <c r="P48" s="1739"/>
      <c r="Q48" s="1739"/>
      <c r="R48" s="1739"/>
      <c r="S48" s="1739"/>
      <c r="T48" s="1739"/>
      <c r="U48" s="1739"/>
      <c r="V48" s="1739"/>
      <c r="W48" s="1739"/>
      <c r="X48" s="1739"/>
      <c r="Y48" s="1739"/>
      <c r="Z48" s="1763"/>
    </row>
    <row r="49" spans="1:26">
      <c r="A49" s="39"/>
      <c r="B49" s="22"/>
      <c r="C49" s="22"/>
      <c r="D49" s="22"/>
      <c r="E49" s="22"/>
      <c r="F49" s="22"/>
      <c r="G49" s="22"/>
      <c r="H49" s="22"/>
      <c r="I49" s="22"/>
      <c r="J49" s="22"/>
      <c r="K49" s="40"/>
      <c r="L49" s="1762"/>
      <c r="M49" s="1739"/>
      <c r="N49" s="1739"/>
      <c r="O49" s="1739"/>
      <c r="P49" s="1739"/>
      <c r="Q49" s="1739"/>
      <c r="R49" s="1739"/>
      <c r="S49" s="1739"/>
      <c r="T49" s="1739"/>
      <c r="U49" s="1739"/>
      <c r="V49" s="1739"/>
      <c r="W49" s="1739"/>
      <c r="X49" s="1739"/>
      <c r="Y49" s="1739"/>
      <c r="Z49" s="1763"/>
    </row>
    <row r="50" spans="1:26">
      <c r="A50" s="39"/>
      <c r="B50" s="22"/>
      <c r="C50" s="22"/>
      <c r="D50" s="22"/>
      <c r="E50" s="22"/>
      <c r="F50" s="22"/>
      <c r="G50" s="22"/>
      <c r="H50" s="22"/>
      <c r="I50" s="22"/>
      <c r="J50" s="22"/>
      <c r="K50" s="40"/>
      <c r="L50" s="1762"/>
      <c r="M50" s="1739"/>
      <c r="N50" s="1739"/>
      <c r="O50" s="1739"/>
      <c r="P50" s="1739"/>
      <c r="Q50" s="1739"/>
      <c r="R50" s="1739"/>
      <c r="S50" s="1739"/>
      <c r="T50" s="1739"/>
      <c r="U50" s="1739"/>
      <c r="V50" s="1739"/>
      <c r="W50" s="1739"/>
      <c r="X50" s="1739"/>
      <c r="Y50" s="1739"/>
      <c r="Z50" s="1763"/>
    </row>
    <row r="51">
      <c r="A51" s="1770"/>
      <c r="B51" s="1771"/>
      <c r="C51" s="1771"/>
      <c r="D51" s="1771"/>
      <c r="E51" s="1771"/>
      <c r="F51" s="1771"/>
      <c r="G51" s="1771"/>
      <c r="H51" s="1771"/>
      <c r="I51" s="1771"/>
      <c r="J51" s="1771"/>
      <c r="K51" s="1772"/>
      <c r="L51" s="38"/>
      <c r="M51" s="23"/>
      <c r="N51" s="23"/>
      <c r="O51" s="23"/>
      <c r="P51" s="23"/>
      <c r="Q51" s="23"/>
      <c r="R51" s="23"/>
      <c r="S51" s="23"/>
      <c r="T51" s="23"/>
      <c r="U51" s="23"/>
      <c r="V51" s="23"/>
      <c r="W51" s="23"/>
      <c r="X51" s="23"/>
      <c r="Y51" s="23"/>
      <c r="Z51" s="32"/>
    </row>
  </sheetData>
  <mergeCells count="56">
    <mergeCell ref="A45:K45"/>
    <mergeCell ref="A46:K46"/>
    <mergeCell ref="L46:Z50"/>
    <mergeCell ref="A47:K47"/>
    <mergeCell ref="A51:K51"/>
    <mergeCell ref="L34:Z38"/>
    <mergeCell ref="A34:K34"/>
    <mergeCell ref="A35:K35"/>
    <mergeCell ref="A39:K39"/>
    <mergeCell ref="A40:K40"/>
    <mergeCell ref="L40:Z44"/>
    <mergeCell ref="A41:K41"/>
    <mergeCell ref="B24:Z25"/>
    <mergeCell ref="C21:J21"/>
    <mergeCell ref="K21:M21"/>
    <mergeCell ref="N21:Q21"/>
    <mergeCell ref="S21:V21"/>
    <mergeCell ref="W21:Z21"/>
    <mergeCell ref="B22:M22"/>
    <mergeCell ref="N22:Q22"/>
    <mergeCell ref="S22:V22"/>
    <mergeCell ref="W22:Z22"/>
    <mergeCell ref="C19:J19"/>
    <mergeCell ref="K19:M19"/>
    <mergeCell ref="N19:Q19"/>
    <mergeCell ref="S19:V19"/>
    <mergeCell ref="W19:Z19"/>
    <mergeCell ref="C20:J20"/>
    <mergeCell ref="K20:M20"/>
    <mergeCell ref="N20:Q20"/>
    <mergeCell ref="S20:V20"/>
    <mergeCell ref="W20:Z20"/>
    <mergeCell ref="J12:M12"/>
    <mergeCell ref="J13:M13"/>
    <mergeCell ref="J14:M14"/>
    <mergeCell ref="J15:M15"/>
    <mergeCell ref="V10:W10"/>
    <mergeCell ref="V11:W11"/>
    <mergeCell ref="V12:W12"/>
    <mergeCell ref="V13:W13"/>
    <mergeCell ref="V14:W14"/>
    <mergeCell ref="C18:J18"/>
    <mergeCell ref="K18:M18"/>
    <mergeCell ref="N18:Q18"/>
    <mergeCell ref="S18:V18"/>
    <mergeCell ref="W18:Z18"/>
    <mergeCell ref="A1:Z1"/>
    <mergeCell ref="A2:Z2"/>
    <mergeCell ref="S4:Z4"/>
    <mergeCell ref="J10:M10"/>
    <mergeCell ref="J11:M11"/>
    <mergeCell ref="R3:T3"/>
    <mergeCell ref="U3:Z3"/>
    <mergeCell ref="J6:Z6"/>
    <mergeCell ref="J5:Z5"/>
    <mergeCell ref="J7:Z7"/>
  </mergeCells>
  <pageMargins left="0.70866141732283472" right="0.70866141732283472" top="0.74803149606299213" bottom="0.74803149606299213" header="0.31496062992125984" footer="0.31496062992125984"/>
  <pageSetup paperSize="5" scale="85"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AF85"/>
  <sheetViews>
    <sheetView tabSelected="1" topLeftCell="A64" zoomScale="120" zoomScaleNormal="120" workbookViewId="0">
      <selection activeCell="C77" sqref="C77:Y77"/>
    </sheetView>
  </sheetViews>
  <sheetFormatPr defaultRowHeight="15"/>
  <cols>
    <col min="1" max="1" width="3.42578125" style="118" customWidth="1"/>
    <col min="2" max="2" width="3.42578125" style="192" customWidth="1"/>
    <col min="3" max="8" width="3.42578125" style="118" customWidth="1"/>
    <col min="9" max="9" width="16.140625" style="118" customWidth="1"/>
    <col min="10" max="10" width="2.42578125" style="118" customWidth="1"/>
    <col min="11" max="12" width="3.42578125" style="118" customWidth="1"/>
    <col min="13" max="13" width="2.7109375" style="118" customWidth="1"/>
    <col min="14" max="15" width="3.42578125" style="118" customWidth="1"/>
    <col min="16" max="16" width="3.140625" style="118" customWidth="1"/>
    <col min="17" max="17" width="14.28515625" style="118" customWidth="1"/>
    <col min="18" max="20" width="2.42578125" style="118" customWidth="1"/>
    <col min="21" max="21" width="2.28515625" style="118" customWidth="1"/>
    <col min="22" max="22" width="3.85546875" style="118" customWidth="1"/>
    <col min="23" max="23" width="1.42578125" style="118" customWidth="1"/>
    <col min="24" max="24" width="3.85546875" style="118" customWidth="1"/>
    <col min="25" max="25" width="1.7109375" style="118" customWidth="1"/>
    <col min="26" max="26" width="9.140625" style="118"/>
    <col min="27" max="28" width="10.7109375" style="118" hidden="1" customWidth="1"/>
    <col min="29" max="29" width="0" style="118" hidden="1" customWidth="1"/>
    <col min="30" max="30" width="10.7109375" style="118" hidden="1" customWidth="1"/>
    <col min="31" max="16384" width="9.140625" style="118"/>
  </cols>
  <sheetData>
    <row r="1" spans="1:32" s="294" customFormat="1" ht="2.25" customHeight="1">
      <c r="A1" s="1799"/>
      <c r="B1" s="1800"/>
      <c r="C1" s="1800"/>
      <c r="D1" s="1800"/>
      <c r="E1" s="1800"/>
      <c r="F1" s="1800"/>
      <c r="G1" s="1800"/>
      <c r="H1" s="1800"/>
      <c r="I1" s="1800"/>
      <c r="J1" s="1800"/>
      <c r="K1" s="1800"/>
      <c r="L1" s="1800"/>
      <c r="M1" s="1800"/>
      <c r="N1" s="1800"/>
      <c r="O1" s="1800"/>
      <c r="P1" s="1800"/>
      <c r="Q1" s="1800"/>
      <c r="R1" s="1800"/>
      <c r="S1" s="1800"/>
      <c r="T1" s="1800"/>
      <c r="U1" s="1800"/>
      <c r="V1" s="1800"/>
      <c r="W1" s="1800"/>
      <c r="X1" s="1800"/>
      <c r="Y1" s="1801"/>
    </row>
    <row r="2" spans="1:32" s="294" customFormat="1" ht="3.75" customHeight="1">
      <c r="A2" s="1814" t="s">
        <v>511</v>
      </c>
      <c r="B2" s="1815"/>
      <c r="C2" s="1815"/>
      <c r="D2" s="1815"/>
      <c r="E2" s="1815"/>
      <c r="F2" s="1815"/>
      <c r="G2" s="1815"/>
      <c r="H2" s="1815"/>
      <c r="I2" s="1815"/>
      <c r="J2" s="1815"/>
      <c r="K2" s="1815"/>
      <c r="L2" s="1815"/>
      <c r="M2" s="1815"/>
      <c r="N2" s="1815"/>
      <c r="O2" s="1815"/>
      <c r="P2" s="1815"/>
      <c r="Q2" s="1815"/>
      <c r="R2" s="1815"/>
      <c r="S2" s="1815"/>
      <c r="T2" s="1815"/>
      <c r="U2" s="1815"/>
      <c r="V2" s="1815"/>
      <c r="W2" s="1815"/>
      <c r="X2" s="1815"/>
      <c r="Y2" s="1816"/>
    </row>
    <row r="3" spans="1:32" s="294" customFormat="1" ht="2.25" customHeight="1">
      <c r="A3" s="1814"/>
      <c r="B3" s="1815"/>
      <c r="C3" s="1815"/>
      <c r="D3" s="1815"/>
      <c r="E3" s="1815"/>
      <c r="F3" s="1815"/>
      <c r="G3" s="1815"/>
      <c r="H3" s="1815"/>
      <c r="I3" s="1815"/>
      <c r="J3" s="1815"/>
      <c r="K3" s="1815"/>
      <c r="L3" s="1815"/>
      <c r="M3" s="1815"/>
      <c r="N3" s="1815"/>
      <c r="O3" s="1815"/>
      <c r="P3" s="1815"/>
      <c r="Q3" s="1815"/>
      <c r="R3" s="1815"/>
      <c r="S3" s="1815"/>
      <c r="T3" s="1815"/>
      <c r="U3" s="1815"/>
      <c r="V3" s="1815"/>
      <c r="W3" s="1815"/>
      <c r="X3" s="1815"/>
      <c r="Y3" s="1816"/>
    </row>
    <row r="4" spans="1:32" s="294" customFormat="1" ht="13.5" customHeight="1">
      <c r="A4" s="1814"/>
      <c r="B4" s="1815"/>
      <c r="C4" s="1815"/>
      <c r="D4" s="1815"/>
      <c r="E4" s="1815"/>
      <c r="F4" s="1815"/>
      <c r="G4" s="1815"/>
      <c r="H4" s="1815"/>
      <c r="I4" s="1815"/>
      <c r="J4" s="1815"/>
      <c r="K4" s="1815"/>
      <c r="L4" s="1815"/>
      <c r="M4" s="1815"/>
      <c r="N4" s="1815"/>
      <c r="O4" s="1815"/>
      <c r="P4" s="1815"/>
      <c r="Q4" s="1815"/>
      <c r="R4" s="1815"/>
      <c r="S4" s="1815"/>
      <c r="T4" s="1815"/>
      <c r="U4" s="1815"/>
      <c r="V4" s="1815"/>
      <c r="W4" s="1815"/>
      <c r="X4" s="1815"/>
      <c r="Y4" s="1816"/>
    </row>
    <row r="5" spans="1:32" s="294" customFormat="1" ht="3" customHeight="1">
      <c r="A5" s="594"/>
      <c r="B5" s="595"/>
      <c r="C5" s="595"/>
      <c r="D5" s="595"/>
      <c r="E5" s="595"/>
      <c r="F5" s="595"/>
      <c r="G5" s="595"/>
      <c r="H5" s="595"/>
      <c r="I5" s="595"/>
      <c r="J5" s="595"/>
      <c r="K5" s="595"/>
      <c r="L5" s="595"/>
      <c r="M5" s="595"/>
      <c r="N5" s="595"/>
      <c r="O5" s="595"/>
      <c r="P5" s="595"/>
      <c r="Q5" s="595"/>
      <c r="R5" s="595"/>
      <c r="S5" s="595"/>
      <c r="T5" s="595"/>
      <c r="U5" s="595"/>
      <c r="V5" s="595"/>
      <c r="W5" s="595"/>
      <c r="X5" s="595"/>
      <c r="Y5" s="596"/>
    </row>
    <row r="6" spans="1:32" s="294" customFormat="1" ht="18.75">
      <c r="A6" s="1809" t="s">
        <v>83</v>
      </c>
      <c r="B6" s="1810"/>
      <c r="C6" s="1810"/>
      <c r="D6" s="1810"/>
      <c r="E6" s="1810"/>
      <c r="F6" s="1810"/>
      <c r="G6" s="1810"/>
      <c r="H6" s="1810"/>
      <c r="I6" s="1810"/>
      <c r="J6" s="1810"/>
      <c r="K6" s="1810"/>
      <c r="L6" s="1810"/>
      <c r="M6" s="1810"/>
      <c r="N6" s="1810"/>
      <c r="O6" s="1810"/>
      <c r="P6" s="1810"/>
      <c r="Q6" s="1810"/>
      <c r="R6" s="1810"/>
      <c r="S6" s="1810"/>
      <c r="T6" s="1810"/>
      <c r="U6" s="1810"/>
      <c r="V6" s="1810"/>
      <c r="W6" s="1810"/>
      <c r="X6" s="1810"/>
      <c r="Y6" s="1811"/>
    </row>
    <row r="7" spans="1:32" s="294" customFormat="1" ht="2.25" customHeight="1">
      <c r="A7" s="1802"/>
      <c r="B7" s="1803"/>
      <c r="C7" s="1803"/>
      <c r="D7" s="1803"/>
      <c r="E7" s="1803"/>
      <c r="F7" s="1803"/>
      <c r="G7" s="1803"/>
      <c r="H7" s="1803"/>
      <c r="I7" s="1803"/>
      <c r="J7" s="1803"/>
      <c r="K7" s="1803"/>
      <c r="L7" s="1803"/>
      <c r="M7" s="1803"/>
      <c r="N7" s="1803"/>
      <c r="O7" s="1803"/>
      <c r="P7" s="1803"/>
      <c r="Q7" s="1803"/>
      <c r="R7" s="1803"/>
      <c r="S7" s="1803"/>
      <c r="T7" s="1803"/>
      <c r="U7" s="1803"/>
      <c r="V7" s="1803"/>
      <c r="W7" s="1803"/>
      <c r="X7" s="1803"/>
      <c r="Y7" s="1804"/>
    </row>
    <row r="8" spans="1:32" s="294" customFormat="1" ht="15.75">
      <c r="A8" s="597">
        <v>1</v>
      </c>
      <c r="B8" s="598" t="s">
        <v>568</v>
      </c>
      <c r="C8" s="599"/>
      <c r="D8" s="599"/>
      <c r="E8" s="599"/>
      <c r="F8" s="599"/>
      <c r="G8" s="599"/>
      <c r="H8" s="599"/>
      <c r="I8" s="599"/>
      <c r="J8" s="599"/>
      <c r="K8" s="599"/>
      <c r="L8" s="600" t="s">
        <v>0</v>
      </c>
      <c r="M8" s="446"/>
      <c r="N8" s="1813">
        <f>"               "&amp;'Informasi Pokok'!D3</f>
        <v xml:space="preserve">               021/Reg/BS-AR/V/2025</v>
      </c>
      <c r="O8" s="1599"/>
      <c r="P8" s="1599"/>
      <c r="Q8" s="1599"/>
      <c r="R8" s="1599"/>
      <c r="S8" s="1599"/>
      <c r="T8" s="1599"/>
      <c r="U8" s="1599"/>
      <c r="V8" s="1599"/>
      <c r="W8" s="1599"/>
      <c r="X8" s="440"/>
      <c r="Y8" s="438"/>
    </row>
    <row r="9" spans="1:32" s="294" customFormat="1" ht="15.75">
      <c r="A9" s="601">
        <v>2</v>
      </c>
      <c r="B9" s="602" t="s">
        <v>564</v>
      </c>
      <c r="C9" s="603"/>
      <c r="D9" s="603"/>
      <c r="E9" s="603"/>
      <c r="F9" s="603"/>
      <c r="G9" s="603"/>
      <c r="H9" s="603"/>
      <c r="I9" s="603"/>
      <c r="J9" s="603"/>
      <c r="K9" s="603"/>
      <c r="L9" s="604" t="s">
        <v>0</v>
      </c>
      <c r="M9" s="605"/>
      <c r="N9" s="1805">
        <f>'Informasi Pokok'!D2</f>
      </c>
      <c r="O9" s="1812"/>
      <c r="P9" s="1812"/>
      <c r="Q9" s="1812"/>
      <c r="R9" s="1812"/>
      <c r="S9" s="1812"/>
      <c r="T9" s="1812"/>
      <c r="U9" s="1812"/>
      <c r="V9" s="1812"/>
      <c r="W9" s="1812"/>
      <c r="X9" s="440"/>
      <c r="Y9" s="438"/>
    </row>
    <row r="10" spans="1:32" s="294" customFormat="1" ht="15.75">
      <c r="A10" s="601">
        <v>3</v>
      </c>
      <c r="B10" s="606" t="s">
        <v>565</v>
      </c>
      <c r="C10" s="607"/>
      <c r="D10" s="607"/>
      <c r="E10" s="607"/>
      <c r="F10" s="607"/>
      <c r="G10" s="607"/>
      <c r="H10" s="607"/>
      <c r="I10" s="607"/>
      <c r="J10" s="607"/>
      <c r="K10" s="607"/>
      <c r="L10" s="604" t="s">
        <v>0</v>
      </c>
      <c r="M10" s="608"/>
      <c r="N10" s="1805">
        <f>'Informasi Pokok'!D5</f>
      </c>
      <c r="O10" s="1805"/>
      <c r="P10" s="1805"/>
      <c r="Q10" s="1805"/>
      <c r="R10" s="1805"/>
      <c r="S10" s="1805"/>
      <c r="T10" s="1805"/>
      <c r="U10" s="1805"/>
      <c r="V10" s="1805"/>
      <c r="W10" s="1805"/>
      <c r="X10" s="184"/>
      <c r="Y10" s="193"/>
    </row>
    <row r="11" spans="1:32" s="294" customFormat="1" ht="15.75" customHeight="1">
      <c r="A11" s="601">
        <v>4</v>
      </c>
      <c r="B11" s="606" t="s">
        <v>82</v>
      </c>
      <c r="C11" s="607"/>
      <c r="D11" s="607"/>
      <c r="E11" s="607"/>
      <c r="F11" s="607"/>
      <c r="G11" s="607"/>
      <c r="H11" s="607"/>
      <c r="I11" s="607"/>
      <c r="J11" s="607"/>
      <c r="K11" s="607"/>
      <c r="L11" s="604" t="s">
        <v>0</v>
      </c>
      <c r="M11" s="608"/>
      <c r="N11" s="1805">
        <f>'Informasi Pokok'!D11</f>
      </c>
      <c r="O11" s="1805"/>
      <c r="P11" s="1805"/>
      <c r="Q11" s="1805"/>
      <c r="R11" s="1805"/>
      <c r="S11" s="1805"/>
      <c r="T11" s="1805"/>
      <c r="U11" s="1805"/>
      <c r="V11" s="1805"/>
      <c r="W11" s="1805"/>
      <c r="X11" s="184"/>
      <c r="Y11" s="193"/>
    </row>
    <row r="12" spans="1:32" s="294" customFormat="1" ht="15.75">
      <c r="A12" s="601">
        <v>5</v>
      </c>
      <c r="B12" s="606" t="s">
        <v>529</v>
      </c>
      <c r="C12" s="607"/>
      <c r="D12" s="607"/>
      <c r="E12" s="607"/>
      <c r="F12" s="607"/>
      <c r="G12" s="607"/>
      <c r="H12" s="607"/>
      <c r="I12" s="607"/>
      <c r="J12" s="607"/>
      <c r="K12" s="607"/>
      <c r="L12" s="604" t="s">
        <v>0</v>
      </c>
      <c r="M12" s="608"/>
      <c r="N12" s="1808">
        <f>'Informasi Pokok'!D58</f>
      </c>
      <c r="O12" s="1808"/>
      <c r="P12" s="1808"/>
      <c r="Q12" s="1808"/>
      <c r="R12" s="1808"/>
      <c r="S12" s="1808"/>
      <c r="T12" s="1808"/>
      <c r="U12" s="1808"/>
      <c r="V12" s="1808"/>
      <c r="W12" s="1808"/>
      <c r="X12" s="184"/>
      <c r="Y12" s="193"/>
    </row>
    <row r="13" spans="1:32" s="294" customFormat="1" ht="15.75">
      <c r="A13" s="601">
        <v>6</v>
      </c>
      <c r="B13" s="606" t="s">
        <v>98</v>
      </c>
      <c r="C13" s="607"/>
      <c r="D13" s="607"/>
      <c r="E13" s="607"/>
      <c r="F13" s="607"/>
      <c r="G13" s="607"/>
      <c r="H13" s="607"/>
      <c r="I13" s="607"/>
      <c r="J13" s="607"/>
      <c r="K13" s="607"/>
      <c r="L13" s="604" t="s">
        <v>0</v>
      </c>
      <c r="M13" s="609"/>
      <c r="N13" s="1806">
        <f>'Informasi Pokok'!D60</f>
      </c>
      <c r="O13" s="1806"/>
      <c r="P13" s="1806"/>
      <c r="Q13" s="1806"/>
      <c r="R13" s="184"/>
      <c r="S13" s="184"/>
      <c r="T13" s="184"/>
      <c r="U13" s="184"/>
      <c r="V13" s="184"/>
      <c r="W13" s="184"/>
      <c r="X13" s="184"/>
      <c r="Y13" s="193"/>
      <c r="AF13" s="610"/>
    </row>
    <row r="14" spans="1:32" s="294" customFormat="1" ht="15.75">
      <c r="A14" s="601">
        <v>7</v>
      </c>
      <c r="B14" s="606" t="s">
        <v>975</v>
      </c>
      <c r="C14" s="607"/>
      <c r="D14" s="607"/>
      <c r="E14" s="607"/>
      <c r="F14" s="607"/>
      <c r="G14" s="607"/>
      <c r="H14" s="607"/>
      <c r="I14" s="607"/>
      <c r="J14" s="607"/>
      <c r="K14" s="607"/>
      <c r="L14" s="604" t="s">
        <v>0</v>
      </c>
      <c r="M14" s="608"/>
      <c r="N14" s="1807">
        <f>'Informasi Pokok'!D55</f>
      </c>
      <c r="O14" s="1807"/>
      <c r="P14" s="1807"/>
      <c r="Q14" s="1807"/>
      <c r="R14" s="186"/>
      <c r="S14" s="184"/>
      <c r="T14" s="184"/>
      <c r="U14" s="184"/>
      <c r="V14" s="184"/>
      <c r="W14" s="184"/>
      <c r="X14" s="184"/>
      <c r="Y14" s="193"/>
    </row>
    <row r="15" spans="1:32" s="294" customFormat="1" ht="15.75">
      <c r="A15" s="601">
        <v>8</v>
      </c>
      <c r="B15" s="606" t="s">
        <v>2</v>
      </c>
      <c r="C15" s="607"/>
      <c r="D15" s="607"/>
      <c r="E15" s="607"/>
      <c r="F15" s="607"/>
      <c r="G15" s="607"/>
      <c r="H15" s="607"/>
      <c r="I15" s="607"/>
      <c r="J15" s="607"/>
      <c r="K15" s="607"/>
      <c r="L15" s="604" t="s">
        <v>0</v>
      </c>
      <c r="M15" s="608"/>
      <c r="N15" s="1817">
        <f>'Usulan Pembiayaan'!N19&amp;" Bulan"</f>
      </c>
      <c r="O15" s="1812"/>
      <c r="P15" s="1812"/>
      <c r="Q15" s="1812"/>
      <c r="R15" s="186"/>
      <c r="S15" s="184"/>
      <c r="T15" s="184"/>
      <c r="U15" s="184"/>
      <c r="V15" s="184"/>
      <c r="W15" s="184"/>
      <c r="X15" s="184"/>
      <c r="Y15" s="193"/>
    </row>
    <row r="16" spans="1:32" s="294" customFormat="1" ht="15.75">
      <c r="A16" s="601">
        <v>9</v>
      </c>
      <c r="B16" s="606" t="s">
        <v>547</v>
      </c>
      <c r="C16" s="607"/>
      <c r="D16" s="607"/>
      <c r="E16" s="607"/>
      <c r="F16" s="607"/>
      <c r="G16" s="607"/>
      <c r="H16" s="607"/>
      <c r="I16" s="607"/>
      <c r="J16" s="607"/>
      <c r="K16" s="607"/>
      <c r="L16" s="604" t="s">
        <v>0</v>
      </c>
      <c r="M16" s="609"/>
      <c r="N16" s="1818">
        <f>'Usulan Pembiayaan'!N18</f>
      </c>
      <c r="O16" s="1818"/>
      <c r="P16" s="1818"/>
      <c r="Q16" s="1818"/>
      <c r="R16" s="457">
        <f>'Usulan Pembiayaan'!R18</f>
      </c>
      <c r="S16" s="184"/>
      <c r="T16" s="184"/>
      <c r="U16" s="184"/>
      <c r="V16" s="184"/>
      <c r="W16" s="184"/>
      <c r="X16" s="184"/>
      <c r="Y16" s="193"/>
      <c r="Z16" s="611"/>
    </row>
    <row r="17" spans="1:31" s="294" customFormat="1" ht="15.75">
      <c r="A17" s="601">
        <v>10</v>
      </c>
      <c r="B17" s="606" t="s">
        <v>85</v>
      </c>
      <c r="C17" s="607"/>
      <c r="D17" s="607"/>
      <c r="E17" s="607"/>
      <c r="F17" s="607"/>
      <c r="G17" s="607"/>
      <c r="H17" s="607"/>
      <c r="I17" s="607"/>
      <c r="J17" s="607"/>
      <c r="K17" s="607"/>
      <c r="L17" s="604" t="s">
        <v>0</v>
      </c>
      <c r="M17" s="608"/>
      <c r="N17" s="1807">
        <f>'Usulan Pembiayaan'!N20</f>
      </c>
      <c r="O17" s="1807"/>
      <c r="P17" s="1807"/>
      <c r="Q17" s="1807"/>
      <c r="R17" s="184"/>
      <c r="S17" s="184"/>
      <c r="T17" s="184"/>
      <c r="U17" s="184"/>
      <c r="V17" s="184"/>
      <c r="W17" s="184"/>
      <c r="X17" s="184"/>
      <c r="Y17" s="193"/>
    </row>
    <row r="18" spans="1:31" s="294" customFormat="1" ht="6" customHeight="1">
      <c r="A18" s="1819"/>
      <c r="B18" s="1820"/>
      <c r="C18" s="1820"/>
      <c r="D18" s="1820"/>
      <c r="E18" s="1820"/>
      <c r="F18" s="1820"/>
      <c r="G18" s="1820"/>
      <c r="H18" s="1820"/>
      <c r="I18" s="1820"/>
      <c r="J18" s="1820"/>
      <c r="K18" s="1820"/>
      <c r="L18" s="1820"/>
      <c r="M18" s="1820"/>
      <c r="N18" s="1820"/>
      <c r="O18" s="1820"/>
      <c r="P18" s="1820"/>
      <c r="Q18" s="1820"/>
      <c r="R18" s="1820"/>
      <c r="S18" s="1820"/>
      <c r="T18" s="1820"/>
      <c r="U18" s="1820"/>
      <c r="V18" s="1820"/>
      <c r="W18" s="1820"/>
      <c r="X18" s="1820"/>
      <c r="Y18" s="1821"/>
    </row>
    <row r="19" spans="1:31" s="294" customFormat="1" ht="18.75">
      <c r="A19" s="1793" t="s">
        <v>647</v>
      </c>
      <c r="B19" s="1794"/>
      <c r="C19" s="1794"/>
      <c r="D19" s="1794"/>
      <c r="E19" s="1794"/>
      <c r="F19" s="1794"/>
      <c r="G19" s="1794"/>
      <c r="H19" s="1794"/>
      <c r="I19" s="1794"/>
      <c r="J19" s="1794"/>
      <c r="K19" s="1794"/>
      <c r="L19" s="1794"/>
      <c r="M19" s="1794"/>
      <c r="N19" s="1794"/>
      <c r="O19" s="1794"/>
      <c r="P19" s="1794"/>
      <c r="Q19" s="1794"/>
      <c r="R19" s="1794"/>
      <c r="S19" s="1794"/>
      <c r="T19" s="1794"/>
      <c r="U19" s="1794"/>
      <c r="V19" s="1794"/>
      <c r="W19" s="1794"/>
      <c r="X19" s="1794"/>
      <c r="Y19" s="1795"/>
    </row>
    <row r="20" spans="1:31" s="294" customFormat="1" ht="15.75">
      <c r="A20" s="744" t="s">
        <v>454</v>
      </c>
      <c r="B20" s="742" t="s">
        <v>497</v>
      </c>
      <c r="C20" s="743"/>
      <c r="D20" s="743"/>
      <c r="E20" s="743"/>
      <c r="F20" s="743"/>
      <c r="G20" s="743"/>
      <c r="H20" s="743"/>
      <c r="I20" s="743"/>
      <c r="J20" s="743"/>
      <c r="K20" s="743"/>
      <c r="L20" s="743"/>
      <c r="M20" s="743"/>
      <c r="N20" s="743"/>
      <c r="O20" s="743"/>
      <c r="P20" s="743"/>
      <c r="Q20" s="743"/>
      <c r="R20" s="743"/>
      <c r="S20" s="743"/>
      <c r="T20" s="743"/>
      <c r="U20" s="743"/>
      <c r="V20" s="743"/>
      <c r="W20" s="743"/>
      <c r="X20" s="743"/>
      <c r="Y20" s="745"/>
    </row>
    <row r="21" spans="1:31" s="294" customFormat="1" ht="15.75">
      <c r="A21" s="744"/>
      <c r="B21" s="1791" t="s">
        <v>914</v>
      </c>
      <c r="C21" s="1792"/>
      <c r="D21" s="1792"/>
      <c r="E21" s="1792"/>
      <c r="F21" s="1792"/>
      <c r="G21" s="1792"/>
      <c r="H21" s="1792"/>
      <c r="I21" s="1792"/>
      <c r="J21" s="1792"/>
      <c r="K21" s="1792"/>
      <c r="L21" s="1792"/>
      <c r="M21" s="1796">
        <f>'Informasi Pokok'!D10</f>
      </c>
      <c r="N21" s="1797"/>
      <c r="O21" s="1797"/>
      <c r="P21" s="1797"/>
      <c r="Q21" s="1797"/>
      <c r="R21" s="1797"/>
      <c r="S21" s="1797"/>
      <c r="T21" s="1797"/>
      <c r="U21" s="1797"/>
      <c r="V21" s="1797"/>
      <c r="W21" s="1797"/>
      <c r="X21" s="1797"/>
      <c r="Y21" s="1798"/>
    </row>
    <row r="22" spans="1:31" s="294" customFormat="1" ht="15.75">
      <c r="A22" s="744"/>
      <c r="B22" s="1791" t="s">
        <v>915</v>
      </c>
      <c r="C22" s="1792"/>
      <c r="D22" s="1792"/>
      <c r="E22" s="1792"/>
      <c r="F22" s="1792"/>
      <c r="G22" s="1792"/>
      <c r="H22" s="1792"/>
      <c r="I22" s="1792"/>
      <c r="J22" s="1792"/>
      <c r="K22" s="1792"/>
      <c r="L22" s="1792"/>
      <c r="M22" s="1796">
        <f>'Informasi Pokok'!D12</f>
      </c>
      <c r="N22" s="1797"/>
      <c r="O22" s="1797"/>
      <c r="P22" s="1797"/>
      <c r="Q22" s="1797"/>
      <c r="R22" s="1797"/>
      <c r="S22" s="1797"/>
      <c r="T22" s="1797"/>
      <c r="U22" s="1797"/>
      <c r="V22" s="1797"/>
      <c r="W22" s="1797"/>
      <c r="X22" s="1797"/>
      <c r="Y22" s="1798"/>
    </row>
    <row r="23" spans="1:31" s="294" customFormat="1">
      <c r="A23" s="613"/>
      <c r="B23" s="1791" t="s">
        <v>916</v>
      </c>
      <c r="C23" s="1792"/>
      <c r="D23" s="1792"/>
      <c r="E23" s="1792"/>
      <c r="F23" s="1792"/>
      <c r="G23" s="1792"/>
      <c r="H23" s="1792"/>
      <c r="I23" s="1792"/>
      <c r="J23" s="1792"/>
      <c r="K23" s="1792"/>
      <c r="L23" s="1792"/>
      <c r="M23" s="1796">
        <f>'Informasi Pokok'!I14</f>
      </c>
      <c r="N23" s="1797"/>
      <c r="O23" s="1797"/>
      <c r="P23" s="1797"/>
      <c r="Q23" s="1797"/>
      <c r="R23" s="1797"/>
      <c r="S23" s="1797"/>
      <c r="T23" s="1797"/>
      <c r="U23" s="1797"/>
      <c r="V23" s="1797"/>
      <c r="W23" s="1797"/>
      <c r="X23" s="1797"/>
      <c r="Y23" s="1798"/>
    </row>
    <row r="24" spans="1:31" s="294" customFormat="1">
      <c r="A24" s="613"/>
      <c r="B24" s="1791" t="s">
        <v>917</v>
      </c>
      <c r="C24" s="1792"/>
      <c r="D24" s="1792"/>
      <c r="E24" s="1792"/>
      <c r="F24" s="1792"/>
      <c r="G24" s="1792"/>
      <c r="H24" s="1792"/>
      <c r="I24" s="1792"/>
      <c r="J24" s="1792"/>
      <c r="K24" s="1792"/>
      <c r="L24" s="1792"/>
      <c r="M24" s="1796">
        <f>'Informasi Pokok'!D21</f>
      </c>
      <c r="N24" s="1797"/>
      <c r="O24" s="1797"/>
      <c r="P24" s="1797"/>
      <c r="Q24" s="1797"/>
      <c r="R24" s="1797"/>
      <c r="S24" s="1797"/>
      <c r="T24" s="1797"/>
      <c r="U24" s="1797"/>
      <c r="V24" s="1797"/>
      <c r="W24" s="1797"/>
      <c r="X24" s="1797"/>
      <c r="Y24" s="1798"/>
      <c r="AE24" s="614"/>
    </row>
    <row r="25" spans="1:31" s="294" customFormat="1">
      <c r="A25" s="613"/>
      <c r="B25" s="1791" t="s">
        <v>918</v>
      </c>
      <c r="C25" s="1792"/>
      <c r="D25" s="1792"/>
      <c r="E25" s="1792"/>
      <c r="F25" s="1792"/>
      <c r="G25" s="1792"/>
      <c r="H25" s="1792"/>
      <c r="I25" s="1792"/>
      <c r="J25" s="1792"/>
      <c r="K25" s="1792"/>
      <c r="L25" s="1792"/>
      <c r="M25" s="1796">
        <f>'Informasi Pokok'!D22</f>
      </c>
      <c r="N25" s="1797"/>
      <c r="O25" s="1797"/>
      <c r="P25" s="1797"/>
      <c r="Q25" s="1797"/>
      <c r="R25" s="1797"/>
      <c r="S25" s="1797"/>
      <c r="T25" s="1797"/>
      <c r="U25" s="1797"/>
      <c r="V25" s="1797"/>
      <c r="W25" s="1797"/>
      <c r="X25" s="1797"/>
      <c r="Y25" s="1798"/>
      <c r="AE25" s="614"/>
    </row>
    <row r="26" spans="1:31" s="294" customFormat="1">
      <c r="A26" s="613"/>
      <c r="B26" s="1791" t="s">
        <v>919</v>
      </c>
      <c r="C26" s="1792"/>
      <c r="D26" s="1792"/>
      <c r="E26" s="1792"/>
      <c r="F26" s="1792"/>
      <c r="G26" s="1792"/>
      <c r="H26" s="1792"/>
      <c r="I26" s="1792"/>
      <c r="J26" s="1792"/>
      <c r="K26" s="1792"/>
      <c r="L26" s="1792"/>
      <c r="M26" s="1796">
        <f>'Informasi Pokok'!D23</f>
      </c>
      <c r="N26" s="1797"/>
      <c r="O26" s="1797"/>
      <c r="P26" s="1797"/>
      <c r="Q26" s="1797"/>
      <c r="R26" s="1797"/>
      <c r="S26" s="1797"/>
      <c r="T26" s="1797"/>
      <c r="U26" s="1797"/>
      <c r="V26" s="1797"/>
      <c r="W26" s="1797"/>
      <c r="X26" s="1797"/>
      <c r="Y26" s="1798"/>
      <c r="AE26" s="614"/>
    </row>
    <row r="27" spans="1:31" s="294" customFormat="1">
      <c r="A27" s="613"/>
      <c r="B27" s="1791" t="s">
        <v>920</v>
      </c>
      <c r="C27" s="1792"/>
      <c r="D27" s="1792"/>
      <c r="E27" s="1792"/>
      <c r="F27" s="1792"/>
      <c r="G27" s="1792"/>
      <c r="H27" s="1792"/>
      <c r="I27" s="1792"/>
      <c r="J27" s="1792"/>
      <c r="K27" s="1792"/>
      <c r="L27" s="1792"/>
      <c r="M27" s="1796">
        <f>'Informasi Pokok'!D24</f>
      </c>
      <c r="N27" s="1797"/>
      <c r="O27" s="1797"/>
      <c r="P27" s="1797"/>
      <c r="Q27" s="1797"/>
      <c r="R27" s="1797"/>
      <c r="S27" s="1797"/>
      <c r="T27" s="1797"/>
      <c r="U27" s="1797"/>
      <c r="V27" s="1797"/>
      <c r="W27" s="1797"/>
      <c r="X27" s="1797"/>
      <c r="Y27" s="1798"/>
      <c r="AE27" s="614"/>
    </row>
    <row r="28" spans="1:31" s="294" customFormat="1">
      <c r="A28" s="613"/>
      <c r="B28" s="1791" t="s">
        <v>921</v>
      </c>
      <c r="C28" s="1792"/>
      <c r="D28" s="1792"/>
      <c r="E28" s="1792"/>
      <c r="F28" s="1792"/>
      <c r="G28" s="1792"/>
      <c r="H28" s="1792"/>
      <c r="I28" s="1792"/>
      <c r="J28" s="1792"/>
      <c r="K28" s="1792"/>
      <c r="L28" s="1792"/>
      <c r="M28" s="1796">
        <f>'Informasi Pokok'!D25</f>
      </c>
      <c r="N28" s="1797"/>
      <c r="O28" s="1797"/>
      <c r="P28" s="1797"/>
      <c r="Q28" s="1797"/>
      <c r="R28" s="1797"/>
      <c r="S28" s="1797"/>
      <c r="T28" s="1797"/>
      <c r="U28" s="1797"/>
      <c r="V28" s="1797"/>
      <c r="W28" s="1797"/>
      <c r="X28" s="1797"/>
      <c r="Y28" s="1798"/>
      <c r="AE28" s="614"/>
    </row>
    <row r="29" spans="1:31" s="294" customFormat="1">
      <c r="A29" s="613"/>
      <c r="B29" s="1791" t="s">
        <v>922</v>
      </c>
      <c r="C29" s="1792"/>
      <c r="D29" s="1792"/>
      <c r="E29" s="1792"/>
      <c r="F29" s="1792"/>
      <c r="G29" s="1792"/>
      <c r="H29" s="1792"/>
      <c r="I29" s="1792"/>
      <c r="J29" s="1792"/>
      <c r="K29" s="1792"/>
      <c r="L29" s="1792"/>
      <c r="M29" s="1796">
        <f>'Informasi Pokok'!D26</f>
      </c>
      <c r="N29" s="1797"/>
      <c r="O29" s="1797"/>
      <c r="P29" s="1797"/>
      <c r="Q29" s="1797"/>
      <c r="R29" s="1797"/>
      <c r="S29" s="1797"/>
      <c r="T29" s="1797"/>
      <c r="U29" s="1797"/>
      <c r="V29" s="1797"/>
      <c r="W29" s="1797"/>
      <c r="X29" s="1797"/>
      <c r="Y29" s="1798"/>
      <c r="AE29" s="614"/>
    </row>
    <row r="30" spans="1:31" s="294" customFormat="1">
      <c r="A30" s="613"/>
      <c r="B30" s="1791" t="s">
        <v>923</v>
      </c>
      <c r="C30" s="1792"/>
      <c r="D30" s="1792"/>
      <c r="E30" s="1792"/>
      <c r="F30" s="1792"/>
      <c r="G30" s="1792"/>
      <c r="H30" s="1792"/>
      <c r="I30" s="1792"/>
      <c r="J30" s="1792"/>
      <c r="K30" s="1792"/>
      <c r="L30" s="1792"/>
      <c r="M30" s="1796">
        <f>'Informasi Pokok'!D27</f>
      </c>
      <c r="N30" s="1797"/>
      <c r="O30" s="1797"/>
      <c r="P30" s="1797"/>
      <c r="Q30" s="1797"/>
      <c r="R30" s="1797"/>
      <c r="S30" s="1797"/>
      <c r="T30" s="1797"/>
      <c r="U30" s="1797"/>
      <c r="V30" s="1797"/>
      <c r="W30" s="1797"/>
      <c r="X30" s="1797"/>
      <c r="Y30" s="1798"/>
      <c r="AE30" s="614"/>
    </row>
    <row r="31" spans="1:31" s="294" customFormat="1">
      <c r="A31" s="613"/>
      <c r="B31" s="1791" t="s">
        <v>924</v>
      </c>
      <c r="C31" s="1792"/>
      <c r="D31" s="1792"/>
      <c r="E31" s="1792"/>
      <c r="F31" s="1792"/>
      <c r="G31" s="1792"/>
      <c r="H31" s="1792"/>
      <c r="I31" s="1792"/>
      <c r="J31" s="1792"/>
      <c r="K31" s="1792"/>
      <c r="L31" s="1792"/>
      <c r="M31" s="1796">
        <f>'Informasi Pokok'!D28&amp;" Tahun"</f>
      </c>
      <c r="N31" s="1797"/>
      <c r="O31" s="1797"/>
      <c r="P31" s="1797"/>
      <c r="Q31" s="1797"/>
      <c r="R31" s="1797"/>
      <c r="S31" s="1797"/>
      <c r="T31" s="1797"/>
      <c r="U31" s="1797"/>
      <c r="V31" s="1797"/>
      <c r="W31" s="1797"/>
      <c r="X31" s="1797"/>
      <c r="Y31" s="1798"/>
      <c r="AE31" s="614"/>
    </row>
    <row r="32" spans="1:31" s="294" customFormat="1">
      <c r="A32" s="613"/>
      <c r="B32" s="1791" t="s">
        <v>925</v>
      </c>
      <c r="C32" s="1792"/>
      <c r="D32" s="1792"/>
      <c r="E32" s="1792"/>
      <c r="F32" s="1792"/>
      <c r="G32" s="1792"/>
      <c r="H32" s="1792"/>
      <c r="I32" s="1792"/>
      <c r="J32" s="1792"/>
      <c r="K32" s="1792"/>
      <c r="L32" s="1792"/>
      <c r="M32" s="1796">
        <f>'Informasi Pokok'!D29</f>
      </c>
      <c r="N32" s="1797"/>
      <c r="O32" s="1797"/>
      <c r="P32" s="1797"/>
      <c r="Q32" s="1797"/>
      <c r="R32" s="1797"/>
      <c r="S32" s="1797"/>
      <c r="T32" s="1797"/>
      <c r="U32" s="1797"/>
      <c r="V32" s="1797"/>
      <c r="W32" s="1797"/>
      <c r="X32" s="1797"/>
      <c r="Y32" s="1798"/>
      <c r="AE32" s="614"/>
    </row>
    <row r="33" spans="1:31" s="294" customFormat="1">
      <c r="A33" s="613"/>
      <c r="B33" s="1791" t="s">
        <v>926</v>
      </c>
      <c r="C33" s="1792"/>
      <c r="D33" s="1792"/>
      <c r="E33" s="1792"/>
      <c r="F33" s="1792"/>
      <c r="G33" s="1792"/>
      <c r="H33" s="1792"/>
      <c r="I33" s="1792"/>
      <c r="J33" s="1792"/>
      <c r="K33" s="1792"/>
      <c r="L33" s="1792"/>
      <c r="M33" s="1796">
        <f>'Informasi Pokok'!D30</f>
      </c>
      <c r="N33" s="1797"/>
      <c r="O33" s="1797"/>
      <c r="P33" s="1797"/>
      <c r="Q33" s="1797"/>
      <c r="R33" s="1797"/>
      <c r="S33" s="1797"/>
      <c r="T33" s="1797"/>
      <c r="U33" s="1797"/>
      <c r="V33" s="1797"/>
      <c r="W33" s="1797"/>
      <c r="X33" s="1797"/>
      <c r="Y33" s="1798"/>
      <c r="AE33" s="614"/>
    </row>
    <row r="34" spans="1:31" s="294" customFormat="1">
      <c r="A34" s="613"/>
      <c r="B34" s="1791" t="s">
        <v>927</v>
      </c>
      <c r="C34" s="1792"/>
      <c r="D34" s="1792"/>
      <c r="E34" s="1792"/>
      <c r="F34" s="1792"/>
      <c r="G34" s="1792"/>
      <c r="H34" s="1792"/>
      <c r="I34" s="1792"/>
      <c r="J34" s="1792"/>
      <c r="K34" s="1792"/>
      <c r="L34" s="1792"/>
      <c r="M34" s="1796">
        <f>'Informasi Pokok'!D31</f>
      </c>
      <c r="N34" s="1797"/>
      <c r="O34" s="1797"/>
      <c r="P34" s="1797"/>
      <c r="Q34" s="1797"/>
      <c r="R34" s="1797"/>
      <c r="S34" s="1797"/>
      <c r="T34" s="1797"/>
      <c r="U34" s="1797"/>
      <c r="V34" s="1797"/>
      <c r="W34" s="1797"/>
      <c r="X34" s="1797"/>
      <c r="Y34" s="1798"/>
      <c r="AE34" s="614"/>
    </row>
    <row r="35" spans="1:31" s="294" customFormat="1" ht="30" customHeight="1">
      <c r="A35" s="613"/>
      <c r="B35" s="1822" t="s">
        <v>928</v>
      </c>
      <c r="C35" s="1823"/>
      <c r="D35" s="1823"/>
      <c r="E35" s="1823"/>
      <c r="F35" s="1823"/>
      <c r="G35" s="1823"/>
      <c r="H35" s="1823"/>
      <c r="I35" s="1823"/>
      <c r="J35" s="1823"/>
      <c r="K35" s="1823"/>
      <c r="L35" s="1824"/>
      <c r="M35" s="1796">
        <f>'Informasi Pokok'!D34</f>
      </c>
      <c r="N35" s="1797"/>
      <c r="O35" s="1797"/>
      <c r="P35" s="1797"/>
      <c r="Q35" s="1797"/>
      <c r="R35" s="1797"/>
      <c r="S35" s="1797"/>
      <c r="T35" s="1797"/>
      <c r="U35" s="1797"/>
      <c r="V35" s="1797"/>
      <c r="W35" s="1797"/>
      <c r="X35" s="1797"/>
      <c r="Y35" s="1798"/>
      <c r="AE35" s="614"/>
    </row>
    <row r="36" spans="1:31" s="294" customFormat="1" ht="15.75">
      <c r="A36" s="523" t="s">
        <v>469</v>
      </c>
      <c r="B36" s="742" t="s">
        <v>499</v>
      </c>
      <c r="C36" s="743"/>
      <c r="D36" s="743"/>
      <c r="E36" s="743"/>
      <c r="F36" s="743"/>
      <c r="G36" s="743"/>
      <c r="H36" s="184"/>
      <c r="I36" s="184"/>
      <c r="J36" s="184"/>
      <c r="K36" s="184"/>
      <c r="L36" s="184"/>
      <c r="M36" s="184"/>
      <c r="N36" s="184"/>
      <c r="O36" s="184"/>
      <c r="P36" s="184"/>
      <c r="Q36" s="184"/>
      <c r="R36" s="184"/>
      <c r="S36" s="184"/>
      <c r="T36" s="184"/>
      <c r="U36" s="184"/>
      <c r="V36" s="184"/>
      <c r="W36" s="184"/>
      <c r="X36" s="184"/>
      <c r="Y36" s="193"/>
    </row>
    <row r="37" spans="1:31" s="294" customFormat="1">
      <c r="A37" s="613"/>
      <c r="B37" s="1825" t="s">
        <v>601</v>
      </c>
      <c r="C37" s="1826"/>
      <c r="D37" s="1826"/>
      <c r="E37" s="1826"/>
      <c r="F37" s="1826"/>
      <c r="G37" s="1826"/>
      <c r="H37" s="1826"/>
      <c r="I37" s="1826"/>
      <c r="J37" s="1826"/>
      <c r="K37" s="1826"/>
      <c r="L37" s="1826"/>
      <c r="M37" s="1827">
        <f>'Informasi Pokok'!D48</f>
      </c>
      <c r="N37" s="1827"/>
      <c r="O37" s="1827"/>
      <c r="P37" s="1827"/>
      <c r="Q37" s="1827"/>
      <c r="R37" s="1827"/>
      <c r="S37" s="1827"/>
      <c r="T37" s="1827"/>
      <c r="U37" s="1827"/>
      <c r="V37" s="1827"/>
      <c r="W37" s="1827"/>
      <c r="X37" s="1827"/>
      <c r="Y37" s="1828"/>
    </row>
    <row r="38" spans="1:31" s="294" customFormat="1">
      <c r="A38" s="613"/>
      <c r="B38" s="1825" t="s">
        <v>720</v>
      </c>
      <c r="C38" s="1826"/>
      <c r="D38" s="1826"/>
      <c r="E38" s="1826"/>
      <c r="F38" s="1826"/>
      <c r="G38" s="1826"/>
      <c r="H38" s="1826"/>
      <c r="I38" s="1826"/>
      <c r="J38" s="1826"/>
      <c r="K38" s="1826"/>
      <c r="L38" s="1826"/>
      <c r="M38" s="1829">
        <f>'Informasi Pokok'!D49</f>
      </c>
      <c r="N38" s="1829"/>
      <c r="O38" s="1829"/>
      <c r="P38" s="1829"/>
      <c r="Q38" s="1829"/>
      <c r="R38" s="1829"/>
      <c r="S38" s="1829"/>
      <c r="T38" s="1829"/>
      <c r="U38" s="1829"/>
      <c r="V38" s="1829"/>
      <c r="W38" s="1829"/>
      <c r="X38" s="1829"/>
      <c r="Y38" s="1830"/>
    </row>
    <row r="39" spans="1:31" s="294" customFormat="1" ht="15.75">
      <c r="A39" s="523" t="s">
        <v>498</v>
      </c>
      <c r="B39" s="742" t="s">
        <v>500</v>
      </c>
      <c r="C39" s="743"/>
      <c r="D39" s="743"/>
      <c r="E39" s="743"/>
      <c r="F39" s="743"/>
      <c r="G39" s="743"/>
      <c r="H39" s="743"/>
      <c r="I39" s="743"/>
      <c r="J39" s="184"/>
      <c r="K39" s="184"/>
      <c r="L39" s="184"/>
      <c r="M39" s="184"/>
      <c r="N39" s="184"/>
      <c r="O39" s="184"/>
      <c r="P39" s="184"/>
      <c r="Q39" s="184"/>
      <c r="R39" s="184"/>
      <c r="S39" s="184"/>
      <c r="T39" s="184"/>
      <c r="U39" s="184"/>
      <c r="V39" s="184"/>
      <c r="W39" s="184"/>
      <c r="X39" s="184"/>
      <c r="Y39" s="193"/>
    </row>
    <row r="40" spans="1:31" s="294" customFormat="1">
      <c r="A40" s="613"/>
      <c r="B40" s="1826" t="s">
        <v>513</v>
      </c>
      <c r="C40" s="1826"/>
      <c r="D40" s="1826"/>
      <c r="E40" s="1826"/>
      <c r="F40" s="1826"/>
      <c r="G40" s="1826"/>
      <c r="H40" s="1826"/>
      <c r="I40" s="1826"/>
      <c r="J40" s="1826"/>
      <c r="K40" s="1826"/>
      <c r="L40" s="1826"/>
      <c r="M40" s="1831">
        <f>Parameter!T110</f>
      </c>
      <c r="N40" s="1832"/>
      <c r="O40" s="1832"/>
      <c r="P40" s="1832"/>
      <c r="Q40" s="1832"/>
      <c r="R40" s="1832"/>
      <c r="S40" s="1832"/>
      <c r="T40" s="1832"/>
      <c r="U40" s="1832"/>
      <c r="V40" s="1832"/>
      <c r="W40" s="1832"/>
      <c r="X40" s="1832"/>
      <c r="Y40" s="1832"/>
      <c r="Z40" s="938"/>
    </row>
    <row r="41" spans="1:31" s="294" customFormat="1">
      <c r="A41" s="613"/>
      <c r="B41" s="1825" t="s">
        <v>501</v>
      </c>
      <c r="C41" s="1825"/>
      <c r="D41" s="1825"/>
      <c r="E41" s="1825"/>
      <c r="F41" s="1825"/>
      <c r="G41" s="1825"/>
      <c r="H41" s="1825"/>
      <c r="I41" s="1825"/>
      <c r="J41" s="1825"/>
      <c r="K41" s="1825"/>
      <c r="L41" s="1825"/>
      <c r="M41" s="1831">
        <f>TEXT('Usulan Pembiayaan'!B74,"#.##")&amp;" ("&amp;('Usulan Pembiayaan'!E74)&amp;")"</f>
      </c>
      <c r="N41" s="1832"/>
      <c r="O41" s="1832"/>
      <c r="P41" s="1832"/>
      <c r="Q41" s="1832"/>
      <c r="R41" s="1832"/>
      <c r="S41" s="1832"/>
      <c r="T41" s="1832"/>
      <c r="U41" s="1832"/>
      <c r="V41" s="1832"/>
      <c r="W41" s="1832"/>
      <c r="X41" s="1832"/>
      <c r="Y41" s="1832"/>
      <c r="Z41" s="938"/>
    </row>
    <row r="42" spans="1:31" s="294" customFormat="1">
      <c r="A42" s="613"/>
      <c r="B42" s="1825" t="s">
        <v>645</v>
      </c>
      <c r="C42" s="1825"/>
      <c r="D42" s="1825"/>
      <c r="E42" s="1825"/>
      <c r="F42" s="1825"/>
      <c r="G42" s="1825"/>
      <c r="H42" s="1825"/>
      <c r="I42" s="1825"/>
      <c r="J42" s="1825"/>
      <c r="K42" s="1825"/>
      <c r="L42" s="1825"/>
      <c r="M42" s="1831">
        <f>'Informasi Pokok'!E53</f>
      </c>
      <c r="N42" s="1832"/>
      <c r="O42" s="1832"/>
      <c r="P42" s="1832"/>
      <c r="Q42" s="1832"/>
      <c r="R42" s="1832"/>
      <c r="S42" s="1832"/>
      <c r="T42" s="1832"/>
      <c r="U42" s="1832"/>
      <c r="V42" s="1832"/>
      <c r="W42" s="1832"/>
      <c r="X42" s="1832"/>
      <c r="Y42" s="1835"/>
    </row>
    <row r="43" spans="1:31" s="294" customFormat="1" ht="15.75">
      <c r="A43" s="523" t="s">
        <v>478</v>
      </c>
      <c r="B43" s="742" t="s">
        <v>496</v>
      </c>
      <c r="C43" s="743"/>
      <c r="D43" s="743"/>
      <c r="E43" s="743"/>
      <c r="F43" s="184"/>
      <c r="G43" s="184"/>
      <c r="H43" s="184"/>
      <c r="I43" s="184"/>
      <c r="J43" s="184"/>
      <c r="K43" s="184"/>
      <c r="L43" s="184"/>
      <c r="M43" s="184"/>
      <c r="N43" s="184"/>
      <c r="O43" s="184"/>
      <c r="P43" s="184"/>
      <c r="Q43" s="184"/>
      <c r="R43" s="184"/>
      <c r="S43" s="184"/>
      <c r="T43" s="184"/>
      <c r="U43" s="184"/>
      <c r="V43" s="184"/>
      <c r="W43" s="184"/>
      <c r="X43" s="184"/>
      <c r="Y43" s="193"/>
      <c r="AB43" s="294">
        <f>'Aspek Non Keuangan'!#REF!</f>
      </c>
    </row>
    <row r="44" spans="1:31" s="294" customFormat="1">
      <c r="A44" s="613"/>
      <c r="B44" s="1833" t="s">
        <v>839</v>
      </c>
      <c r="C44" s="1834"/>
      <c r="D44" s="1834"/>
      <c r="E44" s="1834"/>
      <c r="F44" s="1834"/>
      <c r="G44" s="1834"/>
      <c r="H44" s="1834"/>
      <c r="I44" s="1834"/>
      <c r="J44" s="1834"/>
      <c r="K44" s="1834"/>
      <c r="L44" s="1834"/>
      <c r="M44" s="1827">
        <f>Parameter!T120</f>
      </c>
      <c r="N44" s="1827"/>
      <c r="O44" s="1827"/>
      <c r="P44" s="1827"/>
      <c r="Q44" s="1827"/>
      <c r="R44" s="1827"/>
      <c r="S44" s="1827"/>
      <c r="T44" s="1827"/>
      <c r="U44" s="1827"/>
      <c r="V44" s="1827"/>
      <c r="W44" s="1827"/>
      <c r="X44" s="1827"/>
      <c r="Y44" s="1828"/>
    </row>
    <row r="45" spans="1:31" s="294" customFormat="1">
      <c r="A45" s="613"/>
      <c r="B45" s="1833" t="s">
        <v>840</v>
      </c>
      <c r="C45" s="1834"/>
      <c r="D45" s="1834"/>
      <c r="E45" s="1834"/>
      <c r="F45" s="1834"/>
      <c r="G45" s="1834"/>
      <c r="H45" s="1834"/>
      <c r="I45" s="1834"/>
      <c r="J45" s="1834"/>
      <c r="K45" s="1834"/>
      <c r="L45" s="1834"/>
      <c r="M45" s="1827">
        <f>'Aspek Non Keuangan'!K77</f>
      </c>
      <c r="N45" s="1827"/>
      <c r="O45" s="1827"/>
      <c r="P45" s="1827"/>
      <c r="Q45" s="1827"/>
      <c r="R45" s="1827"/>
      <c r="S45" s="1827"/>
      <c r="T45" s="1827"/>
      <c r="U45" s="1827"/>
      <c r="V45" s="1827"/>
      <c r="W45" s="1827"/>
      <c r="X45" s="1827"/>
      <c r="Y45" s="1828"/>
    </row>
    <row r="46" spans="1:31" s="294" customFormat="1" ht="15.75">
      <c r="A46" s="523" t="s">
        <v>725</v>
      </c>
      <c r="B46" s="742" t="s">
        <v>594</v>
      </c>
      <c r="C46" s="743"/>
      <c r="D46" s="743"/>
      <c r="E46" s="184"/>
      <c r="F46" s="184"/>
      <c r="G46" s="184"/>
      <c r="H46" s="184"/>
      <c r="I46" s="184"/>
      <c r="J46" s="184"/>
      <c r="K46" s="184"/>
      <c r="L46" s="184"/>
      <c r="M46" s="184"/>
      <c r="N46" s="184"/>
      <c r="O46" s="184"/>
      <c r="P46" s="184"/>
      <c r="Q46" s="184"/>
      <c r="R46" s="184"/>
      <c r="S46" s="184"/>
      <c r="T46" s="184"/>
      <c r="U46" s="184"/>
      <c r="V46" s="184"/>
      <c r="W46" s="184"/>
      <c r="X46" s="184"/>
      <c r="Y46" s="193"/>
      <c r="AB46" s="294">
        <f>'Aspek Non Keuangan'!#REF!</f>
      </c>
    </row>
    <row r="47" spans="1:31" s="294" customFormat="1">
      <c r="A47" s="613"/>
      <c r="B47" s="1833" t="s">
        <v>595</v>
      </c>
      <c r="C47" s="1834"/>
      <c r="D47" s="1834"/>
      <c r="E47" s="1834"/>
      <c r="F47" s="1834"/>
      <c r="G47" s="1834"/>
      <c r="H47" s="1834"/>
      <c r="I47" s="1834"/>
      <c r="J47" s="1834"/>
      <c r="K47" s="1834"/>
      <c r="L47" s="1834"/>
      <c r="M47" s="1827">
        <f>'Aspek Non Keuangan'!F83</f>
      </c>
      <c r="N47" s="1827"/>
      <c r="O47" s="1827"/>
      <c r="P47" s="1827"/>
      <c r="Q47" s="1827"/>
      <c r="R47" s="1827"/>
      <c r="S47" s="1827"/>
      <c r="T47" s="1827"/>
      <c r="U47" s="1827"/>
      <c r="V47" s="1827"/>
      <c r="W47" s="1827"/>
      <c r="X47" s="1827"/>
      <c r="Y47" s="1828"/>
    </row>
    <row r="48" spans="1:31" s="294" customFormat="1">
      <c r="A48" s="613"/>
      <c r="B48" s="1833" t="s">
        <v>812</v>
      </c>
      <c r="C48" s="1834"/>
      <c r="D48" s="1834"/>
      <c r="E48" s="1834"/>
      <c r="F48" s="1834"/>
      <c r="G48" s="1834"/>
      <c r="H48" s="1834"/>
      <c r="I48" s="1834"/>
      <c r="J48" s="1834"/>
      <c r="K48" s="1834"/>
      <c r="L48" s="1834"/>
      <c r="M48" s="1827">
        <f>'Aspek Non Keuangan'!F88&amp;" "&amp;'Aspek Non Keuangan'!K88</f>
      </c>
      <c r="N48" s="1827"/>
      <c r="O48" s="1827"/>
      <c r="P48" s="1827"/>
      <c r="Q48" s="1827"/>
      <c r="R48" s="1827"/>
      <c r="S48" s="1827"/>
      <c r="T48" s="1827"/>
      <c r="U48" s="1827"/>
      <c r="V48" s="1827"/>
      <c r="W48" s="1827"/>
      <c r="X48" s="1827"/>
      <c r="Y48" s="1828"/>
    </row>
    <row r="49" spans="1:30" s="294" customFormat="1">
      <c r="A49" s="486" t="s">
        <v>838</v>
      </c>
      <c r="B49" s="612" t="s">
        <v>646</v>
      </c>
      <c r="C49" s="184"/>
      <c r="D49" s="184"/>
      <c r="E49" s="184"/>
      <c r="F49" s="184"/>
      <c r="G49" s="184"/>
      <c r="H49" s="184"/>
      <c r="I49" s="184"/>
      <c r="J49" s="184"/>
      <c r="K49" s="184"/>
      <c r="L49" s="184"/>
      <c r="M49" s="184"/>
      <c r="N49" s="184"/>
      <c r="O49" s="184"/>
      <c r="P49" s="184"/>
      <c r="Q49" s="184"/>
      <c r="R49" s="184"/>
      <c r="S49" s="184"/>
      <c r="T49" s="184"/>
      <c r="U49" s="184"/>
      <c r="V49" s="184"/>
      <c r="W49" s="184"/>
      <c r="X49" s="184"/>
      <c r="Y49" s="193"/>
    </row>
    <row r="50" spans="1:30" s="294" customFormat="1" ht="21">
      <c r="A50" s="613"/>
      <c r="B50" s="1838" t="s">
        <v>643</v>
      </c>
      <c r="C50" s="1839"/>
      <c r="D50" s="1839"/>
      <c r="E50" s="1839"/>
      <c r="F50" s="1839"/>
      <c r="G50" s="1839"/>
      <c r="H50" s="1839"/>
      <c r="I50" s="1839"/>
      <c r="J50" s="1839"/>
      <c r="K50" s="1839"/>
      <c r="L50" s="1839"/>
      <c r="M50" s="1827">
        <f>Parameter!T96</f>
      </c>
      <c r="N50" s="1827"/>
      <c r="O50" s="1827"/>
      <c r="P50" s="1827"/>
      <c r="Q50" s="1827"/>
      <c r="R50" s="1827"/>
      <c r="S50" s="1827"/>
      <c r="T50" s="1827"/>
      <c r="U50" s="1827"/>
      <c r="V50" s="1827"/>
      <c r="W50" s="1827"/>
      <c r="X50" s="1827"/>
      <c r="Y50" s="1828"/>
    </row>
    <row r="51" spans="1:30" s="294" customFormat="1" ht="8.25" customHeight="1">
      <c r="A51" s="462"/>
      <c r="B51" s="440"/>
      <c r="C51" s="440"/>
      <c r="D51" s="440"/>
      <c r="E51" s="440"/>
      <c r="F51" s="440"/>
      <c r="G51" s="440"/>
      <c r="H51" s="440"/>
      <c r="I51" s="440"/>
      <c r="J51" s="440"/>
      <c r="K51" s="440"/>
      <c r="L51" s="440"/>
      <c r="M51" s="440"/>
      <c r="N51" s="440"/>
      <c r="O51" s="440"/>
      <c r="P51" s="440"/>
      <c r="Q51" s="440"/>
      <c r="R51" s="440"/>
      <c r="S51" s="440"/>
      <c r="T51" s="440"/>
      <c r="U51" s="440"/>
      <c r="V51" s="440"/>
      <c r="W51" s="440"/>
      <c r="X51" s="440"/>
      <c r="Y51" s="438"/>
    </row>
    <row r="52" spans="1:30" s="294" customFormat="1" ht="18.75">
      <c r="A52" s="1809" t="s">
        <v>602</v>
      </c>
      <c r="B52" s="1810"/>
      <c r="C52" s="1810"/>
      <c r="D52" s="1810"/>
      <c r="E52" s="1810"/>
      <c r="F52" s="1810"/>
      <c r="G52" s="1810"/>
      <c r="H52" s="1810"/>
      <c r="I52" s="1810"/>
      <c r="J52" s="1810"/>
      <c r="K52" s="1810"/>
      <c r="L52" s="1810"/>
      <c r="M52" s="1810"/>
      <c r="N52" s="1810"/>
      <c r="O52" s="1810"/>
      <c r="P52" s="1810"/>
      <c r="Q52" s="1810"/>
      <c r="R52" s="1810"/>
      <c r="S52" s="1810"/>
      <c r="T52" s="1810"/>
      <c r="U52" s="1810"/>
      <c r="V52" s="1810"/>
      <c r="W52" s="1810"/>
      <c r="X52" s="1810"/>
      <c r="Y52" s="1811"/>
    </row>
    <row r="53" spans="1:30" s="294" customFormat="1" ht="3.75" customHeight="1">
      <c r="A53" s="615"/>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93"/>
    </row>
    <row r="54" spans="1:30" s="294" customFormat="1" ht="3.75" customHeight="1">
      <c r="A54" s="616"/>
      <c r="B54" s="617"/>
      <c r="C54" s="618"/>
      <c r="D54" s="618"/>
      <c r="E54" s="618"/>
      <c r="F54" s="618"/>
      <c r="G54" s="618"/>
      <c r="H54" s="618"/>
      <c r="I54" s="618"/>
      <c r="J54" s="618"/>
      <c r="K54" s="618"/>
      <c r="L54" s="618"/>
      <c r="M54" s="618"/>
      <c r="N54" s="618"/>
      <c r="O54" s="618"/>
      <c r="P54" s="618"/>
      <c r="Q54" s="618"/>
      <c r="R54" s="618"/>
      <c r="S54" s="618"/>
      <c r="T54" s="618"/>
      <c r="U54" s="618"/>
      <c r="V54" s="618"/>
      <c r="W54" s="618"/>
      <c r="X54" s="618"/>
      <c r="Y54" s="619"/>
    </row>
    <row r="55" spans="1:30" s="294" customFormat="1" ht="15.75">
      <c r="A55" s="620"/>
      <c r="B55" s="621" t="s">
        <v>337</v>
      </c>
      <c r="C55" s="1785" t="s">
        <v>529</v>
      </c>
      <c r="D55" s="1785"/>
      <c r="E55" s="1785"/>
      <c r="F55" s="1785"/>
      <c r="G55" s="1785"/>
      <c r="H55" s="1785"/>
      <c r="I55" s="1785"/>
      <c r="J55" s="622" t="s">
        <v>0</v>
      </c>
      <c r="K55" s="194">
        <f>N12</f>
      </c>
      <c r="L55" s="195"/>
      <c r="M55" s="196"/>
      <c r="N55" s="195"/>
      <c r="O55" s="195"/>
      <c r="P55" s="197"/>
      <c r="Q55" s="442"/>
      <c r="R55" s="442"/>
      <c r="S55" s="442"/>
      <c r="T55" s="442"/>
      <c r="U55" s="442"/>
      <c r="V55" s="442"/>
      <c r="W55" s="442"/>
      <c r="X55" s="442"/>
      <c r="Y55" s="623"/>
    </row>
    <row r="56" spans="1:30" s="294" customFormat="1" ht="15.75">
      <c r="A56" s="620"/>
      <c r="B56" s="621" t="s">
        <v>339</v>
      </c>
      <c r="C56" s="1785" t="s">
        <v>98</v>
      </c>
      <c r="D56" s="1785"/>
      <c r="E56" s="1785"/>
      <c r="F56" s="1785"/>
      <c r="G56" s="1785"/>
      <c r="H56" s="1785"/>
      <c r="I56" s="1785"/>
      <c r="J56" s="622" t="s">
        <v>0</v>
      </c>
      <c r="K56" s="198">
        <f>N13</f>
      </c>
      <c r="L56" s="195"/>
      <c r="M56" s="195"/>
      <c r="N56" s="195"/>
      <c r="O56" s="195"/>
      <c r="P56" s="197"/>
      <c r="Q56" s="442"/>
      <c r="R56" s="442"/>
      <c r="S56" s="442"/>
      <c r="T56" s="442"/>
      <c r="U56" s="442"/>
      <c r="V56" s="442"/>
      <c r="W56" s="442"/>
      <c r="X56" s="442"/>
      <c r="Y56" s="623"/>
    </row>
    <row r="57" spans="1:30" s="294" customFormat="1" ht="15.75">
      <c r="A57" s="620"/>
      <c r="B57" s="621" t="s">
        <v>341</v>
      </c>
      <c r="C57" s="1785" t="s">
        <v>512</v>
      </c>
      <c r="D57" s="1785"/>
      <c r="E57" s="1785"/>
      <c r="F57" s="1785"/>
      <c r="G57" s="1785"/>
      <c r="H57" s="1785"/>
      <c r="I57" s="1785"/>
      <c r="J57" s="622" t="s">
        <v>0</v>
      </c>
      <c r="K57" s="1788">
        <f>'Usulan Pembiayaan'!J54</f>
      </c>
      <c r="L57" s="1788"/>
      <c r="M57" s="567" t="s">
        <v>3</v>
      </c>
      <c r="N57" s="195"/>
      <c r="O57" s="195"/>
      <c r="P57" s="197"/>
      <c r="Q57" s="442"/>
      <c r="R57" s="442"/>
      <c r="S57" s="442"/>
      <c r="T57" s="442"/>
      <c r="U57" s="442"/>
      <c r="V57" s="442"/>
      <c r="W57" s="442"/>
      <c r="X57" s="442"/>
      <c r="Y57" s="623"/>
    </row>
    <row r="58" spans="1:30" s="294" customFormat="1" ht="15.75">
      <c r="A58" s="620"/>
      <c r="B58" s="621" t="s">
        <v>554</v>
      </c>
      <c r="C58" s="1785">
        <f>'Usulan Pembiayaan'!B55</f>
      </c>
      <c r="D58" s="1785"/>
      <c r="E58" s="1785"/>
      <c r="F58" s="1785"/>
      <c r="G58" s="1785"/>
      <c r="H58" s="1785"/>
      <c r="I58" s="1785"/>
      <c r="J58" s="622" t="s">
        <v>0</v>
      </c>
      <c r="K58" s="1789">
        <f>'Usulan Pembiayaan'!J55</f>
      </c>
      <c r="L58" s="1789"/>
      <c r="M58" s="1789"/>
      <c r="N58" s="1789"/>
      <c r="O58" s="1789"/>
      <c r="P58" s="1790"/>
      <c r="Q58" s="624">
        <f>'Usulan Pembiayaan'!M55</f>
      </c>
      <c r="R58" s="442"/>
      <c r="S58" s="442"/>
      <c r="T58" s="442"/>
      <c r="U58" s="442"/>
      <c r="V58" s="442"/>
      <c r="W58" s="442"/>
      <c r="X58" s="442"/>
      <c r="Y58" s="623"/>
    </row>
    <row r="59" spans="1:30" s="294" customFormat="1" ht="15.75">
      <c r="A59" s="620"/>
      <c r="B59" s="621" t="s">
        <v>555</v>
      </c>
      <c r="C59" s="625">
        <f>'Usulan Pembiayaan'!B49</f>
      </c>
      <c r="D59" s="625"/>
      <c r="E59" s="625"/>
      <c r="F59" s="625"/>
      <c r="G59" s="625"/>
      <c r="H59" s="625"/>
      <c r="I59" s="625"/>
      <c r="J59" s="622" t="s">
        <v>0</v>
      </c>
      <c r="K59" s="1786">
        <f>'Usulan Pembiayaan'!J49</f>
      </c>
      <c r="L59" s="1786"/>
      <c r="M59" s="1786"/>
      <c r="N59" s="1786"/>
      <c r="O59" s="1786"/>
      <c r="P59" s="1787"/>
      <c r="Q59" s="624"/>
      <c r="R59" s="442"/>
      <c r="S59" s="442"/>
      <c r="T59" s="442"/>
      <c r="U59" s="442"/>
      <c r="V59" s="442"/>
      <c r="W59" s="442"/>
      <c r="X59" s="442"/>
      <c r="Y59" s="623"/>
    </row>
    <row r="60" spans="1:30" s="294" customFormat="1" ht="27.75" customHeight="1">
      <c r="A60" s="620"/>
      <c r="B60" s="621" t="s">
        <v>556</v>
      </c>
      <c r="C60" s="626">
        <f>'Usulan Pembiayaan'!B50</f>
      </c>
      <c r="D60" s="625"/>
      <c r="E60" s="625"/>
      <c r="F60" s="625"/>
      <c r="G60" s="625"/>
      <c r="H60" s="625"/>
      <c r="I60" s="625"/>
      <c r="J60" s="622" t="s">
        <v>0</v>
      </c>
      <c r="K60" s="1786">
        <f>'Usulan Pembiayaan'!J50</f>
      </c>
      <c r="L60" s="1786"/>
      <c r="M60" s="1786"/>
      <c r="N60" s="1786"/>
      <c r="O60" s="1786"/>
      <c r="P60" s="1787"/>
      <c r="Q60" s="1837">
        <f>IF('Usulan Pembiayaan'!M50="","",'Usulan Pembiayaan'!M50)</f>
      </c>
      <c r="R60" s="1627"/>
      <c r="S60" s="1627"/>
      <c r="T60" s="1627"/>
      <c r="U60" s="1627"/>
      <c r="V60" s="1627"/>
      <c r="W60" s="1627"/>
      <c r="X60" s="1627"/>
      <c r="Y60" s="1628"/>
      <c r="Z60" s="627"/>
      <c r="AA60" s="628"/>
      <c r="AB60" s="628"/>
      <c r="AC60" s="628"/>
      <c r="AD60" s="184"/>
    </row>
    <row r="61" spans="1:30" s="294" customFormat="1" ht="15.75">
      <c r="A61" s="620"/>
      <c r="B61" s="621" t="s">
        <v>557</v>
      </c>
      <c r="C61" s="625">
        <f>'Usulan Pembiayaan'!B51</f>
      </c>
      <c r="D61" s="625"/>
      <c r="E61" s="625"/>
      <c r="F61" s="625"/>
      <c r="G61" s="625"/>
      <c r="H61" s="625"/>
      <c r="I61" s="625"/>
      <c r="J61" s="622" t="s">
        <v>0</v>
      </c>
      <c r="K61" s="1786">
        <f>'Usulan Pembiayaan'!J51</f>
      </c>
      <c r="L61" s="1786"/>
      <c r="M61" s="1786"/>
      <c r="N61" s="1786"/>
      <c r="O61" s="1786"/>
      <c r="P61" s="1787"/>
      <c r="Q61" s="624"/>
      <c r="R61" s="442"/>
      <c r="S61" s="442"/>
      <c r="T61" s="442"/>
      <c r="U61" s="442"/>
      <c r="V61" s="442"/>
      <c r="W61" s="442"/>
      <c r="X61" s="442"/>
      <c r="Y61" s="623"/>
    </row>
    <row r="62" spans="1:30" s="294" customFormat="1" ht="15.75">
      <c r="A62" s="620"/>
      <c r="B62" s="621" t="s">
        <v>558</v>
      </c>
      <c r="C62" s="625">
        <f>'Usulan Pembiayaan'!B52</f>
      </c>
      <c r="D62" s="625"/>
      <c r="E62" s="625"/>
      <c r="F62" s="625"/>
      <c r="G62" s="625"/>
      <c r="H62" s="625"/>
      <c r="I62" s="625"/>
      <c r="J62" s="622" t="s">
        <v>0</v>
      </c>
      <c r="K62" s="1786">
        <f>'Usulan Pembiayaan'!J52</f>
      </c>
      <c r="L62" s="1786"/>
      <c r="M62" s="1786"/>
      <c r="N62" s="1786"/>
      <c r="O62" s="1786"/>
      <c r="P62" s="1787"/>
      <c r="Q62" s="624"/>
      <c r="R62" s="442"/>
      <c r="S62" s="442"/>
      <c r="T62" s="442"/>
      <c r="U62" s="442"/>
      <c r="V62" s="442"/>
      <c r="W62" s="442"/>
      <c r="X62" s="442"/>
      <c r="Y62" s="623"/>
    </row>
    <row r="63" spans="1:30" s="294" customFormat="1" ht="15.75">
      <c r="A63" s="620"/>
      <c r="B63" s="621" t="s">
        <v>623</v>
      </c>
      <c r="C63" s="625">
        <f>'Usulan Pembiayaan'!B53</f>
      </c>
      <c r="D63" s="625"/>
      <c r="E63" s="625"/>
      <c r="F63" s="625"/>
      <c r="G63" s="625"/>
      <c r="H63" s="625"/>
      <c r="I63" s="625"/>
      <c r="J63" s="622" t="s">
        <v>0</v>
      </c>
      <c r="K63" s="1786">
        <f>'Usulan Pembiayaan'!J53</f>
      </c>
      <c r="L63" s="1786"/>
      <c r="M63" s="1786"/>
      <c r="N63" s="1786"/>
      <c r="O63" s="1786"/>
      <c r="P63" s="1787"/>
      <c r="Q63" s="480"/>
      <c r="R63" s="480"/>
      <c r="S63" s="480"/>
      <c r="T63" s="480"/>
      <c r="U63" s="480"/>
      <c r="V63" s="480"/>
      <c r="W63" s="480"/>
      <c r="X63" s="480"/>
      <c r="Y63" s="629"/>
    </row>
    <row r="64" spans="1:30" s="294" customFormat="1" ht="15.75">
      <c r="A64" s="620"/>
      <c r="B64" s="621" t="s">
        <v>624</v>
      </c>
      <c r="C64" s="625">
        <f>'Usulan Pembiayaan'!B56</f>
      </c>
      <c r="D64" s="630"/>
      <c r="E64" s="630"/>
      <c r="F64" s="630"/>
      <c r="G64" s="630"/>
      <c r="H64" s="630"/>
      <c r="I64" s="630"/>
      <c r="J64" s="622" t="s">
        <v>0</v>
      </c>
      <c r="K64" s="1786">
        <f>'Usulan Pembiayaan'!J56</f>
      </c>
      <c r="L64" s="1786"/>
      <c r="M64" s="1786"/>
      <c r="N64" s="1786"/>
      <c r="O64" s="1786"/>
      <c r="P64" s="1787"/>
      <c r="Q64" s="646"/>
      <c r="R64" s="646"/>
      <c r="S64" s="646"/>
      <c r="T64" s="646"/>
      <c r="U64" s="480"/>
      <c r="V64" s="480"/>
      <c r="W64" s="480"/>
      <c r="X64" s="480"/>
      <c r="Y64" s="629"/>
    </row>
    <row r="65" spans="1:25" s="294" customFormat="1" ht="15.75" customHeight="1">
      <c r="A65" s="620"/>
      <c r="B65" s="621" t="s">
        <v>625</v>
      </c>
      <c r="C65" s="625">
        <f>'Usulan Pembiayaan'!B57</f>
      </c>
      <c r="D65" s="631"/>
      <c r="E65" s="631"/>
      <c r="F65" s="631"/>
      <c r="G65" s="631"/>
      <c r="H65" s="631"/>
      <c r="I65" s="631"/>
      <c r="J65" s="622" t="s">
        <v>0</v>
      </c>
      <c r="K65" s="1786">
        <f>'Usulan Pembiayaan'!J57</f>
      </c>
      <c r="L65" s="1786"/>
      <c r="M65" s="1786"/>
      <c r="N65" s="1786"/>
      <c r="O65" s="1786"/>
      <c r="P65" s="1787"/>
      <c r="Q65" s="646"/>
      <c r="R65" s="480"/>
      <c r="S65" s="1836"/>
      <c r="T65" s="1836"/>
      <c r="U65" s="647"/>
      <c r="V65" s="480"/>
      <c r="W65" s="480"/>
      <c r="X65" s="480"/>
      <c r="Y65" s="629"/>
    </row>
    <row r="66" spans="1:25" s="294" customFormat="1" ht="15.75" customHeight="1">
      <c r="A66" s="620"/>
      <c r="B66" s="621" t="s">
        <v>809</v>
      </c>
      <c r="C66" s="625">
        <f>'Usulan Pembiayaan'!B58</f>
      </c>
      <c r="D66" s="631"/>
      <c r="E66" s="631"/>
      <c r="F66" s="631"/>
      <c r="G66" s="631"/>
      <c r="H66" s="631"/>
      <c r="I66" s="631"/>
      <c r="J66" s="622" t="s">
        <v>0</v>
      </c>
      <c r="K66" s="1786">
        <f>'Usulan Pembiayaan'!J58</f>
      </c>
      <c r="L66" s="1786"/>
      <c r="M66" s="1786"/>
      <c r="N66" s="1786"/>
      <c r="O66" s="1786"/>
      <c r="P66" s="1787"/>
      <c r="Q66" s="646"/>
      <c r="R66" s="480"/>
      <c r="S66" s="632"/>
      <c r="T66" s="632"/>
      <c r="U66" s="647"/>
      <c r="V66" s="480"/>
      <c r="W66" s="480"/>
      <c r="X66" s="480"/>
      <c r="Y66" s="629"/>
    </row>
    <row r="67" spans="1:25" s="294" customFormat="1" ht="15.75" customHeight="1">
      <c r="A67" s="620"/>
      <c r="B67" s="621" t="s">
        <v>810</v>
      </c>
      <c r="C67" s="625">
        <f>'Usulan Pembiayaan'!B59</f>
      </c>
      <c r="D67" s="631"/>
      <c r="E67" s="631"/>
      <c r="F67" s="631"/>
      <c r="G67" s="631"/>
      <c r="H67" s="631"/>
      <c r="I67" s="631"/>
      <c r="J67" s="622" t="s">
        <v>0</v>
      </c>
      <c r="K67" s="1786">
        <f>'Usulan Pembiayaan'!J59</f>
      </c>
      <c r="L67" s="1786"/>
      <c r="M67" s="1786"/>
      <c r="N67" s="1786"/>
      <c r="O67" s="1786"/>
      <c r="P67" s="1787"/>
      <c r="Q67" s="646"/>
      <c r="R67" s="480"/>
      <c r="S67" s="632"/>
      <c r="T67" s="632"/>
      <c r="U67" s="647"/>
      <c r="V67" s="480"/>
      <c r="W67" s="480"/>
      <c r="X67" s="480"/>
      <c r="Y67" s="629"/>
    </row>
    <row r="68" spans="1:25" s="294" customFormat="1" ht="15.75" customHeight="1">
      <c r="A68" s="620"/>
      <c r="B68" s="621" t="s">
        <v>811</v>
      </c>
      <c r="C68" s="625">
        <f>'Usulan Pembiayaan'!B60</f>
      </c>
      <c r="D68" s="631"/>
      <c r="E68" s="631"/>
      <c r="F68" s="631"/>
      <c r="G68" s="631"/>
      <c r="H68" s="631"/>
      <c r="I68" s="631"/>
      <c r="J68" s="622" t="s">
        <v>0</v>
      </c>
      <c r="K68" s="1786">
        <f>'Usulan Pembiayaan'!J60</f>
      </c>
      <c r="L68" s="1786"/>
      <c r="M68" s="1786"/>
      <c r="N68" s="1786"/>
      <c r="O68" s="1786"/>
      <c r="P68" s="1787"/>
      <c r="Q68" s="646"/>
      <c r="R68" s="480"/>
      <c r="S68" s="632"/>
      <c r="T68" s="632"/>
      <c r="U68" s="647"/>
      <c r="V68" s="480"/>
      <c r="W68" s="480"/>
      <c r="X68" s="480"/>
      <c r="Y68" s="629"/>
    </row>
    <row r="69" spans="1:25" ht="17.25" customHeight="1">
      <c r="A69" s="648"/>
      <c r="B69" s="649"/>
      <c r="C69" s="1780"/>
      <c r="D69" s="1780"/>
      <c r="E69" s="1780"/>
      <c r="F69" s="1780"/>
      <c r="G69" s="1780"/>
      <c r="H69" s="1780"/>
      <c r="I69" s="1780"/>
      <c r="J69" s="1780"/>
      <c r="K69" s="1780"/>
      <c r="L69" s="1780"/>
      <c r="M69" s="1780"/>
      <c r="N69" s="1780"/>
      <c r="O69" s="1780"/>
      <c r="P69" s="1780"/>
      <c r="Q69" s="1780"/>
      <c r="R69" s="1780"/>
      <c r="S69" s="1780"/>
      <c r="T69" s="1780"/>
      <c r="U69" s="1780"/>
      <c r="V69" s="1780"/>
      <c r="W69" s="1780"/>
      <c r="X69" s="1780"/>
      <c r="Y69" s="1781"/>
    </row>
    <row r="70" ht="21" customHeight="1">
      <c r="A70" s="1782"/>
      <c r="B70" s="1783"/>
      <c r="C70" s="1783"/>
      <c r="D70" s="1783"/>
      <c r="E70" s="1783"/>
      <c r="F70" s="1783"/>
      <c r="G70" s="1783"/>
      <c r="H70" s="1783"/>
      <c r="I70" s="1783"/>
      <c r="J70" s="1783"/>
      <c r="K70" s="1783"/>
      <c r="L70" s="1783"/>
      <c r="M70" s="1783"/>
      <c r="N70" s="1783"/>
      <c r="O70" s="1783"/>
      <c r="P70" s="1783"/>
      <c r="Q70" s="1783"/>
      <c r="R70" s="1783"/>
      <c r="S70" s="1783"/>
      <c r="T70" s="1783"/>
      <c r="U70" s="1783"/>
      <c r="V70" s="1783"/>
      <c r="W70" s="1783"/>
      <c r="X70" s="1783"/>
      <c r="Y70" s="1784"/>
    </row>
    <row r="71" spans="1:25" ht="21.75" customHeight="1">
      <c r="A71" s="1006"/>
      <c r="B71" s="1007"/>
      <c r="C71" s="1775" t="s">
        <v>996</v>
      </c>
      <c r="D71" s="1775"/>
      <c r="E71" s="1775"/>
      <c r="F71" s="1775"/>
      <c r="G71" s="1775"/>
      <c r="H71" s="1775"/>
      <c r="I71" s="1775"/>
      <c r="J71" s="1775"/>
      <c r="K71" s="1008" t="s">
        <v>991</v>
      </c>
      <c r="L71" s="1008"/>
      <c r="M71" s="1008"/>
      <c r="N71" s="1008"/>
      <c r="O71" s="1008"/>
      <c r="P71" s="1008"/>
      <c r="Q71" s="1008"/>
      <c r="R71" s="1777"/>
      <c r="S71" s="1777"/>
      <c r="T71" s="1777"/>
      <c r="U71" s="1777"/>
      <c r="V71" s="1777"/>
      <c r="W71" s="1777"/>
      <c r="X71" s="1777"/>
      <c r="Y71" s="945"/>
    </row>
    <row r="72" spans="1:25">
      <c r="A72" s="1009"/>
      <c r="B72" s="1007"/>
      <c r="C72" s="1010"/>
      <c r="D72" s="1010"/>
      <c r="E72" s="1010"/>
      <c r="F72" s="1010"/>
      <c r="G72" s="1010"/>
      <c r="H72" s="1010"/>
      <c r="I72" s="1010"/>
      <c r="J72" s="1010"/>
      <c r="K72" s="1010"/>
      <c r="L72" s="1010"/>
      <c r="M72" s="1010"/>
      <c r="N72" s="1010"/>
      <c r="O72" s="1010"/>
      <c r="P72" s="1010"/>
      <c r="Q72" s="1010"/>
      <c r="R72" s="1010"/>
      <c r="S72" s="1010"/>
      <c r="T72" s="1010"/>
      <c r="U72" s="1010"/>
      <c r="V72" s="1010"/>
      <c r="W72" s="1010"/>
      <c r="X72" s="1010"/>
      <c r="Y72" s="946"/>
    </row>
    <row r="73" spans="1:25">
      <c r="A73" s="1009"/>
      <c r="B73" s="1007"/>
      <c r="C73" s="1008"/>
      <c r="D73" s="1008"/>
      <c r="E73" s="1008"/>
      <c r="F73" s="1008"/>
      <c r="G73" s="1008"/>
      <c r="H73" s="1008"/>
      <c r="I73" s="1008"/>
      <c r="J73" s="1008"/>
      <c r="K73" s="1008"/>
      <c r="L73" s="1008"/>
      <c r="M73" s="1008"/>
      <c r="N73" s="1008"/>
      <c r="O73" s="1008"/>
      <c r="P73" s="1008"/>
      <c r="Q73" s="1008"/>
      <c r="R73" s="1008"/>
      <c r="S73" s="1008"/>
      <c r="T73" s="1008"/>
      <c r="U73" s="1008"/>
      <c r="V73" s="1008"/>
      <c r="W73" s="1008"/>
      <c r="X73" s="1008"/>
      <c r="Y73" s="945"/>
    </row>
    <row r="74" spans="1:25">
      <c r="A74" s="1011"/>
      <c r="B74" s="1012"/>
      <c r="C74" s="1008"/>
      <c r="D74" s="1008"/>
      <c r="E74" s="1008"/>
      <c r="F74" s="1008"/>
      <c r="G74" s="1008"/>
      <c r="H74" s="1008"/>
      <c r="I74" s="1008"/>
      <c r="J74" s="1008"/>
      <c r="K74" s="1008"/>
      <c r="L74" s="1008"/>
      <c r="M74" s="1008"/>
      <c r="N74" s="1008"/>
      <c r="O74" s="1008"/>
      <c r="P74" s="1008"/>
      <c r="Q74" s="1008"/>
      <c r="R74" s="1008"/>
      <c r="S74" s="1008"/>
      <c r="T74" s="1008"/>
      <c r="U74" s="1008"/>
      <c r="V74" s="1008"/>
      <c r="W74" s="1008"/>
      <c r="X74" s="1008"/>
      <c r="Y74" s="945"/>
    </row>
    <row r="75" ht="16.5">
      <c r="A75" s="1013"/>
      <c r="B75" s="1014"/>
      <c r="C75" s="1778"/>
      <c r="D75" s="1778"/>
      <c r="E75" s="1778"/>
      <c r="F75" s="1778"/>
      <c r="G75" s="1778"/>
      <c r="H75" s="1778"/>
      <c r="I75" s="1778"/>
      <c r="J75" s="1778"/>
      <c r="K75" s="1015"/>
      <c r="L75" s="1016"/>
      <c r="M75" s="1016"/>
      <c r="N75" s="1016"/>
      <c r="O75" s="1007"/>
      <c r="P75" s="1007"/>
      <c r="Q75" s="1008"/>
      <c r="R75" s="1779"/>
      <c r="S75" s="1779"/>
      <c r="T75" s="1779"/>
      <c r="U75" s="1779"/>
      <c r="V75" s="1779"/>
      <c r="W75" s="1779"/>
      <c r="X75" s="1779"/>
      <c r="Y75" s="945"/>
    </row>
    <row r="76" spans="1:25" ht="20.25" customHeight="1" thickBot="1">
      <c r="A76" s="1017"/>
      <c r="B76" s="1018"/>
      <c r="C76" s="1773" t="s">
        <v>506</v>
      </c>
      <c r="D76" s="1773"/>
      <c r="E76" s="1773"/>
      <c r="F76" s="1773"/>
      <c r="G76" s="1773"/>
      <c r="H76" s="1773"/>
      <c r="I76" s="1773"/>
      <c r="J76" s="1773"/>
      <c r="K76" s="1019" t="s">
        <v>998</v>
      </c>
      <c r="L76" s="1019"/>
      <c r="M76" s="1019"/>
      <c r="N76" s="1019"/>
      <c r="O76" s="1019"/>
      <c r="P76" s="1019"/>
      <c r="Q76" s="1020"/>
      <c r="R76" s="1774" t="s">
        <v>1030</v>
      </c>
      <c r="S76" s="1774"/>
      <c r="T76" s="1774"/>
      <c r="U76" s="1774"/>
      <c r="V76" s="1774"/>
      <c r="W76" s="1774"/>
      <c r="X76" s="1774"/>
      <c r="Y76" s="947"/>
    </row>
    <row r="77" spans="1:25" ht="34.5" customHeight="1">
      <c r="A77" s="126"/>
      <c r="B77" s="188"/>
      <c r="C77" s="1776"/>
      <c r="D77" s="1776"/>
      <c r="E77" s="1776"/>
      <c r="F77" s="1776"/>
      <c r="G77" s="1776"/>
      <c r="H77" s="1776"/>
      <c r="I77" s="1776"/>
      <c r="J77" s="1776"/>
      <c r="K77" s="1776"/>
      <c r="L77" s="1776"/>
      <c r="M77" s="1776"/>
      <c r="N77" s="1776"/>
      <c r="O77" s="1776"/>
      <c r="P77" s="1776"/>
      <c r="Q77" s="1776"/>
      <c r="R77" s="1776"/>
      <c r="S77" s="1776"/>
      <c r="T77" s="1776"/>
      <c r="U77" s="1776"/>
      <c r="V77" s="1776"/>
      <c r="W77" s="1776"/>
      <c r="X77" s="1776"/>
      <c r="Y77" s="1776"/>
    </row>
    <row r="78" spans="1:25">
      <c r="A78" s="126"/>
      <c r="B78" s="189"/>
      <c r="C78" s="1776"/>
      <c r="D78" s="1776"/>
      <c r="E78" s="1776"/>
      <c r="F78" s="1776"/>
      <c r="G78" s="1776"/>
      <c r="H78" s="1776"/>
      <c r="I78" s="1776"/>
      <c r="J78" s="1776"/>
      <c r="K78" s="1776"/>
      <c r="L78" s="1776"/>
      <c r="M78" s="1776"/>
      <c r="N78" s="1776"/>
      <c r="O78" s="1776"/>
      <c r="P78" s="1776"/>
      <c r="Q78" s="1776"/>
      <c r="R78" s="1776"/>
      <c r="S78" s="1776"/>
      <c r="T78" s="1776"/>
      <c r="U78" s="1776"/>
      <c r="V78" s="1776"/>
      <c r="W78" s="1776"/>
      <c r="X78" s="1776"/>
      <c r="Y78" s="1776"/>
    </row>
    <row r="79" spans="1:25">
      <c r="A79" s="126"/>
      <c r="B79" s="189"/>
      <c r="C79" s="1776"/>
      <c r="D79" s="1776"/>
      <c r="E79" s="1776"/>
      <c r="F79" s="1776"/>
      <c r="G79" s="1776"/>
      <c r="H79" s="1776"/>
      <c r="I79" s="1776"/>
      <c r="J79" s="1776"/>
      <c r="K79" s="1776"/>
      <c r="L79" s="1776"/>
      <c r="M79" s="1776"/>
      <c r="N79" s="1776"/>
      <c r="O79" s="1776"/>
      <c r="P79" s="1776"/>
      <c r="Q79" s="1776"/>
      <c r="R79" s="1776"/>
      <c r="S79" s="1776"/>
      <c r="T79" s="1776"/>
      <c r="U79" s="1776"/>
      <c r="V79" s="1776"/>
      <c r="W79" s="1776"/>
      <c r="X79" s="1776"/>
      <c r="Y79" s="1776"/>
    </row>
    <row r="80" spans="1:25">
      <c r="A80" s="126"/>
      <c r="B80" s="190"/>
      <c r="C80" s="569"/>
      <c r="D80" s="569"/>
      <c r="E80" s="569"/>
      <c r="F80" s="569"/>
      <c r="G80" s="569"/>
      <c r="H80" s="569"/>
      <c r="I80" s="569"/>
      <c r="J80" s="569"/>
      <c r="K80" s="569"/>
      <c r="L80" s="569"/>
      <c r="M80" s="569"/>
      <c r="N80" s="569"/>
      <c r="O80" s="569"/>
      <c r="P80" s="569"/>
      <c r="Q80" s="569"/>
      <c r="R80" s="569"/>
      <c r="S80" s="569"/>
      <c r="T80" s="569"/>
      <c r="U80" s="569"/>
      <c r="V80" s="569"/>
      <c r="W80" s="569"/>
      <c r="X80" s="569"/>
      <c r="Y80" s="569"/>
    </row>
    <row r="81" spans="1:25" ht="15.75">
      <c r="A81" s="126"/>
      <c r="B81" s="125"/>
      <c r="C81" s="126"/>
      <c r="D81" s="126"/>
      <c r="E81" s="126"/>
      <c r="F81" s="126"/>
      <c r="G81" s="126"/>
      <c r="H81" s="126"/>
      <c r="I81" s="126"/>
      <c r="J81" s="126"/>
      <c r="K81" s="126"/>
      <c r="L81" s="126"/>
      <c r="M81" s="126"/>
      <c r="N81" s="126"/>
      <c r="O81" s="126"/>
      <c r="P81" s="126"/>
      <c r="Q81" s="126"/>
      <c r="R81" s="126"/>
      <c r="S81" s="126"/>
      <c r="T81" s="126"/>
      <c r="U81" s="126"/>
      <c r="V81" s="126"/>
      <c r="W81" s="126"/>
      <c r="X81" s="126"/>
      <c r="Y81" s="126"/>
    </row>
    <row r="82" spans="1:25">
      <c r="A82" s="191"/>
      <c r="B82" s="117"/>
      <c r="C82" s="124"/>
      <c r="D82" s="117"/>
      <c r="E82" s="117"/>
      <c r="F82" s="117"/>
      <c r="G82" s="117"/>
      <c r="H82" s="117"/>
      <c r="I82" s="117"/>
      <c r="J82" s="117"/>
      <c r="K82" s="117"/>
      <c r="L82" s="117"/>
      <c r="M82" s="117"/>
      <c r="N82" s="117"/>
      <c r="O82" s="117"/>
      <c r="P82" s="117"/>
      <c r="Q82" s="117"/>
      <c r="R82" s="117"/>
      <c r="S82" s="117"/>
      <c r="T82" s="117"/>
      <c r="U82" s="117"/>
      <c r="V82" s="117"/>
      <c r="W82" s="117"/>
      <c r="X82" s="117"/>
      <c r="Y82" s="117"/>
    </row>
    <row r="83" spans="1:25">
      <c r="A83" s="568"/>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row>
    <row r="84" spans="1:25">
      <c r="A84" s="191"/>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row>
    <row r="85" spans="1:25">
      <c r="A85" s="568"/>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row>
  </sheetData>
  <sheetProtection algorithmName="SHA-512" hashValue="Zaa7xyCOSv1FdI1I7hOdg1ZaxOnjlY6wGjaQ1X5qREOziJDsbgxP4aBbrdNQvYcsUHl50/b6m/EeFtd0TtR9Cw==" saltValue="CVVojrspCzfsLpJxPylhOQ==" spinCount="100000" sheet="1" objects="1" scenarios="1" formatCells="0" formatColumns="0" formatRows="0" insertColumns="0" insertRows="0" deleteColumns="0" deleteRows="0"/>
  <mergeCells count="96">
    <mergeCell ref="M48:Y48"/>
    <mergeCell ref="S65:T65"/>
    <mergeCell ref="Q60:Y60"/>
    <mergeCell ref="K66:P66"/>
    <mergeCell ref="K67:P67"/>
    <mergeCell ref="B50:L50"/>
    <mergeCell ref="K60:P60"/>
    <mergeCell ref="K61:P61"/>
    <mergeCell ref="K62:P62"/>
    <mergeCell ref="C55:I55"/>
    <mergeCell ref="C56:I56"/>
    <mergeCell ref="M50:Y50"/>
    <mergeCell ref="A52:Y52"/>
    <mergeCell ref="B48:L48"/>
    <mergeCell ref="M38:Y38"/>
    <mergeCell ref="M40:Y40"/>
    <mergeCell ref="B47:L47"/>
    <mergeCell ref="M47:Y47"/>
    <mergeCell ref="B42:L42"/>
    <mergeCell ref="B38:L38"/>
    <mergeCell ref="B40:L40"/>
    <mergeCell ref="B41:L41"/>
    <mergeCell ref="B44:L44"/>
    <mergeCell ref="M44:Y44"/>
    <mergeCell ref="B45:L45"/>
    <mergeCell ref="M45:Y45"/>
    <mergeCell ref="M42:Y42"/>
    <mergeCell ref="M41:Y41"/>
    <mergeCell ref="B31:L31"/>
    <mergeCell ref="M31:Y31"/>
    <mergeCell ref="B35:L35"/>
    <mergeCell ref="M35:Y35"/>
    <mergeCell ref="B37:L37"/>
    <mergeCell ref="M34:Y34"/>
    <mergeCell ref="B33:L33"/>
    <mergeCell ref="M33:Y33"/>
    <mergeCell ref="B34:L34"/>
    <mergeCell ref="B32:L32"/>
    <mergeCell ref="M32:Y32"/>
    <mergeCell ref="M37:Y37"/>
    <mergeCell ref="N15:Q15"/>
    <mergeCell ref="N16:Q16"/>
    <mergeCell ref="M28:Y28"/>
    <mergeCell ref="B30:L30"/>
    <mergeCell ref="M30:Y30"/>
    <mergeCell ref="M24:Y24"/>
    <mergeCell ref="M25:Y25"/>
    <mergeCell ref="B27:L27"/>
    <mergeCell ref="M26:Y26"/>
    <mergeCell ref="M27:Y27"/>
    <mergeCell ref="M29:Y29"/>
    <mergeCell ref="B29:L29"/>
    <mergeCell ref="B28:L28"/>
    <mergeCell ref="N17:Q17"/>
    <mergeCell ref="A18:Y18"/>
    <mergeCell ref="M23:Y23"/>
    <mergeCell ref="A1:Y1"/>
    <mergeCell ref="A7:Y7"/>
    <mergeCell ref="N11:W11"/>
    <mergeCell ref="N13:Q13"/>
    <mergeCell ref="N14:Q14"/>
    <mergeCell ref="N12:W12"/>
    <mergeCell ref="A6:Y6"/>
    <mergeCell ref="N9:W9"/>
    <mergeCell ref="N10:W10"/>
    <mergeCell ref="N8:W8"/>
    <mergeCell ref="A2:Y4"/>
    <mergeCell ref="B23:L23"/>
    <mergeCell ref="A19:Y19"/>
    <mergeCell ref="B24:L24"/>
    <mergeCell ref="B25:L25"/>
    <mergeCell ref="B26:L26"/>
    <mergeCell ref="B22:L22"/>
    <mergeCell ref="B21:L21"/>
    <mergeCell ref="M22:Y22"/>
    <mergeCell ref="M21:Y21"/>
    <mergeCell ref="C69:Y69"/>
    <mergeCell ref="A70:Y70"/>
    <mergeCell ref="C57:I57"/>
    <mergeCell ref="C58:I58"/>
    <mergeCell ref="K68:P68"/>
    <mergeCell ref="K59:P59"/>
    <mergeCell ref="K57:L57"/>
    <mergeCell ref="K58:P58"/>
    <mergeCell ref="K63:P63"/>
    <mergeCell ref="K64:P64"/>
    <mergeCell ref="K65:P65"/>
    <mergeCell ref="C76:J76"/>
    <mergeCell ref="R76:X76"/>
    <mergeCell ref="C71:J71"/>
    <mergeCell ref="C78:Y78"/>
    <mergeCell ref="C79:Y79"/>
    <mergeCell ref="C77:Y77"/>
    <mergeCell ref="R71:X71"/>
    <mergeCell ref="C75:J75"/>
    <mergeCell ref="R75:X75"/>
  </mergeCells>
  <pageMargins left="0.9" right="0.3" top="0.4" bottom="0.4" header="0.3" footer="0.3"/>
  <pageSetup paperSize="10000" scale="81" fitToWidth="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0"/>
  <sheetViews>
    <sheetView topLeftCell="A16" zoomScaleNormal="100" workbookViewId="0">
      <selection activeCell="D9" sqref="D9"/>
    </sheetView>
  </sheetViews>
  <sheetFormatPr defaultRowHeight="15"/>
  <cols>
    <col min="1" max="1" width="5" customWidth="1"/>
    <col min="2" max="2" width="26" customWidth="1"/>
    <col min="3" max="3" width="3" customWidth="1"/>
    <col min="4" max="4" width="7.28515625" customWidth="1"/>
    <col min="6" max="6" width="15.7109375" bestFit="1" customWidth="1"/>
    <col min="8" max="8" width="11.5703125" customWidth="1"/>
    <col min="10" max="10" width="24.7109375" bestFit="1" customWidth="1"/>
    <col min="12" max="12" width="27.5703125" bestFit="1" customWidth="1"/>
    <col min="13" max="13" width="17.28515625" bestFit="1" customWidth="1"/>
  </cols>
  <sheetData>
    <row r="1" spans="1:13" ht="21">
      <c r="A1" s="1854" t="s">
        <v>999</v>
      </c>
      <c r="B1" s="1855"/>
      <c r="C1" s="1855"/>
      <c r="D1" s="1855"/>
      <c r="E1" s="1855"/>
      <c r="F1" s="1855"/>
      <c r="G1" s="1855"/>
      <c r="H1" s="1856"/>
    </row>
    <row r="2" spans="1:13">
      <c r="A2" s="980" t="s">
        <v>1023</v>
      </c>
      <c r="B2" s="981"/>
      <c r="C2" s="981"/>
      <c r="D2" s="981"/>
      <c r="E2" s="981"/>
      <c r="F2" s="981"/>
      <c r="G2" s="981"/>
      <c r="H2" s="982"/>
    </row>
    <row r="3" spans="1:13">
      <c r="A3" s="980" t="s">
        <v>1024</v>
      </c>
      <c r="B3" s="981"/>
      <c r="C3" s="981"/>
      <c r="D3" s="981"/>
      <c r="E3" s="981"/>
      <c r="F3" s="981"/>
      <c r="G3" s="981"/>
      <c r="H3" s="982"/>
    </row>
    <row r="4" spans="1:13">
      <c r="A4" s="983" t="s">
        <v>7</v>
      </c>
      <c r="B4" s="981" t="s">
        <v>1000</v>
      </c>
      <c r="C4" s="984" t="s">
        <v>0</v>
      </c>
      <c r="D4" s="994">
        <f>'Informasi Pokok'!D11:J11</f>
      </c>
      <c r="E4" s="981"/>
      <c r="F4" s="981"/>
      <c r="G4" s="981"/>
      <c r="H4" s="982"/>
    </row>
    <row r="5">
      <c r="A5" s="983" t="s">
        <v>7</v>
      </c>
      <c r="B5" s="981" t="s">
        <v>1001</v>
      </c>
      <c r="C5" s="984" t="s">
        <v>0</v>
      </c>
      <c r="D5" s="1857"/>
      <c r="E5" s="1857"/>
      <c r="F5" s="981"/>
      <c r="G5" s="981"/>
      <c r="H5" s="982"/>
    </row>
    <row r="6" spans="1:13">
      <c r="A6" s="983" t="s">
        <v>7</v>
      </c>
      <c r="B6" s="981" t="s">
        <v>1002</v>
      </c>
      <c r="C6" s="984" t="s">
        <v>0</v>
      </c>
      <c r="D6" s="1851">
        <f>F11*D7+D5</f>
      </c>
      <c r="E6" s="1851"/>
      <c r="F6" s="981"/>
      <c r="G6" s="981"/>
      <c r="H6" s="982"/>
    </row>
    <row r="7">
      <c r="A7" s="983" t="s">
        <v>7</v>
      </c>
      <c r="B7" s="985" t="s">
        <v>512</v>
      </c>
      <c r="C7" s="984" t="s">
        <v>0</v>
      </c>
      <c r="D7" s="985"/>
      <c r="E7" s="981" t="s">
        <v>3</v>
      </c>
      <c r="F7" s="981"/>
      <c r="G7" s="981"/>
      <c r="H7" s="982"/>
    </row>
    <row r="8">
      <c r="A8" s="983" t="s">
        <v>7</v>
      </c>
      <c r="B8" s="985" t="s">
        <v>1003</v>
      </c>
      <c r="C8" s="984" t="s">
        <v>0</v>
      </c>
      <c r="D8" s="985"/>
      <c r="E8" s="981"/>
      <c r="F8" s="981"/>
      <c r="G8" s="981"/>
      <c r="H8" s="982"/>
    </row>
    <row r="9" ht="16.5">
      <c r="A9" s="983" t="s">
        <v>7</v>
      </c>
      <c r="B9" s="986" t="s">
        <v>1004</v>
      </c>
      <c r="C9" s="984" t="s">
        <v>0</v>
      </c>
      <c r="D9" s="985"/>
      <c r="E9" s="981"/>
      <c r="F9" s="981"/>
      <c r="G9" s="981"/>
      <c r="H9" s="982"/>
      <c r="J9" s="961"/>
      <c r="L9" s="962"/>
    </row>
    <row r="10" ht="16.5">
      <c r="A10" s="983" t="s">
        <v>7</v>
      </c>
      <c r="B10" s="986" t="s">
        <v>791</v>
      </c>
      <c r="C10" s="984" t="s">
        <v>0</v>
      </c>
      <c r="D10" s="1852"/>
      <c r="E10" s="1852"/>
      <c r="F10" s="987">
        <f>D5/D7</f>
      </c>
      <c r="G10" s="988"/>
      <c r="H10" s="982"/>
      <c r="J10" s="961"/>
      <c r="M10" s="962"/>
    </row>
    <row r="11" ht="16.5">
      <c r="A11" s="983" t="s">
        <v>7</v>
      </c>
      <c r="B11" s="986" t="s">
        <v>1005</v>
      </c>
      <c r="C11" s="984" t="s">
        <v>0</v>
      </c>
      <c r="D11" s="1853"/>
      <c r="E11" s="1853"/>
      <c r="F11" s="988">
        <f>D5*D19</f>
      </c>
      <c r="G11" s="988"/>
      <c r="H11" s="982"/>
      <c r="J11" s="961"/>
      <c r="M11" s="962"/>
    </row>
    <row r="12" spans="1:13" ht="16.5">
      <c r="A12" s="983" t="s">
        <v>7</v>
      </c>
      <c r="B12" s="986" t="s">
        <v>1006</v>
      </c>
      <c r="C12" s="984" t="s">
        <v>0</v>
      </c>
      <c r="D12" s="1851">
        <f>F10+F11</f>
      </c>
      <c r="E12" s="1851"/>
      <c r="F12" s="981"/>
      <c r="G12" s="981"/>
      <c r="H12" s="982"/>
      <c r="J12" s="961"/>
      <c r="L12" s="962"/>
    </row>
    <row r="13" spans="1:13" ht="16.5">
      <c r="A13" s="983"/>
      <c r="B13" s="986" t="s">
        <v>1072</v>
      </c>
      <c r="C13" s="984" t="s">
        <v>0</v>
      </c>
      <c r="D13" s="1851">
        <f>D12/2</f>
      </c>
      <c r="E13" s="1851"/>
      <c r="F13" s="981"/>
      <c r="G13" s="981"/>
      <c r="H13" s="982"/>
      <c r="J13" s="961"/>
      <c r="L13" s="962"/>
    </row>
    <row r="14" spans="1:13" ht="16.5">
      <c r="A14" s="983"/>
      <c r="B14" s="986" t="s">
        <v>1073</v>
      </c>
      <c r="C14" s="984" t="s">
        <v>0</v>
      </c>
      <c r="D14" s="1851">
        <f>D13</f>
      </c>
      <c r="E14" s="1851"/>
      <c r="F14" s="981"/>
      <c r="G14" s="981"/>
      <c r="H14" s="982"/>
      <c r="J14" s="961"/>
      <c r="L14" s="962"/>
    </row>
    <row r="15" ht="16.5">
      <c r="A15" s="983" t="s">
        <v>7</v>
      </c>
      <c r="B15" s="986" t="s">
        <v>1007</v>
      </c>
      <c r="C15" s="984" t="s">
        <v>0</v>
      </c>
      <c r="D15" s="985"/>
      <c r="E15" s="981"/>
      <c r="F15" s="981"/>
      <c r="G15" s="981"/>
      <c r="H15" s="982"/>
      <c r="J15" s="961"/>
      <c r="M15" s="962"/>
    </row>
    <row r="16" ht="16.5">
      <c r="A16" s="983" t="s">
        <v>7</v>
      </c>
      <c r="B16" s="986" t="s">
        <v>1074</v>
      </c>
      <c r="C16" s="984" t="s">
        <v>0</v>
      </c>
      <c r="D16" s="985"/>
      <c r="E16" s="981"/>
      <c r="F16" s="981"/>
      <c r="G16" s="981"/>
      <c r="H16" s="982"/>
      <c r="J16" s="961"/>
      <c r="M16" s="962"/>
    </row>
    <row r="17" spans="1:14" ht="15" customHeight="1">
      <c r="A17" s="983" t="s">
        <v>7</v>
      </c>
      <c r="B17" s="986" t="s">
        <v>1009</v>
      </c>
      <c r="C17" s="984" t="s">
        <v>0</v>
      </c>
      <c r="D17" s="1851">
        <f>D5*2.5%</f>
      </c>
      <c r="E17" s="1851"/>
      <c r="F17" s="981"/>
      <c r="G17" s="981"/>
      <c r="H17" s="982"/>
      <c r="J17" s="961"/>
      <c r="M17" s="962"/>
    </row>
    <row r="18" spans="1:14" ht="15" customHeight="1">
      <c r="A18" s="983" t="s">
        <v>7</v>
      </c>
      <c r="B18" s="986" t="s">
        <v>1010</v>
      </c>
      <c r="C18" s="984" t="s">
        <v>0</v>
      </c>
      <c r="D18" s="1851">
        <f>D12</f>
      </c>
      <c r="E18" s="1851"/>
      <c r="F18" s="981"/>
      <c r="G18" s="981"/>
      <c r="H18" s="982"/>
      <c r="J18" s="961"/>
      <c r="M18" s="962"/>
    </row>
    <row r="19" ht="15" customHeight="1">
      <c r="A19" s="983" t="s">
        <v>7</v>
      </c>
      <c r="B19" s="986" t="s">
        <v>1011</v>
      </c>
      <c r="C19" s="984" t="s">
        <v>0</v>
      </c>
      <c r="D19" s="989"/>
      <c r="E19" s="981"/>
      <c r="F19" s="981"/>
      <c r="G19" s="981"/>
      <c r="H19" s="982"/>
      <c r="J19" s="961"/>
      <c r="M19" s="962"/>
    </row>
    <row r="20" ht="15" customHeight="1">
      <c r="A20" s="983" t="s">
        <v>7</v>
      </c>
      <c r="B20" s="981" t="s">
        <v>1012</v>
      </c>
      <c r="C20" s="984" t="s">
        <v>0</v>
      </c>
      <c r="D20" s="985"/>
      <c r="E20" s="981"/>
      <c r="F20" s="981"/>
      <c r="G20" s="981"/>
      <c r="H20" s="982"/>
      <c r="J20" s="961"/>
      <c r="M20" s="962"/>
    </row>
    <row r="21" spans="1:14" ht="15" customHeight="1">
      <c r="A21" s="980"/>
      <c r="B21" s="981"/>
      <c r="C21" s="984"/>
      <c r="D21" s="981"/>
      <c r="E21" s="981"/>
      <c r="F21" s="981"/>
      <c r="G21" s="981"/>
      <c r="H21" s="982"/>
      <c r="J21" s="961"/>
      <c r="M21" s="962"/>
    </row>
    <row r="22" spans="1:14" ht="15" customHeight="1">
      <c r="A22" s="980"/>
      <c r="B22" s="981"/>
      <c r="C22" s="981"/>
      <c r="D22" s="981"/>
      <c r="E22" s="981"/>
      <c r="F22" s="981"/>
      <c r="G22" s="981"/>
      <c r="H22" s="982"/>
      <c r="J22" s="961"/>
      <c r="L22" s="962"/>
    </row>
    <row r="23" ht="15" customHeight="1">
      <c r="A23" s="958"/>
      <c r="B23" s="959"/>
      <c r="C23" s="959"/>
      <c r="D23" s="959"/>
      <c r="E23" s="959"/>
      <c r="F23" s="959"/>
      <c r="G23" s="959"/>
      <c r="H23" s="960"/>
      <c r="J23" s="961"/>
      <c r="M23" s="962"/>
    </row>
    <row r="24" spans="1:14" ht="15" customHeight="1">
      <c r="A24" s="1842" t="s">
        <v>996</v>
      </c>
      <c r="B24" s="1843"/>
      <c r="C24" s="997"/>
      <c r="D24" s="1843" t="s">
        <v>991</v>
      </c>
      <c r="E24" s="1843"/>
      <c r="F24" s="1843"/>
      <c r="G24" s="1843"/>
      <c r="H24" s="1845"/>
      <c r="J24" s="961"/>
      <c r="L24" s="962"/>
    </row>
    <row r="25" spans="1:14" ht="15" customHeight="1">
      <c r="A25" s="999"/>
      <c r="B25" s="996"/>
      <c r="C25" s="996"/>
      <c r="D25" s="996"/>
      <c r="E25" s="996"/>
      <c r="F25" s="996"/>
      <c r="G25" s="996"/>
      <c r="H25" s="1003"/>
      <c r="I25" s="963"/>
      <c r="J25" s="961"/>
      <c r="N25" s="962"/>
    </row>
    <row r="26" spans="1:14" ht="15" customHeight="1">
      <c r="A26" s="1000"/>
      <c r="B26" s="995"/>
      <c r="C26" s="995"/>
      <c r="D26" s="995"/>
      <c r="E26" s="995"/>
      <c r="F26" s="995"/>
      <c r="G26" s="995"/>
      <c r="H26" s="1004"/>
      <c r="I26" s="963"/>
      <c r="J26" s="964"/>
      <c r="M26" s="964"/>
    </row>
    <row r="27" spans="1:14">
      <c r="A27" s="1000"/>
      <c r="B27" s="995"/>
      <c r="C27" s="995"/>
      <c r="D27" s="995"/>
      <c r="E27" s="995"/>
      <c r="F27" s="995"/>
      <c r="G27" s="995"/>
      <c r="H27" s="1004"/>
      <c r="I27" s="963"/>
      <c r="J27" s="963"/>
      <c r="K27" s="963"/>
      <c r="L27" s="963"/>
    </row>
    <row r="28" ht="16.5">
      <c r="A28" s="1849"/>
      <c r="B28" s="1850"/>
      <c r="C28" s="998"/>
      <c r="D28" s="1846"/>
      <c r="E28" s="1846"/>
      <c r="F28" s="998"/>
      <c r="G28" s="1847"/>
      <c r="H28" s="1848"/>
      <c r="I28" s="965"/>
      <c r="J28" s="965"/>
      <c r="K28" s="965"/>
      <c r="L28" s="963"/>
    </row>
    <row r="29" spans="1:14">
      <c r="A29" s="1840" t="s">
        <v>506</v>
      </c>
      <c r="B29" s="1841"/>
      <c r="C29" s="1001"/>
      <c r="D29" s="1844" t="s">
        <v>998</v>
      </c>
      <c r="E29" s="1844"/>
      <c r="F29" s="1001"/>
      <c r="G29" s="1002" t="s">
        <v>1030</v>
      </c>
      <c r="H29" s="1005"/>
      <c r="I29" s="966"/>
      <c r="J29" s="966"/>
      <c r="K29" s="966"/>
      <c r="L29" s="963"/>
    </row>
    <row r="30" spans="1:14">
      <c r="A30" s="979"/>
      <c r="B30" s="979"/>
      <c r="C30" s="963"/>
      <c r="D30" s="963"/>
      <c r="E30" s="963"/>
      <c r="F30" s="963"/>
      <c r="G30" s="963"/>
      <c r="H30" s="963"/>
      <c r="I30" s="963"/>
      <c r="J30" s="963"/>
      <c r="K30" s="963"/>
      <c r="L30" s="963"/>
    </row>
  </sheetData>
  <mergeCells count="17">
    <mergeCell ref="D18:E18"/>
    <mergeCell ref="D10:E10"/>
    <mergeCell ref="D11:E11"/>
    <mergeCell ref="A1:H1"/>
    <mergeCell ref="D5:E5"/>
    <mergeCell ref="D6:E6"/>
    <mergeCell ref="D12:E12"/>
    <mergeCell ref="D17:E17"/>
    <mergeCell ref="D13:E13"/>
    <mergeCell ref="D14:E14"/>
    <mergeCell ref="A29:B29"/>
    <mergeCell ref="A24:B24"/>
    <mergeCell ref="D29:E29"/>
    <mergeCell ref="D24:H24"/>
    <mergeCell ref="D28:E28"/>
    <mergeCell ref="G28:H28"/>
    <mergeCell ref="A28:B28"/>
  </mergeCells>
  <pageMargins left="0.7" right="0.7" top="0.75" bottom="0.75" header="0.3" footer="0.3"/>
  <pageSetup fitToWidth="0"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G140"/>
  <sheetViews>
    <sheetView topLeftCell="A118" workbookViewId="0">
      <selection activeCell="F59" sqref="F59"/>
    </sheetView>
  </sheetViews>
  <sheetFormatPr defaultColWidth="9.140625" defaultRowHeight="14.25"/>
  <cols>
    <col min="1" max="1" width="5.42578125" style="145" customWidth="1"/>
    <col min="2" max="3" width="14.42578125" style="146" customWidth="1"/>
    <col min="4" max="5" width="18.85546875" style="128" customWidth="1"/>
    <col min="6" max="6" width="19.85546875" style="145" customWidth="1"/>
    <col min="7" max="7" width="9.140625" style="127"/>
    <col min="8" max="8" width="5.28515625" style="145" customWidth="1"/>
    <col min="9" max="9" width="15.28515625" style="146" bestFit="1" customWidth="1"/>
    <col min="10" max="10" width="17.85546875" style="146" customWidth="1"/>
    <col min="11" max="11" width="15.7109375" style="128" bestFit="1" customWidth="1"/>
    <col min="12" max="12" width="15.42578125" style="128" customWidth="1"/>
    <col min="13" max="15" width="16.42578125" style="145" customWidth="1"/>
    <col min="16" max="16" width="17.85546875" style="128" hidden="1" customWidth="1"/>
    <col min="17" max="17" width="16.42578125" style="127" hidden="1" customWidth="1"/>
    <col min="18" max="18" width="10.7109375" style="127" hidden="1" customWidth="1"/>
    <col min="19" max="19" width="9.140625" style="127" hidden="1" customWidth="1"/>
    <col min="20" max="20" width="14.7109375" style="127" hidden="1" customWidth="1"/>
    <col min="21" max="22" width="12.7109375" style="127" hidden="1" customWidth="1"/>
    <col min="23" max="23" width="17.85546875" style="127" hidden="1" customWidth="1"/>
    <col min="24" max="24" width="15" style="127" hidden="1" customWidth="1"/>
    <col min="25" max="25" width="14.7109375" style="127" hidden="1" customWidth="1"/>
    <col min="26" max="33" width="9.140625" style="127" hidden="1" customWidth="1"/>
    <col min="34" max="35" width="9.140625" style="127" customWidth="1"/>
    <col min="36" max="16384" width="9.140625" style="127"/>
  </cols>
  <sheetData>
    <row r="1" spans="1:30" ht="15">
      <c r="A1" s="1863">
        <f>"JADWAL ANGSURAN AKAD "&amp;'Keputusan Pembiayaan'!N12&amp;" ("&amp;Q25&amp;")"</f>
      </c>
      <c r="B1" s="1863"/>
      <c r="C1" s="1863"/>
      <c r="D1" s="1863"/>
      <c r="E1" s="1863"/>
      <c r="F1" s="1863"/>
      <c r="H1" s="1863">
        <f>"JADWAL ANGSURAN AKAD "&amp;'Keputusan Pembiayaan'!N12&amp;" ("&amp;R25&amp;")"</f>
      </c>
      <c r="I1" s="1863"/>
      <c r="J1" s="1863"/>
      <c r="K1" s="1863"/>
      <c r="L1" s="1863"/>
      <c r="M1" s="1863"/>
      <c r="N1" s="318"/>
      <c r="O1" s="318"/>
      <c r="W1" s="129" t="s">
        <v>606</v>
      </c>
      <c r="Z1" s="127">
        <f>0.83*12</f>
      </c>
      <c r="AA1" s="127">
        <f>1.5*12</f>
      </c>
    </row>
    <row r="2" spans="1:30" ht="18" customHeight="1">
      <c r="A2" s="1863">
        <f>"Atas Nama "&amp;'Keputusan Pembiayaan'!N11</f>
      </c>
      <c r="B2" s="1863"/>
      <c r="C2" s="1863"/>
      <c r="D2" s="1863"/>
      <c r="E2" s="1863"/>
      <c r="F2" s="1863"/>
      <c r="H2" s="1863">
        <f>"Atas Nama "&amp;'Keputusan Pembiayaan'!N11</f>
      </c>
      <c r="I2" s="1863"/>
      <c r="J2" s="1863"/>
      <c r="K2" s="1863"/>
      <c r="L2" s="1863"/>
      <c r="M2" s="1863"/>
      <c r="N2" s="318"/>
      <c r="O2" s="318"/>
      <c r="P2" s="130">
        <f>Q26</f>
      </c>
      <c r="Q2" s="130"/>
      <c r="W2" s="129" t="s">
        <v>607</v>
      </c>
      <c r="Z2" s="127">
        <v>1.1499999999999999</v>
      </c>
      <c r="AA2" s="127">
        <v>1.83</v>
      </c>
      <c r="AB2" s="127">
        <f>AA2-Z2</f>
      </c>
    </row>
    <row r="3" spans="1:30" ht="6" customHeight="1" thickBot="1">
      <c r="A3" s="131"/>
      <c r="B3" s="132">
        <f>'Informasi Pokok'!D6</f>
      </c>
      <c r="C3" s="132"/>
      <c r="D3" s="133"/>
      <c r="E3" s="133"/>
      <c r="F3" s="133"/>
      <c r="H3" s="131"/>
      <c r="I3" s="132">
        <v>1</v>
      </c>
      <c r="J3" s="132"/>
      <c r="K3" s="133"/>
      <c r="L3" s="133"/>
      <c r="M3" s="133"/>
      <c r="N3" s="133"/>
      <c r="O3" s="133"/>
    </row>
    <row r="4" spans="1:30" s="134" customFormat="1">
      <c r="A4" s="150"/>
      <c r="B4" s="151"/>
      <c r="C4" s="1864" t="s">
        <v>697</v>
      </c>
      <c r="D4" s="1864" t="s">
        <v>603</v>
      </c>
      <c r="E4" s="1864" t="s">
        <v>545</v>
      </c>
      <c r="F4" s="328"/>
      <c r="H4" s="150"/>
      <c r="I4" s="151"/>
      <c r="J4" s="1864" t="s">
        <v>696</v>
      </c>
      <c r="K4" s="1864" t="s">
        <v>603</v>
      </c>
      <c r="L4" s="1864" t="s">
        <v>545</v>
      </c>
      <c r="M4" s="328"/>
      <c r="N4" s="336"/>
      <c r="O4" s="336"/>
      <c r="P4" s="130" t="s">
        <v>84</v>
      </c>
      <c r="Q4" s="134" t="s">
        <v>608</v>
      </c>
      <c r="R4" s="130">
        <f>Q27</f>
      </c>
      <c r="S4" s="130"/>
      <c r="Z4" s="134">
        <f>Z2*12</f>
      </c>
      <c r="AB4" s="134">
        <f>AA2*12</f>
      </c>
      <c r="AC4" s="134">
        <f>AB4-Z4</f>
      </c>
      <c r="AD4" s="134">
        <f>AC4/12</f>
      </c>
    </row>
    <row r="5" spans="1:30" s="134" customFormat="1">
      <c r="A5" s="152" t="s">
        <v>613</v>
      </c>
      <c r="B5" s="153" t="s">
        <v>101</v>
      </c>
      <c r="C5" s="1865"/>
      <c r="D5" s="1865"/>
      <c r="E5" s="1865"/>
      <c r="F5" s="329" t="s">
        <v>609</v>
      </c>
      <c r="H5" s="152" t="s">
        <v>613</v>
      </c>
      <c r="I5" s="153" t="s">
        <v>101</v>
      </c>
      <c r="J5" s="1865"/>
      <c r="K5" s="1865"/>
      <c r="L5" s="1865"/>
      <c r="M5" s="329" t="s">
        <v>609</v>
      </c>
      <c r="N5" s="336"/>
      <c r="O5" s="336"/>
      <c r="P5" s="130" t="s">
        <v>430</v>
      </c>
      <c r="Q5" s="134" t="s">
        <v>492</v>
      </c>
      <c r="R5" s="342">
        <f>P37</f>
      </c>
      <c r="T5" s="128" t="s">
        <v>84</v>
      </c>
      <c r="U5" s="127"/>
      <c r="V5" s="1867" t="s">
        <v>430</v>
      </c>
      <c r="W5" s="1867"/>
      <c r="X5" s="1867"/>
      <c r="Y5" s="1867"/>
    </row>
    <row r="6" spans="1:30" s="134" customFormat="1" ht="15" thickBot="1">
      <c r="A6" s="330"/>
      <c r="B6" s="331"/>
      <c r="C6" s="1866"/>
      <c r="D6" s="1866"/>
      <c r="E6" s="1866"/>
      <c r="F6" s="332"/>
      <c r="H6" s="330"/>
      <c r="I6" s="331"/>
      <c r="J6" s="1866"/>
      <c r="K6" s="1866"/>
      <c r="L6" s="1866"/>
      <c r="M6" s="332"/>
      <c r="N6" s="336"/>
      <c r="O6" s="336"/>
      <c r="P6" s="130"/>
      <c r="Q6" s="134" t="s">
        <v>610</v>
      </c>
      <c r="R6" s="342">
        <f>Q38</f>
      </c>
      <c r="T6" s="127" t="s">
        <v>603</v>
      </c>
      <c r="U6" s="127" t="s">
        <v>545</v>
      </c>
      <c r="V6" s="148"/>
      <c r="W6" s="148" t="s">
        <v>603</v>
      </c>
      <c r="X6" s="148" t="s">
        <v>611</v>
      </c>
      <c r="Y6" s="149" t="s">
        <v>612</v>
      </c>
    </row>
    <row r="7" spans="1:30" ht="0.75" customHeight="1">
      <c r="A7" s="135"/>
      <c r="B7" s="136"/>
      <c r="C7" s="333"/>
      <c r="D7" s="137"/>
      <c r="E7" s="137"/>
      <c r="F7" s="138"/>
      <c r="H7" s="135"/>
      <c r="I7" s="136"/>
      <c r="J7" s="333"/>
      <c r="K7" s="137"/>
      <c r="L7" s="137"/>
      <c r="M7" s="334"/>
      <c r="N7" s="336"/>
      <c r="O7" s="336"/>
    </row>
    <row r="8" spans="1:30" ht="15.75">
      <c r="A8" s="154">
        <v>1</v>
      </c>
      <c r="B8" s="221">
        <f>IF(B3="","",DATE(YEAR(B3),MONTH(B3)+1,DAY(B3)))</f>
      </c>
      <c r="C8" s="218">
        <f>P2</f>
      </c>
      <c r="D8" s="217">
        <f>IF('Usulan Pembiayaan'!$M$55="Flat",T8,W8)+67</f>
      </c>
      <c r="E8" s="217">
        <f>IF('Usulan Pembiayaan'!$M$55="Flat",U8,X8)</f>
      </c>
      <c r="F8" s="218">
        <f>D8+E8</f>
      </c>
      <c r="H8" s="154">
        <v>1</v>
      </c>
      <c r="I8" s="335">
        <f>B8</f>
      </c>
      <c r="J8" s="218">
        <f>P2</f>
      </c>
      <c r="K8" s="217">
        <f>IF('Usulan Pembiayaan'!$M$55="Flat",W8,T8)</f>
      </c>
      <c r="L8" s="217">
        <f>IF('Usulan Pembiayaan'!$M$55="Flat",X8,U8)</f>
      </c>
      <c r="M8" s="218">
        <f>K8+L8+67</f>
      </c>
      <c r="N8" s="337"/>
      <c r="O8" s="337"/>
      <c r="P8" s="339">
        <f>PMT(R6%/12,R4,-P2,2)</f>
      </c>
      <c r="Q8" s="128">
        <v>2200000</v>
      </c>
      <c r="T8" s="140">
        <f>(ROUNDDOWN(P2/R4,1))</f>
      </c>
      <c r="U8" s="140">
        <f>P2*R5</f>
      </c>
      <c r="V8" s="140">
        <f>P2</f>
      </c>
      <c r="W8" s="140">
        <f>Y8-X8</f>
      </c>
      <c r="X8" s="140">
        <f>(ROUNDDOWN(V8*$R$6/12,1))</f>
      </c>
      <c r="Y8" s="128">
        <f>PMT(R6/12,R4,-P2)</f>
      </c>
    </row>
    <row r="9" spans="1:30" ht="15.75">
      <c r="A9" s="154">
        <v>2</v>
      </c>
      <c r="B9" s="221">
        <f>IF(B8="","",DATE(YEAR(B8),MONTH(B8)+1,DAY(B8)))</f>
      </c>
      <c r="C9" s="218">
        <f>C8-D8</f>
      </c>
      <c r="D9" s="217">
        <f>IF('Usulan Pembiayaan'!$M$55="Flat",T9,W9)+67</f>
      </c>
      <c r="E9" s="217">
        <f>IF('Usulan Pembiayaan'!$M$55="Flat",U9,X9)</f>
      </c>
      <c r="F9" s="218">
        <f t="shared" ref="F9:F72" si="0">D9+E9</f>
      </c>
      <c r="H9" s="154">
        <v>2</v>
      </c>
      <c r="I9" s="221">
        <f>IF(I8="","",DATE(YEAR(I8),MONTH(I8)+1,DAY(I8)))</f>
      </c>
      <c r="J9" s="218">
        <f>J8-K8</f>
      </c>
      <c r="K9" s="217">
        <f>IF('Usulan Pembiayaan'!$M$55="Flat",W9,T9)</f>
      </c>
      <c r="L9" s="217">
        <f>IF('Usulan Pembiayaan'!$M$55="Flat",X9,U9)</f>
      </c>
      <c r="M9" s="218">
        <f t="shared" ref="M9:M55" si="1">K9+L9+67</f>
      </c>
      <c r="N9" s="337"/>
      <c r="O9" s="337"/>
      <c r="P9" s="141">
        <f>(P2+U129)/R4</f>
      </c>
      <c r="Q9" s="128">
        <v>2034425.7</v>
      </c>
      <c r="T9" s="142">
        <f t="shared" ref="T9:T40" si="2">IF(A9&lt;=$R$4,$P$2/$R$4,0)</f>
      </c>
      <c r="U9" s="142">
        <f>IF(A9&lt;=$R$4,$U$8,0)</f>
      </c>
      <c r="V9" s="140">
        <f t="shared" ref="V9:V40" si="3">IF(A9&lt;=$R$4,V8-W8,0)</f>
      </c>
      <c r="W9" s="140">
        <f>Y9-X9</f>
      </c>
      <c r="X9" s="140">
        <f>IF(A9&lt;=$R$4,V9*$R$6/12,0)</f>
      </c>
      <c r="Y9" s="128">
        <f>IF(A9&lt;=$R$4,$Y$8,0)</f>
      </c>
    </row>
    <row r="10" spans="1:30" ht="15">
      <c r="A10" s="155">
        <v>3</v>
      </c>
      <c r="B10" s="221">
        <f t="shared" ref="B10:B73" si="4">IF(B9="","",DATE(YEAR(B9),MONTH(B9)+1,DAY(B9)))</f>
      </c>
      <c r="C10" s="218">
        <f t="shared" ref="C10:C73" si="5">C9-D9</f>
      </c>
      <c r="D10" s="217">
        <f>IF('Usulan Pembiayaan'!$M$55="Flat",T10,W10)+67</f>
      </c>
      <c r="E10" s="217">
        <f>IF('Usulan Pembiayaan'!$M$55="Flat",U10,X10)</f>
      </c>
      <c r="F10" s="218">
        <f t="shared" si="0"/>
      </c>
      <c r="H10" s="155">
        <v>3</v>
      </c>
      <c r="I10" s="221">
        <f t="shared" ref="I10:I73" si="6">IF(I9="","",DATE(YEAR(I9),MONTH(I9)+1,DAY(I9)))</f>
      </c>
      <c r="J10" s="218">
        <f t="shared" ref="J10:J73" si="7">J9-K9</f>
      </c>
      <c r="K10" s="217">
        <f>IF('Usulan Pembiayaan'!$M$55="Flat",W10,T10)</f>
      </c>
      <c r="L10" s="217">
        <f>IF('Usulan Pembiayaan'!$M$55="Flat",X10,U10)</f>
      </c>
      <c r="M10" s="218">
        <f t="shared" si="1"/>
      </c>
      <c r="N10" s="337"/>
      <c r="O10" s="337"/>
      <c r="P10" s="143">
        <f>P9-P8</f>
      </c>
      <c r="Q10" s="128">
        <v>1865815.8</v>
      </c>
      <c r="T10" s="142">
        <f t="shared" si="2"/>
      </c>
      <c r="U10" s="142">
        <f t="shared" ref="U10:U73" si="8">IF(A10&lt;=$R$4,$U$8,0)</f>
      </c>
      <c r="V10" s="140">
        <f t="shared" si="3"/>
      </c>
      <c r="W10" s="140">
        <f t="shared" ref="W10:W73" si="9">Y10-X10</f>
      </c>
      <c r="X10" s="140">
        <f t="shared" ref="X10:X73" si="10">IF(A10&lt;=$R$4,V10*$R$6/12,0)</f>
      </c>
      <c r="Y10" s="128">
        <f t="shared" ref="Y10:Y73" si="11">IF(A10&lt;=$R$4,$Y$8,0)</f>
      </c>
    </row>
    <row r="11" spans="1:30" ht="15">
      <c r="A11" s="154">
        <v>4</v>
      </c>
      <c r="B11" s="221">
        <f t="shared" si="4"/>
      </c>
      <c r="C11" s="218">
        <f t="shared" si="5"/>
      </c>
      <c r="D11" s="217">
        <f>IF('Usulan Pembiayaan'!$M$55="Flat",T11,W11)+67</f>
      </c>
      <c r="E11" s="217">
        <f>IF('Usulan Pembiayaan'!$M$55="Flat",U11,X11)</f>
      </c>
      <c r="F11" s="218">
        <f t="shared" si="0"/>
      </c>
      <c r="H11" s="154">
        <v>4</v>
      </c>
      <c r="I11" s="221">
        <f t="shared" si="6"/>
      </c>
      <c r="J11" s="218">
        <f t="shared" si="7"/>
      </c>
      <c r="K11" s="217">
        <f>IF('Usulan Pembiayaan'!$M$55="Flat",W11,T11)</f>
      </c>
      <c r="L11" s="217">
        <f>IF('Usulan Pembiayaan'!$M$55="Flat",X11,U11)</f>
      </c>
      <c r="M11" s="218">
        <f t="shared" si="1"/>
      </c>
      <c r="N11" s="337"/>
      <c r="O11" s="337"/>
      <c r="Q11" s="128">
        <v>1694114.8</v>
      </c>
      <c r="T11" s="142">
        <f t="shared" si="2"/>
      </c>
      <c r="U11" s="142">
        <f t="shared" si="8"/>
      </c>
      <c r="V11" s="140">
        <f t="shared" si="3"/>
      </c>
      <c r="W11" s="140">
        <f t="shared" si="9"/>
      </c>
      <c r="X11" s="140">
        <f t="shared" si="10"/>
      </c>
      <c r="Y11" s="128">
        <f t="shared" si="11"/>
      </c>
    </row>
    <row r="12" spans="1:30" ht="15">
      <c r="A12" s="155">
        <v>5</v>
      </c>
      <c r="B12" s="221">
        <f t="shared" si="4"/>
      </c>
      <c r="C12" s="218">
        <f t="shared" si="5"/>
      </c>
      <c r="D12" s="217">
        <f>IF('Usulan Pembiayaan'!$M$55="Flat",T12,W12)+67</f>
      </c>
      <c r="E12" s="217">
        <f>IF('Usulan Pembiayaan'!$M$55="Flat",U12,X12)</f>
      </c>
      <c r="F12" s="218">
        <f t="shared" si="0"/>
      </c>
      <c r="H12" s="155">
        <v>5</v>
      </c>
      <c r="I12" s="221">
        <f t="shared" si="6"/>
      </c>
      <c r="J12" s="218">
        <f t="shared" si="7"/>
      </c>
      <c r="K12" s="217">
        <f>IF('Usulan Pembiayaan'!$M$55="Flat",W12,T12)</f>
      </c>
      <c r="L12" s="217">
        <f>IF('Usulan Pembiayaan'!$M$55="Flat",X12,U12)</f>
      </c>
      <c r="M12" s="218">
        <f t="shared" si="1"/>
      </c>
      <c r="N12" s="337"/>
      <c r="O12" s="337"/>
      <c r="P12" s="128">
        <f>X129</f>
      </c>
      <c r="Q12" s="128">
        <v>1519266</v>
      </c>
      <c r="T12" s="142">
        <f t="shared" si="2"/>
      </c>
      <c r="U12" s="142">
        <f t="shared" si="8"/>
      </c>
      <c r="V12" s="140">
        <f t="shared" si="3"/>
      </c>
      <c r="W12" s="140">
        <f t="shared" si="9"/>
      </c>
      <c r="X12" s="140">
        <f t="shared" si="10"/>
      </c>
      <c r="Y12" s="128">
        <f t="shared" si="11"/>
      </c>
    </row>
    <row r="13" spans="1:30" ht="15">
      <c r="A13" s="154">
        <v>6</v>
      </c>
      <c r="B13" s="221">
        <f t="shared" si="4"/>
      </c>
      <c r="C13" s="218">
        <f t="shared" si="5"/>
      </c>
      <c r="D13" s="217">
        <f>IF('Usulan Pembiayaan'!$M$55="Flat",T13,W13)+67</f>
      </c>
      <c r="E13" s="217">
        <f>IF('Usulan Pembiayaan'!$M$55="Flat",U13,X13)</f>
      </c>
      <c r="F13" s="218">
        <f t="shared" si="0"/>
      </c>
      <c r="H13" s="154">
        <v>6</v>
      </c>
      <c r="I13" s="221">
        <f t="shared" si="6"/>
      </c>
      <c r="J13" s="218">
        <f t="shared" si="7"/>
      </c>
      <c r="K13" s="217">
        <f>IF('Usulan Pembiayaan'!$M$55="Flat",W13,T13)</f>
      </c>
      <c r="L13" s="217">
        <f>IF('Usulan Pembiayaan'!$M$55="Flat",X13,U13)</f>
      </c>
      <c r="M13" s="218">
        <f t="shared" si="1"/>
      </c>
      <c r="N13" s="337"/>
      <c r="O13" s="337"/>
      <c r="P13" s="127">
        <f>P12/P2*100/R4</f>
      </c>
      <c r="Q13" s="128">
        <v>1341211.5</v>
      </c>
      <c r="T13" s="142">
        <f t="shared" si="2"/>
      </c>
      <c r="U13" s="142">
        <f t="shared" si="8"/>
      </c>
      <c r="V13" s="140">
        <f t="shared" si="3"/>
      </c>
      <c r="W13" s="140">
        <f t="shared" si="9"/>
      </c>
      <c r="X13" s="140">
        <f t="shared" si="10"/>
      </c>
      <c r="Y13" s="128">
        <f t="shared" si="11"/>
      </c>
    </row>
    <row r="14" spans="1:30" ht="15">
      <c r="A14" s="155">
        <v>7</v>
      </c>
      <c r="B14" s="221">
        <f t="shared" si="4"/>
      </c>
      <c r="C14" s="218">
        <f t="shared" si="5"/>
      </c>
      <c r="D14" s="217">
        <f>IF('Usulan Pembiayaan'!$M$55="Flat",T14,W14)+67</f>
      </c>
      <c r="E14" s="217">
        <f>IF('Usulan Pembiayaan'!$M$55="Flat",U14,X14)</f>
      </c>
      <c r="F14" s="218">
        <f t="shared" si="0"/>
      </c>
      <c r="H14" s="155">
        <v>7</v>
      </c>
      <c r="I14" s="221">
        <f t="shared" si="6"/>
      </c>
      <c r="J14" s="218">
        <f t="shared" si="7"/>
      </c>
      <c r="K14" s="217">
        <f>IF('Usulan Pembiayaan'!$M$55="Flat",W14,T14)</f>
      </c>
      <c r="L14" s="217">
        <f>IF('Usulan Pembiayaan'!$M$55="Flat",X14,U14)</f>
      </c>
      <c r="M14" s="218">
        <f t="shared" si="1"/>
      </c>
      <c r="N14" s="337"/>
      <c r="O14" s="337"/>
      <c r="Q14" s="128">
        <v>1159892.8</v>
      </c>
      <c r="T14" s="142">
        <f t="shared" si="2"/>
      </c>
      <c r="U14" s="142">
        <f t="shared" si="8"/>
      </c>
      <c r="V14" s="140">
        <f t="shared" si="3"/>
      </c>
      <c r="W14" s="140">
        <f t="shared" si="9"/>
      </c>
      <c r="X14" s="140">
        <f t="shared" si="10"/>
      </c>
      <c r="Y14" s="128">
        <f t="shared" si="11"/>
      </c>
    </row>
    <row r="15" spans="1:30" ht="15">
      <c r="A15" s="154">
        <v>8</v>
      </c>
      <c r="B15" s="221">
        <f t="shared" si="4"/>
      </c>
      <c r="C15" s="218">
        <f t="shared" si="5"/>
      </c>
      <c r="D15" s="217">
        <f>IF('Usulan Pembiayaan'!$M$55="Flat",T15,W15)+67</f>
      </c>
      <c r="E15" s="217">
        <f>IF('Usulan Pembiayaan'!$M$55="Flat",U15,X15)</f>
      </c>
      <c r="F15" s="218">
        <f t="shared" si="0"/>
      </c>
      <c r="H15" s="154">
        <v>8</v>
      </c>
      <c r="I15" s="221">
        <f t="shared" si="6"/>
      </c>
      <c r="J15" s="218">
        <f t="shared" si="7"/>
      </c>
      <c r="K15" s="217">
        <f>IF('Usulan Pembiayaan'!$M$55="Flat",W15,T15)</f>
      </c>
      <c r="L15" s="217">
        <f>IF('Usulan Pembiayaan'!$M$55="Flat",X15,U15)</f>
      </c>
      <c r="M15" s="218">
        <f t="shared" si="1"/>
      </c>
      <c r="N15" s="337"/>
      <c r="O15" s="337"/>
      <c r="P15" s="128">
        <f>U129</f>
      </c>
      <c r="Q15" s="128">
        <v>975249.8</v>
      </c>
      <c r="T15" s="142">
        <f t="shared" si="2"/>
      </c>
      <c r="U15" s="142">
        <f t="shared" si="8"/>
      </c>
      <c r="V15" s="140">
        <f t="shared" si="3"/>
      </c>
      <c r="W15" s="140">
        <f t="shared" si="9"/>
      </c>
      <c r="X15" s="140">
        <f t="shared" si="10"/>
      </c>
      <c r="Y15" s="128">
        <f t="shared" si="11"/>
      </c>
    </row>
    <row r="16" spans="1:30" ht="15">
      <c r="A16" s="155">
        <v>9</v>
      </c>
      <c r="B16" s="221">
        <f t="shared" si="4"/>
      </c>
      <c r="C16" s="218">
        <f t="shared" si="5"/>
      </c>
      <c r="D16" s="217">
        <f>IF('Usulan Pembiayaan'!$M$55="Flat",T16,W16)+67</f>
      </c>
      <c r="E16" s="217">
        <f>IF('Usulan Pembiayaan'!$M$55="Flat",U16,X16)</f>
      </c>
      <c r="F16" s="218">
        <f t="shared" si="0"/>
      </c>
      <c r="H16" s="155">
        <v>9</v>
      </c>
      <c r="I16" s="221">
        <f t="shared" si="6"/>
      </c>
      <c r="J16" s="218">
        <f t="shared" si="7"/>
      </c>
      <c r="K16" s="217">
        <f>IF('Usulan Pembiayaan'!$M$55="Flat",W16,T16)</f>
      </c>
      <c r="L16" s="217">
        <f>IF('Usulan Pembiayaan'!$M$55="Flat",X16,U16)</f>
      </c>
      <c r="M16" s="218">
        <f t="shared" si="1"/>
      </c>
      <c r="N16" s="337"/>
      <c r="O16" s="337"/>
      <c r="P16" s="127">
        <f>P15/P2*100/R4</f>
      </c>
      <c r="Q16" s="128">
        <v>787221.8</v>
      </c>
      <c r="T16" s="142">
        <f t="shared" si="2"/>
      </c>
      <c r="U16" s="142">
        <f t="shared" si="8"/>
      </c>
      <c r="V16" s="140">
        <f t="shared" si="3"/>
      </c>
      <c r="W16" s="140">
        <f t="shared" si="9"/>
      </c>
      <c r="X16" s="140">
        <f t="shared" si="10"/>
      </c>
      <c r="Y16" s="128">
        <f t="shared" si="11"/>
      </c>
    </row>
    <row r="17" spans="1:25" ht="15">
      <c r="A17" s="154">
        <v>10</v>
      </c>
      <c r="B17" s="221">
        <f t="shared" si="4"/>
      </c>
      <c r="C17" s="218">
        <f t="shared" si="5"/>
      </c>
      <c r="D17" s="217">
        <f>IF('Usulan Pembiayaan'!$M$55="Flat",T17,W17)+67</f>
      </c>
      <c r="E17" s="217">
        <f>IF('Usulan Pembiayaan'!$M$55="Flat",U17,X17)</f>
      </c>
      <c r="F17" s="218">
        <f t="shared" si="0"/>
      </c>
      <c r="H17" s="154">
        <v>10</v>
      </c>
      <c r="I17" s="221">
        <f t="shared" si="6"/>
      </c>
      <c r="J17" s="218">
        <f t="shared" si="7"/>
      </c>
      <c r="K17" s="217">
        <f>IF('Usulan Pembiayaan'!$M$55="Flat",W17,T17)</f>
      </c>
      <c r="L17" s="217">
        <f>IF('Usulan Pembiayaan'!$M$55="Flat",X17,U17)</f>
      </c>
      <c r="M17" s="218">
        <f t="shared" si="1"/>
      </c>
      <c r="N17" s="337"/>
      <c r="O17" s="337"/>
      <c r="Q17" s="128">
        <v>595746.6</v>
      </c>
      <c r="T17" s="142">
        <f t="shared" si="2"/>
      </c>
      <c r="U17" s="142">
        <f t="shared" si="8"/>
      </c>
      <c r="V17" s="140">
        <f t="shared" si="3"/>
      </c>
      <c r="W17" s="140">
        <f t="shared" si="9"/>
      </c>
      <c r="X17" s="140">
        <f t="shared" si="10"/>
      </c>
      <c r="Y17" s="128">
        <f t="shared" si="11"/>
      </c>
    </row>
    <row r="18" spans="1:25" ht="15">
      <c r="A18" s="155">
        <v>11</v>
      </c>
      <c r="B18" s="221">
        <f t="shared" si="4"/>
      </c>
      <c r="C18" s="218">
        <f t="shared" si="5"/>
      </c>
      <c r="D18" s="217">
        <f>IF('Usulan Pembiayaan'!$M$55="Flat",T18,W18)+67</f>
      </c>
      <c r="E18" s="217">
        <f>IF('Usulan Pembiayaan'!$M$55="Flat",U18,X18)</f>
      </c>
      <c r="F18" s="218">
        <f t="shared" si="0"/>
      </c>
      <c r="H18" s="155">
        <v>11</v>
      </c>
      <c r="I18" s="221">
        <f t="shared" si="6"/>
      </c>
      <c r="J18" s="218">
        <f t="shared" si="7"/>
      </c>
      <c r="K18" s="217">
        <f>IF('Usulan Pembiayaan'!$M$55="Flat",W18,T18)</f>
      </c>
      <c r="L18" s="217">
        <f>IF('Usulan Pembiayaan'!$M$55="Flat",X18,U18)</f>
      </c>
      <c r="M18" s="218">
        <f t="shared" si="1"/>
      </c>
      <c r="N18" s="337"/>
      <c r="O18" s="337"/>
      <c r="Q18" s="128">
        <v>400760.9</v>
      </c>
      <c r="T18" s="142">
        <f t="shared" si="2"/>
      </c>
      <c r="U18" s="142">
        <f t="shared" si="8"/>
      </c>
      <c r="V18" s="140">
        <f t="shared" si="3"/>
      </c>
      <c r="W18" s="140">
        <f t="shared" si="9"/>
      </c>
      <c r="X18" s="140">
        <f t="shared" si="10"/>
      </c>
      <c r="Y18" s="128">
        <f t="shared" si="11"/>
      </c>
    </row>
    <row r="19" spans="1:25" ht="15">
      <c r="A19" s="154">
        <v>12</v>
      </c>
      <c r="B19" s="221">
        <f t="shared" si="4"/>
      </c>
      <c r="C19" s="218">
        <f t="shared" si="5"/>
      </c>
      <c r="D19" s="217">
        <f>IF('Usulan Pembiayaan'!$M$55="Flat",T19,W19)+67</f>
      </c>
      <c r="E19" s="217">
        <f>IF('Usulan Pembiayaan'!$M$55="Flat",U19,X19)</f>
      </c>
      <c r="F19" s="218">
        <f t="shared" si="0"/>
      </c>
      <c r="H19" s="154">
        <v>12</v>
      </c>
      <c r="I19" s="221">
        <f t="shared" si="6"/>
      </c>
      <c r="J19" s="218">
        <f t="shared" si="7"/>
      </c>
      <c r="K19" s="217">
        <f>IF('Usulan Pembiayaan'!$M$55="Flat",W19,T19)</f>
      </c>
      <c r="L19" s="217">
        <f>IF('Usulan Pembiayaan'!$M$55="Flat",X19,U19)</f>
      </c>
      <c r="M19" s="218">
        <f t="shared" si="1"/>
      </c>
      <c r="N19" s="337"/>
      <c r="O19" s="337"/>
      <c r="Q19" s="128">
        <v>202200.6</v>
      </c>
      <c r="T19" s="142">
        <f t="shared" si="2"/>
      </c>
      <c r="U19" s="142">
        <f t="shared" si="8"/>
      </c>
      <c r="V19" s="140">
        <f t="shared" si="3"/>
      </c>
      <c r="W19" s="140">
        <f t="shared" si="9"/>
      </c>
      <c r="X19" s="140">
        <f t="shared" si="10"/>
      </c>
      <c r="Y19" s="128">
        <f t="shared" si="11"/>
      </c>
    </row>
    <row r="20" spans="1:25" ht="15">
      <c r="A20" s="155">
        <v>13</v>
      </c>
      <c r="B20" s="221">
        <f t="shared" si="4"/>
      </c>
      <c r="C20" s="218">
        <f t="shared" si="5"/>
      </c>
      <c r="D20" s="217">
        <f>IF('Usulan Pembiayaan'!$M$55="Flat",T20,W20)+67</f>
      </c>
      <c r="E20" s="217">
        <f>IF('Usulan Pembiayaan'!$M$55="Flat",U20,X20)</f>
      </c>
      <c r="F20" s="218">
        <f t="shared" si="0"/>
      </c>
      <c r="H20" s="155">
        <v>13</v>
      </c>
      <c r="I20" s="221">
        <f t="shared" si="6"/>
      </c>
      <c r="J20" s="218">
        <f t="shared" si="7"/>
      </c>
      <c r="K20" s="217">
        <f>IF('Usulan Pembiayaan'!$M$55="Flat",W20,T20)</f>
      </c>
      <c r="L20" s="217">
        <f>IF('Usulan Pembiayaan'!$M$55="Flat",X20,U20)</f>
      </c>
      <c r="M20" s="218">
        <f t="shared" si="1"/>
      </c>
      <c r="N20" s="337"/>
      <c r="O20" s="337"/>
      <c r="T20" s="142">
        <f t="shared" si="2"/>
      </c>
      <c r="U20" s="142">
        <f t="shared" si="8"/>
      </c>
      <c r="V20" s="140">
        <f t="shared" si="3"/>
      </c>
      <c r="W20" s="140">
        <f t="shared" si="9"/>
      </c>
      <c r="X20" s="140">
        <f t="shared" si="10"/>
      </c>
      <c r="Y20" s="128">
        <f t="shared" si="11"/>
      </c>
    </row>
    <row r="21" spans="1:25" ht="15">
      <c r="A21" s="154">
        <v>14</v>
      </c>
      <c r="B21" s="221">
        <f t="shared" si="4"/>
      </c>
      <c r="C21" s="218">
        <f t="shared" si="5"/>
      </c>
      <c r="D21" s="217">
        <f>IF('Usulan Pembiayaan'!$M$55="Flat",T21,W21)+67</f>
      </c>
      <c r="E21" s="217">
        <f>IF('Usulan Pembiayaan'!$M$55="Flat",U21,X21)</f>
      </c>
      <c r="F21" s="218">
        <f t="shared" si="0"/>
      </c>
      <c r="H21" s="154">
        <v>14</v>
      </c>
      <c r="I21" s="221">
        <f t="shared" si="6"/>
      </c>
      <c r="J21" s="218">
        <f t="shared" si="7"/>
      </c>
      <c r="K21" s="217">
        <f>IF('Usulan Pembiayaan'!$M$55="Flat",W21,T21)</f>
      </c>
      <c r="L21" s="217">
        <f>IF('Usulan Pembiayaan'!$M$55="Flat",X21,U21)</f>
      </c>
      <c r="M21" s="218">
        <f t="shared" si="1"/>
      </c>
      <c r="N21" s="337"/>
      <c r="O21" s="337"/>
      <c r="T21" s="142">
        <f t="shared" si="2"/>
      </c>
      <c r="U21" s="142">
        <f t="shared" si="8"/>
      </c>
      <c r="V21" s="140">
        <f t="shared" si="3"/>
      </c>
      <c r="W21" s="140">
        <f t="shared" si="9"/>
      </c>
      <c r="X21" s="140">
        <f t="shared" si="10"/>
      </c>
      <c r="Y21" s="128">
        <f t="shared" si="11"/>
      </c>
    </row>
    <row r="22" spans="1:25" ht="15">
      <c r="A22" s="155">
        <v>15</v>
      </c>
      <c r="B22" s="221">
        <f t="shared" si="4"/>
      </c>
      <c r="C22" s="218">
        <f t="shared" si="5"/>
      </c>
      <c r="D22" s="217">
        <f>IF('Usulan Pembiayaan'!$M$55="Flat",T22,W22)+67</f>
      </c>
      <c r="E22" s="217">
        <f>IF('Usulan Pembiayaan'!$M$55="Flat",U22,X22)</f>
      </c>
      <c r="F22" s="218">
        <f t="shared" si="0"/>
      </c>
      <c r="H22" s="155">
        <v>15</v>
      </c>
      <c r="I22" s="221">
        <f t="shared" si="6"/>
      </c>
      <c r="J22" s="218">
        <f t="shared" si="7"/>
      </c>
      <c r="K22" s="217">
        <f>IF('Usulan Pembiayaan'!$M$55="Flat",W22,T22)</f>
      </c>
      <c r="L22" s="217">
        <f>IF('Usulan Pembiayaan'!$M$55="Flat",X22,U22)</f>
      </c>
      <c r="M22" s="218">
        <f t="shared" si="1"/>
      </c>
      <c r="N22" s="337"/>
      <c r="O22" s="337"/>
      <c r="T22" s="142">
        <f t="shared" si="2"/>
      </c>
      <c r="U22" s="142">
        <f t="shared" si="8"/>
      </c>
      <c r="V22" s="140">
        <f t="shared" si="3"/>
      </c>
      <c r="W22" s="140">
        <f t="shared" si="9"/>
      </c>
      <c r="X22" s="140">
        <f t="shared" si="10"/>
      </c>
      <c r="Y22" s="128">
        <f t="shared" si="11"/>
      </c>
    </row>
    <row r="23" spans="1:25" ht="15">
      <c r="A23" s="154">
        <v>16</v>
      </c>
      <c r="B23" s="221">
        <f t="shared" si="4"/>
      </c>
      <c r="C23" s="218">
        <f t="shared" si="5"/>
      </c>
      <c r="D23" s="217">
        <f>IF('Usulan Pembiayaan'!$M$55="Flat",T23,W23)+67</f>
      </c>
      <c r="E23" s="217">
        <f>IF('Usulan Pembiayaan'!$M$55="Flat",U23,X23)</f>
      </c>
      <c r="F23" s="218">
        <f t="shared" si="0"/>
      </c>
      <c r="H23" s="154">
        <v>16</v>
      </c>
      <c r="I23" s="221">
        <f t="shared" si="6"/>
      </c>
      <c r="J23" s="218">
        <f t="shared" si="7"/>
      </c>
      <c r="K23" s="217">
        <f>IF('Usulan Pembiayaan'!$M$55="Flat",W23,T23)</f>
      </c>
      <c r="L23" s="217">
        <f>IF('Usulan Pembiayaan'!$M$55="Flat",X23,U23)</f>
      </c>
      <c r="M23" s="218">
        <f t="shared" si="1"/>
      </c>
      <c r="N23" s="337"/>
      <c r="O23" s="337"/>
      <c r="T23" s="142">
        <f t="shared" si="2"/>
      </c>
      <c r="U23" s="142">
        <f t="shared" si="8"/>
      </c>
      <c r="V23" s="140">
        <f t="shared" si="3"/>
      </c>
      <c r="W23" s="140">
        <f t="shared" si="9"/>
      </c>
      <c r="X23" s="140">
        <f t="shared" si="10"/>
      </c>
      <c r="Y23" s="128">
        <f t="shared" si="11"/>
      </c>
    </row>
    <row r="24" spans="1:25" ht="15">
      <c r="A24" s="155">
        <v>17</v>
      </c>
      <c r="B24" s="221">
        <f t="shared" si="4"/>
      </c>
      <c r="C24" s="218">
        <f t="shared" si="5"/>
      </c>
      <c r="D24" s="217">
        <f>IF('Usulan Pembiayaan'!$M$55="Flat",T24,W24)+67</f>
      </c>
      <c r="E24" s="217">
        <f>IF('Usulan Pembiayaan'!$M$55="Flat",U24,X24)</f>
      </c>
      <c r="F24" s="218">
        <f t="shared" si="0"/>
      </c>
      <c r="H24" s="155">
        <v>17</v>
      </c>
      <c r="I24" s="221">
        <f t="shared" si="6"/>
      </c>
      <c r="J24" s="218">
        <f t="shared" si="7"/>
      </c>
      <c r="K24" s="217">
        <f>IF('Usulan Pembiayaan'!$M$55="Flat",W24,T24)</f>
      </c>
      <c r="L24" s="217">
        <f>IF('Usulan Pembiayaan'!$M$55="Flat",X24,U24)</f>
      </c>
      <c r="M24" s="218">
        <f t="shared" si="1"/>
      </c>
      <c r="N24" s="337"/>
      <c r="O24" s="337"/>
      <c r="P24" s="1862" t="s">
        <v>689</v>
      </c>
      <c r="Q24" s="1862"/>
      <c r="T24" s="142">
        <f t="shared" si="2"/>
      </c>
      <c r="U24" s="142">
        <f t="shared" si="8"/>
      </c>
      <c r="V24" s="140">
        <f t="shared" si="3"/>
      </c>
      <c r="W24" s="140">
        <f t="shared" si="9"/>
      </c>
      <c r="X24" s="140">
        <f t="shared" si="10"/>
      </c>
      <c r="Y24" s="128">
        <f t="shared" si="11"/>
      </c>
    </row>
    <row r="25" spans="1:25" ht="15">
      <c r="A25" s="154">
        <v>18</v>
      </c>
      <c r="B25" s="221">
        <f t="shared" si="4"/>
      </c>
      <c r="C25" s="218">
        <f t="shared" si="5"/>
      </c>
      <c r="D25" s="217">
        <f>IF('Usulan Pembiayaan'!$M$55="Flat",T25,W25)+67</f>
      </c>
      <c r="E25" s="217">
        <f>IF('Usulan Pembiayaan'!$M$55="Flat",U25,X25)</f>
      </c>
      <c r="F25" s="218">
        <f t="shared" si="0"/>
      </c>
      <c r="H25" s="154">
        <v>18</v>
      </c>
      <c r="I25" s="221">
        <f t="shared" si="6"/>
      </c>
      <c r="J25" s="218">
        <f t="shared" si="7"/>
      </c>
      <c r="K25" s="217">
        <f>IF('Usulan Pembiayaan'!$M$55="Flat",W25,T25)</f>
      </c>
      <c r="L25" s="217">
        <f>IF('Usulan Pembiayaan'!$M$55="Flat",X25,U25)</f>
      </c>
      <c r="M25" s="218">
        <f t="shared" si="1"/>
      </c>
      <c r="N25" s="337"/>
      <c r="O25" s="337"/>
      <c r="P25" s="340" t="s">
        <v>690</v>
      </c>
      <c r="Q25" s="319">
        <f>'Usulan Pembiayaan'!M55</f>
      </c>
      <c r="R25" s="343">
        <f>IF(Q25="Flat","Efektif","Flat")</f>
      </c>
      <c r="T25" s="142">
        <f t="shared" si="2"/>
      </c>
      <c r="U25" s="142">
        <f t="shared" si="8"/>
      </c>
      <c r="V25" s="140">
        <f t="shared" si="3"/>
      </c>
      <c r="W25" s="140">
        <f t="shared" si="9"/>
      </c>
      <c r="X25" s="140">
        <f t="shared" si="10"/>
      </c>
      <c r="Y25" s="128">
        <f t="shared" si="11"/>
      </c>
    </row>
    <row r="26" spans="1:25" ht="15">
      <c r="A26" s="155">
        <v>19</v>
      </c>
      <c r="B26" s="221">
        <f t="shared" si="4"/>
      </c>
      <c r="C26" s="218">
        <f t="shared" si="5"/>
      </c>
      <c r="D26" s="217">
        <f>IF('Usulan Pembiayaan'!$M$55="Flat",T26,W26)+67</f>
      </c>
      <c r="E26" s="217">
        <f>IF('Usulan Pembiayaan'!$M$55="Flat",U26,X26)</f>
      </c>
      <c r="F26" s="218">
        <f t="shared" si="0"/>
      </c>
      <c r="H26" s="155">
        <v>19</v>
      </c>
      <c r="I26" s="221">
        <f t="shared" si="6"/>
      </c>
      <c r="J26" s="218">
        <f t="shared" si="7"/>
      </c>
      <c r="K26" s="217">
        <f>IF('Usulan Pembiayaan'!$M$55="Flat",W26,T26)</f>
      </c>
      <c r="L26" s="217">
        <f>IF('Usulan Pembiayaan'!$M$55="Flat",X26,U26)</f>
      </c>
      <c r="M26" s="218">
        <f t="shared" si="1"/>
      </c>
      <c r="N26" s="337"/>
      <c r="O26" s="337"/>
      <c r="P26" s="340" t="s">
        <v>691</v>
      </c>
      <c r="Q26" s="320">
        <f>'Usulan Pembiayaan'!J53</f>
      </c>
      <c r="T26" s="142">
        <f t="shared" si="2"/>
      </c>
      <c r="U26" s="142">
        <f t="shared" si="8"/>
      </c>
      <c r="V26" s="140">
        <f t="shared" si="3"/>
      </c>
      <c r="W26" s="140">
        <f t="shared" si="9"/>
      </c>
      <c r="X26" s="140">
        <f t="shared" si="10"/>
      </c>
      <c r="Y26" s="128">
        <f t="shared" si="11"/>
      </c>
    </row>
    <row r="27" spans="1:25" ht="15">
      <c r="A27" s="154">
        <v>20</v>
      </c>
      <c r="B27" s="221">
        <f t="shared" si="4"/>
      </c>
      <c r="C27" s="218">
        <f t="shared" si="5"/>
      </c>
      <c r="D27" s="217">
        <f>IF('Usulan Pembiayaan'!$M$55="Flat",T27,W27)+67</f>
      </c>
      <c r="E27" s="217">
        <f>IF('Usulan Pembiayaan'!$M$55="Flat",U27,X27)</f>
      </c>
      <c r="F27" s="218">
        <f t="shared" si="0"/>
      </c>
      <c r="H27" s="154">
        <v>20</v>
      </c>
      <c r="I27" s="221">
        <f t="shared" si="6"/>
      </c>
      <c r="J27" s="218">
        <f t="shared" si="7"/>
      </c>
      <c r="K27" s="217">
        <f>IF('Usulan Pembiayaan'!$M$55="Flat",W27,T27)</f>
      </c>
      <c r="L27" s="217">
        <f>IF('Usulan Pembiayaan'!$M$55="Flat",X27,U27)</f>
      </c>
      <c r="M27" s="218">
        <f t="shared" si="1"/>
      </c>
      <c r="N27" s="337"/>
      <c r="O27" s="337"/>
      <c r="P27" s="340" t="s">
        <v>2</v>
      </c>
      <c r="Q27" s="321">
        <f>'Usulan Pembiayaan'!J54</f>
      </c>
      <c r="T27" s="142">
        <f t="shared" si="2"/>
      </c>
      <c r="U27" s="142">
        <f t="shared" si="8"/>
      </c>
      <c r="V27" s="140">
        <f t="shared" si="3"/>
      </c>
      <c r="W27" s="140">
        <f t="shared" si="9"/>
      </c>
      <c r="X27" s="140">
        <f t="shared" si="10"/>
      </c>
      <c r="Y27" s="128">
        <f t="shared" si="11"/>
      </c>
    </row>
    <row r="28" spans="1:25" ht="15">
      <c r="A28" s="155">
        <v>21</v>
      </c>
      <c r="B28" s="221">
        <f t="shared" si="4"/>
      </c>
      <c r="C28" s="218">
        <f t="shared" si="5"/>
      </c>
      <c r="D28" s="217">
        <f>IF('Usulan Pembiayaan'!$M$55="Flat",T28,W28)+67</f>
      </c>
      <c r="E28" s="217">
        <f>IF('Usulan Pembiayaan'!$M$55="Flat",U28,X28)</f>
      </c>
      <c r="F28" s="218">
        <f t="shared" si="0"/>
      </c>
      <c r="H28" s="155">
        <v>21</v>
      </c>
      <c r="I28" s="221">
        <f t="shared" si="6"/>
      </c>
      <c r="J28" s="218">
        <f t="shared" si="7"/>
      </c>
      <c r="K28" s="217">
        <f>IF('Usulan Pembiayaan'!$M$55="Flat",W28,T28)</f>
      </c>
      <c r="L28" s="217">
        <f>IF('Usulan Pembiayaan'!$M$55="Flat",X28,U28)</f>
      </c>
      <c r="M28" s="218">
        <f t="shared" si="1"/>
      </c>
      <c r="N28" s="337"/>
      <c r="O28" s="337"/>
      <c r="P28" s="340" t="s">
        <v>692</v>
      </c>
      <c r="Q28" s="322">
        <f>'Usulan Pembiayaan'!J55</f>
      </c>
      <c r="T28" s="142">
        <f t="shared" si="2"/>
      </c>
      <c r="U28" s="142">
        <f t="shared" si="8"/>
      </c>
      <c r="V28" s="140">
        <f t="shared" si="3"/>
      </c>
      <c r="W28" s="140">
        <f t="shared" si="9"/>
      </c>
      <c r="X28" s="140">
        <f t="shared" si="10"/>
      </c>
      <c r="Y28" s="128">
        <f t="shared" si="11"/>
      </c>
    </row>
    <row r="29" spans="1:25" ht="15">
      <c r="A29" s="154">
        <v>22</v>
      </c>
      <c r="B29" s="221">
        <f t="shared" si="4"/>
      </c>
      <c r="C29" s="218">
        <f t="shared" si="5"/>
      </c>
      <c r="D29" s="217">
        <f>IF('Usulan Pembiayaan'!$M$55="Flat",T29,W29)+67</f>
      </c>
      <c r="E29" s="217">
        <f>IF('Usulan Pembiayaan'!$M$55="Flat",U29,X29)</f>
      </c>
      <c r="F29" s="218">
        <f t="shared" si="0"/>
      </c>
      <c r="H29" s="154">
        <v>22</v>
      </c>
      <c r="I29" s="221">
        <f t="shared" si="6"/>
      </c>
      <c r="J29" s="218">
        <f t="shared" si="7"/>
      </c>
      <c r="K29" s="217">
        <f>IF('Usulan Pembiayaan'!$M$55="Flat",W29,T29)</f>
      </c>
      <c r="L29" s="217">
        <f>IF('Usulan Pembiayaan'!$M$55="Flat",X29,U29)</f>
      </c>
      <c r="M29" s="218">
        <f t="shared" si="1"/>
      </c>
      <c r="N29" s="337"/>
      <c r="O29" s="337"/>
      <c r="P29" s="340" t="s">
        <v>591</v>
      </c>
      <c r="Q29" s="323">
        <f>IF(Q25="Flat",((Q26/Q27)+(Q26*Q28)),PMT(Q28,Q27,-Q26))</f>
      </c>
      <c r="T29" s="142">
        <f t="shared" si="2"/>
      </c>
      <c r="U29" s="142">
        <f t="shared" si="8"/>
      </c>
      <c r="V29" s="140">
        <f t="shared" si="3"/>
      </c>
      <c r="W29" s="140">
        <f t="shared" si="9"/>
      </c>
      <c r="X29" s="140">
        <f t="shared" si="10"/>
      </c>
      <c r="Y29" s="128">
        <f t="shared" si="11"/>
      </c>
    </row>
    <row r="30" spans="1:25" ht="15">
      <c r="A30" s="155">
        <v>23</v>
      </c>
      <c r="B30" s="221">
        <f t="shared" si="4"/>
      </c>
      <c r="C30" s="218">
        <f t="shared" si="5"/>
      </c>
      <c r="D30" s="217">
        <f>IF('Usulan Pembiayaan'!$M$55="Flat",T30,W30)+67</f>
      </c>
      <c r="E30" s="217">
        <f>IF('Usulan Pembiayaan'!$M$55="Flat",U30,X30)</f>
      </c>
      <c r="F30" s="218">
        <f t="shared" si="0"/>
      </c>
      <c r="H30" s="155">
        <v>23</v>
      </c>
      <c r="I30" s="221">
        <f t="shared" si="6"/>
      </c>
      <c r="J30" s="218">
        <f t="shared" si="7"/>
      </c>
      <c r="K30" s="217">
        <f>IF('Usulan Pembiayaan'!$M$55="Flat",W30,T30)</f>
      </c>
      <c r="L30" s="217">
        <f>IF('Usulan Pembiayaan'!$M$55="Flat",X30,U30)</f>
      </c>
      <c r="M30" s="218">
        <f t="shared" si="1"/>
      </c>
      <c r="N30" s="337"/>
      <c r="O30" s="337"/>
      <c r="P30" s="324"/>
      <c r="Q30" s="324"/>
      <c r="T30" s="142">
        <f t="shared" si="2"/>
      </c>
      <c r="U30" s="142">
        <f t="shared" si="8"/>
      </c>
      <c r="V30" s="140">
        <f t="shared" si="3"/>
      </c>
      <c r="W30" s="140">
        <f t="shared" si="9"/>
      </c>
      <c r="X30" s="140">
        <f t="shared" si="10"/>
      </c>
      <c r="Y30" s="128">
        <f t="shared" si="11"/>
      </c>
    </row>
    <row r="31" spans="1:25" s="144" customFormat="1" ht="15">
      <c r="A31" s="154">
        <v>24</v>
      </c>
      <c r="B31" s="221">
        <f t="shared" si="4"/>
      </c>
      <c r="C31" s="218">
        <f t="shared" si="5"/>
      </c>
      <c r="D31" s="217">
        <f>IF('Usulan Pembiayaan'!$M$55="Flat",T31,W31)+67</f>
      </c>
      <c r="E31" s="217">
        <f>IF('Usulan Pembiayaan'!$M$55="Flat",U31,X31)</f>
      </c>
      <c r="F31" s="218">
        <f t="shared" si="0"/>
      </c>
      <c r="H31" s="154">
        <v>24</v>
      </c>
      <c r="I31" s="221">
        <f t="shared" si="6"/>
      </c>
      <c r="J31" s="218">
        <f t="shared" si="7"/>
      </c>
      <c r="K31" s="217">
        <f>IF('Usulan Pembiayaan'!$M$55="Flat",W31,T31)</f>
      </c>
      <c r="L31" s="217">
        <f>IF('Usulan Pembiayaan'!$M$55="Flat",X31,U31)</f>
      </c>
      <c r="M31" s="218">
        <f t="shared" si="1"/>
      </c>
      <c r="N31" s="337"/>
      <c r="O31" s="337"/>
      <c r="P31" s="1862" t="s">
        <v>693</v>
      </c>
      <c r="Q31" s="1862"/>
      <c r="T31" s="142">
        <f t="shared" si="2"/>
      </c>
      <c r="U31" s="142">
        <f t="shared" si="8"/>
      </c>
      <c r="V31" s="140">
        <f t="shared" si="3"/>
      </c>
      <c r="W31" s="140">
        <f t="shared" si="9"/>
      </c>
      <c r="X31" s="140">
        <f t="shared" si="10"/>
      </c>
      <c r="Y31" s="128">
        <f t="shared" si="11"/>
      </c>
    </row>
    <row r="32" spans="1:25" ht="15">
      <c r="A32" s="155">
        <v>25</v>
      </c>
      <c r="B32" s="221">
        <f t="shared" si="4"/>
      </c>
      <c r="C32" s="218">
        <f t="shared" si="5"/>
      </c>
      <c r="D32" s="217">
        <f>IF('Usulan Pembiayaan'!$M$55="Flat",T32,W32)+67</f>
      </c>
      <c r="E32" s="217">
        <f>IF('Usulan Pembiayaan'!$M$55="Flat",U32,X32)</f>
      </c>
      <c r="F32" s="218">
        <f t="shared" si="0"/>
      </c>
      <c r="H32" s="155">
        <v>25</v>
      </c>
      <c r="I32" s="221">
        <f t="shared" si="6"/>
      </c>
      <c r="J32" s="218">
        <f t="shared" si="7"/>
      </c>
      <c r="K32" s="217">
        <f>IF('Usulan Pembiayaan'!$M$55="Flat",W32,T32)</f>
      </c>
      <c r="L32" s="217">
        <f>IF('Usulan Pembiayaan'!$M$55="Flat",X32,U32)</f>
      </c>
      <c r="M32" s="218">
        <f t="shared" si="1"/>
      </c>
      <c r="N32" s="337"/>
      <c r="O32" s="337"/>
      <c r="P32" s="340" t="s">
        <v>690</v>
      </c>
      <c r="Q32" s="325">
        <f>IF(Q25="Flat","Efektif","Flat")</f>
      </c>
      <c r="T32" s="142">
        <f t="shared" si="2"/>
      </c>
      <c r="U32" s="142">
        <f t="shared" si="8"/>
      </c>
      <c r="V32" s="140">
        <f t="shared" si="3"/>
      </c>
      <c r="W32" s="140">
        <f t="shared" si="9"/>
      </c>
      <c r="X32" s="140">
        <f t="shared" si="10"/>
      </c>
      <c r="Y32" s="128">
        <f t="shared" si="11"/>
      </c>
    </row>
    <row r="33" spans="1:25" ht="15">
      <c r="A33" s="154">
        <v>26</v>
      </c>
      <c r="B33" s="221">
        <f t="shared" si="4"/>
      </c>
      <c r="C33" s="218">
        <f t="shared" si="5"/>
      </c>
      <c r="D33" s="217">
        <f>IF('Usulan Pembiayaan'!$M$55="Flat",T33,W33)+67</f>
      </c>
      <c r="E33" s="217">
        <f>IF('Usulan Pembiayaan'!$M$55="Flat",U33,X33)</f>
      </c>
      <c r="F33" s="218">
        <f t="shared" si="0"/>
      </c>
      <c r="H33" s="154">
        <v>26</v>
      </c>
      <c r="I33" s="221">
        <f t="shared" si="6"/>
      </c>
      <c r="J33" s="218">
        <f t="shared" si="7"/>
      </c>
      <c r="K33" s="217">
        <f>IF('Usulan Pembiayaan'!$M$55="Flat",W33,T33)</f>
      </c>
      <c r="L33" s="217">
        <f>IF('Usulan Pembiayaan'!$M$55="Flat",X33,U33)</f>
      </c>
      <c r="M33" s="218">
        <f t="shared" si="1"/>
      </c>
      <c r="N33" s="337"/>
      <c r="O33" s="337"/>
      <c r="P33" s="340" t="s">
        <v>692</v>
      </c>
      <c r="Q33" s="326">
        <f>IF(Q32="Flat",((Q29/Q26)-(1/Q27)),RATE(Q27,Q29,-Q26))</f>
      </c>
      <c r="T33" s="142">
        <f t="shared" si="2"/>
      </c>
      <c r="U33" s="142">
        <f t="shared" si="8"/>
      </c>
      <c r="V33" s="140">
        <f t="shared" si="3"/>
      </c>
      <c r="W33" s="140">
        <f t="shared" si="9"/>
      </c>
      <c r="X33" s="140">
        <f t="shared" si="10"/>
      </c>
      <c r="Y33" s="128">
        <f t="shared" si="11"/>
      </c>
    </row>
    <row r="34" spans="1:25" ht="15">
      <c r="A34" s="155">
        <v>27</v>
      </c>
      <c r="B34" s="221">
        <f t="shared" si="4"/>
      </c>
      <c r="C34" s="218">
        <f t="shared" si="5"/>
      </c>
      <c r="D34" s="217">
        <f>IF('Usulan Pembiayaan'!$M$55="Flat",T34,W34)+67</f>
      </c>
      <c r="E34" s="217">
        <f>IF('Usulan Pembiayaan'!$M$55="Flat",U34,X34)</f>
      </c>
      <c r="F34" s="218">
        <f t="shared" si="0"/>
      </c>
      <c r="H34" s="155">
        <v>27</v>
      </c>
      <c r="I34" s="221">
        <f t="shared" si="6"/>
      </c>
      <c r="J34" s="218">
        <f t="shared" si="7"/>
      </c>
      <c r="K34" s="217">
        <f>IF('Usulan Pembiayaan'!$M$55="Flat",W34,T34)</f>
      </c>
      <c r="L34" s="217">
        <f>IF('Usulan Pembiayaan'!$M$55="Flat",X34,U34)</f>
      </c>
      <c r="M34" s="218">
        <f t="shared" si="1"/>
      </c>
      <c r="N34" s="337"/>
      <c r="O34" s="337"/>
      <c r="P34" s="340" t="s">
        <v>591</v>
      </c>
      <c r="Q34" s="323">
        <f>IF(Q32="Flat",((Q26/Q27)+(Q26*Q33)),IF(Q32="Efektif",PMT(Q33,Q27,-Q26)))</f>
      </c>
      <c r="T34" s="142">
        <f t="shared" si="2"/>
      </c>
      <c r="U34" s="142">
        <f t="shared" si="8"/>
      </c>
      <c r="V34" s="140">
        <f t="shared" si="3"/>
      </c>
      <c r="W34" s="140">
        <f t="shared" si="9"/>
      </c>
      <c r="X34" s="140">
        <f t="shared" si="10"/>
      </c>
      <c r="Y34" s="128">
        <f t="shared" si="11"/>
      </c>
    </row>
    <row r="35" spans="1:25" ht="15">
      <c r="A35" s="154">
        <v>28</v>
      </c>
      <c r="B35" s="221">
        <f t="shared" si="4"/>
      </c>
      <c r="C35" s="218">
        <f t="shared" si="5"/>
      </c>
      <c r="D35" s="217">
        <f>IF('Usulan Pembiayaan'!$M$55="Flat",T35,W35)+67</f>
      </c>
      <c r="E35" s="217">
        <f>IF('Usulan Pembiayaan'!$M$55="Flat",U35,X35)</f>
      </c>
      <c r="F35" s="218">
        <f t="shared" si="0"/>
      </c>
      <c r="H35" s="154">
        <v>28</v>
      </c>
      <c r="I35" s="221">
        <f t="shared" si="6"/>
      </c>
      <c r="J35" s="218">
        <f t="shared" si="7"/>
      </c>
      <c r="K35" s="217">
        <f>IF('Usulan Pembiayaan'!$M$55="Flat",W35,T35)</f>
      </c>
      <c r="L35" s="217">
        <f>IF('Usulan Pembiayaan'!$M$55="Flat",X35,U35)</f>
      </c>
      <c r="M35" s="218">
        <f t="shared" si="1"/>
      </c>
      <c r="N35" s="337"/>
      <c r="O35" s="337"/>
      <c r="P35" s="324"/>
      <c r="Q35" s="324"/>
      <c r="T35" s="142">
        <f t="shared" si="2"/>
      </c>
      <c r="U35" s="142">
        <f t="shared" si="8"/>
      </c>
      <c r="V35" s="140">
        <f t="shared" si="3"/>
      </c>
      <c r="W35" s="140">
        <f t="shared" si="9"/>
      </c>
      <c r="X35" s="140">
        <f t="shared" si="10"/>
      </c>
      <c r="Y35" s="128">
        <f t="shared" si="11"/>
      </c>
    </row>
    <row r="36" spans="1:25" ht="15">
      <c r="A36" s="155">
        <v>29</v>
      </c>
      <c r="B36" s="221">
        <f t="shared" si="4"/>
      </c>
      <c r="C36" s="218">
        <f t="shared" si="5"/>
      </c>
      <c r="D36" s="217">
        <f>IF('Usulan Pembiayaan'!$M$55="Flat",T36,W36)+67</f>
      </c>
      <c r="E36" s="217">
        <f>IF('Usulan Pembiayaan'!$M$55="Flat",U36,X36)</f>
      </c>
      <c r="F36" s="218">
        <f t="shared" si="0"/>
      </c>
      <c r="H36" s="155">
        <v>29</v>
      </c>
      <c r="I36" s="221">
        <f t="shared" si="6"/>
      </c>
      <c r="J36" s="218">
        <f t="shared" si="7"/>
      </c>
      <c r="K36" s="217">
        <f>IF('Usulan Pembiayaan'!$M$55="Flat",W36,T36)</f>
      </c>
      <c r="L36" s="217">
        <f>IF('Usulan Pembiayaan'!$M$55="Flat",X36,U36)</f>
      </c>
      <c r="M36" s="218">
        <f t="shared" si="1"/>
      </c>
      <c r="N36" s="337"/>
      <c r="O36" s="337"/>
      <c r="P36" s="327" t="s">
        <v>694</v>
      </c>
      <c r="Q36" s="327" t="s">
        <v>695</v>
      </c>
      <c r="T36" s="142">
        <f t="shared" si="2"/>
      </c>
      <c r="U36" s="142">
        <f t="shared" si="8"/>
      </c>
      <c r="V36" s="140">
        <f t="shared" si="3"/>
      </c>
      <c r="W36" s="140">
        <f t="shared" si="9"/>
      </c>
      <c r="X36" s="140">
        <f t="shared" si="10"/>
      </c>
      <c r="Y36" s="128">
        <f t="shared" si="11"/>
      </c>
    </row>
    <row r="37" spans="1:25" ht="15">
      <c r="A37" s="154">
        <v>30</v>
      </c>
      <c r="B37" s="221">
        <f t="shared" si="4"/>
      </c>
      <c r="C37" s="218">
        <f t="shared" si="5"/>
      </c>
      <c r="D37" s="217">
        <f>IF('Usulan Pembiayaan'!$M$55="Flat",T37,W37)+67</f>
      </c>
      <c r="E37" s="217">
        <f>IF('Usulan Pembiayaan'!$M$55="Flat",U37,X37)</f>
      </c>
      <c r="F37" s="218">
        <f t="shared" si="0"/>
      </c>
      <c r="H37" s="154">
        <v>30</v>
      </c>
      <c r="I37" s="221">
        <f t="shared" si="6"/>
      </c>
      <c r="J37" s="218">
        <f t="shared" si="7"/>
      </c>
      <c r="K37" s="217">
        <f>IF('Usulan Pembiayaan'!$M$55="Flat",W37,T37)</f>
      </c>
      <c r="L37" s="217">
        <f>IF('Usulan Pembiayaan'!$M$55="Flat",X37,U37)</f>
      </c>
      <c r="M37" s="218">
        <f t="shared" si="1"/>
      </c>
      <c r="N37" s="337"/>
      <c r="O37" s="337"/>
      <c r="P37" s="326">
        <f>IF(Q32="Flat",Q33,IF(Q32="Efektif",Q28))</f>
      </c>
      <c r="Q37" s="326">
        <f>IF(Q32="Efektif",Q33,IF(Q32="Flat",Q28))</f>
      </c>
      <c r="T37" s="142">
        <f t="shared" si="2"/>
      </c>
      <c r="U37" s="142">
        <f t="shared" si="8"/>
      </c>
      <c r="V37" s="140">
        <f t="shared" si="3"/>
      </c>
      <c r="W37" s="140">
        <f t="shared" si="9"/>
      </c>
      <c r="X37" s="140">
        <f t="shared" si="10"/>
      </c>
      <c r="Y37" s="128">
        <f t="shared" si="11"/>
      </c>
    </row>
    <row r="38" spans="1:25" ht="15">
      <c r="A38" s="155">
        <v>31</v>
      </c>
      <c r="B38" s="221">
        <f t="shared" si="4"/>
      </c>
      <c r="C38" s="218">
        <f t="shared" si="5"/>
      </c>
      <c r="D38" s="217">
        <f>IF('Usulan Pembiayaan'!$M$55="Flat",T38,W38)+67</f>
      </c>
      <c r="E38" s="217">
        <f>IF('Usulan Pembiayaan'!$M$55="Flat",U38,X38)</f>
      </c>
      <c r="F38" s="218">
        <f t="shared" si="0"/>
      </c>
      <c r="H38" s="155">
        <v>31</v>
      </c>
      <c r="I38" s="221">
        <f t="shared" si="6"/>
      </c>
      <c r="J38" s="218">
        <f t="shared" si="7"/>
      </c>
      <c r="K38" s="217">
        <f>IF('Usulan Pembiayaan'!$M$55="Flat",W38,T38)</f>
      </c>
      <c r="L38" s="217">
        <f>IF('Usulan Pembiayaan'!$M$55="Flat",X38,U38)</f>
      </c>
      <c r="M38" s="218">
        <f t="shared" si="1"/>
      </c>
      <c r="N38" s="337"/>
      <c r="O38" s="337"/>
      <c r="P38" s="341">
        <f>P37*12</f>
      </c>
      <c r="Q38" s="341">
        <f>Q37*12</f>
      </c>
      <c r="T38" s="142">
        <f t="shared" si="2"/>
      </c>
      <c r="U38" s="142">
        <f t="shared" si="8"/>
      </c>
      <c r="V38" s="140">
        <f t="shared" si="3"/>
      </c>
      <c r="W38" s="140">
        <f t="shared" si="9"/>
      </c>
      <c r="X38" s="140">
        <f t="shared" si="10"/>
      </c>
      <c r="Y38" s="128">
        <f t="shared" si="11"/>
      </c>
    </row>
    <row r="39" spans="1:25" ht="15">
      <c r="A39" s="154">
        <v>32</v>
      </c>
      <c r="B39" s="221">
        <f t="shared" si="4"/>
      </c>
      <c r="C39" s="218">
        <f t="shared" si="5"/>
      </c>
      <c r="D39" s="217">
        <f>IF('Usulan Pembiayaan'!$M$55="Flat",T39,W39)+67</f>
      </c>
      <c r="E39" s="217">
        <f>IF('Usulan Pembiayaan'!$M$55="Flat",U39,X39)</f>
      </c>
      <c r="F39" s="218">
        <f t="shared" si="0"/>
      </c>
      <c r="H39" s="154">
        <v>32</v>
      </c>
      <c r="I39" s="221">
        <f t="shared" si="6"/>
      </c>
      <c r="J39" s="218">
        <f t="shared" si="7"/>
      </c>
      <c r="K39" s="217">
        <f>IF('Usulan Pembiayaan'!$M$55="Flat",W39,T39)</f>
      </c>
      <c r="L39" s="217">
        <f>IF('Usulan Pembiayaan'!$M$55="Flat",X39,U39)</f>
      </c>
      <c r="M39" s="218">
        <f t="shared" si="1"/>
      </c>
      <c r="N39" s="337"/>
      <c r="O39" s="337"/>
      <c r="T39" s="142">
        <f t="shared" si="2"/>
      </c>
      <c r="U39" s="142">
        <f t="shared" si="8"/>
      </c>
      <c r="V39" s="140">
        <f t="shared" si="3"/>
      </c>
      <c r="W39" s="140">
        <f t="shared" si="9"/>
      </c>
      <c r="X39" s="140">
        <f t="shared" si="10"/>
      </c>
      <c r="Y39" s="128">
        <f t="shared" si="11"/>
      </c>
    </row>
    <row r="40" spans="1:25" ht="15">
      <c r="A40" s="155">
        <v>33</v>
      </c>
      <c r="B40" s="221">
        <f t="shared" si="4"/>
      </c>
      <c r="C40" s="218">
        <f t="shared" si="5"/>
      </c>
      <c r="D40" s="217">
        <f>IF('Usulan Pembiayaan'!$M$55="Flat",T40,W40)+67</f>
      </c>
      <c r="E40" s="217">
        <f>IF('Usulan Pembiayaan'!$M$55="Flat",U40,X40)</f>
      </c>
      <c r="F40" s="218">
        <f t="shared" si="0"/>
      </c>
      <c r="H40" s="155">
        <v>33</v>
      </c>
      <c r="I40" s="221">
        <f t="shared" si="6"/>
      </c>
      <c r="J40" s="218">
        <f t="shared" si="7"/>
      </c>
      <c r="K40" s="217">
        <f>IF('Usulan Pembiayaan'!$M$55="Flat",W40,T40)</f>
      </c>
      <c r="L40" s="217">
        <f>IF('Usulan Pembiayaan'!$M$55="Flat",X40,U40)</f>
      </c>
      <c r="M40" s="218">
        <f t="shared" si="1"/>
      </c>
      <c r="N40" s="337"/>
      <c r="O40" s="337"/>
      <c r="T40" s="142">
        <f t="shared" si="2"/>
      </c>
      <c r="U40" s="142">
        <f t="shared" si="8"/>
      </c>
      <c r="V40" s="140">
        <f t="shared" si="3"/>
      </c>
      <c r="W40" s="140">
        <f t="shared" si="9"/>
      </c>
      <c r="X40" s="140">
        <f t="shared" si="10"/>
      </c>
      <c r="Y40" s="128">
        <f t="shared" si="11"/>
      </c>
    </row>
    <row r="41" spans="1:25" ht="15">
      <c r="A41" s="154">
        <v>34</v>
      </c>
      <c r="B41" s="221">
        <f t="shared" si="4"/>
      </c>
      <c r="C41" s="218">
        <f t="shared" si="5"/>
      </c>
      <c r="D41" s="217">
        <f>IF('Usulan Pembiayaan'!$M$55="Flat",T41,W41)+67</f>
      </c>
      <c r="E41" s="217">
        <f>IF('Usulan Pembiayaan'!$M$55="Flat",U41,X41)</f>
      </c>
      <c r="F41" s="218">
        <f t="shared" si="0"/>
      </c>
      <c r="H41" s="154">
        <v>34</v>
      </c>
      <c r="I41" s="221">
        <f t="shared" si="6"/>
      </c>
      <c r="J41" s="218">
        <f t="shared" si="7"/>
      </c>
      <c r="K41" s="217">
        <f>IF('Usulan Pembiayaan'!$M$55="Flat",W41,T41)</f>
      </c>
      <c r="L41" s="217">
        <f>IF('Usulan Pembiayaan'!$M$55="Flat",X41,U41)</f>
      </c>
      <c r="M41" s="218">
        <f t="shared" si="1"/>
      </c>
      <c r="N41" s="337"/>
      <c r="O41" s="337"/>
      <c r="T41" s="142">
        <f t="shared" ref="T41:T72" si="12">IF(A41&lt;=$R$4,$P$2/$R$4,0)</f>
      </c>
      <c r="U41" s="142">
        <f t="shared" si="8"/>
      </c>
      <c r="V41" s="140">
        <f t="shared" ref="V41:V72" si="13">IF(A41&lt;=$R$4,V40-W40,0)</f>
      </c>
      <c r="W41" s="140">
        <f t="shared" si="9"/>
      </c>
      <c r="X41" s="140">
        <f t="shared" si="10"/>
      </c>
      <c r="Y41" s="128">
        <f t="shared" si="11"/>
      </c>
    </row>
    <row r="42" spans="1:25" ht="15">
      <c r="A42" s="155">
        <v>35</v>
      </c>
      <c r="B42" s="221">
        <f t="shared" si="4"/>
      </c>
      <c r="C42" s="218">
        <f t="shared" si="5"/>
      </c>
      <c r="D42" s="217">
        <f>IF('Usulan Pembiayaan'!$M$55="Flat",T42,W42)+67</f>
      </c>
      <c r="E42" s="217">
        <f>IF('Usulan Pembiayaan'!$M$55="Flat",U42,X42)</f>
      </c>
      <c r="F42" s="218">
        <f t="shared" si="0"/>
      </c>
      <c r="H42" s="155">
        <v>35</v>
      </c>
      <c r="I42" s="221">
        <f t="shared" si="6"/>
      </c>
      <c r="J42" s="218">
        <f t="shared" si="7"/>
      </c>
      <c r="K42" s="217">
        <f>IF('Usulan Pembiayaan'!$M$55="Flat",W42,T42)</f>
      </c>
      <c r="L42" s="217">
        <f>IF('Usulan Pembiayaan'!$M$55="Flat",X42,U42)</f>
      </c>
      <c r="M42" s="218">
        <f t="shared" si="1"/>
      </c>
      <c r="N42" s="337"/>
      <c r="O42" s="337"/>
      <c r="T42" s="142">
        <f t="shared" si="12"/>
      </c>
      <c r="U42" s="142">
        <f t="shared" si="8"/>
      </c>
      <c r="V42" s="140">
        <f t="shared" si="13"/>
      </c>
      <c r="W42" s="140">
        <f t="shared" si="9"/>
      </c>
      <c r="X42" s="140">
        <f t="shared" si="10"/>
      </c>
      <c r="Y42" s="128">
        <f t="shared" si="11"/>
      </c>
    </row>
    <row r="43" spans="1:25" ht="15">
      <c r="A43" s="154">
        <v>36</v>
      </c>
      <c r="B43" s="221">
        <f t="shared" si="4"/>
      </c>
      <c r="C43" s="218">
        <f t="shared" si="5"/>
      </c>
      <c r="D43" s="217">
        <f>IF('Usulan Pembiayaan'!$M$55="Flat",T43,W43)+67</f>
      </c>
      <c r="E43" s="217">
        <f>IF('Usulan Pembiayaan'!$M$55="Flat",U43,X43)</f>
      </c>
      <c r="F43" s="218">
        <f t="shared" si="0"/>
      </c>
      <c r="H43" s="154">
        <v>36</v>
      </c>
      <c r="I43" s="221">
        <f t="shared" si="6"/>
      </c>
      <c r="J43" s="218">
        <f t="shared" si="7"/>
      </c>
      <c r="K43" s="217">
        <f>IF('Usulan Pembiayaan'!$M$55="Flat",W43,T43)</f>
      </c>
      <c r="L43" s="217">
        <f>IF('Usulan Pembiayaan'!$M$55="Flat",X43,U43)</f>
      </c>
      <c r="M43" s="218">
        <f t="shared" si="1"/>
      </c>
      <c r="N43" s="337"/>
      <c r="O43" s="337"/>
      <c r="Q43" s="127">
        <f>P43-F43</f>
      </c>
      <c r="T43" s="142">
        <f t="shared" si="12"/>
      </c>
      <c r="U43" s="142">
        <f t="shared" si="8"/>
      </c>
      <c r="V43" s="140">
        <f t="shared" si="13"/>
      </c>
      <c r="W43" s="140">
        <f t="shared" si="9"/>
      </c>
      <c r="X43" s="140">
        <f t="shared" si="10"/>
      </c>
      <c r="Y43" s="128">
        <f t="shared" si="11"/>
      </c>
    </row>
    <row r="44" spans="1:25" ht="15">
      <c r="A44" s="155">
        <v>37</v>
      </c>
      <c r="B44" s="221">
        <f t="shared" si="4"/>
      </c>
      <c r="C44" s="218">
        <f t="shared" si="5"/>
      </c>
      <c r="D44" s="217">
        <f>IF('Usulan Pembiayaan'!$M$55="Flat",T44,W44)+67</f>
      </c>
      <c r="E44" s="217">
        <f>IF('Usulan Pembiayaan'!$M$55="Flat",U44,X44)</f>
      </c>
      <c r="F44" s="218">
        <f t="shared" si="0"/>
      </c>
      <c r="H44" s="155">
        <v>37</v>
      </c>
      <c r="I44" s="221">
        <f t="shared" si="6"/>
      </c>
      <c r="J44" s="218">
        <f t="shared" si="7"/>
      </c>
      <c r="K44" s="217">
        <f>IF('Usulan Pembiayaan'!$M$55="Flat",W44,T44)</f>
      </c>
      <c r="L44" s="217">
        <f>IF('Usulan Pembiayaan'!$M$55="Flat",X44,U44)</f>
      </c>
      <c r="M44" s="218">
        <f t="shared" si="1"/>
      </c>
      <c r="N44" s="337"/>
      <c r="O44" s="337"/>
      <c r="T44" s="142">
        <f t="shared" si="12"/>
      </c>
      <c r="U44" s="142">
        <f t="shared" si="8"/>
      </c>
      <c r="V44" s="140">
        <f t="shared" si="13"/>
      </c>
      <c r="W44" s="140">
        <f t="shared" si="9"/>
      </c>
      <c r="X44" s="140">
        <f t="shared" si="10"/>
      </c>
      <c r="Y44" s="128">
        <f t="shared" si="11"/>
      </c>
    </row>
    <row r="45" spans="1:25" ht="15">
      <c r="A45" s="154">
        <v>38</v>
      </c>
      <c r="B45" s="221">
        <f t="shared" si="4"/>
      </c>
      <c r="C45" s="218">
        <f t="shared" si="5"/>
      </c>
      <c r="D45" s="217">
        <f>IF('Usulan Pembiayaan'!$M$55="Flat",T45,W45)+67</f>
      </c>
      <c r="E45" s="217">
        <f>IF('Usulan Pembiayaan'!$M$55="Flat",U45,X45)</f>
      </c>
      <c r="F45" s="218">
        <f t="shared" si="0"/>
      </c>
      <c r="H45" s="154">
        <v>38</v>
      </c>
      <c r="I45" s="221">
        <f t="shared" si="6"/>
      </c>
      <c r="J45" s="218">
        <f t="shared" si="7"/>
      </c>
      <c r="K45" s="217">
        <f>IF('Usulan Pembiayaan'!$M$55="Flat",W45,T45)</f>
      </c>
      <c r="L45" s="217">
        <f>IF('Usulan Pembiayaan'!$M$55="Flat",X45,U45)</f>
      </c>
      <c r="M45" s="218">
        <f t="shared" si="1"/>
      </c>
      <c r="N45" s="337"/>
      <c r="O45" s="337"/>
      <c r="T45" s="142">
        <f t="shared" si="12"/>
      </c>
      <c r="U45" s="142">
        <f t="shared" si="8"/>
      </c>
      <c r="V45" s="140">
        <f t="shared" si="13"/>
      </c>
      <c r="W45" s="140">
        <f t="shared" si="9"/>
      </c>
      <c r="X45" s="140">
        <f t="shared" si="10"/>
      </c>
      <c r="Y45" s="128">
        <f t="shared" si="11"/>
      </c>
    </row>
    <row r="46" spans="1:25" ht="15">
      <c r="A46" s="155">
        <v>39</v>
      </c>
      <c r="B46" s="221">
        <f t="shared" si="4"/>
      </c>
      <c r="C46" s="218">
        <f t="shared" si="5"/>
      </c>
      <c r="D46" s="217">
        <f>IF('Usulan Pembiayaan'!$M$55="Flat",T46,W46)+67</f>
      </c>
      <c r="E46" s="217">
        <f>IF('Usulan Pembiayaan'!$M$55="Flat",U46,X46)</f>
      </c>
      <c r="F46" s="218">
        <f t="shared" si="0"/>
      </c>
      <c r="H46" s="155">
        <v>39</v>
      </c>
      <c r="I46" s="221">
        <f t="shared" si="6"/>
      </c>
      <c r="J46" s="218">
        <f t="shared" si="7"/>
      </c>
      <c r="K46" s="217">
        <f>IF('Usulan Pembiayaan'!$M$55="Flat",W46,T46)</f>
      </c>
      <c r="L46" s="217">
        <f>IF('Usulan Pembiayaan'!$M$55="Flat",X46,U46)</f>
      </c>
      <c r="M46" s="218">
        <f t="shared" si="1"/>
      </c>
      <c r="N46" s="337"/>
      <c r="O46" s="337"/>
      <c r="T46" s="142">
        <f t="shared" si="12"/>
      </c>
      <c r="U46" s="142">
        <f t="shared" si="8"/>
      </c>
      <c r="V46" s="140">
        <f t="shared" si="13"/>
      </c>
      <c r="W46" s="140">
        <f t="shared" si="9"/>
      </c>
      <c r="X46" s="140">
        <f t="shared" si="10"/>
      </c>
      <c r="Y46" s="128">
        <f t="shared" si="11"/>
      </c>
    </row>
    <row r="47" spans="1:25" ht="15">
      <c r="A47" s="154">
        <v>40</v>
      </c>
      <c r="B47" s="221">
        <f t="shared" si="4"/>
      </c>
      <c r="C47" s="218">
        <f t="shared" si="5"/>
      </c>
      <c r="D47" s="217">
        <f>IF('Usulan Pembiayaan'!$M$55="Flat",T47,W47)+67</f>
      </c>
      <c r="E47" s="217">
        <f>IF('Usulan Pembiayaan'!$M$55="Flat",U47,X47)</f>
      </c>
      <c r="F47" s="218">
        <f t="shared" si="0"/>
      </c>
      <c r="H47" s="154">
        <v>40</v>
      </c>
      <c r="I47" s="221">
        <f t="shared" si="6"/>
      </c>
      <c r="J47" s="218">
        <f t="shared" si="7"/>
      </c>
      <c r="K47" s="217">
        <f>IF('Usulan Pembiayaan'!$M$55="Flat",W47,T47)</f>
      </c>
      <c r="L47" s="217">
        <f>IF('Usulan Pembiayaan'!$M$55="Flat",X47,U47)</f>
      </c>
      <c r="M47" s="218">
        <f t="shared" si="1"/>
      </c>
      <c r="N47" s="337"/>
      <c r="O47" s="337"/>
      <c r="T47" s="142">
        <f t="shared" si="12"/>
      </c>
      <c r="U47" s="142">
        <f t="shared" si="8"/>
      </c>
      <c r="V47" s="140">
        <f t="shared" si="13"/>
      </c>
      <c r="W47" s="140">
        <f t="shared" si="9"/>
      </c>
      <c r="X47" s="140">
        <f t="shared" si="10"/>
      </c>
      <c r="Y47" s="128">
        <f t="shared" si="11"/>
      </c>
    </row>
    <row r="48" spans="1:25" ht="15">
      <c r="A48" s="155">
        <v>41</v>
      </c>
      <c r="B48" s="221">
        <f t="shared" si="4"/>
      </c>
      <c r="C48" s="218">
        <f t="shared" si="5"/>
      </c>
      <c r="D48" s="217">
        <f>IF('Usulan Pembiayaan'!$M$55="Flat",T48,W48)+67</f>
      </c>
      <c r="E48" s="217">
        <f>IF('Usulan Pembiayaan'!$M$55="Flat",U48,X48)</f>
      </c>
      <c r="F48" s="218">
        <f t="shared" si="0"/>
      </c>
      <c r="H48" s="155">
        <v>41</v>
      </c>
      <c r="I48" s="221">
        <f t="shared" si="6"/>
      </c>
      <c r="J48" s="218">
        <f t="shared" si="7"/>
      </c>
      <c r="K48" s="217">
        <f>IF('Usulan Pembiayaan'!$M$55="Flat",W48,T48)</f>
      </c>
      <c r="L48" s="217">
        <f>IF('Usulan Pembiayaan'!$M$55="Flat",X48,U48)</f>
      </c>
      <c r="M48" s="218">
        <f t="shared" si="1"/>
      </c>
      <c r="N48" s="337"/>
      <c r="O48" s="337"/>
      <c r="T48" s="142">
        <f t="shared" si="12"/>
      </c>
      <c r="U48" s="142">
        <f t="shared" si="8"/>
      </c>
      <c r="V48" s="140">
        <f t="shared" si="13"/>
      </c>
      <c r="W48" s="140">
        <f t="shared" si="9"/>
      </c>
      <c r="X48" s="140">
        <f t="shared" si="10"/>
      </c>
      <c r="Y48" s="128">
        <f t="shared" si="11"/>
      </c>
    </row>
    <row r="49" spans="1:25" ht="15">
      <c r="A49" s="154">
        <v>42</v>
      </c>
      <c r="B49" s="221">
        <f t="shared" si="4"/>
      </c>
      <c r="C49" s="218">
        <f t="shared" si="5"/>
      </c>
      <c r="D49" s="217">
        <f>IF('Usulan Pembiayaan'!$M$55="Flat",T49,W49)+67</f>
      </c>
      <c r="E49" s="217">
        <f>IF('Usulan Pembiayaan'!$M$55="Flat",U49,X49)</f>
      </c>
      <c r="F49" s="218">
        <f t="shared" si="0"/>
      </c>
      <c r="H49" s="154">
        <v>42</v>
      </c>
      <c r="I49" s="221">
        <f t="shared" si="6"/>
      </c>
      <c r="J49" s="218">
        <f t="shared" si="7"/>
      </c>
      <c r="K49" s="217">
        <f>IF('Usulan Pembiayaan'!$M$55="Flat",W49,T49)</f>
      </c>
      <c r="L49" s="217">
        <f>IF('Usulan Pembiayaan'!$M$55="Flat",X49,U49)</f>
      </c>
      <c r="M49" s="218">
        <f t="shared" si="1"/>
      </c>
      <c r="N49" s="337"/>
      <c r="O49" s="337"/>
      <c r="T49" s="142">
        <f t="shared" si="12"/>
      </c>
      <c r="U49" s="142">
        <f t="shared" si="8"/>
      </c>
      <c r="V49" s="140">
        <f t="shared" si="13"/>
      </c>
      <c r="W49" s="140">
        <f t="shared" si="9"/>
      </c>
      <c r="X49" s="140">
        <f t="shared" si="10"/>
      </c>
      <c r="Y49" s="128">
        <f t="shared" si="11"/>
      </c>
    </row>
    <row r="50" spans="1:25" ht="15">
      <c r="A50" s="155">
        <v>43</v>
      </c>
      <c r="B50" s="221">
        <f t="shared" si="4"/>
      </c>
      <c r="C50" s="218">
        <f t="shared" si="5"/>
      </c>
      <c r="D50" s="217">
        <f>IF('Usulan Pembiayaan'!$M$55="Flat",T50,W50)+67</f>
      </c>
      <c r="E50" s="217">
        <f>IF('Usulan Pembiayaan'!$M$55="Flat",U50,X50)</f>
      </c>
      <c r="F50" s="218">
        <f t="shared" si="0"/>
      </c>
      <c r="H50" s="155">
        <v>43</v>
      </c>
      <c r="I50" s="221">
        <f t="shared" si="6"/>
      </c>
      <c r="J50" s="218">
        <f t="shared" si="7"/>
      </c>
      <c r="K50" s="217">
        <f>IF('Usulan Pembiayaan'!$M$55="Flat",W50,T50)</f>
      </c>
      <c r="L50" s="217">
        <f>IF('Usulan Pembiayaan'!$M$55="Flat",X50,U50)</f>
      </c>
      <c r="M50" s="218">
        <f t="shared" si="1"/>
      </c>
      <c r="N50" s="337"/>
      <c r="O50" s="337"/>
      <c r="T50" s="142">
        <f t="shared" si="12"/>
      </c>
      <c r="U50" s="142">
        <f t="shared" si="8"/>
      </c>
      <c r="V50" s="140">
        <f t="shared" si="13"/>
      </c>
      <c r="W50" s="140">
        <f t="shared" si="9"/>
      </c>
      <c r="X50" s="140">
        <f t="shared" si="10"/>
      </c>
      <c r="Y50" s="128">
        <f t="shared" si="11"/>
      </c>
    </row>
    <row r="51" spans="1:25" ht="15">
      <c r="A51" s="154">
        <v>44</v>
      </c>
      <c r="B51" s="221">
        <f t="shared" si="4"/>
      </c>
      <c r="C51" s="218">
        <f t="shared" si="5"/>
      </c>
      <c r="D51" s="217">
        <f>IF('Usulan Pembiayaan'!$M$55="Flat",T51,W51)+67</f>
      </c>
      <c r="E51" s="217">
        <f>IF('Usulan Pembiayaan'!$M$55="Flat",U51,X51)</f>
      </c>
      <c r="F51" s="218">
        <f t="shared" si="0"/>
      </c>
      <c r="H51" s="154">
        <v>44</v>
      </c>
      <c r="I51" s="221">
        <f t="shared" si="6"/>
      </c>
      <c r="J51" s="218">
        <f t="shared" si="7"/>
      </c>
      <c r="K51" s="217">
        <f>IF('Usulan Pembiayaan'!$M$55="Flat",W51,T51)</f>
      </c>
      <c r="L51" s="217">
        <f>IF('Usulan Pembiayaan'!$M$55="Flat",X51,U51)</f>
      </c>
      <c r="M51" s="218">
        <f t="shared" si="1"/>
      </c>
      <c r="N51" s="337"/>
      <c r="O51" s="337"/>
      <c r="T51" s="142">
        <f t="shared" si="12"/>
      </c>
      <c r="U51" s="142">
        <f t="shared" si="8"/>
      </c>
      <c r="V51" s="140">
        <f t="shared" si="13"/>
      </c>
      <c r="W51" s="140">
        <f t="shared" si="9"/>
      </c>
      <c r="X51" s="140">
        <f t="shared" si="10"/>
      </c>
      <c r="Y51" s="128">
        <f t="shared" si="11"/>
      </c>
    </row>
    <row r="52" spans="1:25" ht="15">
      <c r="A52" s="155">
        <v>45</v>
      </c>
      <c r="B52" s="221">
        <f t="shared" si="4"/>
      </c>
      <c r="C52" s="218">
        <f t="shared" si="5"/>
      </c>
      <c r="D52" s="217">
        <f>IF('Usulan Pembiayaan'!$M$55="Flat",T52,W52)+67</f>
      </c>
      <c r="E52" s="217">
        <f>IF('Usulan Pembiayaan'!$M$55="Flat",U52,X52)</f>
      </c>
      <c r="F52" s="218">
        <f t="shared" si="0"/>
      </c>
      <c r="H52" s="155">
        <v>45</v>
      </c>
      <c r="I52" s="221">
        <f t="shared" si="6"/>
      </c>
      <c r="J52" s="218">
        <f t="shared" si="7"/>
      </c>
      <c r="K52" s="217">
        <f>IF('Usulan Pembiayaan'!$M$55="Flat",W52,T52)</f>
      </c>
      <c r="L52" s="217">
        <f>IF('Usulan Pembiayaan'!$M$55="Flat",X52,U52)</f>
      </c>
      <c r="M52" s="218">
        <f t="shared" si="1"/>
      </c>
      <c r="N52" s="337"/>
      <c r="O52" s="337"/>
      <c r="T52" s="142">
        <f t="shared" si="12"/>
      </c>
      <c r="U52" s="142">
        <f t="shared" si="8"/>
      </c>
      <c r="V52" s="140">
        <f t="shared" si="13"/>
      </c>
      <c r="W52" s="140">
        <f t="shared" si="9"/>
      </c>
      <c r="X52" s="140">
        <f t="shared" si="10"/>
      </c>
      <c r="Y52" s="128">
        <f t="shared" si="11"/>
      </c>
    </row>
    <row r="53" spans="1:25" ht="15">
      <c r="A53" s="154">
        <v>46</v>
      </c>
      <c r="B53" s="221">
        <f t="shared" si="4"/>
      </c>
      <c r="C53" s="218">
        <f t="shared" si="5"/>
      </c>
      <c r="D53" s="217">
        <f>IF('Usulan Pembiayaan'!$M$55="Flat",T53,W53)+67</f>
      </c>
      <c r="E53" s="217">
        <f>IF('Usulan Pembiayaan'!$M$55="Flat",U53,X53)</f>
      </c>
      <c r="F53" s="218">
        <f t="shared" si="0"/>
      </c>
      <c r="H53" s="154">
        <v>46</v>
      </c>
      <c r="I53" s="221">
        <f t="shared" si="6"/>
      </c>
      <c r="J53" s="218">
        <f t="shared" si="7"/>
      </c>
      <c r="K53" s="217">
        <f>IF('Usulan Pembiayaan'!$M$55="Flat",W53,T53)</f>
      </c>
      <c r="L53" s="217">
        <f>IF('Usulan Pembiayaan'!$M$55="Flat",X53,U53)</f>
      </c>
      <c r="M53" s="218">
        <f t="shared" si="1"/>
      </c>
      <c r="N53" s="337"/>
      <c r="O53" s="337"/>
      <c r="T53" s="142">
        <f t="shared" si="12"/>
      </c>
      <c r="U53" s="142">
        <f t="shared" si="8"/>
      </c>
      <c r="V53" s="140">
        <f t="shared" si="13"/>
      </c>
      <c r="W53" s="140">
        <f t="shared" si="9"/>
      </c>
      <c r="X53" s="140">
        <f t="shared" si="10"/>
      </c>
      <c r="Y53" s="128">
        <f t="shared" si="11"/>
      </c>
    </row>
    <row r="54" spans="1:25" ht="15">
      <c r="A54" s="155">
        <v>47</v>
      </c>
      <c r="B54" s="221">
        <f t="shared" si="4"/>
      </c>
      <c r="C54" s="218">
        <f t="shared" si="5"/>
      </c>
      <c r="D54" s="217">
        <f>IF('Usulan Pembiayaan'!$M$55="Flat",T54,W54)+67</f>
      </c>
      <c r="E54" s="217">
        <f>IF('Usulan Pembiayaan'!$M$55="Flat",U54,X54)</f>
      </c>
      <c r="F54" s="218">
        <f t="shared" si="0"/>
      </c>
      <c r="H54" s="155">
        <v>47</v>
      </c>
      <c r="I54" s="221">
        <f t="shared" si="6"/>
      </c>
      <c r="J54" s="218">
        <f t="shared" si="7"/>
      </c>
      <c r="K54" s="217">
        <f>IF('Usulan Pembiayaan'!$M$55="Flat",W54,T54)</f>
      </c>
      <c r="L54" s="217">
        <f>IF('Usulan Pembiayaan'!$M$55="Flat",X54,U54)</f>
      </c>
      <c r="M54" s="218">
        <f t="shared" si="1"/>
      </c>
      <c r="N54" s="337"/>
      <c r="O54" s="337"/>
      <c r="T54" s="142">
        <f t="shared" si="12"/>
      </c>
      <c r="U54" s="142">
        <f t="shared" si="8"/>
      </c>
      <c r="V54" s="140">
        <f t="shared" si="13"/>
      </c>
      <c r="W54" s="140">
        <f t="shared" si="9"/>
      </c>
      <c r="X54" s="140">
        <f t="shared" si="10"/>
      </c>
      <c r="Y54" s="128">
        <f t="shared" si="11"/>
      </c>
    </row>
    <row r="55" spans="1:25" ht="15">
      <c r="A55" s="154">
        <v>48</v>
      </c>
      <c r="B55" s="221">
        <f t="shared" si="4"/>
      </c>
      <c r="C55" s="218">
        <f t="shared" si="5"/>
      </c>
      <c r="D55" s="217">
        <f>IF('Usulan Pembiayaan'!$M$55="Flat",T55,W55)+67</f>
      </c>
      <c r="E55" s="217">
        <f>IF('Usulan Pembiayaan'!$M$55="Flat",U55,X55)</f>
      </c>
      <c r="F55" s="218">
        <f t="shared" si="0"/>
      </c>
      <c r="H55" s="154">
        <v>48</v>
      </c>
      <c r="I55" s="221">
        <f t="shared" si="6"/>
      </c>
      <c r="J55" s="218">
        <f t="shared" si="7"/>
      </c>
      <c r="K55" s="217">
        <f>IF('Usulan Pembiayaan'!$M$55="Flat",W55,T55)</f>
      </c>
      <c r="L55" s="217">
        <f>IF('Usulan Pembiayaan'!$M$55="Flat",X55,U55)</f>
      </c>
      <c r="M55" s="218">
        <f t="shared" si="1"/>
      </c>
      <c r="N55" s="337"/>
      <c r="O55" s="337"/>
      <c r="T55" s="142">
        <f t="shared" si="12"/>
      </c>
      <c r="U55" s="142">
        <f t="shared" si="8"/>
      </c>
      <c r="V55" s="140">
        <f t="shared" si="13"/>
      </c>
      <c r="W55" s="140">
        <f t="shared" si="9"/>
      </c>
      <c r="X55" s="140">
        <f t="shared" si="10"/>
      </c>
      <c r="Y55" s="128">
        <f t="shared" si="11"/>
      </c>
    </row>
    <row r="56" spans="1:25" ht="15">
      <c r="A56" s="155">
        <v>49</v>
      </c>
      <c r="B56" s="221">
        <f t="shared" si="4"/>
      </c>
      <c r="C56" s="218">
        <f t="shared" si="5"/>
      </c>
      <c r="D56" s="217">
        <f>IF('Usulan Pembiayaan'!$M$55="Flat",T56,W56)</f>
      </c>
      <c r="E56" s="217">
        <f>IF('Usulan Pembiayaan'!$M$55="Flat",U56,X56)</f>
      </c>
      <c r="F56" s="218">
        <f t="shared" si="0"/>
      </c>
      <c r="H56" s="155">
        <v>49</v>
      </c>
      <c r="I56" s="221">
        <f t="shared" si="6"/>
      </c>
      <c r="J56" s="218">
        <f t="shared" si="7"/>
      </c>
      <c r="K56" s="217">
        <f>IF('Usulan Pembiayaan'!$M$55="Flat",W56,T56)</f>
      </c>
      <c r="L56" s="217">
        <f>IF('Usulan Pembiayaan'!$M$55="Flat",X56,U56)</f>
      </c>
      <c r="M56" s="218">
        <f t="shared" ref="M56:M72" si="14">K56+L56</f>
      </c>
      <c r="N56" s="337"/>
      <c r="O56" s="337"/>
      <c r="T56" s="142">
        <f t="shared" si="12"/>
      </c>
      <c r="U56" s="142">
        <f t="shared" si="8"/>
      </c>
      <c r="V56" s="140">
        <f t="shared" si="13"/>
      </c>
      <c r="W56" s="140">
        <f t="shared" si="9"/>
      </c>
      <c r="X56" s="140">
        <f t="shared" si="10"/>
      </c>
      <c r="Y56" s="128">
        <f t="shared" si="11"/>
      </c>
    </row>
    <row r="57" spans="1:25" s="134" customFormat="1" ht="15">
      <c r="A57" s="154">
        <v>50</v>
      </c>
      <c r="B57" s="221">
        <f t="shared" si="4"/>
      </c>
      <c r="C57" s="218">
        <f t="shared" si="5"/>
      </c>
      <c r="D57" s="217">
        <f>IF('Usulan Pembiayaan'!$M$55="Flat",T57,W57)</f>
      </c>
      <c r="E57" s="217">
        <f>IF('Usulan Pembiayaan'!$M$55="Flat",U57,X57)</f>
      </c>
      <c r="F57" s="218">
        <f t="shared" si="0"/>
      </c>
      <c r="H57" s="154">
        <v>50</v>
      </c>
      <c r="I57" s="221">
        <f t="shared" si="6"/>
      </c>
      <c r="J57" s="218">
        <f t="shared" si="7"/>
      </c>
      <c r="K57" s="217">
        <f>IF('Usulan Pembiayaan'!$M$55="Flat",W57,T57)</f>
      </c>
      <c r="L57" s="217">
        <f>IF('Usulan Pembiayaan'!$M$55="Flat",X57,U57)</f>
      </c>
      <c r="M57" s="218">
        <f t="shared" si="14"/>
      </c>
      <c r="N57" s="337"/>
      <c r="O57" s="337"/>
      <c r="P57" s="128"/>
      <c r="T57" s="142">
        <f t="shared" si="12"/>
      </c>
      <c r="U57" s="142">
        <f t="shared" si="8"/>
      </c>
      <c r="V57" s="140">
        <f t="shared" si="13"/>
      </c>
      <c r="W57" s="140">
        <f t="shared" si="9"/>
      </c>
      <c r="X57" s="140">
        <f t="shared" si="10"/>
      </c>
      <c r="Y57" s="128">
        <f t="shared" si="11"/>
      </c>
    </row>
    <row r="58" spans="1:25" ht="15">
      <c r="A58" s="155">
        <v>51</v>
      </c>
      <c r="B58" s="221">
        <f t="shared" si="4"/>
      </c>
      <c r="C58" s="218">
        <f t="shared" si="5"/>
      </c>
      <c r="D58" s="217">
        <f>IF('Usulan Pembiayaan'!$M$55="Flat",T58,W58)</f>
      </c>
      <c r="E58" s="217">
        <f>IF('Usulan Pembiayaan'!$M$55="Flat",U58,X58)</f>
      </c>
      <c r="F58" s="218">
        <v>0</v>
      </c>
      <c r="H58" s="155">
        <v>51</v>
      </c>
      <c r="I58" s="221">
        <f t="shared" si="6"/>
      </c>
      <c r="J58" s="218">
        <f t="shared" si="7"/>
      </c>
      <c r="K58" s="217">
        <f>IF('Usulan Pembiayaan'!$M$55="Flat",W58,T58)</f>
      </c>
      <c r="L58" s="217">
        <f>IF('Usulan Pembiayaan'!$M$55="Flat",X58,U58)</f>
      </c>
      <c r="M58" s="218">
        <f t="shared" si="14"/>
      </c>
      <c r="N58" s="337"/>
      <c r="O58" s="337"/>
      <c r="T58" s="142">
        <f t="shared" si="12"/>
      </c>
      <c r="U58" s="142">
        <f t="shared" si="8"/>
      </c>
      <c r="V58" s="140">
        <f t="shared" si="13"/>
      </c>
      <c r="W58" s="140">
        <f t="shared" si="9"/>
      </c>
      <c r="X58" s="140">
        <f t="shared" si="10"/>
      </c>
      <c r="Y58" s="128">
        <f t="shared" si="11"/>
      </c>
    </row>
    <row r="59" spans="1:25" ht="15">
      <c r="A59" s="154">
        <v>52</v>
      </c>
      <c r="B59" s="221">
        <f t="shared" si="4"/>
      </c>
      <c r="C59" s="218">
        <f t="shared" si="5"/>
      </c>
      <c r="D59" s="217">
        <f>IF('Usulan Pembiayaan'!$M$55="Flat",T59,W59)</f>
      </c>
      <c r="E59" s="217">
        <f>IF('Usulan Pembiayaan'!$M$55="Flat",U59,X59)</f>
      </c>
      <c r="F59" s="218">
        <f t="shared" si="0"/>
      </c>
      <c r="H59" s="154">
        <v>52</v>
      </c>
      <c r="I59" s="221">
        <f t="shared" si="6"/>
      </c>
      <c r="J59" s="218">
        <f t="shared" si="7"/>
      </c>
      <c r="K59" s="217">
        <f>IF('Usulan Pembiayaan'!$M$55="Flat",W59,T59)</f>
      </c>
      <c r="L59" s="217">
        <f>IF('Usulan Pembiayaan'!$M$55="Flat",X59,U59)</f>
      </c>
      <c r="M59" s="218">
        <f t="shared" si="14"/>
      </c>
      <c r="N59" s="337"/>
      <c r="O59" s="337"/>
      <c r="T59" s="142">
        <f t="shared" si="12"/>
      </c>
      <c r="U59" s="142">
        <f t="shared" si="8"/>
      </c>
      <c r="V59" s="140">
        <f t="shared" si="13"/>
      </c>
      <c r="W59" s="140">
        <f t="shared" si="9"/>
      </c>
      <c r="X59" s="140">
        <f t="shared" si="10"/>
      </c>
      <c r="Y59" s="128">
        <f t="shared" si="11"/>
      </c>
    </row>
    <row r="60" spans="1:25" ht="15">
      <c r="A60" s="155">
        <v>53</v>
      </c>
      <c r="B60" s="221">
        <f t="shared" si="4"/>
      </c>
      <c r="C60" s="218">
        <f t="shared" si="5"/>
      </c>
      <c r="D60" s="217">
        <f>IF('Usulan Pembiayaan'!$M$55="Flat",T60,W60)</f>
      </c>
      <c r="E60" s="217">
        <f>IF('Usulan Pembiayaan'!$M$55="Flat",U60,X60)</f>
      </c>
      <c r="F60" s="218">
        <f t="shared" si="0"/>
      </c>
      <c r="H60" s="155">
        <v>53</v>
      </c>
      <c r="I60" s="221">
        <f t="shared" si="6"/>
      </c>
      <c r="J60" s="218">
        <f t="shared" si="7"/>
      </c>
      <c r="K60" s="217">
        <f>IF('Usulan Pembiayaan'!$M$55="Flat",W60,T60)</f>
      </c>
      <c r="L60" s="217">
        <f>IF('Usulan Pembiayaan'!$M$55="Flat",X60,U60)</f>
      </c>
      <c r="M60" s="218">
        <f t="shared" si="14"/>
      </c>
      <c r="N60" s="337"/>
      <c r="O60" s="337"/>
      <c r="T60" s="142">
        <f t="shared" si="12"/>
      </c>
      <c r="U60" s="142">
        <f t="shared" si="8"/>
      </c>
      <c r="V60" s="140">
        <f t="shared" si="13"/>
      </c>
      <c r="W60" s="140">
        <f t="shared" si="9"/>
      </c>
      <c r="X60" s="140">
        <f t="shared" si="10"/>
      </c>
      <c r="Y60" s="128">
        <f t="shared" si="11"/>
      </c>
    </row>
    <row r="61" spans="1:25" ht="15">
      <c r="A61" s="154">
        <v>54</v>
      </c>
      <c r="B61" s="221">
        <f t="shared" si="4"/>
      </c>
      <c r="C61" s="218">
        <f t="shared" si="5"/>
      </c>
      <c r="D61" s="217">
        <f>IF('Usulan Pembiayaan'!$M$55="Flat",T61,W61)</f>
      </c>
      <c r="E61" s="217">
        <f>IF('Usulan Pembiayaan'!$M$55="Flat",U61,X61)</f>
      </c>
      <c r="F61" s="218">
        <f t="shared" si="0"/>
      </c>
      <c r="H61" s="154">
        <v>54</v>
      </c>
      <c r="I61" s="221">
        <f t="shared" si="6"/>
      </c>
      <c r="J61" s="218">
        <f t="shared" si="7"/>
      </c>
      <c r="K61" s="217">
        <f>IF('Usulan Pembiayaan'!$M$55="Flat",W61,T61)</f>
      </c>
      <c r="L61" s="217">
        <f>IF('Usulan Pembiayaan'!$M$55="Flat",X61,U61)</f>
      </c>
      <c r="M61" s="218">
        <f t="shared" si="14"/>
      </c>
      <c r="N61" s="337"/>
      <c r="O61" s="337"/>
      <c r="T61" s="142">
        <f t="shared" si="12"/>
      </c>
      <c r="U61" s="142">
        <f t="shared" si="8"/>
      </c>
      <c r="V61" s="140">
        <f t="shared" si="13"/>
      </c>
      <c r="W61" s="140">
        <f t="shared" si="9"/>
      </c>
      <c r="X61" s="140">
        <f t="shared" si="10"/>
      </c>
      <c r="Y61" s="128">
        <f t="shared" si="11"/>
      </c>
    </row>
    <row r="62" spans="1:25" ht="15">
      <c r="A62" s="155">
        <v>55</v>
      </c>
      <c r="B62" s="221">
        <f t="shared" si="4"/>
      </c>
      <c r="C62" s="218">
        <f t="shared" si="5"/>
      </c>
      <c r="D62" s="217">
        <f>IF('Usulan Pembiayaan'!$M$55="Flat",T62,W62)</f>
      </c>
      <c r="E62" s="217">
        <f>IF('Usulan Pembiayaan'!$M$55="Flat",U62,X62)</f>
      </c>
      <c r="F62" s="218">
        <f t="shared" si="0"/>
      </c>
      <c r="H62" s="155">
        <v>55</v>
      </c>
      <c r="I62" s="221">
        <f t="shared" si="6"/>
      </c>
      <c r="J62" s="218">
        <f t="shared" si="7"/>
      </c>
      <c r="K62" s="217">
        <f>IF('Usulan Pembiayaan'!$M$55="Flat",W62,T62)</f>
      </c>
      <c r="L62" s="217">
        <f>IF('Usulan Pembiayaan'!$M$55="Flat",X62,U62)</f>
      </c>
      <c r="M62" s="218">
        <f t="shared" si="14"/>
      </c>
      <c r="N62" s="337"/>
      <c r="O62" s="337"/>
      <c r="T62" s="142">
        <f t="shared" si="12"/>
      </c>
      <c r="U62" s="142">
        <f t="shared" si="8"/>
      </c>
      <c r="V62" s="140">
        <f t="shared" si="13"/>
      </c>
      <c r="W62" s="140">
        <f t="shared" si="9"/>
      </c>
      <c r="X62" s="140">
        <f t="shared" si="10"/>
      </c>
      <c r="Y62" s="128">
        <f t="shared" si="11"/>
      </c>
    </row>
    <row r="63" spans="1:25" ht="15">
      <c r="A63" s="154">
        <v>56</v>
      </c>
      <c r="B63" s="221">
        <f t="shared" si="4"/>
      </c>
      <c r="C63" s="218">
        <f t="shared" si="5"/>
      </c>
      <c r="D63" s="217">
        <f>IF('Usulan Pembiayaan'!$M$55="Flat",T63,W63)</f>
      </c>
      <c r="E63" s="217">
        <f>IF('Usulan Pembiayaan'!$M$55="Flat",U63,X63)</f>
      </c>
      <c r="F63" s="218">
        <f t="shared" si="0"/>
      </c>
      <c r="H63" s="154">
        <v>56</v>
      </c>
      <c r="I63" s="221">
        <f t="shared" si="6"/>
      </c>
      <c r="J63" s="218">
        <f t="shared" si="7"/>
      </c>
      <c r="K63" s="217">
        <f>IF('Usulan Pembiayaan'!$M$55="Flat",W63,T63)</f>
      </c>
      <c r="L63" s="217">
        <f>IF('Usulan Pembiayaan'!$M$55="Flat",X63,U63)</f>
      </c>
      <c r="M63" s="218">
        <f t="shared" si="14"/>
      </c>
      <c r="N63" s="337"/>
      <c r="O63" s="337"/>
      <c r="T63" s="142">
        <f t="shared" si="12"/>
      </c>
      <c r="U63" s="142">
        <f t="shared" si="8"/>
      </c>
      <c r="V63" s="140">
        <f t="shared" si="13"/>
      </c>
      <c r="W63" s="140">
        <f t="shared" si="9"/>
      </c>
      <c r="X63" s="140">
        <f t="shared" si="10"/>
      </c>
      <c r="Y63" s="128">
        <f t="shared" si="11"/>
      </c>
    </row>
    <row r="64" spans="1:25" ht="15">
      <c r="A64" s="155">
        <v>57</v>
      </c>
      <c r="B64" s="221">
        <f t="shared" si="4"/>
      </c>
      <c r="C64" s="218">
        <f t="shared" si="5"/>
      </c>
      <c r="D64" s="217">
        <f>IF('Usulan Pembiayaan'!$M$55="Flat",T64,W64)</f>
      </c>
      <c r="E64" s="217">
        <f>IF('Usulan Pembiayaan'!$M$55="Flat",U64,X64)</f>
      </c>
      <c r="F64" s="218">
        <f t="shared" si="0"/>
      </c>
      <c r="H64" s="155">
        <v>57</v>
      </c>
      <c r="I64" s="221">
        <f t="shared" si="6"/>
      </c>
      <c r="J64" s="218">
        <f t="shared" si="7"/>
      </c>
      <c r="K64" s="217">
        <f>IF('Usulan Pembiayaan'!$M$55="Flat",W64,T64)</f>
      </c>
      <c r="L64" s="217">
        <f>IF('Usulan Pembiayaan'!$M$55="Flat",X64,U64)</f>
      </c>
      <c r="M64" s="218">
        <f t="shared" si="14"/>
      </c>
      <c r="N64" s="337"/>
      <c r="O64" s="337"/>
      <c r="T64" s="142">
        <f t="shared" si="12"/>
      </c>
      <c r="U64" s="142">
        <f t="shared" si="8"/>
      </c>
      <c r="V64" s="140">
        <f t="shared" si="13"/>
      </c>
      <c r="W64" s="140">
        <f t="shared" si="9"/>
      </c>
      <c r="X64" s="140">
        <f t="shared" si="10"/>
      </c>
      <c r="Y64" s="128">
        <f t="shared" si="11"/>
      </c>
    </row>
    <row r="65" spans="1:25" ht="15">
      <c r="A65" s="154">
        <v>58</v>
      </c>
      <c r="B65" s="221">
        <f t="shared" si="4"/>
      </c>
      <c r="C65" s="218">
        <f t="shared" si="5"/>
      </c>
      <c r="D65" s="217">
        <f>IF('Usulan Pembiayaan'!$M$55="Flat",T65,W65)</f>
      </c>
      <c r="E65" s="217">
        <f>IF('Usulan Pembiayaan'!$M$55="Flat",U65,X65)</f>
      </c>
      <c r="F65" s="218">
        <f t="shared" si="0"/>
      </c>
      <c r="H65" s="154">
        <v>58</v>
      </c>
      <c r="I65" s="221">
        <f t="shared" si="6"/>
      </c>
      <c r="J65" s="218">
        <f t="shared" si="7"/>
      </c>
      <c r="K65" s="217">
        <f>IF('Usulan Pembiayaan'!$M$55="Flat",W65,T65)</f>
      </c>
      <c r="L65" s="217">
        <f>IF('Usulan Pembiayaan'!$M$55="Flat",X65,U65)</f>
      </c>
      <c r="M65" s="218">
        <f t="shared" si="14"/>
      </c>
      <c r="N65" s="337"/>
      <c r="O65" s="337"/>
      <c r="P65" s="127"/>
      <c r="T65" s="142">
        <f t="shared" si="12"/>
      </c>
      <c r="U65" s="142">
        <f t="shared" si="8"/>
      </c>
      <c r="V65" s="140">
        <f t="shared" si="13"/>
      </c>
      <c r="W65" s="140">
        <f t="shared" si="9"/>
      </c>
      <c r="X65" s="140">
        <f t="shared" si="10"/>
      </c>
      <c r="Y65" s="128">
        <f t="shared" si="11"/>
      </c>
    </row>
    <row r="66" spans="1:25" ht="15">
      <c r="A66" s="155">
        <v>59</v>
      </c>
      <c r="B66" s="221">
        <f t="shared" si="4"/>
      </c>
      <c r="C66" s="218">
        <f t="shared" si="5"/>
      </c>
      <c r="D66" s="217">
        <f>IF('Usulan Pembiayaan'!$M$55="Flat",T66,W66)</f>
      </c>
      <c r="E66" s="217">
        <f>IF('Usulan Pembiayaan'!$M$55="Flat",U66,X66)</f>
      </c>
      <c r="F66" s="218">
        <f t="shared" si="0"/>
      </c>
      <c r="H66" s="155">
        <v>59</v>
      </c>
      <c r="I66" s="221">
        <f t="shared" si="6"/>
      </c>
      <c r="J66" s="218">
        <f t="shared" si="7"/>
      </c>
      <c r="K66" s="217">
        <f>IF('Usulan Pembiayaan'!$M$55="Flat",W66,T66)</f>
      </c>
      <c r="L66" s="217">
        <f>IF('Usulan Pembiayaan'!$M$55="Flat",X66,U66)</f>
      </c>
      <c r="M66" s="218">
        <f t="shared" si="14"/>
      </c>
      <c r="N66" s="337"/>
      <c r="O66" s="337"/>
      <c r="P66" s="127"/>
      <c r="T66" s="142">
        <f t="shared" si="12"/>
      </c>
      <c r="U66" s="142">
        <f t="shared" si="8"/>
      </c>
      <c r="V66" s="140">
        <f t="shared" si="13"/>
      </c>
      <c r="W66" s="140">
        <f t="shared" si="9"/>
      </c>
      <c r="X66" s="140">
        <f t="shared" si="10"/>
      </c>
      <c r="Y66" s="128">
        <f t="shared" si="11"/>
      </c>
    </row>
    <row r="67" spans="1:25" ht="15">
      <c r="A67" s="154">
        <v>60</v>
      </c>
      <c r="B67" s="221">
        <f t="shared" si="4"/>
      </c>
      <c r="C67" s="218">
        <f t="shared" si="5"/>
      </c>
      <c r="D67" s="217">
        <f>IF('Usulan Pembiayaan'!$M$55="Flat",T67,W67)</f>
      </c>
      <c r="E67" s="217">
        <f>IF('Usulan Pembiayaan'!$M$55="Flat",U67,X67)</f>
      </c>
      <c r="F67" s="218">
        <f t="shared" si="0"/>
      </c>
      <c r="H67" s="154">
        <v>60</v>
      </c>
      <c r="I67" s="221">
        <f t="shared" si="6"/>
      </c>
      <c r="J67" s="218">
        <f t="shared" si="7"/>
      </c>
      <c r="K67" s="217">
        <f>IF('Usulan Pembiayaan'!$M$55="Flat",W67,T67)</f>
      </c>
      <c r="L67" s="217">
        <f>IF('Usulan Pembiayaan'!$M$55="Flat",X67,U67)</f>
      </c>
      <c r="M67" s="218">
        <f t="shared" si="14"/>
      </c>
      <c r="N67" s="337"/>
      <c r="O67" s="337"/>
      <c r="P67" s="127"/>
      <c r="T67" s="142">
        <f t="shared" si="12"/>
      </c>
      <c r="U67" s="142">
        <f t="shared" si="8"/>
      </c>
      <c r="V67" s="140">
        <f t="shared" si="13"/>
      </c>
      <c r="W67" s="140">
        <f t="shared" si="9"/>
      </c>
      <c r="X67" s="140">
        <f t="shared" si="10"/>
      </c>
      <c r="Y67" s="128">
        <f t="shared" si="11"/>
      </c>
    </row>
    <row r="68" spans="1:25" ht="15">
      <c r="A68" s="155">
        <v>61</v>
      </c>
      <c r="B68" s="221">
        <f t="shared" si="4"/>
      </c>
      <c r="C68" s="218">
        <f t="shared" si="5"/>
      </c>
      <c r="D68" s="217">
        <f>IF('Usulan Pembiayaan'!$M$55="Flat",T68,W68)</f>
      </c>
      <c r="E68" s="217">
        <f>IF('Usulan Pembiayaan'!$M$55="Flat",U68,X68)</f>
      </c>
      <c r="F68" s="218">
        <f t="shared" si="0"/>
      </c>
      <c r="H68" s="155">
        <v>61</v>
      </c>
      <c r="I68" s="221">
        <f t="shared" si="6"/>
      </c>
      <c r="J68" s="218">
        <f t="shared" si="7"/>
      </c>
      <c r="K68" s="217">
        <f>IF('Usulan Pembiayaan'!$M$55="Flat",W68,T68)</f>
      </c>
      <c r="L68" s="217">
        <f>IF('Usulan Pembiayaan'!$M$55="Flat",X68,U68)</f>
      </c>
      <c r="M68" s="218">
        <f t="shared" si="14"/>
      </c>
      <c r="N68" s="337"/>
      <c r="O68" s="337"/>
      <c r="P68" s="127"/>
      <c r="T68" s="142">
        <f t="shared" si="12"/>
      </c>
      <c r="U68" s="142">
        <f t="shared" si="8"/>
      </c>
      <c r="V68" s="140">
        <f t="shared" si="13"/>
      </c>
      <c r="W68" s="140">
        <f t="shared" si="9"/>
      </c>
      <c r="X68" s="140">
        <f t="shared" si="10"/>
      </c>
      <c r="Y68" s="128">
        <f t="shared" si="11"/>
      </c>
    </row>
    <row r="69" spans="1:25" ht="15">
      <c r="A69" s="154">
        <v>62</v>
      </c>
      <c r="B69" s="221">
        <f t="shared" si="4"/>
      </c>
      <c r="C69" s="218">
        <f t="shared" si="5"/>
      </c>
      <c r="D69" s="217">
        <f>IF('Usulan Pembiayaan'!$M$55="Flat",T69,W69)</f>
      </c>
      <c r="E69" s="217">
        <f>IF('Usulan Pembiayaan'!$M$55="Flat",U69,X69)</f>
      </c>
      <c r="F69" s="218">
        <f t="shared" si="0"/>
      </c>
      <c r="H69" s="154">
        <v>62</v>
      </c>
      <c r="I69" s="221">
        <f t="shared" si="6"/>
      </c>
      <c r="J69" s="218">
        <f t="shared" si="7"/>
      </c>
      <c r="K69" s="217">
        <f>IF('Usulan Pembiayaan'!$M$55="Flat",W69,T69)</f>
      </c>
      <c r="L69" s="217">
        <f>IF('Usulan Pembiayaan'!$M$55="Flat",X69,U69)</f>
      </c>
      <c r="M69" s="218">
        <f t="shared" si="14"/>
      </c>
      <c r="N69" s="337"/>
      <c r="O69" s="337"/>
      <c r="P69" s="127"/>
      <c r="T69" s="142">
        <f t="shared" si="12"/>
      </c>
      <c r="U69" s="142">
        <f t="shared" si="8"/>
      </c>
      <c r="V69" s="140">
        <f t="shared" si="13"/>
      </c>
      <c r="W69" s="140">
        <f t="shared" si="9"/>
      </c>
      <c r="X69" s="140">
        <f t="shared" si="10"/>
      </c>
      <c r="Y69" s="128">
        <f t="shared" si="11"/>
      </c>
    </row>
    <row r="70" spans="1:25" ht="15">
      <c r="A70" s="155">
        <v>63</v>
      </c>
      <c r="B70" s="221">
        <f t="shared" si="4"/>
      </c>
      <c r="C70" s="218">
        <f t="shared" si="5"/>
      </c>
      <c r="D70" s="217">
        <f>IF('Usulan Pembiayaan'!$M$55="Flat",T70,W70)</f>
      </c>
      <c r="E70" s="217">
        <f>IF('Usulan Pembiayaan'!$M$55="Flat",U70,X70)</f>
      </c>
      <c r="F70" s="218">
        <f t="shared" si="0"/>
      </c>
      <c r="H70" s="155">
        <v>63</v>
      </c>
      <c r="I70" s="221">
        <f t="shared" si="6"/>
      </c>
      <c r="J70" s="218">
        <f t="shared" si="7"/>
      </c>
      <c r="K70" s="217">
        <f>IF('Usulan Pembiayaan'!$M$55="Flat",W70,T70)</f>
      </c>
      <c r="L70" s="217">
        <f>IF('Usulan Pembiayaan'!$M$55="Flat",X70,U70)</f>
      </c>
      <c r="M70" s="218">
        <f t="shared" si="14"/>
      </c>
      <c r="N70" s="337"/>
      <c r="O70" s="337"/>
      <c r="P70" s="127"/>
      <c r="T70" s="142">
        <f t="shared" si="12"/>
      </c>
      <c r="U70" s="142">
        <f t="shared" si="8"/>
      </c>
      <c r="V70" s="140">
        <f t="shared" si="13"/>
      </c>
      <c r="W70" s="140">
        <f t="shared" si="9"/>
      </c>
      <c r="X70" s="140">
        <f t="shared" si="10"/>
      </c>
      <c r="Y70" s="128">
        <f t="shared" si="11"/>
      </c>
    </row>
    <row r="71" spans="1:25" ht="15">
      <c r="A71" s="154">
        <v>64</v>
      </c>
      <c r="B71" s="221">
        <f t="shared" si="4"/>
      </c>
      <c r="C71" s="218">
        <f t="shared" si="5"/>
      </c>
      <c r="D71" s="217">
        <f>IF('Usulan Pembiayaan'!$M$55="Flat",T71,W71)</f>
      </c>
      <c r="E71" s="217">
        <f>IF('Usulan Pembiayaan'!$M$55="Flat",U71,X71)</f>
      </c>
      <c r="F71" s="218">
        <f t="shared" si="0"/>
      </c>
      <c r="H71" s="154">
        <v>64</v>
      </c>
      <c r="I71" s="221">
        <f t="shared" si="6"/>
      </c>
      <c r="J71" s="218">
        <f t="shared" si="7"/>
      </c>
      <c r="K71" s="217">
        <f>IF('Usulan Pembiayaan'!$M$55="Flat",W71,T71)</f>
      </c>
      <c r="L71" s="217">
        <f>IF('Usulan Pembiayaan'!$M$55="Flat",X71,U71)</f>
      </c>
      <c r="M71" s="218">
        <f t="shared" si="14"/>
      </c>
      <c r="N71" s="337"/>
      <c r="O71" s="337"/>
      <c r="P71" s="127"/>
      <c r="T71" s="142">
        <f t="shared" si="12"/>
      </c>
      <c r="U71" s="142">
        <f t="shared" si="8"/>
      </c>
      <c r="V71" s="140">
        <f t="shared" si="13"/>
      </c>
      <c r="W71" s="140">
        <f t="shared" si="9"/>
      </c>
      <c r="X71" s="140">
        <f t="shared" si="10"/>
      </c>
      <c r="Y71" s="128">
        <f t="shared" si="11"/>
      </c>
    </row>
    <row r="72" spans="1:25" ht="15">
      <c r="A72" s="154">
        <v>65</v>
      </c>
      <c r="B72" s="221">
        <f t="shared" si="4"/>
      </c>
      <c r="C72" s="218">
        <f t="shared" si="5"/>
      </c>
      <c r="D72" s="217">
        <f>IF('Usulan Pembiayaan'!$M$55="Flat",T72,W72)</f>
      </c>
      <c r="E72" s="217">
        <f>IF('Usulan Pembiayaan'!$M$55="Flat",U72,X72)</f>
      </c>
      <c r="F72" s="218">
        <f t="shared" si="0"/>
      </c>
      <c r="H72" s="154">
        <v>65</v>
      </c>
      <c r="I72" s="221">
        <f t="shared" si="6"/>
      </c>
      <c r="J72" s="218">
        <f t="shared" si="7"/>
      </c>
      <c r="K72" s="217">
        <f>IF('Usulan Pembiayaan'!$M$55="Flat",W72,T72)</f>
      </c>
      <c r="L72" s="217">
        <f>IF('Usulan Pembiayaan'!$M$55="Flat",X72,U72)</f>
      </c>
      <c r="M72" s="218">
        <f t="shared" si="14"/>
      </c>
      <c r="N72" s="337"/>
      <c r="O72" s="337"/>
      <c r="P72" s="127"/>
      <c r="T72" s="142">
        <f t="shared" si="12"/>
      </c>
      <c r="U72" s="142">
        <f t="shared" si="8"/>
      </c>
      <c r="V72" s="140">
        <f t="shared" si="13"/>
      </c>
      <c r="W72" s="140">
        <f t="shared" si="9"/>
      </c>
      <c r="X72" s="140">
        <f t="shared" si="10"/>
      </c>
      <c r="Y72" s="128">
        <f t="shared" si="11"/>
      </c>
    </row>
    <row r="73" spans="1:25" ht="15">
      <c r="A73" s="155">
        <v>66</v>
      </c>
      <c r="B73" s="221">
        <f t="shared" si="4"/>
      </c>
      <c r="C73" s="218">
        <f t="shared" si="5"/>
      </c>
      <c r="D73" s="217">
        <f>IF('Usulan Pembiayaan'!$M$55="Flat",T73,W73)</f>
      </c>
      <c r="E73" s="217">
        <f>IF('Usulan Pembiayaan'!$M$55="Flat",U73,X73)</f>
      </c>
      <c r="F73" s="218">
        <f t="shared" ref="F73:F127" si="15">D73+E73</f>
      </c>
      <c r="H73" s="155">
        <v>66</v>
      </c>
      <c r="I73" s="221">
        <f t="shared" si="6"/>
      </c>
      <c r="J73" s="218">
        <f t="shared" si="7"/>
      </c>
      <c r="K73" s="217">
        <f>IF('Usulan Pembiayaan'!$M$55="Flat",W73,T73)</f>
      </c>
      <c r="L73" s="217">
        <f>IF('Usulan Pembiayaan'!$M$55="Flat",X73,U73)</f>
      </c>
      <c r="M73" s="218">
        <f t="shared" ref="M73:M127" si="16">K73+L73</f>
      </c>
      <c r="N73" s="337"/>
      <c r="O73" s="337"/>
      <c r="P73" s="127"/>
      <c r="T73" s="142">
        <f t="shared" ref="T73:T104" si="17">IF(A73&lt;=$R$4,$P$2/$R$4,0)</f>
      </c>
      <c r="U73" s="142">
        <f t="shared" si="8"/>
      </c>
      <c r="V73" s="140">
        <f t="shared" ref="V73:V104" si="18">IF(A73&lt;=$R$4,V72-W72,0)</f>
      </c>
      <c r="W73" s="140">
        <f t="shared" si="9"/>
      </c>
      <c r="X73" s="140">
        <f t="shared" si="10"/>
      </c>
      <c r="Y73" s="128">
        <f t="shared" si="11"/>
      </c>
    </row>
    <row r="74" spans="1:25" ht="15">
      <c r="A74" s="154">
        <v>67</v>
      </c>
      <c r="B74" s="221">
        <f t="shared" ref="B74:B127" si="19">IF(B73="","",DATE(YEAR(B73),MONTH(B73)+1,DAY(B73)))</f>
      </c>
      <c r="C74" s="218">
        <f t="shared" ref="C74:C127" si="20">C73-D73</f>
      </c>
      <c r="D74" s="217">
        <f>IF('Usulan Pembiayaan'!$M$55="Flat",T74,W74)</f>
      </c>
      <c r="E74" s="217">
        <f>IF('Usulan Pembiayaan'!$M$55="Flat",U74,X74)</f>
      </c>
      <c r="F74" s="218">
        <f t="shared" si="15"/>
      </c>
      <c r="H74" s="154">
        <v>67</v>
      </c>
      <c r="I74" s="221">
        <f t="shared" ref="I74:I127" si="21">IF(I73="","",DATE(YEAR(I73),MONTH(I73)+1,DAY(I73)))</f>
      </c>
      <c r="J74" s="218">
        <f t="shared" ref="J74:J127" si="22">J73-K73</f>
      </c>
      <c r="K74" s="217">
        <f>IF('Usulan Pembiayaan'!$M$55="Flat",W74,T74)</f>
      </c>
      <c r="L74" s="217">
        <f>IF('Usulan Pembiayaan'!$M$55="Flat",X74,U74)</f>
      </c>
      <c r="M74" s="218">
        <f t="shared" si="16"/>
      </c>
      <c r="N74" s="337"/>
      <c r="O74" s="337"/>
      <c r="P74" s="127"/>
      <c r="T74" s="142">
        <f t="shared" si="17"/>
      </c>
      <c r="U74" s="142">
        <f t="shared" ref="U74:U127" si="23">IF(A74&lt;=$R$4,$U$8,0)</f>
      </c>
      <c r="V74" s="140">
        <f t="shared" si="18"/>
      </c>
      <c r="W74" s="140">
        <f t="shared" ref="W74:W127" si="24">Y74-X74</f>
      </c>
      <c r="X74" s="140">
        <f t="shared" ref="X74:X127" si="25">IF(A74&lt;=$R$4,V74*$R$6/12,0)</f>
      </c>
      <c r="Y74" s="128">
        <f t="shared" ref="Y74:Y127" si="26">IF(A74&lt;=$R$4,$Y$8,0)</f>
      </c>
    </row>
    <row r="75" spans="1:25" ht="15">
      <c r="A75" s="155">
        <v>68</v>
      </c>
      <c r="B75" s="221">
        <f t="shared" si="19"/>
      </c>
      <c r="C75" s="218">
        <f t="shared" si="20"/>
      </c>
      <c r="D75" s="217">
        <f>IF('Usulan Pembiayaan'!$M$55="Flat",T75,W75)</f>
      </c>
      <c r="E75" s="217">
        <f>IF('Usulan Pembiayaan'!$M$55="Flat",U75,X75)</f>
      </c>
      <c r="F75" s="218">
        <f t="shared" si="15"/>
      </c>
      <c r="H75" s="155">
        <v>68</v>
      </c>
      <c r="I75" s="221">
        <f t="shared" si="21"/>
      </c>
      <c r="J75" s="218">
        <f t="shared" si="22"/>
      </c>
      <c r="K75" s="217">
        <f>IF('Usulan Pembiayaan'!$M$55="Flat",W75,T75)</f>
      </c>
      <c r="L75" s="217">
        <f>IF('Usulan Pembiayaan'!$M$55="Flat",X75,U75)</f>
      </c>
      <c r="M75" s="218">
        <f t="shared" si="16"/>
      </c>
      <c r="N75" s="337"/>
      <c r="O75" s="337"/>
      <c r="P75" s="127"/>
      <c r="T75" s="142">
        <f t="shared" si="17"/>
      </c>
      <c r="U75" s="142">
        <f t="shared" si="23"/>
      </c>
      <c r="V75" s="140">
        <f t="shared" si="18"/>
      </c>
      <c r="W75" s="140">
        <f t="shared" si="24"/>
      </c>
      <c r="X75" s="140">
        <f t="shared" si="25"/>
      </c>
      <c r="Y75" s="128">
        <f t="shared" si="26"/>
      </c>
    </row>
    <row r="76" spans="1:25" ht="15">
      <c r="A76" s="154">
        <v>69</v>
      </c>
      <c r="B76" s="221">
        <f t="shared" si="19"/>
      </c>
      <c r="C76" s="218">
        <f t="shared" si="20"/>
      </c>
      <c r="D76" s="217">
        <f>IF('Usulan Pembiayaan'!$M$55="Flat",T76,W76)</f>
      </c>
      <c r="E76" s="217">
        <f>IF('Usulan Pembiayaan'!$M$55="Flat",U76,X76)</f>
      </c>
      <c r="F76" s="218">
        <f t="shared" si="15"/>
      </c>
      <c r="H76" s="154">
        <v>69</v>
      </c>
      <c r="I76" s="221">
        <f t="shared" si="21"/>
      </c>
      <c r="J76" s="218">
        <f t="shared" si="22"/>
      </c>
      <c r="K76" s="217">
        <f>IF('Usulan Pembiayaan'!$M$55="Flat",W76,T76)</f>
      </c>
      <c r="L76" s="217">
        <f>IF('Usulan Pembiayaan'!$M$55="Flat",X76,U76)</f>
      </c>
      <c r="M76" s="218">
        <f t="shared" si="16"/>
      </c>
      <c r="N76" s="337"/>
      <c r="O76" s="337"/>
      <c r="P76" s="127"/>
      <c r="T76" s="142">
        <f t="shared" si="17"/>
      </c>
      <c r="U76" s="142">
        <f t="shared" si="23"/>
      </c>
      <c r="V76" s="140">
        <f t="shared" si="18"/>
      </c>
      <c r="W76" s="140">
        <f t="shared" si="24"/>
      </c>
      <c r="X76" s="140">
        <f t="shared" si="25"/>
      </c>
      <c r="Y76" s="128">
        <f t="shared" si="26"/>
      </c>
    </row>
    <row r="77" spans="1:25" ht="15">
      <c r="A77" s="155">
        <v>70</v>
      </c>
      <c r="B77" s="221">
        <f t="shared" si="19"/>
      </c>
      <c r="C77" s="218">
        <f t="shared" si="20"/>
      </c>
      <c r="D77" s="217">
        <f>IF('Usulan Pembiayaan'!$M$55="Flat",T77,W77)</f>
      </c>
      <c r="E77" s="217">
        <f>IF('Usulan Pembiayaan'!$M$55="Flat",U77,X77)</f>
      </c>
      <c r="F77" s="218">
        <f t="shared" si="15"/>
      </c>
      <c r="H77" s="155">
        <v>70</v>
      </c>
      <c r="I77" s="221">
        <f t="shared" si="21"/>
      </c>
      <c r="J77" s="218">
        <f t="shared" si="22"/>
      </c>
      <c r="K77" s="217">
        <f>IF('Usulan Pembiayaan'!$M$55="Flat",W77,T77)</f>
      </c>
      <c r="L77" s="217">
        <f>IF('Usulan Pembiayaan'!$M$55="Flat",X77,U77)</f>
      </c>
      <c r="M77" s="218">
        <f t="shared" si="16"/>
      </c>
      <c r="N77" s="337"/>
      <c r="O77" s="337"/>
      <c r="P77" s="127"/>
      <c r="T77" s="142">
        <f t="shared" si="17"/>
      </c>
      <c r="U77" s="142">
        <f t="shared" si="23"/>
      </c>
      <c r="V77" s="140">
        <f t="shared" si="18"/>
      </c>
      <c r="W77" s="140">
        <f t="shared" si="24"/>
      </c>
      <c r="X77" s="140">
        <f t="shared" si="25"/>
      </c>
      <c r="Y77" s="128">
        <f t="shared" si="26"/>
      </c>
    </row>
    <row r="78" spans="1:25" ht="15">
      <c r="A78" s="154">
        <v>71</v>
      </c>
      <c r="B78" s="221">
        <f t="shared" si="19"/>
      </c>
      <c r="C78" s="218">
        <f t="shared" si="20"/>
      </c>
      <c r="D78" s="217">
        <f>IF('Usulan Pembiayaan'!$M$55="Flat",T78,W78)</f>
      </c>
      <c r="E78" s="217">
        <f>IF('Usulan Pembiayaan'!$M$55="Flat",U78,X78)</f>
      </c>
      <c r="F78" s="218">
        <f t="shared" si="15"/>
      </c>
      <c r="H78" s="154">
        <v>71</v>
      </c>
      <c r="I78" s="221">
        <f t="shared" si="21"/>
      </c>
      <c r="J78" s="218">
        <f t="shared" si="22"/>
      </c>
      <c r="K78" s="217">
        <f>IF('Usulan Pembiayaan'!$M$55="Flat",W78,T78)</f>
      </c>
      <c r="L78" s="217">
        <f>IF('Usulan Pembiayaan'!$M$55="Flat",X78,U78)</f>
      </c>
      <c r="M78" s="218">
        <f t="shared" si="16"/>
      </c>
      <c r="N78" s="337"/>
      <c r="O78" s="337"/>
      <c r="P78" s="127"/>
      <c r="T78" s="142">
        <f t="shared" si="17"/>
      </c>
      <c r="U78" s="142">
        <f t="shared" si="23"/>
      </c>
      <c r="V78" s="140">
        <f t="shared" si="18"/>
      </c>
      <c r="W78" s="140">
        <f t="shared" si="24"/>
      </c>
      <c r="X78" s="140">
        <f t="shared" si="25"/>
      </c>
      <c r="Y78" s="128">
        <f t="shared" si="26"/>
      </c>
    </row>
    <row r="79" spans="1:25" ht="15">
      <c r="A79" s="155">
        <v>72</v>
      </c>
      <c r="B79" s="221">
        <f t="shared" si="19"/>
      </c>
      <c r="C79" s="218">
        <f t="shared" si="20"/>
      </c>
      <c r="D79" s="217">
        <f>IF('Usulan Pembiayaan'!$M$55="Flat",T79,W79)</f>
      </c>
      <c r="E79" s="217">
        <f>IF('Usulan Pembiayaan'!$M$55="Flat",U79,X79)</f>
      </c>
      <c r="F79" s="218">
        <f t="shared" si="15"/>
      </c>
      <c r="H79" s="155">
        <v>72</v>
      </c>
      <c r="I79" s="221">
        <f t="shared" si="21"/>
      </c>
      <c r="J79" s="218">
        <f t="shared" si="22"/>
      </c>
      <c r="K79" s="217">
        <f>IF('Usulan Pembiayaan'!$M$55="Flat",W79,T79)</f>
      </c>
      <c r="L79" s="217">
        <f>IF('Usulan Pembiayaan'!$M$55="Flat",X79,U79)</f>
      </c>
      <c r="M79" s="218">
        <f t="shared" si="16"/>
      </c>
      <c r="N79" s="337"/>
      <c r="O79" s="337"/>
      <c r="P79" s="127"/>
      <c r="T79" s="142">
        <f t="shared" si="17"/>
      </c>
      <c r="U79" s="142">
        <f t="shared" si="23"/>
      </c>
      <c r="V79" s="140">
        <f t="shared" si="18"/>
      </c>
      <c r="W79" s="140">
        <f t="shared" si="24"/>
      </c>
      <c r="X79" s="140">
        <f t="shared" si="25"/>
      </c>
      <c r="Y79" s="128">
        <f t="shared" si="26"/>
      </c>
    </row>
    <row r="80" spans="1:25" ht="15">
      <c r="A80" s="154">
        <v>73</v>
      </c>
      <c r="B80" s="221">
        <f t="shared" si="19"/>
      </c>
      <c r="C80" s="218">
        <f t="shared" si="20"/>
      </c>
      <c r="D80" s="217">
        <f>IF('Usulan Pembiayaan'!$M$55="Flat",T80,W80)</f>
      </c>
      <c r="E80" s="217">
        <f>IF('Usulan Pembiayaan'!$M$55="Flat",U80,X80)</f>
      </c>
      <c r="F80" s="218">
        <f t="shared" si="15"/>
      </c>
      <c r="H80" s="154">
        <v>73</v>
      </c>
      <c r="I80" s="221">
        <f t="shared" si="21"/>
      </c>
      <c r="J80" s="218">
        <f t="shared" si="22"/>
      </c>
      <c r="K80" s="217">
        <f>IF('Usulan Pembiayaan'!$M$55="Flat",W80,T80)</f>
      </c>
      <c r="L80" s="217">
        <f>IF('Usulan Pembiayaan'!$M$55="Flat",X80,U80)</f>
      </c>
      <c r="M80" s="218">
        <f t="shared" si="16"/>
      </c>
      <c r="N80" s="337"/>
      <c r="O80" s="337"/>
      <c r="P80" s="127"/>
      <c r="T80" s="142">
        <f t="shared" si="17"/>
      </c>
      <c r="U80" s="142">
        <f t="shared" si="23"/>
      </c>
      <c r="V80" s="140">
        <f t="shared" si="18"/>
      </c>
      <c r="W80" s="140">
        <f t="shared" si="24"/>
      </c>
      <c r="X80" s="140">
        <f t="shared" si="25"/>
      </c>
      <c r="Y80" s="128">
        <f t="shared" si="26"/>
      </c>
    </row>
    <row r="81" spans="1:25" ht="15">
      <c r="A81" s="155">
        <v>74</v>
      </c>
      <c r="B81" s="221">
        <f t="shared" si="19"/>
      </c>
      <c r="C81" s="218">
        <f t="shared" si="20"/>
      </c>
      <c r="D81" s="217">
        <f>IF('Usulan Pembiayaan'!$M$55="Flat",T81,W81)</f>
      </c>
      <c r="E81" s="217">
        <f>IF('Usulan Pembiayaan'!$M$55="Flat",U81,X81)</f>
      </c>
      <c r="F81" s="218">
        <f t="shared" si="15"/>
      </c>
      <c r="H81" s="155">
        <v>74</v>
      </c>
      <c r="I81" s="221">
        <f t="shared" si="21"/>
      </c>
      <c r="J81" s="218">
        <f t="shared" si="22"/>
      </c>
      <c r="K81" s="217">
        <f>IF('Usulan Pembiayaan'!$M$55="Flat",W81,T81)</f>
      </c>
      <c r="L81" s="217">
        <f>IF('Usulan Pembiayaan'!$M$55="Flat",X81,U81)</f>
      </c>
      <c r="M81" s="218">
        <f t="shared" si="16"/>
      </c>
      <c r="N81" s="337"/>
      <c r="O81" s="337"/>
      <c r="P81" s="127"/>
      <c r="T81" s="142">
        <f t="shared" si="17"/>
      </c>
      <c r="U81" s="142">
        <f t="shared" si="23"/>
      </c>
      <c r="V81" s="140">
        <f t="shared" si="18"/>
      </c>
      <c r="W81" s="140">
        <f t="shared" si="24"/>
      </c>
      <c r="X81" s="140">
        <f t="shared" si="25"/>
      </c>
      <c r="Y81" s="128">
        <f t="shared" si="26"/>
      </c>
    </row>
    <row r="82" spans="1:25" ht="15">
      <c r="A82" s="154">
        <v>75</v>
      </c>
      <c r="B82" s="221">
        <f t="shared" si="19"/>
      </c>
      <c r="C82" s="218">
        <f t="shared" si="20"/>
      </c>
      <c r="D82" s="217">
        <f>IF('Usulan Pembiayaan'!$M$55="Flat",T82,W82)</f>
      </c>
      <c r="E82" s="217">
        <f>IF('Usulan Pembiayaan'!$M$55="Flat",U82,X82)</f>
      </c>
      <c r="F82" s="218">
        <f t="shared" si="15"/>
      </c>
      <c r="H82" s="154">
        <v>75</v>
      </c>
      <c r="I82" s="221">
        <f t="shared" si="21"/>
      </c>
      <c r="J82" s="218">
        <f t="shared" si="22"/>
      </c>
      <c r="K82" s="217">
        <f>IF('Usulan Pembiayaan'!$M$55="Flat",W82,T82)</f>
      </c>
      <c r="L82" s="217">
        <f>IF('Usulan Pembiayaan'!$M$55="Flat",X82,U82)</f>
      </c>
      <c r="M82" s="218">
        <f t="shared" si="16"/>
      </c>
      <c r="N82" s="337"/>
      <c r="O82" s="337"/>
      <c r="P82" s="127"/>
      <c r="T82" s="142">
        <f t="shared" si="17"/>
      </c>
      <c r="U82" s="142">
        <f t="shared" si="23"/>
      </c>
      <c r="V82" s="140">
        <f t="shared" si="18"/>
      </c>
      <c r="W82" s="140">
        <f t="shared" si="24"/>
      </c>
      <c r="X82" s="140">
        <f t="shared" si="25"/>
      </c>
      <c r="Y82" s="128">
        <f t="shared" si="26"/>
      </c>
    </row>
    <row r="83" spans="1:25" ht="15">
      <c r="A83" s="154">
        <v>76</v>
      </c>
      <c r="B83" s="221">
        <f t="shared" si="19"/>
      </c>
      <c r="C83" s="218">
        <f t="shared" si="20"/>
      </c>
      <c r="D83" s="217">
        <f>IF('Usulan Pembiayaan'!$M$55="Flat",T83,W83)</f>
      </c>
      <c r="E83" s="217">
        <f>IF('Usulan Pembiayaan'!$M$55="Flat",U83,X83)</f>
      </c>
      <c r="F83" s="218">
        <f t="shared" si="15"/>
      </c>
      <c r="H83" s="154">
        <v>76</v>
      </c>
      <c r="I83" s="221">
        <f t="shared" si="21"/>
      </c>
      <c r="J83" s="218">
        <f t="shared" si="22"/>
      </c>
      <c r="K83" s="217">
        <f>IF('Usulan Pembiayaan'!$M$55="Flat",W83,T83)</f>
      </c>
      <c r="L83" s="217">
        <f>IF('Usulan Pembiayaan'!$M$55="Flat",X83,U83)</f>
      </c>
      <c r="M83" s="218">
        <f t="shared" si="16"/>
      </c>
      <c r="N83" s="337"/>
      <c r="O83" s="337"/>
      <c r="P83" s="127"/>
      <c r="T83" s="142">
        <f t="shared" si="17"/>
      </c>
      <c r="U83" s="142">
        <f t="shared" si="23"/>
      </c>
      <c r="V83" s="140">
        <f t="shared" si="18"/>
      </c>
      <c r="W83" s="140">
        <f t="shared" si="24"/>
      </c>
      <c r="X83" s="140">
        <f t="shared" si="25"/>
      </c>
      <c r="Y83" s="128">
        <f t="shared" si="26"/>
      </c>
    </row>
    <row r="84" spans="1:25" ht="15">
      <c r="A84" s="155">
        <v>77</v>
      </c>
      <c r="B84" s="221">
        <f t="shared" si="19"/>
      </c>
      <c r="C84" s="218">
        <f t="shared" si="20"/>
      </c>
      <c r="D84" s="217">
        <f>IF('Usulan Pembiayaan'!$M$55="Flat",T84,W84)</f>
      </c>
      <c r="E84" s="217">
        <f>IF('Usulan Pembiayaan'!$M$55="Flat",U84,X84)</f>
      </c>
      <c r="F84" s="218">
        <f t="shared" si="15"/>
      </c>
      <c r="H84" s="155">
        <v>77</v>
      </c>
      <c r="I84" s="221">
        <f t="shared" si="21"/>
      </c>
      <c r="J84" s="218">
        <f t="shared" si="22"/>
      </c>
      <c r="K84" s="217">
        <f>IF('Usulan Pembiayaan'!$M$55="Flat",W84,T84)</f>
      </c>
      <c r="L84" s="217">
        <f>IF('Usulan Pembiayaan'!$M$55="Flat",X84,U84)</f>
      </c>
      <c r="M84" s="218">
        <f t="shared" si="16"/>
      </c>
      <c r="N84" s="337"/>
      <c r="O84" s="337"/>
      <c r="P84" s="127"/>
      <c r="T84" s="142">
        <f t="shared" si="17"/>
      </c>
      <c r="U84" s="142">
        <f t="shared" si="23"/>
      </c>
      <c r="V84" s="140">
        <f t="shared" si="18"/>
      </c>
      <c r="W84" s="140">
        <f t="shared" si="24"/>
      </c>
      <c r="X84" s="140">
        <f t="shared" si="25"/>
      </c>
      <c r="Y84" s="128">
        <f t="shared" si="26"/>
      </c>
    </row>
    <row r="85" spans="1:25" ht="15">
      <c r="A85" s="154">
        <v>78</v>
      </c>
      <c r="B85" s="221">
        <f t="shared" si="19"/>
      </c>
      <c r="C85" s="218">
        <f t="shared" si="20"/>
      </c>
      <c r="D85" s="217">
        <f>IF('Usulan Pembiayaan'!$M$55="Flat",T85,W85)</f>
      </c>
      <c r="E85" s="217">
        <f>IF('Usulan Pembiayaan'!$M$55="Flat",U85,X85)</f>
      </c>
      <c r="F85" s="218">
        <f t="shared" si="15"/>
      </c>
      <c r="H85" s="154">
        <v>78</v>
      </c>
      <c r="I85" s="221">
        <f t="shared" si="21"/>
      </c>
      <c r="J85" s="218">
        <f t="shared" si="22"/>
      </c>
      <c r="K85" s="217">
        <f>IF('Usulan Pembiayaan'!$M$55="Flat",W85,T85)</f>
      </c>
      <c r="L85" s="217">
        <f>IF('Usulan Pembiayaan'!$M$55="Flat",X85,U85)</f>
      </c>
      <c r="M85" s="218">
        <f t="shared" si="16"/>
      </c>
      <c r="N85" s="337"/>
      <c r="O85" s="337"/>
      <c r="P85" s="127"/>
      <c r="T85" s="142">
        <f t="shared" si="17"/>
      </c>
      <c r="U85" s="142">
        <f t="shared" si="23"/>
      </c>
      <c r="V85" s="140">
        <f t="shared" si="18"/>
      </c>
      <c r="W85" s="140">
        <f t="shared" si="24"/>
      </c>
      <c r="X85" s="140">
        <f t="shared" si="25"/>
      </c>
      <c r="Y85" s="128">
        <f t="shared" si="26"/>
      </c>
    </row>
    <row r="86" spans="1:25" ht="15">
      <c r="A86" s="155">
        <v>79</v>
      </c>
      <c r="B86" s="221">
        <f t="shared" si="19"/>
      </c>
      <c r="C86" s="218">
        <f t="shared" si="20"/>
      </c>
      <c r="D86" s="217">
        <f>IF('Usulan Pembiayaan'!$M$55="Flat",T86,W86)</f>
      </c>
      <c r="E86" s="217">
        <f>IF('Usulan Pembiayaan'!$M$55="Flat",U86,X86)</f>
      </c>
      <c r="F86" s="218">
        <f t="shared" si="15"/>
      </c>
      <c r="H86" s="155">
        <v>79</v>
      </c>
      <c r="I86" s="221">
        <f t="shared" si="21"/>
      </c>
      <c r="J86" s="218">
        <f t="shared" si="22"/>
      </c>
      <c r="K86" s="217">
        <f>IF('Usulan Pembiayaan'!$M$55="Flat",W86,T86)</f>
      </c>
      <c r="L86" s="217">
        <f>IF('Usulan Pembiayaan'!$M$55="Flat",X86,U86)</f>
      </c>
      <c r="M86" s="218">
        <f t="shared" si="16"/>
      </c>
      <c r="N86" s="337"/>
      <c r="O86" s="337"/>
      <c r="P86" s="127"/>
      <c r="T86" s="142">
        <f t="shared" si="17"/>
      </c>
      <c r="U86" s="142">
        <f t="shared" si="23"/>
      </c>
      <c r="V86" s="140">
        <f t="shared" si="18"/>
      </c>
      <c r="W86" s="140">
        <f t="shared" si="24"/>
      </c>
      <c r="X86" s="140">
        <f t="shared" si="25"/>
      </c>
      <c r="Y86" s="128">
        <f t="shared" si="26"/>
      </c>
    </row>
    <row r="87" spans="1:25" ht="15">
      <c r="A87" s="154">
        <v>80</v>
      </c>
      <c r="B87" s="221">
        <f t="shared" si="19"/>
      </c>
      <c r="C87" s="218">
        <f t="shared" si="20"/>
      </c>
      <c r="D87" s="217">
        <f>IF('Usulan Pembiayaan'!$M$55="Flat",T87,W87)</f>
      </c>
      <c r="E87" s="217">
        <f>IF('Usulan Pembiayaan'!$M$55="Flat",U87,X87)</f>
      </c>
      <c r="F87" s="218">
        <f t="shared" si="15"/>
      </c>
      <c r="H87" s="154">
        <v>80</v>
      </c>
      <c r="I87" s="221">
        <f t="shared" si="21"/>
      </c>
      <c r="J87" s="218">
        <f t="shared" si="22"/>
      </c>
      <c r="K87" s="217">
        <f>IF('Usulan Pembiayaan'!$M$55="Flat",W87,T87)</f>
      </c>
      <c r="L87" s="217">
        <f>IF('Usulan Pembiayaan'!$M$55="Flat",X87,U87)</f>
      </c>
      <c r="M87" s="218">
        <f t="shared" si="16"/>
      </c>
      <c r="N87" s="337"/>
      <c r="O87" s="337"/>
      <c r="P87" s="127"/>
      <c r="T87" s="142">
        <f t="shared" si="17"/>
      </c>
      <c r="U87" s="142">
        <f t="shared" si="23"/>
      </c>
      <c r="V87" s="140">
        <f t="shared" si="18"/>
      </c>
      <c r="W87" s="140">
        <f t="shared" si="24"/>
      </c>
      <c r="X87" s="140">
        <f t="shared" si="25"/>
      </c>
      <c r="Y87" s="128">
        <f t="shared" si="26"/>
      </c>
    </row>
    <row r="88" spans="1:25" ht="15">
      <c r="A88" s="155">
        <v>81</v>
      </c>
      <c r="B88" s="221">
        <f t="shared" si="19"/>
      </c>
      <c r="C88" s="218">
        <f t="shared" si="20"/>
      </c>
      <c r="D88" s="217">
        <f>IF('Usulan Pembiayaan'!$M$55="Flat",T88,W88)</f>
      </c>
      <c r="E88" s="217">
        <f>IF('Usulan Pembiayaan'!$M$55="Flat",U88,X88)</f>
      </c>
      <c r="F88" s="218">
        <f t="shared" si="15"/>
      </c>
      <c r="H88" s="155">
        <v>81</v>
      </c>
      <c r="I88" s="221">
        <f t="shared" si="21"/>
      </c>
      <c r="J88" s="218">
        <f t="shared" si="22"/>
      </c>
      <c r="K88" s="217">
        <f>IF('Usulan Pembiayaan'!$M$55="Flat",W88,T88)</f>
      </c>
      <c r="L88" s="217">
        <f>IF('Usulan Pembiayaan'!$M$55="Flat",X88,U88)</f>
      </c>
      <c r="M88" s="218">
        <f t="shared" si="16"/>
      </c>
      <c r="N88" s="337"/>
      <c r="O88" s="337"/>
      <c r="P88" s="127"/>
      <c r="T88" s="142">
        <f t="shared" si="17"/>
      </c>
      <c r="U88" s="142">
        <f t="shared" si="23"/>
      </c>
      <c r="V88" s="140">
        <f t="shared" si="18"/>
      </c>
      <c r="W88" s="140">
        <f t="shared" si="24"/>
      </c>
      <c r="X88" s="140">
        <f t="shared" si="25"/>
      </c>
      <c r="Y88" s="128">
        <f t="shared" si="26"/>
      </c>
    </row>
    <row r="89" spans="1:25" ht="15">
      <c r="A89" s="154">
        <v>82</v>
      </c>
      <c r="B89" s="221">
        <f t="shared" si="19"/>
      </c>
      <c r="C89" s="218">
        <f t="shared" si="20"/>
      </c>
      <c r="D89" s="217">
        <f>IF('Usulan Pembiayaan'!$M$55="Flat",T89,W89)</f>
      </c>
      <c r="E89" s="217">
        <f>IF('Usulan Pembiayaan'!$M$55="Flat",U89,X89)</f>
      </c>
      <c r="F89" s="218">
        <f t="shared" si="15"/>
      </c>
      <c r="H89" s="154">
        <v>82</v>
      </c>
      <c r="I89" s="221">
        <f t="shared" si="21"/>
      </c>
      <c r="J89" s="218">
        <f t="shared" si="22"/>
      </c>
      <c r="K89" s="217">
        <f>IF('Usulan Pembiayaan'!$M$55="Flat",W89,T89)</f>
      </c>
      <c r="L89" s="217">
        <f>IF('Usulan Pembiayaan'!$M$55="Flat",X89,U89)</f>
      </c>
      <c r="M89" s="218">
        <f t="shared" si="16"/>
      </c>
      <c r="N89" s="337"/>
      <c r="O89" s="337"/>
      <c r="P89" s="127"/>
      <c r="T89" s="142">
        <f t="shared" si="17"/>
      </c>
      <c r="U89" s="142">
        <f t="shared" si="23"/>
      </c>
      <c r="V89" s="140">
        <f t="shared" si="18"/>
      </c>
      <c r="W89" s="140">
        <f t="shared" si="24"/>
      </c>
      <c r="X89" s="140">
        <f t="shared" si="25"/>
      </c>
      <c r="Y89" s="128">
        <f t="shared" si="26"/>
      </c>
    </row>
    <row r="90" spans="1:25" ht="15">
      <c r="A90" s="155">
        <v>83</v>
      </c>
      <c r="B90" s="221">
        <f t="shared" si="19"/>
      </c>
      <c r="C90" s="218">
        <f t="shared" si="20"/>
      </c>
      <c r="D90" s="217">
        <f>IF('Usulan Pembiayaan'!$M$55="Flat",T90,W90)</f>
      </c>
      <c r="E90" s="217">
        <f>IF('Usulan Pembiayaan'!$M$55="Flat",U90,X90)</f>
      </c>
      <c r="F90" s="218">
        <f t="shared" si="15"/>
      </c>
      <c r="H90" s="155">
        <v>83</v>
      </c>
      <c r="I90" s="221">
        <f t="shared" si="21"/>
      </c>
      <c r="J90" s="218">
        <f t="shared" si="22"/>
      </c>
      <c r="K90" s="217">
        <f>IF('Usulan Pembiayaan'!$M$55="Flat",W90,T90)</f>
      </c>
      <c r="L90" s="217">
        <f>IF('Usulan Pembiayaan'!$M$55="Flat",X90,U90)</f>
      </c>
      <c r="M90" s="218">
        <f t="shared" si="16"/>
      </c>
      <c r="N90" s="337"/>
      <c r="O90" s="337"/>
      <c r="P90" s="127"/>
      <c r="T90" s="142">
        <f t="shared" si="17"/>
      </c>
      <c r="U90" s="142">
        <f t="shared" si="23"/>
      </c>
      <c r="V90" s="140">
        <f t="shared" si="18"/>
      </c>
      <c r="W90" s="140">
        <f t="shared" si="24"/>
      </c>
      <c r="X90" s="140">
        <f t="shared" si="25"/>
      </c>
      <c r="Y90" s="128">
        <f t="shared" si="26"/>
      </c>
    </row>
    <row r="91" spans="1:25" ht="15">
      <c r="A91" s="154">
        <v>84</v>
      </c>
      <c r="B91" s="221">
        <f t="shared" si="19"/>
      </c>
      <c r="C91" s="218">
        <f t="shared" si="20"/>
      </c>
      <c r="D91" s="217">
        <f>IF('Usulan Pembiayaan'!$M$55="Flat",T91,W91)</f>
      </c>
      <c r="E91" s="217">
        <f>IF('Usulan Pembiayaan'!$M$55="Flat",U91,X91)</f>
      </c>
      <c r="F91" s="218">
        <f t="shared" si="15"/>
      </c>
      <c r="H91" s="154">
        <v>84</v>
      </c>
      <c r="I91" s="221">
        <f t="shared" si="21"/>
      </c>
      <c r="J91" s="218">
        <f t="shared" si="22"/>
      </c>
      <c r="K91" s="217">
        <f>IF('Usulan Pembiayaan'!$M$55="Flat",W91,T91)</f>
      </c>
      <c r="L91" s="217">
        <f>IF('Usulan Pembiayaan'!$M$55="Flat",X91,U91)</f>
      </c>
      <c r="M91" s="218">
        <f t="shared" si="16"/>
      </c>
      <c r="N91" s="337"/>
      <c r="O91" s="337"/>
      <c r="P91" s="127"/>
      <c r="T91" s="142">
        <f t="shared" si="17"/>
      </c>
      <c r="U91" s="142">
        <f t="shared" si="23"/>
      </c>
      <c r="V91" s="140">
        <f t="shared" si="18"/>
      </c>
      <c r="W91" s="140">
        <f t="shared" si="24"/>
      </c>
      <c r="X91" s="140">
        <f t="shared" si="25"/>
      </c>
      <c r="Y91" s="128">
        <f t="shared" si="26"/>
      </c>
    </row>
    <row r="92" spans="1:25" ht="15">
      <c r="A92" s="155">
        <v>85</v>
      </c>
      <c r="B92" s="221">
        <f t="shared" si="19"/>
      </c>
      <c r="C92" s="218">
        <f t="shared" si="20"/>
      </c>
      <c r="D92" s="217">
        <f>IF('Usulan Pembiayaan'!$M$55="Flat",T92,W92)</f>
      </c>
      <c r="E92" s="217">
        <f>IF('Usulan Pembiayaan'!$M$55="Flat",U92,X92)</f>
      </c>
      <c r="F92" s="218">
        <f t="shared" si="15"/>
      </c>
      <c r="H92" s="155">
        <v>85</v>
      </c>
      <c r="I92" s="221">
        <f t="shared" si="21"/>
      </c>
      <c r="J92" s="218">
        <f t="shared" si="22"/>
      </c>
      <c r="K92" s="217">
        <f>IF('Usulan Pembiayaan'!$M$55="Flat",W92,T92)</f>
      </c>
      <c r="L92" s="217">
        <f>IF('Usulan Pembiayaan'!$M$55="Flat",X92,U92)</f>
      </c>
      <c r="M92" s="218">
        <f t="shared" si="16"/>
      </c>
      <c r="N92" s="337"/>
      <c r="O92" s="337"/>
      <c r="P92" s="127"/>
      <c r="T92" s="142">
        <f t="shared" si="17"/>
      </c>
      <c r="U92" s="142">
        <f t="shared" si="23"/>
      </c>
      <c r="V92" s="140">
        <f t="shared" si="18"/>
      </c>
      <c r="W92" s="140">
        <f t="shared" si="24"/>
      </c>
      <c r="X92" s="140">
        <f t="shared" si="25"/>
      </c>
      <c r="Y92" s="128">
        <f t="shared" si="26"/>
      </c>
    </row>
    <row r="93" spans="1:25" ht="15">
      <c r="A93" s="154">
        <v>86</v>
      </c>
      <c r="B93" s="221">
        <f t="shared" si="19"/>
      </c>
      <c r="C93" s="218">
        <f t="shared" si="20"/>
      </c>
      <c r="D93" s="217">
        <f>IF('Usulan Pembiayaan'!$M$55="Flat",T93,W93)</f>
      </c>
      <c r="E93" s="217">
        <f>IF('Usulan Pembiayaan'!$M$55="Flat",U93,X93)</f>
      </c>
      <c r="F93" s="218">
        <f t="shared" si="15"/>
      </c>
      <c r="H93" s="154">
        <v>86</v>
      </c>
      <c r="I93" s="221">
        <f t="shared" si="21"/>
      </c>
      <c r="J93" s="218">
        <f t="shared" si="22"/>
      </c>
      <c r="K93" s="217">
        <f>IF('Usulan Pembiayaan'!$M$55="Flat",W93,T93)</f>
      </c>
      <c r="L93" s="217">
        <f>IF('Usulan Pembiayaan'!$M$55="Flat",X93,U93)</f>
      </c>
      <c r="M93" s="218">
        <f t="shared" si="16"/>
      </c>
      <c r="N93" s="337"/>
      <c r="O93" s="337"/>
      <c r="P93" s="127"/>
      <c r="T93" s="142">
        <f t="shared" si="17"/>
      </c>
      <c r="U93" s="142">
        <f t="shared" si="23"/>
      </c>
      <c r="V93" s="140">
        <f t="shared" si="18"/>
      </c>
      <c r="W93" s="140">
        <f t="shared" si="24"/>
      </c>
      <c r="X93" s="140">
        <f t="shared" si="25"/>
      </c>
      <c r="Y93" s="128">
        <f t="shared" si="26"/>
      </c>
    </row>
    <row r="94" spans="1:25" ht="15">
      <c r="A94" s="154">
        <v>87</v>
      </c>
      <c r="B94" s="221">
        <f t="shared" si="19"/>
      </c>
      <c r="C94" s="218">
        <f t="shared" si="20"/>
      </c>
      <c r="D94" s="217">
        <f>IF('Usulan Pembiayaan'!$M$55="Flat",T94,W94)</f>
      </c>
      <c r="E94" s="217">
        <f>IF('Usulan Pembiayaan'!$M$55="Flat",U94,X94)</f>
      </c>
      <c r="F94" s="218">
        <f t="shared" si="15"/>
      </c>
      <c r="H94" s="154">
        <v>87</v>
      </c>
      <c r="I94" s="221">
        <f t="shared" si="21"/>
      </c>
      <c r="J94" s="218">
        <f t="shared" si="22"/>
      </c>
      <c r="K94" s="217">
        <f>IF('Usulan Pembiayaan'!$M$55="Flat",W94,T94)</f>
      </c>
      <c r="L94" s="217">
        <f>IF('Usulan Pembiayaan'!$M$55="Flat",X94,U94)</f>
      </c>
      <c r="M94" s="218">
        <f t="shared" si="16"/>
      </c>
      <c r="N94" s="337"/>
      <c r="O94" s="337"/>
      <c r="P94" s="127"/>
      <c r="T94" s="142">
        <f t="shared" si="17"/>
      </c>
      <c r="U94" s="142">
        <f t="shared" si="23"/>
      </c>
      <c r="V94" s="140">
        <f t="shared" si="18"/>
      </c>
      <c r="W94" s="140">
        <f t="shared" si="24"/>
      </c>
      <c r="X94" s="140">
        <f t="shared" si="25"/>
      </c>
      <c r="Y94" s="128">
        <f t="shared" si="26"/>
      </c>
    </row>
    <row r="95" spans="1:25" ht="15">
      <c r="A95" s="155">
        <v>88</v>
      </c>
      <c r="B95" s="221">
        <f t="shared" si="19"/>
      </c>
      <c r="C95" s="218">
        <f t="shared" si="20"/>
      </c>
      <c r="D95" s="217">
        <f>IF('Usulan Pembiayaan'!$M$55="Flat",T95,W95)</f>
      </c>
      <c r="E95" s="217">
        <f>IF('Usulan Pembiayaan'!$M$55="Flat",U95,X95)</f>
      </c>
      <c r="F95" s="218">
        <f t="shared" si="15"/>
      </c>
      <c r="H95" s="155">
        <v>88</v>
      </c>
      <c r="I95" s="221">
        <f t="shared" si="21"/>
      </c>
      <c r="J95" s="218">
        <f t="shared" si="22"/>
      </c>
      <c r="K95" s="217">
        <f>IF('Usulan Pembiayaan'!$M$55="Flat",W95,T95)</f>
      </c>
      <c r="L95" s="217">
        <f>IF('Usulan Pembiayaan'!$M$55="Flat",X95,U95)</f>
      </c>
      <c r="M95" s="218">
        <f t="shared" si="16"/>
      </c>
      <c r="N95" s="337"/>
      <c r="O95" s="337"/>
      <c r="P95" s="127"/>
      <c r="T95" s="142">
        <f t="shared" si="17"/>
      </c>
      <c r="U95" s="142">
        <f t="shared" si="23"/>
      </c>
      <c r="V95" s="140">
        <f t="shared" si="18"/>
      </c>
      <c r="W95" s="140">
        <f t="shared" si="24"/>
      </c>
      <c r="X95" s="140">
        <f t="shared" si="25"/>
      </c>
      <c r="Y95" s="128">
        <f t="shared" si="26"/>
      </c>
    </row>
    <row r="96" spans="1:25" ht="15">
      <c r="A96" s="154">
        <v>89</v>
      </c>
      <c r="B96" s="221">
        <f t="shared" si="19"/>
      </c>
      <c r="C96" s="218">
        <f t="shared" si="20"/>
      </c>
      <c r="D96" s="217">
        <f>IF('Usulan Pembiayaan'!$M$55="Flat",T96,W96)</f>
      </c>
      <c r="E96" s="217">
        <f>IF('Usulan Pembiayaan'!$M$55="Flat",U96,X96)</f>
      </c>
      <c r="F96" s="218">
        <f t="shared" si="15"/>
      </c>
      <c r="H96" s="154">
        <v>89</v>
      </c>
      <c r="I96" s="221">
        <f t="shared" si="21"/>
      </c>
      <c r="J96" s="218">
        <f t="shared" si="22"/>
      </c>
      <c r="K96" s="217">
        <f>IF('Usulan Pembiayaan'!$M$55="Flat",W96,T96)</f>
      </c>
      <c r="L96" s="217">
        <f>IF('Usulan Pembiayaan'!$M$55="Flat",X96,U96)</f>
      </c>
      <c r="M96" s="218">
        <f t="shared" si="16"/>
      </c>
      <c r="N96" s="337"/>
      <c r="O96" s="337"/>
      <c r="P96" s="127"/>
      <c r="T96" s="142">
        <f t="shared" si="17"/>
      </c>
      <c r="U96" s="142">
        <f t="shared" si="23"/>
      </c>
      <c r="V96" s="140">
        <f t="shared" si="18"/>
      </c>
      <c r="W96" s="140">
        <f t="shared" si="24"/>
      </c>
      <c r="X96" s="140">
        <f t="shared" si="25"/>
      </c>
      <c r="Y96" s="128">
        <f t="shared" si="26"/>
      </c>
    </row>
    <row r="97" spans="1:25" ht="15">
      <c r="A97" s="155">
        <v>90</v>
      </c>
      <c r="B97" s="221">
        <f t="shared" si="19"/>
      </c>
      <c r="C97" s="218">
        <f t="shared" si="20"/>
      </c>
      <c r="D97" s="217">
        <f>IF('Usulan Pembiayaan'!$M$55="Flat",T97,W97)</f>
      </c>
      <c r="E97" s="217">
        <f>IF('Usulan Pembiayaan'!$M$55="Flat",U97,X97)</f>
      </c>
      <c r="F97" s="218">
        <f t="shared" si="15"/>
      </c>
      <c r="H97" s="155">
        <v>90</v>
      </c>
      <c r="I97" s="221">
        <f t="shared" si="21"/>
      </c>
      <c r="J97" s="218">
        <f t="shared" si="22"/>
      </c>
      <c r="K97" s="217">
        <f>IF('Usulan Pembiayaan'!$M$55="Flat",W97,T97)</f>
      </c>
      <c r="L97" s="217">
        <f>IF('Usulan Pembiayaan'!$M$55="Flat",X97,U97)</f>
      </c>
      <c r="M97" s="218">
        <f t="shared" si="16"/>
      </c>
      <c r="N97" s="337"/>
      <c r="O97" s="337"/>
      <c r="P97" s="127"/>
      <c r="T97" s="142">
        <f t="shared" si="17"/>
      </c>
      <c r="U97" s="142">
        <f t="shared" si="23"/>
      </c>
      <c r="V97" s="140">
        <f t="shared" si="18"/>
      </c>
      <c r="W97" s="140">
        <f t="shared" si="24"/>
      </c>
      <c r="X97" s="140">
        <f t="shared" si="25"/>
      </c>
      <c r="Y97" s="128">
        <f t="shared" si="26"/>
      </c>
    </row>
    <row r="98" spans="1:25" ht="15">
      <c r="A98" s="154">
        <v>91</v>
      </c>
      <c r="B98" s="221">
        <f t="shared" si="19"/>
      </c>
      <c r="C98" s="218">
        <f t="shared" si="20"/>
      </c>
      <c r="D98" s="217">
        <f>IF('Usulan Pembiayaan'!$M$55="Flat",T98,W98)</f>
      </c>
      <c r="E98" s="217">
        <f>IF('Usulan Pembiayaan'!$M$55="Flat",U98,X98)</f>
      </c>
      <c r="F98" s="218">
        <f t="shared" si="15"/>
      </c>
      <c r="H98" s="154">
        <v>91</v>
      </c>
      <c r="I98" s="221">
        <f t="shared" si="21"/>
      </c>
      <c r="J98" s="218">
        <f t="shared" si="22"/>
      </c>
      <c r="K98" s="217">
        <f>IF('Usulan Pembiayaan'!$M$55="Flat",W98,T98)</f>
      </c>
      <c r="L98" s="217">
        <f>IF('Usulan Pembiayaan'!$M$55="Flat",X98,U98)</f>
      </c>
      <c r="M98" s="218">
        <f t="shared" si="16"/>
      </c>
      <c r="N98" s="337"/>
      <c r="O98" s="337"/>
      <c r="P98" s="127"/>
      <c r="T98" s="142">
        <f t="shared" si="17"/>
      </c>
      <c r="U98" s="142">
        <f t="shared" si="23"/>
      </c>
      <c r="V98" s="140">
        <f t="shared" si="18"/>
      </c>
      <c r="W98" s="140">
        <f t="shared" si="24"/>
      </c>
      <c r="X98" s="140">
        <f t="shared" si="25"/>
      </c>
      <c r="Y98" s="128">
        <f t="shared" si="26"/>
      </c>
    </row>
    <row r="99" spans="1:25" ht="15">
      <c r="A99" s="155">
        <v>92</v>
      </c>
      <c r="B99" s="221">
        <f t="shared" si="19"/>
      </c>
      <c r="C99" s="218">
        <f t="shared" si="20"/>
      </c>
      <c r="D99" s="217">
        <f>IF('Usulan Pembiayaan'!$M$55="Flat",T99,W99)</f>
      </c>
      <c r="E99" s="217">
        <f>IF('Usulan Pembiayaan'!$M$55="Flat",U99,X99)</f>
      </c>
      <c r="F99" s="218">
        <f t="shared" si="15"/>
      </c>
      <c r="H99" s="155">
        <v>92</v>
      </c>
      <c r="I99" s="221">
        <f t="shared" si="21"/>
      </c>
      <c r="J99" s="218">
        <f t="shared" si="22"/>
      </c>
      <c r="K99" s="217">
        <f>IF('Usulan Pembiayaan'!$M$55="Flat",W99,T99)</f>
      </c>
      <c r="L99" s="217">
        <f>IF('Usulan Pembiayaan'!$M$55="Flat",X99,U99)</f>
      </c>
      <c r="M99" s="218">
        <f t="shared" si="16"/>
      </c>
      <c r="N99" s="337"/>
      <c r="O99" s="337"/>
      <c r="P99" s="127"/>
      <c r="T99" s="142">
        <f t="shared" si="17"/>
      </c>
      <c r="U99" s="142">
        <f t="shared" si="23"/>
      </c>
      <c r="V99" s="140">
        <f t="shared" si="18"/>
      </c>
      <c r="W99" s="140">
        <f t="shared" si="24"/>
      </c>
      <c r="X99" s="140">
        <f t="shared" si="25"/>
      </c>
      <c r="Y99" s="128">
        <f t="shared" si="26"/>
      </c>
    </row>
    <row r="100" spans="1:25" ht="15">
      <c r="A100" s="154">
        <v>93</v>
      </c>
      <c r="B100" s="221">
        <f t="shared" si="19"/>
      </c>
      <c r="C100" s="218">
        <f t="shared" si="20"/>
      </c>
      <c r="D100" s="217">
        <f>IF('Usulan Pembiayaan'!$M$55="Flat",T100,W100)</f>
      </c>
      <c r="E100" s="217">
        <f>IF('Usulan Pembiayaan'!$M$55="Flat",U100,X100)</f>
      </c>
      <c r="F100" s="218">
        <f t="shared" si="15"/>
      </c>
      <c r="H100" s="154">
        <v>93</v>
      </c>
      <c r="I100" s="221">
        <f t="shared" si="21"/>
      </c>
      <c r="J100" s="218">
        <f t="shared" si="22"/>
      </c>
      <c r="K100" s="217">
        <f>IF('Usulan Pembiayaan'!$M$55="Flat",W100,T100)</f>
      </c>
      <c r="L100" s="217">
        <f>IF('Usulan Pembiayaan'!$M$55="Flat",X100,U100)</f>
      </c>
      <c r="M100" s="218">
        <f t="shared" si="16"/>
      </c>
      <c r="N100" s="337"/>
      <c r="O100" s="337"/>
      <c r="P100" s="127"/>
      <c r="T100" s="142">
        <f t="shared" si="17"/>
      </c>
      <c r="U100" s="142">
        <f t="shared" si="23"/>
      </c>
      <c r="V100" s="140">
        <f t="shared" si="18"/>
      </c>
      <c r="W100" s="140">
        <f t="shared" si="24"/>
      </c>
      <c r="X100" s="140">
        <f t="shared" si="25"/>
      </c>
      <c r="Y100" s="128">
        <f t="shared" si="26"/>
      </c>
    </row>
    <row r="101" spans="1:25" ht="15">
      <c r="A101" s="155">
        <v>94</v>
      </c>
      <c r="B101" s="221">
        <f t="shared" si="19"/>
      </c>
      <c r="C101" s="218">
        <f t="shared" si="20"/>
      </c>
      <c r="D101" s="217">
        <f>IF('Usulan Pembiayaan'!$M$55="Flat",T101,W101)</f>
      </c>
      <c r="E101" s="217">
        <f>IF('Usulan Pembiayaan'!$M$55="Flat",U101,X101)</f>
      </c>
      <c r="F101" s="218">
        <f t="shared" si="15"/>
      </c>
      <c r="H101" s="155">
        <v>94</v>
      </c>
      <c r="I101" s="221">
        <f t="shared" si="21"/>
      </c>
      <c r="J101" s="218">
        <f t="shared" si="22"/>
      </c>
      <c r="K101" s="217">
        <f>IF('Usulan Pembiayaan'!$M$55="Flat",W101,T101)</f>
      </c>
      <c r="L101" s="217">
        <f>IF('Usulan Pembiayaan'!$M$55="Flat",X101,U101)</f>
      </c>
      <c r="M101" s="218">
        <f t="shared" si="16"/>
      </c>
      <c r="N101" s="337"/>
      <c r="O101" s="337"/>
      <c r="P101" s="127"/>
      <c r="T101" s="142">
        <f t="shared" si="17"/>
      </c>
      <c r="U101" s="142">
        <f t="shared" si="23"/>
      </c>
      <c r="V101" s="140">
        <f t="shared" si="18"/>
      </c>
      <c r="W101" s="140">
        <f t="shared" si="24"/>
      </c>
      <c r="X101" s="140">
        <f t="shared" si="25"/>
      </c>
      <c r="Y101" s="128">
        <f t="shared" si="26"/>
      </c>
    </row>
    <row r="102" spans="1:25" ht="15">
      <c r="A102" s="154">
        <v>95</v>
      </c>
      <c r="B102" s="221">
        <f t="shared" si="19"/>
      </c>
      <c r="C102" s="218">
        <f t="shared" si="20"/>
      </c>
      <c r="D102" s="217">
        <f>IF('Usulan Pembiayaan'!$M$55="Flat",T102,W102)</f>
      </c>
      <c r="E102" s="217">
        <f>IF('Usulan Pembiayaan'!$M$55="Flat",U102,X102)</f>
      </c>
      <c r="F102" s="218">
        <f t="shared" si="15"/>
      </c>
      <c r="H102" s="154">
        <v>95</v>
      </c>
      <c r="I102" s="221">
        <f t="shared" si="21"/>
      </c>
      <c r="J102" s="218">
        <f t="shared" si="22"/>
      </c>
      <c r="K102" s="217">
        <f>IF('Usulan Pembiayaan'!$M$55="Flat",W102,T102)</f>
      </c>
      <c r="L102" s="217">
        <f>IF('Usulan Pembiayaan'!$M$55="Flat",X102,U102)</f>
      </c>
      <c r="M102" s="218">
        <f t="shared" si="16"/>
      </c>
      <c r="N102" s="337"/>
      <c r="O102" s="337"/>
      <c r="P102" s="127"/>
      <c r="T102" s="142">
        <f t="shared" si="17"/>
      </c>
      <c r="U102" s="142">
        <f t="shared" si="23"/>
      </c>
      <c r="V102" s="140">
        <f t="shared" si="18"/>
      </c>
      <c r="W102" s="140">
        <f t="shared" si="24"/>
      </c>
      <c r="X102" s="140">
        <f t="shared" si="25"/>
      </c>
      <c r="Y102" s="128">
        <f t="shared" si="26"/>
      </c>
    </row>
    <row r="103" spans="1:25" ht="15">
      <c r="A103" s="155">
        <v>96</v>
      </c>
      <c r="B103" s="221">
        <f t="shared" si="19"/>
      </c>
      <c r="C103" s="218">
        <f t="shared" si="20"/>
      </c>
      <c r="D103" s="217">
        <f>IF('Usulan Pembiayaan'!$M$55="Flat",T103,W103)</f>
      </c>
      <c r="E103" s="217">
        <f>IF('Usulan Pembiayaan'!$M$55="Flat",U103,X103)</f>
      </c>
      <c r="F103" s="218">
        <f t="shared" si="15"/>
      </c>
      <c r="H103" s="155">
        <v>96</v>
      </c>
      <c r="I103" s="221">
        <f t="shared" si="21"/>
      </c>
      <c r="J103" s="218">
        <f t="shared" si="22"/>
      </c>
      <c r="K103" s="217">
        <f>IF('Usulan Pembiayaan'!$M$55="Flat",W103,T103)</f>
      </c>
      <c r="L103" s="217">
        <f>IF('Usulan Pembiayaan'!$M$55="Flat",X103,U103)</f>
      </c>
      <c r="M103" s="218">
        <f t="shared" si="16"/>
      </c>
      <c r="N103" s="337"/>
      <c r="O103" s="337"/>
      <c r="P103" s="127"/>
      <c r="T103" s="142">
        <f t="shared" si="17"/>
      </c>
      <c r="U103" s="142">
        <f t="shared" si="23"/>
      </c>
      <c r="V103" s="140">
        <f t="shared" si="18"/>
      </c>
      <c r="W103" s="140">
        <f t="shared" si="24"/>
      </c>
      <c r="X103" s="140">
        <f t="shared" si="25"/>
      </c>
      <c r="Y103" s="128">
        <f t="shared" si="26"/>
      </c>
    </row>
    <row r="104" spans="1:25" ht="15">
      <c r="A104" s="154">
        <v>97</v>
      </c>
      <c r="B104" s="221">
        <f t="shared" si="19"/>
      </c>
      <c r="C104" s="218">
        <f t="shared" si="20"/>
      </c>
      <c r="D104" s="217">
        <f>IF('Usulan Pembiayaan'!$M$55="Flat",T104,W104)</f>
      </c>
      <c r="E104" s="217">
        <f>IF('Usulan Pembiayaan'!$M$55="Flat",U104,X104)</f>
      </c>
      <c r="F104" s="218">
        <f t="shared" si="15"/>
      </c>
      <c r="H104" s="154">
        <v>97</v>
      </c>
      <c r="I104" s="221">
        <f t="shared" si="21"/>
      </c>
      <c r="J104" s="218">
        <f t="shared" si="22"/>
      </c>
      <c r="K104" s="217">
        <f>IF('Usulan Pembiayaan'!$M$55="Flat",W104,T104)</f>
      </c>
      <c r="L104" s="217">
        <f>IF('Usulan Pembiayaan'!$M$55="Flat",X104,U104)</f>
      </c>
      <c r="M104" s="218">
        <f t="shared" si="16"/>
      </c>
      <c r="N104" s="337"/>
      <c r="O104" s="337"/>
      <c r="P104" s="127"/>
      <c r="T104" s="142">
        <f t="shared" si="17"/>
      </c>
      <c r="U104" s="142">
        <f t="shared" si="23"/>
      </c>
      <c r="V104" s="140">
        <f t="shared" si="18"/>
      </c>
      <c r="W104" s="140">
        <f t="shared" si="24"/>
      </c>
      <c r="X104" s="140">
        <f t="shared" si="25"/>
      </c>
      <c r="Y104" s="128">
        <f t="shared" si="26"/>
      </c>
    </row>
    <row r="105" spans="1:25" ht="15">
      <c r="A105" s="154">
        <v>98</v>
      </c>
      <c r="B105" s="221">
        <f t="shared" si="19"/>
      </c>
      <c r="C105" s="218">
        <f t="shared" si="20"/>
      </c>
      <c r="D105" s="217">
        <f>IF('Usulan Pembiayaan'!$M$55="Flat",T105,W105)</f>
      </c>
      <c r="E105" s="217">
        <f>IF('Usulan Pembiayaan'!$M$55="Flat",U105,X105)</f>
      </c>
      <c r="F105" s="218">
        <f t="shared" si="15"/>
      </c>
      <c r="H105" s="154">
        <v>98</v>
      </c>
      <c r="I105" s="221">
        <f t="shared" si="21"/>
      </c>
      <c r="J105" s="218">
        <f t="shared" si="22"/>
      </c>
      <c r="K105" s="217">
        <f>IF('Usulan Pembiayaan'!$M$55="Flat",W105,T105)</f>
      </c>
      <c r="L105" s="217">
        <f>IF('Usulan Pembiayaan'!$M$55="Flat",X105,U105)</f>
      </c>
      <c r="M105" s="218">
        <f t="shared" si="16"/>
      </c>
      <c r="N105" s="337"/>
      <c r="O105" s="337"/>
      <c r="P105" s="127"/>
      <c r="T105" s="142">
        <f t="shared" ref="T105:T127" si="27">IF(A105&lt;=$R$4,$P$2/$R$4,0)</f>
      </c>
      <c r="U105" s="142">
        <f t="shared" si="23"/>
      </c>
      <c r="V105" s="140">
        <f t="shared" ref="V105:V127" si="28">IF(A105&lt;=$R$4,V104-W104,0)</f>
      </c>
      <c r="W105" s="140">
        <f t="shared" si="24"/>
      </c>
      <c r="X105" s="140">
        <f t="shared" si="25"/>
      </c>
      <c r="Y105" s="128">
        <f t="shared" si="26"/>
      </c>
    </row>
    <row r="106" spans="1:25" ht="15">
      <c r="A106" s="155">
        <v>99</v>
      </c>
      <c r="B106" s="221">
        <f t="shared" si="19"/>
      </c>
      <c r="C106" s="218">
        <f t="shared" si="20"/>
      </c>
      <c r="D106" s="217">
        <f>IF('Usulan Pembiayaan'!$M$55="Flat",T106,W106)</f>
      </c>
      <c r="E106" s="217">
        <f>IF('Usulan Pembiayaan'!$M$55="Flat",U106,X106)</f>
      </c>
      <c r="F106" s="218">
        <f t="shared" si="15"/>
      </c>
      <c r="H106" s="155">
        <v>99</v>
      </c>
      <c r="I106" s="221">
        <f t="shared" si="21"/>
      </c>
      <c r="J106" s="218">
        <f t="shared" si="22"/>
      </c>
      <c r="K106" s="217">
        <f>IF('Usulan Pembiayaan'!$M$55="Flat",W106,T106)</f>
      </c>
      <c r="L106" s="217">
        <f>IF('Usulan Pembiayaan'!$M$55="Flat",X106,U106)</f>
      </c>
      <c r="M106" s="218">
        <f t="shared" si="16"/>
      </c>
      <c r="N106" s="337"/>
      <c r="O106" s="337"/>
      <c r="P106" s="127"/>
      <c r="T106" s="142">
        <f t="shared" si="27"/>
      </c>
      <c r="U106" s="142">
        <f t="shared" si="23"/>
      </c>
      <c r="V106" s="140">
        <f t="shared" si="28"/>
      </c>
      <c r="W106" s="140">
        <f t="shared" si="24"/>
      </c>
      <c r="X106" s="140">
        <f t="shared" si="25"/>
      </c>
      <c r="Y106" s="128">
        <f t="shared" si="26"/>
      </c>
    </row>
    <row r="107" spans="1:25" ht="15">
      <c r="A107" s="154">
        <v>100</v>
      </c>
      <c r="B107" s="221">
        <f t="shared" si="19"/>
      </c>
      <c r="C107" s="218">
        <f t="shared" si="20"/>
      </c>
      <c r="D107" s="217">
        <f>IF('Usulan Pembiayaan'!$M$55="Flat",T107,W107)</f>
      </c>
      <c r="E107" s="217">
        <f>IF('Usulan Pembiayaan'!$M$55="Flat",U107,X107)</f>
      </c>
      <c r="F107" s="218">
        <f t="shared" si="15"/>
      </c>
      <c r="H107" s="154">
        <v>100</v>
      </c>
      <c r="I107" s="221">
        <f t="shared" si="21"/>
      </c>
      <c r="J107" s="218">
        <f t="shared" si="22"/>
      </c>
      <c r="K107" s="217">
        <f>IF('Usulan Pembiayaan'!$M$55="Flat",W107,T107)</f>
      </c>
      <c r="L107" s="217">
        <f>IF('Usulan Pembiayaan'!$M$55="Flat",X107,U107)</f>
      </c>
      <c r="M107" s="218">
        <f t="shared" si="16"/>
      </c>
      <c r="N107" s="337"/>
      <c r="O107" s="337"/>
      <c r="P107" s="127"/>
      <c r="T107" s="142">
        <f t="shared" si="27"/>
      </c>
      <c r="U107" s="142">
        <f t="shared" si="23"/>
      </c>
      <c r="V107" s="140">
        <f t="shared" si="28"/>
      </c>
      <c r="W107" s="140">
        <f t="shared" si="24"/>
      </c>
      <c r="X107" s="140">
        <f t="shared" si="25"/>
      </c>
      <c r="Y107" s="128">
        <f t="shared" si="26"/>
      </c>
    </row>
    <row r="108" spans="1:25" ht="15">
      <c r="A108" s="155">
        <v>101</v>
      </c>
      <c r="B108" s="221">
        <f t="shared" si="19"/>
      </c>
      <c r="C108" s="218">
        <f t="shared" si="20"/>
      </c>
      <c r="D108" s="217">
        <f>IF('Usulan Pembiayaan'!$M$55="Flat",T108,W108)</f>
      </c>
      <c r="E108" s="217">
        <f>IF('Usulan Pembiayaan'!$M$55="Flat",U108,X108)</f>
      </c>
      <c r="F108" s="218">
        <f t="shared" si="15"/>
      </c>
      <c r="H108" s="155">
        <v>101</v>
      </c>
      <c r="I108" s="221">
        <f t="shared" si="21"/>
      </c>
      <c r="J108" s="218">
        <f t="shared" si="22"/>
      </c>
      <c r="K108" s="217">
        <f>IF('Usulan Pembiayaan'!$M$55="Flat",W108,T108)</f>
      </c>
      <c r="L108" s="217">
        <f>IF('Usulan Pembiayaan'!$M$55="Flat",X108,U108)</f>
      </c>
      <c r="M108" s="218">
        <f t="shared" si="16"/>
      </c>
      <c r="N108" s="337"/>
      <c r="O108" s="337"/>
      <c r="P108" s="127"/>
      <c r="T108" s="142">
        <f t="shared" si="27"/>
      </c>
      <c r="U108" s="142">
        <f t="shared" si="23"/>
      </c>
      <c r="V108" s="140">
        <f t="shared" si="28"/>
      </c>
      <c r="W108" s="140">
        <f t="shared" si="24"/>
      </c>
      <c r="X108" s="140">
        <f t="shared" si="25"/>
      </c>
      <c r="Y108" s="128">
        <f t="shared" si="26"/>
      </c>
    </row>
    <row r="109" spans="1:25" ht="15">
      <c r="A109" s="154">
        <v>102</v>
      </c>
      <c r="B109" s="221">
        <f t="shared" si="19"/>
      </c>
      <c r="C109" s="218">
        <f t="shared" si="20"/>
      </c>
      <c r="D109" s="217">
        <f>IF('Usulan Pembiayaan'!$M$55="Flat",T109,W109)</f>
      </c>
      <c r="E109" s="217">
        <f>IF('Usulan Pembiayaan'!$M$55="Flat",U109,X109)</f>
      </c>
      <c r="F109" s="218">
        <f t="shared" si="15"/>
      </c>
      <c r="H109" s="154">
        <v>102</v>
      </c>
      <c r="I109" s="221">
        <f t="shared" si="21"/>
      </c>
      <c r="J109" s="218">
        <f t="shared" si="22"/>
      </c>
      <c r="K109" s="217">
        <f>IF('Usulan Pembiayaan'!$M$55="Flat",W109,T109)</f>
      </c>
      <c r="L109" s="217">
        <f>IF('Usulan Pembiayaan'!$M$55="Flat",X109,U109)</f>
      </c>
      <c r="M109" s="218">
        <f t="shared" si="16"/>
      </c>
      <c r="N109" s="337"/>
      <c r="O109" s="337"/>
      <c r="P109" s="127"/>
      <c r="T109" s="142">
        <f t="shared" si="27"/>
      </c>
      <c r="U109" s="142">
        <f t="shared" si="23"/>
      </c>
      <c r="V109" s="140">
        <f t="shared" si="28"/>
      </c>
      <c r="W109" s="140">
        <f t="shared" si="24"/>
      </c>
      <c r="X109" s="140">
        <f t="shared" si="25"/>
      </c>
      <c r="Y109" s="128">
        <f t="shared" si="26"/>
      </c>
    </row>
    <row r="110" spans="1:25" ht="15">
      <c r="A110" s="155">
        <v>103</v>
      </c>
      <c r="B110" s="221">
        <f t="shared" si="19"/>
      </c>
      <c r="C110" s="218">
        <f t="shared" si="20"/>
      </c>
      <c r="D110" s="217">
        <f>IF('Usulan Pembiayaan'!$M$55="Flat",T110,W110)</f>
      </c>
      <c r="E110" s="217">
        <f>IF('Usulan Pembiayaan'!$M$55="Flat",U110,X110)</f>
      </c>
      <c r="F110" s="218">
        <f t="shared" si="15"/>
      </c>
      <c r="H110" s="155">
        <v>103</v>
      </c>
      <c r="I110" s="221">
        <f t="shared" si="21"/>
      </c>
      <c r="J110" s="218">
        <f t="shared" si="22"/>
      </c>
      <c r="K110" s="217">
        <f>IF('Usulan Pembiayaan'!$M$55="Flat",W110,T110)</f>
      </c>
      <c r="L110" s="217">
        <f>IF('Usulan Pembiayaan'!$M$55="Flat",X110,U110)</f>
      </c>
      <c r="M110" s="218">
        <f t="shared" si="16"/>
      </c>
      <c r="N110" s="337"/>
      <c r="O110" s="337"/>
      <c r="P110" s="127"/>
      <c r="T110" s="142">
        <f t="shared" si="27"/>
      </c>
      <c r="U110" s="142">
        <f t="shared" si="23"/>
      </c>
      <c r="V110" s="140">
        <f t="shared" si="28"/>
      </c>
      <c r="W110" s="140">
        <f t="shared" si="24"/>
      </c>
      <c r="X110" s="140">
        <f t="shared" si="25"/>
      </c>
      <c r="Y110" s="128">
        <f t="shared" si="26"/>
      </c>
    </row>
    <row r="111" spans="1:25" ht="15">
      <c r="A111" s="154">
        <v>104</v>
      </c>
      <c r="B111" s="221">
        <f t="shared" si="19"/>
      </c>
      <c r="C111" s="218">
        <f t="shared" si="20"/>
      </c>
      <c r="D111" s="217">
        <f>IF('Usulan Pembiayaan'!$M$55="Flat",T111,W111)</f>
      </c>
      <c r="E111" s="217">
        <f>IF('Usulan Pembiayaan'!$M$55="Flat",U111,X111)</f>
      </c>
      <c r="F111" s="218">
        <f t="shared" si="15"/>
      </c>
      <c r="H111" s="154">
        <v>104</v>
      </c>
      <c r="I111" s="221">
        <f t="shared" si="21"/>
      </c>
      <c r="J111" s="218">
        <f t="shared" si="22"/>
      </c>
      <c r="K111" s="217">
        <f>IF('Usulan Pembiayaan'!$M$55="Flat",W111,T111)</f>
      </c>
      <c r="L111" s="217">
        <f>IF('Usulan Pembiayaan'!$M$55="Flat",X111,U111)</f>
      </c>
      <c r="M111" s="218">
        <f t="shared" si="16"/>
      </c>
      <c r="N111" s="337"/>
      <c r="O111" s="337"/>
      <c r="P111" s="127"/>
      <c r="T111" s="142">
        <f t="shared" si="27"/>
      </c>
      <c r="U111" s="142">
        <f t="shared" si="23"/>
      </c>
      <c r="V111" s="140">
        <f t="shared" si="28"/>
      </c>
      <c r="W111" s="140">
        <f t="shared" si="24"/>
      </c>
      <c r="X111" s="140">
        <f t="shared" si="25"/>
      </c>
      <c r="Y111" s="128">
        <f t="shared" si="26"/>
      </c>
    </row>
    <row r="112" spans="1:25" ht="15">
      <c r="A112" s="155">
        <v>105</v>
      </c>
      <c r="B112" s="221">
        <f t="shared" si="19"/>
      </c>
      <c r="C112" s="218">
        <f t="shared" si="20"/>
      </c>
      <c r="D112" s="217">
        <f>IF('Usulan Pembiayaan'!$M$55="Flat",T112,W112)</f>
      </c>
      <c r="E112" s="217">
        <f>IF('Usulan Pembiayaan'!$M$55="Flat",U112,X112)</f>
      </c>
      <c r="F112" s="218">
        <f t="shared" si="15"/>
      </c>
      <c r="H112" s="155">
        <v>105</v>
      </c>
      <c r="I112" s="221">
        <f t="shared" si="21"/>
      </c>
      <c r="J112" s="218">
        <f t="shared" si="22"/>
      </c>
      <c r="K112" s="217">
        <f>IF('Usulan Pembiayaan'!$M$55="Flat",W112,T112)</f>
      </c>
      <c r="L112" s="217">
        <f>IF('Usulan Pembiayaan'!$M$55="Flat",X112,U112)</f>
      </c>
      <c r="M112" s="218">
        <f t="shared" si="16"/>
      </c>
      <c r="N112" s="337"/>
      <c r="O112" s="337"/>
      <c r="P112" s="127"/>
      <c r="T112" s="142">
        <f t="shared" si="27"/>
      </c>
      <c r="U112" s="142">
        <f t="shared" si="23"/>
      </c>
      <c r="V112" s="140">
        <f t="shared" si="28"/>
      </c>
      <c r="W112" s="140">
        <f t="shared" si="24"/>
      </c>
      <c r="X112" s="140">
        <f t="shared" si="25"/>
      </c>
      <c r="Y112" s="128">
        <f t="shared" si="26"/>
      </c>
    </row>
    <row r="113" spans="1:25" ht="15">
      <c r="A113" s="154">
        <v>106</v>
      </c>
      <c r="B113" s="221">
        <f t="shared" si="19"/>
      </c>
      <c r="C113" s="218">
        <f t="shared" si="20"/>
      </c>
      <c r="D113" s="217">
        <f>IF('Usulan Pembiayaan'!$M$55="Flat",T113,W113)</f>
      </c>
      <c r="E113" s="217">
        <f>IF('Usulan Pembiayaan'!$M$55="Flat",U113,X113)</f>
      </c>
      <c r="F113" s="218">
        <f t="shared" si="15"/>
      </c>
      <c r="H113" s="154">
        <v>106</v>
      </c>
      <c r="I113" s="221">
        <f t="shared" si="21"/>
      </c>
      <c r="J113" s="218">
        <f t="shared" si="22"/>
      </c>
      <c r="K113" s="217">
        <f>IF('Usulan Pembiayaan'!$M$55="Flat",W113,T113)</f>
      </c>
      <c r="L113" s="217">
        <f>IF('Usulan Pembiayaan'!$M$55="Flat",X113,U113)</f>
      </c>
      <c r="M113" s="218">
        <f t="shared" si="16"/>
      </c>
      <c r="N113" s="337"/>
      <c r="O113" s="337"/>
      <c r="P113" s="127"/>
      <c r="T113" s="142">
        <f t="shared" si="27"/>
      </c>
      <c r="U113" s="142">
        <f t="shared" si="23"/>
      </c>
      <c r="V113" s="140">
        <f t="shared" si="28"/>
      </c>
      <c r="W113" s="140">
        <f t="shared" si="24"/>
      </c>
      <c r="X113" s="140">
        <f t="shared" si="25"/>
      </c>
      <c r="Y113" s="128">
        <f t="shared" si="26"/>
      </c>
    </row>
    <row r="114" spans="1:25" ht="15">
      <c r="A114" s="155">
        <v>107</v>
      </c>
      <c r="B114" s="221">
        <f t="shared" si="19"/>
      </c>
      <c r="C114" s="218">
        <f t="shared" si="20"/>
      </c>
      <c r="D114" s="217">
        <f>IF('Usulan Pembiayaan'!$M$55="Flat",T114,W114)</f>
      </c>
      <c r="E114" s="217">
        <f>IF('Usulan Pembiayaan'!$M$55="Flat",U114,X114)</f>
      </c>
      <c r="F114" s="218">
        <f t="shared" si="15"/>
      </c>
      <c r="H114" s="155">
        <v>107</v>
      </c>
      <c r="I114" s="221">
        <f t="shared" si="21"/>
      </c>
      <c r="J114" s="218">
        <f t="shared" si="22"/>
      </c>
      <c r="K114" s="217">
        <f>IF('Usulan Pembiayaan'!$M$55="Flat",W114,T114)</f>
      </c>
      <c r="L114" s="217">
        <f>IF('Usulan Pembiayaan'!$M$55="Flat",X114,U114)</f>
      </c>
      <c r="M114" s="218">
        <f t="shared" si="16"/>
      </c>
      <c r="N114" s="337"/>
      <c r="O114" s="337"/>
      <c r="P114" s="127"/>
      <c r="T114" s="142">
        <f t="shared" si="27"/>
      </c>
      <c r="U114" s="142">
        <f t="shared" si="23"/>
      </c>
      <c r="V114" s="140">
        <f t="shared" si="28"/>
      </c>
      <c r="W114" s="140">
        <f t="shared" si="24"/>
      </c>
      <c r="X114" s="140">
        <f t="shared" si="25"/>
      </c>
      <c r="Y114" s="128">
        <f t="shared" si="26"/>
      </c>
    </row>
    <row r="115" spans="1:25" ht="15">
      <c r="A115" s="154">
        <v>108</v>
      </c>
      <c r="B115" s="221">
        <f t="shared" si="19"/>
      </c>
      <c r="C115" s="218">
        <f t="shared" si="20"/>
      </c>
      <c r="D115" s="217">
        <f>IF('Usulan Pembiayaan'!$M$55="Flat",T115,W115)</f>
      </c>
      <c r="E115" s="217">
        <f>IF('Usulan Pembiayaan'!$M$55="Flat",U115,X115)</f>
      </c>
      <c r="F115" s="218">
        <f t="shared" si="15"/>
      </c>
      <c r="H115" s="154">
        <v>108</v>
      </c>
      <c r="I115" s="221">
        <f t="shared" si="21"/>
      </c>
      <c r="J115" s="218">
        <f t="shared" si="22"/>
      </c>
      <c r="K115" s="217">
        <f>IF('Usulan Pembiayaan'!$M$55="Flat",W115,T115)</f>
      </c>
      <c r="L115" s="217">
        <f>IF('Usulan Pembiayaan'!$M$55="Flat",X115,U115)</f>
      </c>
      <c r="M115" s="218">
        <f t="shared" si="16"/>
      </c>
      <c r="N115" s="337"/>
      <c r="O115" s="337"/>
      <c r="P115" s="127"/>
      <c r="T115" s="142">
        <f t="shared" si="27"/>
      </c>
      <c r="U115" s="142">
        <f t="shared" si="23"/>
      </c>
      <c r="V115" s="140">
        <f t="shared" si="28"/>
      </c>
      <c r="W115" s="140">
        <f t="shared" si="24"/>
      </c>
      <c r="X115" s="140">
        <f t="shared" si="25"/>
      </c>
      <c r="Y115" s="128">
        <f t="shared" si="26"/>
      </c>
    </row>
    <row r="116" spans="1:25" ht="15">
      <c r="A116" s="154">
        <v>109</v>
      </c>
      <c r="B116" s="221">
        <f t="shared" si="19"/>
      </c>
      <c r="C116" s="218">
        <f t="shared" si="20"/>
      </c>
      <c r="D116" s="217">
        <f>IF('Usulan Pembiayaan'!$M$55="Flat",T116,W116)</f>
      </c>
      <c r="E116" s="217">
        <f>IF('Usulan Pembiayaan'!$M$55="Flat",U116,X116)</f>
      </c>
      <c r="F116" s="218">
        <f t="shared" si="15"/>
      </c>
      <c r="H116" s="154">
        <v>109</v>
      </c>
      <c r="I116" s="221">
        <f t="shared" si="21"/>
      </c>
      <c r="J116" s="218">
        <f t="shared" si="22"/>
      </c>
      <c r="K116" s="217">
        <f>IF('Usulan Pembiayaan'!$M$55="Flat",W116,T116)</f>
      </c>
      <c r="L116" s="217">
        <f>IF('Usulan Pembiayaan'!$M$55="Flat",X116,U116)</f>
      </c>
      <c r="M116" s="218">
        <f t="shared" si="16"/>
      </c>
      <c r="N116" s="337"/>
      <c r="O116" s="337"/>
      <c r="P116" s="127"/>
      <c r="T116" s="142">
        <f t="shared" si="27"/>
      </c>
      <c r="U116" s="142">
        <f t="shared" si="23"/>
      </c>
      <c r="V116" s="140">
        <f t="shared" si="28"/>
      </c>
      <c r="W116" s="140">
        <f t="shared" si="24"/>
      </c>
      <c r="X116" s="140">
        <f t="shared" si="25"/>
      </c>
      <c r="Y116" s="128">
        <f t="shared" si="26"/>
      </c>
    </row>
    <row r="117" spans="1:25" ht="15">
      <c r="A117" s="155">
        <v>110</v>
      </c>
      <c r="B117" s="221">
        <f t="shared" si="19"/>
      </c>
      <c r="C117" s="218">
        <f t="shared" si="20"/>
      </c>
      <c r="D117" s="217">
        <f>IF('Usulan Pembiayaan'!$M$55="Flat",T117,W117)</f>
      </c>
      <c r="E117" s="217">
        <f>IF('Usulan Pembiayaan'!$M$55="Flat",U117,X117)</f>
      </c>
      <c r="F117" s="218">
        <f t="shared" si="15"/>
      </c>
      <c r="H117" s="155">
        <v>110</v>
      </c>
      <c r="I117" s="221">
        <f t="shared" si="21"/>
      </c>
      <c r="J117" s="218">
        <f t="shared" si="22"/>
      </c>
      <c r="K117" s="217">
        <f>IF('Usulan Pembiayaan'!$M$55="Flat",W117,T117)</f>
      </c>
      <c r="L117" s="217">
        <f>IF('Usulan Pembiayaan'!$M$55="Flat",X117,U117)</f>
      </c>
      <c r="M117" s="218">
        <f t="shared" si="16"/>
      </c>
      <c r="N117" s="337"/>
      <c r="O117" s="337"/>
      <c r="P117" s="127"/>
      <c r="T117" s="142">
        <f t="shared" si="27"/>
      </c>
      <c r="U117" s="142">
        <f t="shared" si="23"/>
      </c>
      <c r="V117" s="140">
        <f t="shared" si="28"/>
      </c>
      <c r="W117" s="140">
        <f t="shared" si="24"/>
      </c>
      <c r="X117" s="140">
        <f t="shared" si="25"/>
      </c>
      <c r="Y117" s="128">
        <f t="shared" si="26"/>
      </c>
    </row>
    <row r="118" spans="1:25" ht="15">
      <c r="A118" s="154">
        <v>111</v>
      </c>
      <c r="B118" s="221">
        <f t="shared" si="19"/>
      </c>
      <c r="C118" s="218">
        <f t="shared" si="20"/>
      </c>
      <c r="D118" s="217">
        <f>IF('Usulan Pembiayaan'!$M$55="Flat",T118,W118)</f>
      </c>
      <c r="E118" s="217">
        <f>IF('Usulan Pembiayaan'!$M$55="Flat",U118,X118)</f>
      </c>
      <c r="F118" s="218">
        <f t="shared" si="15"/>
      </c>
      <c r="H118" s="154">
        <v>111</v>
      </c>
      <c r="I118" s="221">
        <f t="shared" si="21"/>
      </c>
      <c r="J118" s="218">
        <f t="shared" si="22"/>
      </c>
      <c r="K118" s="217">
        <f>IF('Usulan Pembiayaan'!$M$55="Flat",W118,T118)</f>
      </c>
      <c r="L118" s="217">
        <f>IF('Usulan Pembiayaan'!$M$55="Flat",X118,U118)</f>
      </c>
      <c r="M118" s="218">
        <f t="shared" si="16"/>
      </c>
      <c r="N118" s="337"/>
      <c r="O118" s="337"/>
      <c r="P118" s="127"/>
      <c r="T118" s="142">
        <f t="shared" si="27"/>
      </c>
      <c r="U118" s="142">
        <f t="shared" si="23"/>
      </c>
      <c r="V118" s="140">
        <f t="shared" si="28"/>
      </c>
      <c r="W118" s="140">
        <f t="shared" si="24"/>
      </c>
      <c r="X118" s="140">
        <f t="shared" si="25"/>
      </c>
      <c r="Y118" s="128">
        <f t="shared" si="26"/>
      </c>
    </row>
    <row r="119" spans="1:25" ht="15">
      <c r="A119" s="155">
        <v>112</v>
      </c>
      <c r="B119" s="221">
        <f t="shared" si="19"/>
      </c>
      <c r="C119" s="218">
        <f t="shared" si="20"/>
      </c>
      <c r="D119" s="217">
        <f>IF('Usulan Pembiayaan'!$M$55="Flat",T119,W119)</f>
      </c>
      <c r="E119" s="217">
        <f>IF('Usulan Pembiayaan'!$M$55="Flat",U119,X119)</f>
      </c>
      <c r="F119" s="218">
        <f t="shared" si="15"/>
      </c>
      <c r="H119" s="155">
        <v>112</v>
      </c>
      <c r="I119" s="221">
        <f t="shared" si="21"/>
      </c>
      <c r="J119" s="218">
        <f t="shared" si="22"/>
      </c>
      <c r="K119" s="217">
        <f>IF('Usulan Pembiayaan'!$M$55="Flat",W119,T119)</f>
      </c>
      <c r="L119" s="217">
        <f>IF('Usulan Pembiayaan'!$M$55="Flat",X119,U119)</f>
      </c>
      <c r="M119" s="218">
        <f t="shared" si="16"/>
      </c>
      <c r="N119" s="337"/>
      <c r="O119" s="337"/>
      <c r="P119" s="127"/>
      <c r="T119" s="142">
        <f t="shared" si="27"/>
      </c>
      <c r="U119" s="142">
        <f t="shared" si="23"/>
      </c>
      <c r="V119" s="140">
        <f t="shared" si="28"/>
      </c>
      <c r="W119" s="140">
        <f t="shared" si="24"/>
      </c>
      <c r="X119" s="140">
        <f t="shared" si="25"/>
      </c>
      <c r="Y119" s="128">
        <f t="shared" si="26"/>
      </c>
    </row>
    <row r="120" spans="1:25" ht="15">
      <c r="A120" s="154">
        <v>113</v>
      </c>
      <c r="B120" s="221">
        <f t="shared" si="19"/>
      </c>
      <c r="C120" s="218">
        <f t="shared" si="20"/>
      </c>
      <c r="D120" s="217">
        <f>IF('Usulan Pembiayaan'!$M$55="Flat",T120,W120)</f>
      </c>
      <c r="E120" s="217">
        <f>IF('Usulan Pembiayaan'!$M$55="Flat",U120,X120)</f>
      </c>
      <c r="F120" s="218">
        <f t="shared" si="15"/>
      </c>
      <c r="H120" s="154">
        <v>113</v>
      </c>
      <c r="I120" s="221">
        <f t="shared" si="21"/>
      </c>
      <c r="J120" s="218">
        <f t="shared" si="22"/>
      </c>
      <c r="K120" s="217">
        <f>IF('Usulan Pembiayaan'!$M$55="Flat",W120,T120)</f>
      </c>
      <c r="L120" s="217">
        <f>IF('Usulan Pembiayaan'!$M$55="Flat",X120,U120)</f>
      </c>
      <c r="M120" s="218">
        <f t="shared" si="16"/>
      </c>
      <c r="N120" s="337"/>
      <c r="O120" s="337"/>
      <c r="P120" s="127"/>
      <c r="T120" s="142">
        <f t="shared" si="27"/>
      </c>
      <c r="U120" s="142">
        <f t="shared" si="23"/>
      </c>
      <c r="V120" s="140">
        <f t="shared" si="28"/>
      </c>
      <c r="W120" s="140">
        <f t="shared" si="24"/>
      </c>
      <c r="X120" s="140">
        <f t="shared" si="25"/>
      </c>
      <c r="Y120" s="128">
        <f t="shared" si="26"/>
      </c>
    </row>
    <row r="121" spans="1:25" ht="15">
      <c r="A121" s="155">
        <v>114</v>
      </c>
      <c r="B121" s="221">
        <f t="shared" si="19"/>
      </c>
      <c r="C121" s="218">
        <f t="shared" si="20"/>
      </c>
      <c r="D121" s="217">
        <f>IF('Usulan Pembiayaan'!$M$55="Flat",T121,W121)</f>
      </c>
      <c r="E121" s="217">
        <f>IF('Usulan Pembiayaan'!$M$55="Flat",U121,X121)</f>
      </c>
      <c r="F121" s="218">
        <f t="shared" si="15"/>
      </c>
      <c r="H121" s="155">
        <v>114</v>
      </c>
      <c r="I121" s="221">
        <f t="shared" si="21"/>
      </c>
      <c r="J121" s="218">
        <f t="shared" si="22"/>
      </c>
      <c r="K121" s="217">
        <f>IF('Usulan Pembiayaan'!$M$55="Flat",W121,T121)</f>
      </c>
      <c r="L121" s="217">
        <f>IF('Usulan Pembiayaan'!$M$55="Flat",X121,U121)</f>
      </c>
      <c r="M121" s="218">
        <f t="shared" si="16"/>
      </c>
      <c r="N121" s="337"/>
      <c r="O121" s="337"/>
      <c r="P121" s="127"/>
      <c r="T121" s="142">
        <f t="shared" si="27"/>
      </c>
      <c r="U121" s="142">
        <f t="shared" si="23"/>
      </c>
      <c r="V121" s="140">
        <f t="shared" si="28"/>
      </c>
      <c r="W121" s="140">
        <f t="shared" si="24"/>
      </c>
      <c r="X121" s="140">
        <f t="shared" si="25"/>
      </c>
      <c r="Y121" s="128">
        <f t="shared" si="26"/>
      </c>
    </row>
    <row r="122" spans="1:25" ht="15">
      <c r="A122" s="154">
        <v>115</v>
      </c>
      <c r="B122" s="221">
        <f t="shared" si="19"/>
      </c>
      <c r="C122" s="218">
        <f t="shared" si="20"/>
      </c>
      <c r="D122" s="217">
        <f>IF('Usulan Pembiayaan'!$M$55="Flat",T122,W122)</f>
      </c>
      <c r="E122" s="217">
        <f>IF('Usulan Pembiayaan'!$M$55="Flat",U122,X122)</f>
      </c>
      <c r="F122" s="218">
        <f t="shared" si="15"/>
      </c>
      <c r="H122" s="154">
        <v>115</v>
      </c>
      <c r="I122" s="221">
        <f t="shared" si="21"/>
      </c>
      <c r="J122" s="218">
        <f t="shared" si="22"/>
      </c>
      <c r="K122" s="217">
        <f>IF('Usulan Pembiayaan'!$M$55="Flat",W122,T122)</f>
      </c>
      <c r="L122" s="217">
        <f>IF('Usulan Pembiayaan'!$M$55="Flat",X122,U122)</f>
      </c>
      <c r="M122" s="218">
        <f t="shared" si="16"/>
      </c>
      <c r="N122" s="337"/>
      <c r="O122" s="337"/>
      <c r="P122" s="127"/>
      <c r="T122" s="142">
        <f t="shared" si="27"/>
      </c>
      <c r="U122" s="142">
        <f t="shared" si="23"/>
      </c>
      <c r="V122" s="140">
        <f t="shared" si="28"/>
      </c>
      <c r="W122" s="140">
        <f t="shared" si="24"/>
      </c>
      <c r="X122" s="140">
        <f t="shared" si="25"/>
      </c>
      <c r="Y122" s="128">
        <f t="shared" si="26"/>
      </c>
    </row>
    <row r="123" spans="1:25" ht="15">
      <c r="A123" s="155">
        <v>116</v>
      </c>
      <c r="B123" s="221">
        <f t="shared" si="19"/>
      </c>
      <c r="C123" s="218">
        <f t="shared" si="20"/>
      </c>
      <c r="D123" s="217">
        <f>IF('Usulan Pembiayaan'!$M$55="Flat",T123,W123)</f>
      </c>
      <c r="E123" s="217">
        <f>IF('Usulan Pembiayaan'!$M$55="Flat",U123,X123)</f>
      </c>
      <c r="F123" s="218">
        <f t="shared" si="15"/>
      </c>
      <c r="H123" s="155">
        <v>116</v>
      </c>
      <c r="I123" s="221">
        <f t="shared" si="21"/>
      </c>
      <c r="J123" s="218">
        <f t="shared" si="22"/>
      </c>
      <c r="K123" s="217">
        <f>IF('Usulan Pembiayaan'!$M$55="Flat",W123,T123)</f>
      </c>
      <c r="L123" s="217">
        <f>IF('Usulan Pembiayaan'!$M$55="Flat",X123,U123)</f>
      </c>
      <c r="M123" s="218">
        <f t="shared" si="16"/>
      </c>
      <c r="N123" s="337"/>
      <c r="O123" s="337"/>
      <c r="P123" s="127"/>
      <c r="T123" s="142">
        <f t="shared" si="27"/>
      </c>
      <c r="U123" s="142">
        <f t="shared" si="23"/>
      </c>
      <c r="V123" s="140">
        <f t="shared" si="28"/>
      </c>
      <c r="W123" s="140">
        <f t="shared" si="24"/>
      </c>
      <c r="X123" s="140">
        <f t="shared" si="25"/>
      </c>
      <c r="Y123" s="128">
        <f t="shared" si="26"/>
      </c>
    </row>
    <row r="124" spans="1:25" ht="15">
      <c r="A124" s="154">
        <v>117</v>
      </c>
      <c r="B124" s="221">
        <f t="shared" si="19"/>
      </c>
      <c r="C124" s="218">
        <f t="shared" si="20"/>
      </c>
      <c r="D124" s="217">
        <f>IF('Usulan Pembiayaan'!$M$55="Flat",T124,W124)</f>
      </c>
      <c r="E124" s="217">
        <f>IF('Usulan Pembiayaan'!$M$55="Flat",U124,X124)</f>
      </c>
      <c r="F124" s="218">
        <f t="shared" si="15"/>
      </c>
      <c r="H124" s="154">
        <v>117</v>
      </c>
      <c r="I124" s="221">
        <f t="shared" si="21"/>
      </c>
      <c r="J124" s="218">
        <f t="shared" si="22"/>
      </c>
      <c r="K124" s="217">
        <f>IF('Usulan Pembiayaan'!$M$55="Flat",W124,T124)</f>
      </c>
      <c r="L124" s="217">
        <f>IF('Usulan Pembiayaan'!$M$55="Flat",X124,U124)</f>
      </c>
      <c r="M124" s="218">
        <f t="shared" si="16"/>
      </c>
      <c r="N124" s="337"/>
      <c r="O124" s="337"/>
      <c r="P124" s="127"/>
      <c r="T124" s="142">
        <f t="shared" si="27"/>
      </c>
      <c r="U124" s="142">
        <f t="shared" si="23"/>
      </c>
      <c r="V124" s="140">
        <f t="shared" si="28"/>
      </c>
      <c r="W124" s="140">
        <f t="shared" si="24"/>
      </c>
      <c r="X124" s="140">
        <f t="shared" si="25"/>
      </c>
      <c r="Y124" s="128">
        <f t="shared" si="26"/>
      </c>
    </row>
    <row r="125" spans="1:25" ht="15">
      <c r="A125" s="155">
        <v>118</v>
      </c>
      <c r="B125" s="221">
        <f t="shared" si="19"/>
      </c>
      <c r="C125" s="218">
        <f t="shared" si="20"/>
      </c>
      <c r="D125" s="217">
        <f>IF('Usulan Pembiayaan'!$M$55="Flat",T125,W125)</f>
      </c>
      <c r="E125" s="217">
        <f>IF('Usulan Pembiayaan'!$M$55="Flat",U125,X125)</f>
      </c>
      <c r="F125" s="218">
        <f t="shared" si="15"/>
      </c>
      <c r="H125" s="155">
        <v>118</v>
      </c>
      <c r="I125" s="221">
        <f t="shared" si="21"/>
      </c>
      <c r="J125" s="218">
        <f t="shared" si="22"/>
      </c>
      <c r="K125" s="217">
        <f>IF('Usulan Pembiayaan'!$M$55="Flat",W125,T125)</f>
      </c>
      <c r="L125" s="217">
        <f>IF('Usulan Pembiayaan'!$M$55="Flat",X125,U125)</f>
      </c>
      <c r="M125" s="218">
        <f t="shared" si="16"/>
      </c>
      <c r="N125" s="337"/>
      <c r="O125" s="337"/>
      <c r="P125" s="127"/>
      <c r="T125" s="142">
        <f t="shared" si="27"/>
      </c>
      <c r="U125" s="142">
        <f t="shared" si="23"/>
      </c>
      <c r="V125" s="140">
        <f t="shared" si="28"/>
      </c>
      <c r="W125" s="140">
        <f t="shared" si="24"/>
      </c>
      <c r="X125" s="140">
        <f t="shared" si="25"/>
      </c>
      <c r="Y125" s="128">
        <f t="shared" si="26"/>
      </c>
    </row>
    <row r="126" spans="1:25" ht="15">
      <c r="A126" s="154">
        <v>119</v>
      </c>
      <c r="B126" s="221">
        <f t="shared" si="19"/>
      </c>
      <c r="C126" s="218">
        <f t="shared" si="20"/>
      </c>
      <c r="D126" s="217">
        <f>IF('Usulan Pembiayaan'!$M$55="Flat",T126,W126)</f>
      </c>
      <c r="E126" s="217">
        <f>IF('Usulan Pembiayaan'!$M$55="Flat",U126,X126)</f>
      </c>
      <c r="F126" s="218">
        <f t="shared" si="15"/>
      </c>
      <c r="H126" s="154">
        <v>119</v>
      </c>
      <c r="I126" s="221">
        <f t="shared" si="21"/>
      </c>
      <c r="J126" s="218">
        <f t="shared" si="22"/>
      </c>
      <c r="K126" s="217">
        <f>IF('Usulan Pembiayaan'!$M$55="Flat",W126,T126)</f>
      </c>
      <c r="L126" s="217">
        <f>IF('Usulan Pembiayaan'!$M$55="Flat",X126,U126)</f>
      </c>
      <c r="M126" s="218">
        <f t="shared" si="16"/>
      </c>
      <c r="N126" s="337"/>
      <c r="O126" s="337"/>
      <c r="P126" s="127"/>
      <c r="T126" s="142">
        <f t="shared" si="27"/>
      </c>
      <c r="U126" s="142">
        <f t="shared" si="23"/>
      </c>
      <c r="V126" s="140">
        <f t="shared" si="28"/>
      </c>
      <c r="W126" s="140">
        <f t="shared" si="24"/>
      </c>
      <c r="X126" s="140">
        <f t="shared" si="25"/>
      </c>
      <c r="Y126" s="128">
        <f t="shared" si="26"/>
      </c>
    </row>
    <row r="127" spans="1:25" ht="15">
      <c r="A127" s="154">
        <v>120</v>
      </c>
      <c r="B127" s="221">
        <f t="shared" si="19"/>
      </c>
      <c r="C127" s="218">
        <f t="shared" si="20"/>
      </c>
      <c r="D127" s="217">
        <f>IF('Usulan Pembiayaan'!$M$55="Flat",T127,W127)</f>
      </c>
      <c r="E127" s="217">
        <f>IF('Usulan Pembiayaan'!$M$55="Flat",U127,X127)</f>
      </c>
      <c r="F127" s="218">
        <f t="shared" si="15"/>
      </c>
      <c r="H127" s="154">
        <v>120</v>
      </c>
      <c r="I127" s="221">
        <f t="shared" si="21"/>
      </c>
      <c r="J127" s="218">
        <f t="shared" si="22"/>
      </c>
      <c r="K127" s="217">
        <f>IF('Usulan Pembiayaan'!$M$55="Flat",W127,T127)</f>
      </c>
      <c r="L127" s="217">
        <f>IF('Usulan Pembiayaan'!$M$55="Flat",X127,U127)</f>
      </c>
      <c r="M127" s="218">
        <f t="shared" si="16"/>
      </c>
      <c r="N127" s="337"/>
      <c r="O127" s="337"/>
      <c r="P127" s="127"/>
      <c r="T127" s="142">
        <f t="shared" si="27"/>
      </c>
      <c r="U127" s="142">
        <f t="shared" si="23"/>
      </c>
      <c r="V127" s="140">
        <f t="shared" si="28"/>
      </c>
      <c r="W127" s="140">
        <f t="shared" si="24"/>
      </c>
      <c r="X127" s="140">
        <f t="shared" si="25"/>
      </c>
      <c r="Y127" s="128">
        <f t="shared" si="26"/>
      </c>
    </row>
    <row r="128" spans="1:25" ht="15">
      <c r="A128" s="139"/>
      <c r="B128" s="156"/>
      <c r="C128" s="156"/>
      <c r="D128" s="217"/>
      <c r="E128" s="217"/>
      <c r="F128" s="219"/>
      <c r="H128" s="139"/>
      <c r="I128" s="156"/>
      <c r="J128" s="156"/>
      <c r="K128" s="217"/>
      <c r="L128" s="217"/>
      <c r="M128" s="218"/>
      <c r="N128" s="337"/>
      <c r="O128" s="337"/>
      <c r="P128" s="127"/>
      <c r="T128" s="142">
        <v>0</v>
      </c>
      <c r="U128" s="142">
        <v>0</v>
      </c>
      <c r="V128" s="142">
        <v>0</v>
      </c>
      <c r="W128" s="128">
        <v>0</v>
      </c>
      <c r="X128" s="128">
        <v>0</v>
      </c>
    </row>
    <row r="129" spans="1:25">
      <c r="A129" s="1858" t="s">
        <v>5</v>
      </c>
      <c r="B129" s="1859"/>
      <c r="C129" s="317"/>
      <c r="D129" s="220">
        <f>SUM(D8:D128)</f>
      </c>
      <c r="E129" s="220">
        <f>SUM(E8:E128)</f>
      </c>
      <c r="F129" s="220">
        <f>SUM(F8:F55)</f>
      </c>
      <c r="H129" s="1858" t="s">
        <v>5</v>
      </c>
      <c r="I129" s="1859"/>
      <c r="J129" s="317"/>
      <c r="K129" s="220">
        <f>SUM(K8:K128)</f>
      </c>
      <c r="L129" s="220">
        <f>SUM(L8:L128)</f>
      </c>
      <c r="M129" s="220">
        <f>SUM(M8:M128)</f>
      </c>
      <c r="N129" s="338"/>
      <c r="O129" s="338"/>
      <c r="P129" s="127"/>
      <c r="T129" s="128">
        <f>SUM(T8:T128)</f>
      </c>
      <c r="U129" s="128">
        <f>SUM(U8:U128)</f>
      </c>
      <c r="V129" s="128"/>
      <c r="W129" s="128">
        <f>SUM(W8:W128)</f>
      </c>
      <c r="X129" s="128">
        <f>SUM(X8:X128)</f>
      </c>
      <c r="Y129" s="128">
        <f>SUM(Y8:Y128)</f>
      </c>
    </row>
    <row r="130" spans="1:25">
      <c r="D130" s="147"/>
      <c r="E130" s="147"/>
      <c r="F130" s="147"/>
      <c r="K130" s="147"/>
      <c r="L130" s="147"/>
      <c r="M130" s="147"/>
      <c r="N130" s="147"/>
      <c r="O130" s="147"/>
      <c r="P130" s="127"/>
    </row>
    <row r="131" spans="1:25">
      <c r="A131" s="1860">
        <f ca="1">"Bogor, "&amp;TEXT(TODAY(),("dd mmmm yyyy"))</f>
      </c>
      <c r="B131" s="1860"/>
      <c r="C131" s="1860"/>
      <c r="D131" s="1860"/>
      <c r="E131" s="1860"/>
      <c r="F131" s="1860"/>
      <c r="H131" s="1860">
        <f ca="1">"Bogor, "&amp;TEXT(TODAY(),("dd mmmm yyyy"))</f>
      </c>
      <c r="I131" s="1860"/>
      <c r="J131" s="1860"/>
      <c r="K131" s="1860"/>
      <c r="L131" s="1860"/>
      <c r="M131" s="1860"/>
      <c r="P131" s="127"/>
      <c r="X131" s="128">
        <f>X129-U129</f>
      </c>
    </row>
    <row r="132" spans="1:25">
      <c r="P132" s="127"/>
    </row>
    <row r="133" spans="1:25">
      <c r="A133" s="1860" t="s">
        <v>614</v>
      </c>
      <c r="B133" s="1860"/>
      <c r="C133" s="1860"/>
      <c r="D133" s="1860"/>
      <c r="E133" s="1860" t="s">
        <v>615</v>
      </c>
      <c r="F133" s="1860"/>
      <c r="H133" s="1860" t="s">
        <v>614</v>
      </c>
      <c r="I133" s="1860"/>
      <c r="J133" s="1860"/>
      <c r="K133" s="1860"/>
      <c r="L133" s="1860" t="s">
        <v>615</v>
      </c>
      <c r="M133" s="1860"/>
      <c r="P133" s="127"/>
    </row>
    <row r="134" spans="1:25">
      <c r="P134" s="127"/>
    </row>
    <row r="135" spans="1:25">
      <c r="P135" s="127"/>
    </row>
    <row r="136" spans="1:25">
      <c r="P136" s="127"/>
    </row>
    <row r="137" spans="1:25">
      <c r="P137" s="127"/>
    </row>
    <row r="138" spans="1:25">
      <c r="P138" s="127"/>
    </row>
    <row r="139" spans="1:25">
      <c r="A139" s="1861">
        <f>'Keputusan Pembiayaan'!N11</f>
      </c>
      <c r="B139" s="1861"/>
      <c r="C139" s="1861"/>
      <c r="D139" s="1861"/>
      <c r="E139" s="1860" t="s">
        <v>616</v>
      </c>
      <c r="F139" s="1860"/>
      <c r="H139" s="1861">
        <f>'[6]Keputusan Pembiayaan'!T11</f>
      </c>
      <c r="I139" s="1861"/>
      <c r="J139" s="1861"/>
      <c r="K139" s="1861"/>
      <c r="L139" s="1860" t="s">
        <v>616</v>
      </c>
      <c r="M139" s="1860"/>
      <c r="P139" s="127"/>
    </row>
    <row r="140" spans="1:25">
      <c r="P140" s="127"/>
    </row>
  </sheetData>
  <mergeCells count="25">
    <mergeCell ref="E4:E6"/>
    <mergeCell ref="V5:Y5"/>
    <mergeCell ref="D4:D6"/>
    <mergeCell ref="A1:F1"/>
    <mergeCell ref="A2:F2"/>
    <mergeCell ref="C4:C6"/>
    <mergeCell ref="A129:B129"/>
    <mergeCell ref="A131:F131"/>
    <mergeCell ref="A133:D133"/>
    <mergeCell ref="A139:D139"/>
    <mergeCell ref="E133:F133"/>
    <mergeCell ref="E139:F139"/>
    <mergeCell ref="P24:Q24"/>
    <mergeCell ref="P31:Q31"/>
    <mergeCell ref="H1:M1"/>
    <mergeCell ref="H2:M2"/>
    <mergeCell ref="J4:J6"/>
    <mergeCell ref="K4:K6"/>
    <mergeCell ref="L4:L6"/>
    <mergeCell ref="H129:I129"/>
    <mergeCell ref="H131:M131"/>
    <mergeCell ref="H133:K133"/>
    <mergeCell ref="L133:M133"/>
    <mergeCell ref="H139:K139"/>
    <mergeCell ref="L139:M139"/>
  </mergeCells>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D276"/>
  <sheetViews>
    <sheetView topLeftCell="A157" zoomScaleNormal="100" workbookViewId="0">
      <selection activeCell="U18" sqref="U18"/>
    </sheetView>
  </sheetViews>
  <sheetFormatPr defaultColWidth="9.140625" defaultRowHeight="12"/>
  <cols>
    <col min="1" max="3" width="10.85546875" style="224" customWidth="1"/>
    <col min="4" max="4" width="10.85546875" style="244" customWidth="1"/>
    <col min="5" max="6" width="10.85546875" style="224" customWidth="1"/>
    <col min="7" max="7" width="22.7109375" style="224" customWidth="1"/>
    <col min="8" max="8" width="10.85546875" style="244" customWidth="1"/>
    <col min="9" max="9" width="14.140625" style="224" customWidth="1"/>
    <col min="10" max="10" width="10.85546875" style="224" customWidth="1"/>
    <col min="11" max="11" width="10.85546875" style="253" customWidth="1"/>
    <col min="12" max="12" width="10.85546875" style="244" hidden="1" customWidth="1"/>
    <col min="13" max="14" width="10.85546875" style="224" hidden="1" customWidth="1"/>
    <col min="15" max="15" width="10.85546875" style="253" hidden="1" customWidth="1"/>
    <col min="16" max="17" width="9.140625" style="224" customWidth="1"/>
    <col min="18" max="18" width="9.140625" style="224"/>
    <col min="19" max="19" width="11.28515625" style="224" bestFit="1" customWidth="1"/>
    <col min="20" max="20" width="14.140625" style="224" bestFit="1" customWidth="1"/>
    <col min="21" max="21" width="9.140625" style="225" customWidth="1"/>
    <col min="22" max="22" width="9.140625" style="224" customWidth="1"/>
    <col min="23" max="16384" width="9.140625" style="224"/>
  </cols>
  <sheetData>
    <row r="1" spans="1:21">
      <c r="A1" s="1868" t="s">
        <v>351</v>
      </c>
      <c r="B1" s="1868"/>
      <c r="C1" s="1868"/>
      <c r="D1" s="1868"/>
      <c r="E1" s="1868"/>
      <c r="F1" s="1868"/>
      <c r="G1" s="1868"/>
      <c r="H1" s="1870" t="s">
        <v>352</v>
      </c>
      <c r="I1" s="1871"/>
      <c r="J1" s="1871"/>
      <c r="K1" s="1872"/>
      <c r="L1" s="1873" t="s">
        <v>353</v>
      </c>
      <c r="M1" s="1874"/>
      <c r="N1" s="1874"/>
      <c r="O1" s="1875"/>
    </row>
    <row r="2" spans="1:21" ht="22.5">
      <c r="A2" s="1868"/>
      <c r="B2" s="1868"/>
      <c r="C2" s="1868"/>
      <c r="D2" s="1868"/>
      <c r="E2" s="1868"/>
      <c r="F2" s="1868"/>
      <c r="G2" s="1868"/>
      <c r="H2" s="226" t="s">
        <v>354</v>
      </c>
      <c r="I2" s="227" t="s">
        <v>355</v>
      </c>
      <c r="J2" s="227" t="s">
        <v>356</v>
      </c>
      <c r="K2" s="228" t="s">
        <v>357</v>
      </c>
      <c r="L2" s="226" t="s">
        <v>354</v>
      </c>
      <c r="M2" s="227" t="s">
        <v>355</v>
      </c>
      <c r="N2" s="227" t="s">
        <v>356</v>
      </c>
      <c r="O2" s="228" t="s">
        <v>357</v>
      </c>
    </row>
    <row r="3" spans="1:21" ht="12.75" thickBot="1">
      <c r="A3" s="1869"/>
      <c r="B3" s="1869"/>
      <c r="C3" s="1869"/>
      <c r="D3" s="1869"/>
      <c r="E3" s="1869"/>
      <c r="F3" s="1869"/>
      <c r="G3" s="1869"/>
      <c r="H3" s="229"/>
      <c r="I3" s="230"/>
      <c r="J3" s="230"/>
      <c r="K3" s="231"/>
      <c r="L3" s="229"/>
      <c r="M3" s="230"/>
      <c r="N3" s="230"/>
      <c r="O3" s="231"/>
    </row>
    <row r="4" spans="1:21" s="240" customFormat="1" ht="14.25" thickBot="1">
      <c r="A4" s="232" t="s">
        <v>358</v>
      </c>
      <c r="B4" s="233"/>
      <c r="C4" s="234"/>
      <c r="D4" s="235"/>
      <c r="E4" s="236"/>
      <c r="F4" s="234"/>
      <c r="G4" s="234"/>
      <c r="H4" s="237"/>
      <c r="I4" s="238"/>
      <c r="J4" s="238"/>
      <c r="K4" s="239"/>
      <c r="L4" s="237"/>
      <c r="M4" s="238"/>
      <c r="N4" s="238"/>
      <c r="O4" s="239"/>
      <c r="U4" s="241"/>
    </row>
    <row r="5" spans="1:21" ht="12.75">
      <c r="A5" s="242" t="s">
        <v>359</v>
      </c>
      <c r="B5" s="243" t="s">
        <v>360</v>
      </c>
      <c r="E5" s="245"/>
      <c r="H5" s="246"/>
      <c r="I5" s="247"/>
      <c r="J5" s="247"/>
      <c r="K5" s="248"/>
      <c r="L5" s="246"/>
      <c r="M5" s="247"/>
      <c r="N5" s="247"/>
      <c r="O5" s="248"/>
      <c r="U5" s="225" t="s">
        <v>433</v>
      </c>
    </row>
    <row r="6" spans="1:21" ht="12.75">
      <c r="A6" s="249"/>
      <c r="B6" s="250"/>
      <c r="D6" s="244">
        <v>1</v>
      </c>
      <c r="E6" s="224">
        <f>IF($G$32&lt;=2,J254,K254)</f>
      </c>
      <c r="H6" s="251">
        <v>100</v>
      </c>
      <c r="I6" s="245">
        <v>0.15</v>
      </c>
      <c r="J6" s="245">
        <v>0.25</v>
      </c>
      <c r="K6" s="252">
        <f>H6*I6*J6</f>
      </c>
      <c r="L6" s="251">
        <v>50</v>
      </c>
      <c r="M6" s="245">
        <v>0.05</v>
      </c>
      <c r="N6" s="245">
        <v>0.3</v>
      </c>
      <c r="O6" s="252">
        <f>L6*M6*N6</f>
      </c>
    </row>
    <row r="7" spans="1:21">
      <c r="A7" s="245"/>
      <c r="D7" s="244">
        <v>2</v>
      </c>
      <c r="E7" s="224">
        <f t="shared" ref="E7:E9" si="0">IF($G$32&lt;=2,J255,K255)</f>
      </c>
      <c r="H7" s="251">
        <v>80</v>
      </c>
      <c r="I7" s="245">
        <v>0.15</v>
      </c>
      <c r="J7" s="245">
        <v>0.25</v>
      </c>
      <c r="K7" s="252">
        <f>H7*I7*J7</f>
      </c>
      <c r="L7" s="251">
        <v>85</v>
      </c>
      <c r="M7" s="245">
        <v>0.05</v>
      </c>
      <c r="N7" s="245">
        <v>0.3</v>
      </c>
      <c r="O7" s="252">
        <f>L7*M7*N7</f>
      </c>
      <c r="P7" s="253"/>
      <c r="Q7" s="253"/>
      <c r="R7" s="253"/>
      <c r="S7" s="253"/>
      <c r="T7" s="254"/>
      <c r="U7" s="256">
        <f>VLOOKUP('Informasi Pokok'!I14,Parameter!E6:K9,7,0)</f>
      </c>
    </row>
    <row r="8" spans="1:21">
      <c r="D8" s="244">
        <v>3</v>
      </c>
      <c r="E8" s="224">
        <f t="shared" si="0"/>
      </c>
      <c r="H8" s="251">
        <v>60</v>
      </c>
      <c r="I8" s="245">
        <v>0.15</v>
      </c>
      <c r="J8" s="245">
        <v>0.25</v>
      </c>
      <c r="K8" s="252">
        <f>H8*I8*J8</f>
      </c>
      <c r="L8" s="251">
        <v>100</v>
      </c>
      <c r="M8" s="245">
        <v>0.05</v>
      </c>
      <c r="N8" s="245">
        <v>0.3</v>
      </c>
      <c r="O8" s="252">
        <f>L8*M8*N8</f>
      </c>
      <c r="P8" s="253"/>
      <c r="Q8" s="253"/>
      <c r="R8" s="253"/>
      <c r="S8" s="253"/>
    </row>
    <row r="9" spans="1:21">
      <c r="D9" s="244">
        <v>4</v>
      </c>
      <c r="E9" s="224">
        <f t="shared" si="0"/>
      </c>
      <c r="H9" s="251">
        <v>40</v>
      </c>
      <c r="I9" s="245">
        <v>0.15</v>
      </c>
      <c r="J9" s="245">
        <v>0.25</v>
      </c>
      <c r="K9" s="252">
        <f>H9*I9*J9</f>
      </c>
      <c r="L9" s="251">
        <v>70</v>
      </c>
      <c r="M9" s="245">
        <v>0.05</v>
      </c>
      <c r="N9" s="245">
        <v>0.3</v>
      </c>
      <c r="O9" s="252">
        <f>L9*M9*N9</f>
      </c>
      <c r="P9" s="253">
        <f>K6</f>
      </c>
      <c r="Q9" s="253">
        <f>K7</f>
      </c>
      <c r="R9" s="253">
        <f>K8</f>
      </c>
      <c r="S9" s="253">
        <f>K9</f>
      </c>
    </row>
    <row r="10" spans="1:21" ht="12.75">
      <c r="A10" s="242" t="s">
        <v>363</v>
      </c>
      <c r="B10" s="255" t="s">
        <v>364</v>
      </c>
      <c r="H10" s="251"/>
      <c r="K10" s="252"/>
      <c r="L10" s="251"/>
      <c r="O10" s="252"/>
    </row>
    <row r="11" spans="1:21">
      <c r="A11" s="249"/>
      <c r="D11" s="244">
        <v>1</v>
      </c>
      <c r="E11" s="224" t="s">
        <v>86</v>
      </c>
      <c r="H11" s="251">
        <v>100</v>
      </c>
      <c r="I11" s="245">
        <v>0.15</v>
      </c>
      <c r="J11" s="245">
        <v>0.2</v>
      </c>
      <c r="K11" s="252">
        <f>H11*I11*J11</f>
      </c>
      <c r="L11" s="251">
        <v>80</v>
      </c>
      <c r="M11" s="245">
        <v>0.05</v>
      </c>
      <c r="N11" s="245">
        <v>0.25</v>
      </c>
      <c r="O11" s="252">
        <f>L11*M11*N11</f>
      </c>
    </row>
    <row r="12" spans="1:21">
      <c r="D12" s="244">
        <v>2</v>
      </c>
      <c r="E12" s="224" t="s">
        <v>365</v>
      </c>
      <c r="H12" s="251">
        <v>80</v>
      </c>
      <c r="I12" s="245">
        <v>0.15</v>
      </c>
      <c r="J12" s="245">
        <v>0.2</v>
      </c>
      <c r="K12" s="252">
        <f>H12*I12*J12</f>
      </c>
      <c r="L12" s="251">
        <v>100</v>
      </c>
      <c r="M12" s="245">
        <v>0.05</v>
      </c>
      <c r="N12" s="245">
        <v>0.25</v>
      </c>
      <c r="O12" s="252">
        <f>L12*M12*N12</f>
      </c>
      <c r="P12" s="253">
        <f>K11</f>
      </c>
      <c r="Q12" s="253">
        <f>K12</f>
      </c>
      <c r="R12" s="253"/>
      <c r="S12" s="253">
        <f>K13</f>
      </c>
      <c r="T12" s="224" t="s">
        <v>432</v>
      </c>
      <c r="U12" s="225">
        <f>VLOOKUP('Informasi Pokok'!D21,Parameter!E11:K13,7,0)</f>
      </c>
    </row>
    <row r="13" spans="1:21">
      <c r="D13" s="244">
        <v>3</v>
      </c>
      <c r="E13" s="224" t="s">
        <v>434</v>
      </c>
      <c r="H13" s="251">
        <v>65</v>
      </c>
      <c r="I13" s="245">
        <v>0.15</v>
      </c>
      <c r="J13" s="245">
        <v>0.2</v>
      </c>
      <c r="K13" s="252">
        <f>H13*I13*J13</f>
      </c>
      <c r="L13" s="251"/>
      <c r="M13" s="245"/>
      <c r="N13" s="245"/>
      <c r="O13" s="252"/>
      <c r="P13" s="253"/>
      <c r="Q13" s="253"/>
      <c r="R13" s="253"/>
      <c r="S13" s="253"/>
    </row>
    <row r="14" spans="1:21" ht="12.75">
      <c r="A14" s="242" t="s">
        <v>366</v>
      </c>
      <c r="B14" s="255" t="s">
        <v>64</v>
      </c>
      <c r="H14" s="251"/>
      <c r="K14" s="252"/>
      <c r="L14" s="251"/>
      <c r="O14" s="252"/>
    </row>
    <row r="15" spans="1:21">
      <c r="A15" s="249"/>
      <c r="D15" s="244">
        <v>1</v>
      </c>
      <c r="E15" s="224" t="s">
        <v>435</v>
      </c>
      <c r="H15" s="251">
        <v>25</v>
      </c>
      <c r="I15" s="245">
        <v>0.1</v>
      </c>
      <c r="J15" s="245">
        <v>0.3</v>
      </c>
      <c r="K15" s="252">
        <f>H15*I15*J15</f>
      </c>
      <c r="L15" s="251">
        <v>25</v>
      </c>
      <c r="M15" s="245">
        <v>0.05</v>
      </c>
      <c r="N15" s="245">
        <v>0.45</v>
      </c>
      <c r="O15" s="252">
        <f>L15*M15*N15</f>
      </c>
    </row>
    <row r="16" spans="1:21">
      <c r="A16" s="245"/>
      <c r="D16" s="244">
        <v>2</v>
      </c>
      <c r="E16" s="224" t="s">
        <v>436</v>
      </c>
      <c r="H16" s="251">
        <v>50</v>
      </c>
      <c r="I16" s="245">
        <v>0.1</v>
      </c>
      <c r="J16" s="245">
        <v>0.3</v>
      </c>
      <c r="K16" s="252">
        <f>H16*I16*J16</f>
      </c>
      <c r="L16" s="251">
        <v>50</v>
      </c>
      <c r="M16" s="245">
        <v>0.05</v>
      </c>
      <c r="N16" s="245">
        <v>0.45</v>
      </c>
      <c r="O16" s="252">
        <f>L16*M16*N16</f>
      </c>
    </row>
    <row r="17" spans="1:21">
      <c r="D17" s="244">
        <v>3</v>
      </c>
      <c r="E17" s="224" t="s">
        <v>437</v>
      </c>
      <c r="H17" s="251">
        <v>75</v>
      </c>
      <c r="I17" s="245">
        <v>0.1</v>
      </c>
      <c r="J17" s="245">
        <v>0.3</v>
      </c>
      <c r="K17" s="252">
        <f>H17*I17*J17</f>
      </c>
      <c r="L17" s="251">
        <v>75</v>
      </c>
      <c r="M17" s="245">
        <v>0.05</v>
      </c>
      <c r="N17" s="245">
        <v>0.45</v>
      </c>
      <c r="O17" s="252">
        <f>L17*M17*N17</f>
      </c>
    </row>
    <row r="18" spans="1:21">
      <c r="D18" s="244">
        <v>4</v>
      </c>
      <c r="E18" s="224" t="s">
        <v>367</v>
      </c>
      <c r="H18" s="251">
        <v>100</v>
      </c>
      <c r="I18" s="245">
        <v>0.1</v>
      </c>
      <c r="J18" s="245">
        <v>0.3</v>
      </c>
      <c r="K18" s="252">
        <f>H18*I18*J18</f>
      </c>
      <c r="L18" s="251">
        <v>100</v>
      </c>
      <c r="M18" s="245">
        <v>0.05</v>
      </c>
      <c r="N18" s="245">
        <v>0.45</v>
      </c>
      <c r="O18" s="252">
        <f>L18*M18*N18</f>
      </c>
      <c r="P18" s="253">
        <f>K18</f>
      </c>
      <c r="Q18" s="253">
        <f>K17</f>
      </c>
      <c r="R18" s="253">
        <f>K16</f>
      </c>
      <c r="S18" s="253">
        <f>K15</f>
      </c>
      <c r="U18" s="256">
        <f>VLOOKUP('Informasi Pokok'!$D$22,Parameter!$E$15:$K$18,7,0)</f>
      </c>
    </row>
    <row r="19" spans="1:21" ht="12.75">
      <c r="A19" s="242" t="s">
        <v>368</v>
      </c>
      <c r="B19" s="255" t="s">
        <v>369</v>
      </c>
      <c r="H19" s="251"/>
      <c r="K19" s="252"/>
      <c r="L19" s="251"/>
      <c r="O19" s="252"/>
    </row>
    <row r="20" spans="1:21">
      <c r="A20" s="245"/>
      <c r="D20" s="244">
        <v>1</v>
      </c>
      <c r="E20" s="224" t="s">
        <v>52</v>
      </c>
      <c r="H20" s="251">
        <v>25</v>
      </c>
      <c r="I20" s="245">
        <v>0.15</v>
      </c>
      <c r="J20" s="245">
        <v>0.2</v>
      </c>
      <c r="K20" s="252">
        <f>H20*I20*J20</f>
      </c>
      <c r="L20" s="257"/>
      <c r="M20" s="258"/>
      <c r="N20" s="258"/>
      <c r="O20" s="259"/>
    </row>
    <row r="21" spans="1:21">
      <c r="D21" s="244">
        <v>2</v>
      </c>
      <c r="E21" s="224" t="s">
        <v>679</v>
      </c>
      <c r="H21" s="251">
        <v>50</v>
      </c>
      <c r="I21" s="245">
        <v>0.15</v>
      </c>
      <c r="J21" s="245">
        <v>0.2</v>
      </c>
      <c r="K21" s="252">
        <f>H21*I21*J21</f>
      </c>
      <c r="L21" s="257"/>
      <c r="M21" s="258"/>
      <c r="N21" s="258"/>
      <c r="O21" s="259"/>
    </row>
    <row r="22" spans="1:21">
      <c r="D22" s="244">
        <v>3</v>
      </c>
      <c r="E22" s="224" t="s">
        <v>54</v>
      </c>
      <c r="H22" s="251">
        <v>75</v>
      </c>
      <c r="I22" s="245">
        <v>0.15</v>
      </c>
      <c r="J22" s="245">
        <v>0.2</v>
      </c>
      <c r="K22" s="252">
        <f>H22*I22*J22</f>
      </c>
      <c r="L22" s="257"/>
      <c r="M22" s="258"/>
      <c r="N22" s="258"/>
      <c r="O22" s="259"/>
    </row>
    <row r="23" spans="1:21">
      <c r="D23" s="244">
        <v>4</v>
      </c>
      <c r="E23" s="224" t="s">
        <v>681</v>
      </c>
      <c r="H23" s="251">
        <v>100</v>
      </c>
      <c r="I23" s="245">
        <v>0.15</v>
      </c>
      <c r="J23" s="245">
        <v>0.2</v>
      </c>
      <c r="K23" s="252">
        <f>H23*I23*J23</f>
      </c>
      <c r="L23" s="257"/>
      <c r="M23" s="258"/>
      <c r="N23" s="258"/>
      <c r="O23" s="259"/>
      <c r="P23" s="253">
        <f>K23</f>
      </c>
      <c r="Q23" s="253">
        <f>K22</f>
      </c>
      <c r="R23" s="253">
        <f>K21</f>
      </c>
      <c r="S23" s="253">
        <f>K20</f>
      </c>
      <c r="U23" s="225">
        <f>VLOOKUP('Informasi Pokok'!$D$23,Parameter!E20:K23,7,0)</f>
      </c>
    </row>
    <row r="24" spans="1:21" ht="12.75" thickBot="1">
      <c r="A24" s="260"/>
      <c r="B24" s="260"/>
      <c r="C24" s="260"/>
      <c r="D24" s="261"/>
      <c r="E24" s="260"/>
      <c r="F24" s="260"/>
      <c r="G24" s="260"/>
      <c r="H24" s="262"/>
      <c r="I24" s="263"/>
      <c r="J24" s="263"/>
      <c r="K24" s="264"/>
      <c r="L24" s="262"/>
      <c r="M24" s="263"/>
      <c r="N24" s="263"/>
      <c r="O24" s="264"/>
    </row>
    <row r="25" spans="1:21" s="240" customFormat="1" ht="14.25" thickBot="1">
      <c r="A25" s="232"/>
      <c r="B25" s="233"/>
      <c r="C25" s="234"/>
      <c r="D25" s="235"/>
      <c r="E25" s="236"/>
      <c r="F25" s="234"/>
      <c r="G25" s="234"/>
      <c r="H25" s="237"/>
      <c r="I25" s="238"/>
      <c r="J25" s="238"/>
      <c r="K25" s="239"/>
      <c r="L25" s="237"/>
      <c r="M25" s="238"/>
      <c r="N25" s="238"/>
      <c r="O25" s="239"/>
      <c r="U25" s="241"/>
    </row>
    <row r="26" spans="1:21" ht="12.75">
      <c r="A26" s="242" t="s">
        <v>359</v>
      </c>
      <c r="B26" s="255" t="s">
        <v>374</v>
      </c>
      <c r="E26" s="245"/>
      <c r="H26" s="251"/>
      <c r="K26" s="252"/>
      <c r="L26" s="251"/>
      <c r="O26" s="252"/>
    </row>
    <row r="27" spans="1:21">
      <c r="A27" s="265"/>
      <c r="D27" s="244">
        <v>1</v>
      </c>
      <c r="E27" s="224" t="s">
        <v>68</v>
      </c>
      <c r="H27" s="251">
        <v>25</v>
      </c>
      <c r="I27" s="245">
        <v>0.25</v>
      </c>
      <c r="J27" s="245">
        <v>0.2</v>
      </c>
      <c r="K27" s="252">
        <f>H27*I27*J27</f>
      </c>
      <c r="L27" s="266">
        <v>25</v>
      </c>
      <c r="M27" s="267">
        <v>0.1</v>
      </c>
      <c r="N27" s="267">
        <v>0.6</v>
      </c>
      <c r="O27" s="268">
        <f>L27*M27*N27</f>
      </c>
    </row>
    <row r="28" spans="1:21">
      <c r="A28" s="269"/>
      <c r="D28" s="244">
        <v>2</v>
      </c>
      <c r="E28" s="224" t="s">
        <v>375</v>
      </c>
      <c r="H28" s="251">
        <v>50</v>
      </c>
      <c r="I28" s="245">
        <v>0.25</v>
      </c>
      <c r="J28" s="245">
        <v>0.2</v>
      </c>
      <c r="K28" s="252">
        <f>H28*I28*J28</f>
      </c>
      <c r="L28" s="266">
        <v>50</v>
      </c>
      <c r="M28" s="267">
        <v>0.1</v>
      </c>
      <c r="N28" s="267">
        <v>0.6</v>
      </c>
      <c r="O28" s="268">
        <f>L28*M28*N28</f>
      </c>
    </row>
    <row r="29" spans="1:21">
      <c r="D29" s="244">
        <v>3</v>
      </c>
      <c r="E29" s="224" t="s">
        <v>591</v>
      </c>
      <c r="H29" s="251">
        <v>75</v>
      </c>
      <c r="I29" s="245">
        <v>0.25</v>
      </c>
      <c r="J29" s="245">
        <v>0.2</v>
      </c>
      <c r="K29" s="252">
        <f>H29*I29*J29</f>
      </c>
      <c r="L29" s="266">
        <v>75</v>
      </c>
      <c r="M29" s="267">
        <v>0.1</v>
      </c>
      <c r="N29" s="267">
        <v>0.6</v>
      </c>
      <c r="O29" s="268">
        <f>L29*M29*N29</f>
      </c>
    </row>
    <row r="30" spans="1:21">
      <c r="D30" s="244">
        <v>4</v>
      </c>
      <c r="E30" s="224" t="s">
        <v>376</v>
      </c>
      <c r="H30" s="251">
        <v>100</v>
      </c>
      <c r="I30" s="245">
        <v>0.25</v>
      </c>
      <c r="J30" s="245">
        <v>0.2</v>
      </c>
      <c r="K30" s="252">
        <f>H30*I30*J30</f>
      </c>
      <c r="L30" s="266">
        <v>100</v>
      </c>
      <c r="M30" s="267">
        <v>0.1</v>
      </c>
      <c r="N30" s="267">
        <v>0.6</v>
      </c>
      <c r="O30" s="268">
        <f>L30*M30*N30</f>
      </c>
      <c r="P30" s="253">
        <f>K30</f>
      </c>
      <c r="Q30" s="253">
        <f>K29</f>
      </c>
      <c r="R30" s="253">
        <f>K28</f>
      </c>
      <c r="S30" s="253">
        <f>K27</f>
      </c>
      <c r="U30" s="225">
        <f>VLOOKUP('Informasi Pokok'!$D$24,Parameter!E27:K30,7,0)</f>
      </c>
    </row>
    <row r="31" spans="1:21" ht="12.75">
      <c r="A31" s="242" t="s">
        <v>363</v>
      </c>
      <c r="B31" s="255" t="s">
        <v>672</v>
      </c>
      <c r="H31" s="251"/>
      <c r="K31" s="252"/>
      <c r="L31" s="251"/>
      <c r="O31" s="252"/>
    </row>
    <row r="32" spans="1:21" ht="12.75">
      <c r="A32" s="245"/>
      <c r="D32" s="244">
        <v>1</v>
      </c>
      <c r="E32" s="224" t="s">
        <v>710</v>
      </c>
      <c r="F32" s="224">
        <v>1</v>
      </c>
      <c r="G32" s="565">
        <f>VLOOKUP('Informasi Pokok'!D25,Parameter!E32:F36,2,0)</f>
      </c>
      <c r="H32" s="251">
        <v>20</v>
      </c>
      <c r="I32" s="245">
        <v>0.2</v>
      </c>
      <c r="J32" s="245">
        <v>0.25</v>
      </c>
      <c r="K32" s="252">
        <f>H32*I32*J32</f>
      </c>
      <c r="L32" s="251">
        <v>25</v>
      </c>
      <c r="M32" s="245">
        <v>0.1</v>
      </c>
      <c r="N32" s="245">
        <v>0.4</v>
      </c>
      <c r="O32" s="252">
        <f>L32*M32*N32</f>
      </c>
    </row>
    <row r="33" spans="1:21">
      <c r="D33" s="244">
        <v>2</v>
      </c>
      <c r="E33" s="224" t="s">
        <v>677</v>
      </c>
      <c r="F33" s="224">
        <v>2</v>
      </c>
      <c r="H33" s="251">
        <v>100</v>
      </c>
      <c r="I33" s="245">
        <v>0.2</v>
      </c>
      <c r="J33" s="245">
        <v>0.25</v>
      </c>
      <c r="K33" s="252">
        <f>H33*I33*J33</f>
      </c>
      <c r="L33" s="251">
        <v>50</v>
      </c>
      <c r="M33" s="245">
        <v>0.1</v>
      </c>
      <c r="N33" s="245">
        <v>0.4</v>
      </c>
      <c r="O33" s="252">
        <f>L33*M33*N33</f>
      </c>
    </row>
    <row r="34" spans="1:21">
      <c r="D34" s="244">
        <v>3</v>
      </c>
      <c r="E34" s="224" t="s">
        <v>673</v>
      </c>
      <c r="F34" s="224">
        <v>3</v>
      </c>
      <c r="H34" s="251">
        <v>40</v>
      </c>
      <c r="I34" s="245">
        <v>0.2</v>
      </c>
      <c r="J34" s="245">
        <v>0.25</v>
      </c>
      <c r="K34" s="252">
        <f>H34*I34*J34</f>
      </c>
      <c r="L34" s="251">
        <v>75</v>
      </c>
      <c r="M34" s="245">
        <v>0.1</v>
      </c>
      <c r="N34" s="245">
        <v>0.4</v>
      </c>
      <c r="O34" s="252">
        <f>L34*M34*N34</f>
      </c>
    </row>
    <row r="35" spans="1:21">
      <c r="D35" s="244">
        <v>4</v>
      </c>
      <c r="E35" s="224" t="s">
        <v>674</v>
      </c>
      <c r="F35" s="224">
        <v>4</v>
      </c>
      <c r="H35" s="251">
        <v>60</v>
      </c>
      <c r="I35" s="245">
        <v>0.2</v>
      </c>
      <c r="J35" s="245">
        <v>0.25</v>
      </c>
      <c r="K35" s="252">
        <f>H35*I35*J35</f>
      </c>
      <c r="L35" s="251">
        <v>100</v>
      </c>
      <c r="M35" s="245">
        <v>0.1</v>
      </c>
      <c r="N35" s="245">
        <v>0.4</v>
      </c>
      <c r="O35" s="252">
        <f>L35*M35*N35</f>
      </c>
      <c r="P35" s="253"/>
      <c r="Q35" s="253"/>
      <c r="R35" s="253"/>
      <c r="S35" s="253"/>
    </row>
    <row r="36" spans="1:21">
      <c r="D36" s="244">
        <v>5</v>
      </c>
      <c r="E36" s="224" t="s">
        <v>675</v>
      </c>
      <c r="F36" s="224">
        <v>5</v>
      </c>
      <c r="H36" s="251">
        <v>80</v>
      </c>
      <c r="I36" s="245">
        <v>0.2</v>
      </c>
      <c r="J36" s="245">
        <v>0.25</v>
      </c>
      <c r="K36" s="252">
        <f>H36*I36*J36</f>
      </c>
      <c r="L36" s="251"/>
      <c r="M36" s="245"/>
      <c r="N36" s="245"/>
      <c r="O36" s="252"/>
      <c r="P36" s="253">
        <f>K33</f>
      </c>
      <c r="Q36" s="253">
        <f>K35</f>
      </c>
      <c r="R36" s="253">
        <f>K34</f>
      </c>
      <c r="S36" s="253">
        <f>K33</f>
      </c>
      <c r="U36" s="225">
        <f>VLOOKUP('Informasi Pokok'!$D$25,Parameter!E32:K36,7,0)</f>
      </c>
    </row>
    <row r="37" spans="1:21" ht="12.75">
      <c r="A37" s="242" t="s">
        <v>363</v>
      </c>
      <c r="B37" s="255" t="s">
        <v>734</v>
      </c>
      <c r="H37" s="251"/>
      <c r="K37" s="252"/>
      <c r="L37" s="251"/>
      <c r="O37" s="252"/>
    </row>
    <row r="38" spans="1:21">
      <c r="A38" s="245"/>
      <c r="D38" s="244">
        <v>1</v>
      </c>
      <c r="E38" s="224" t="s">
        <v>63</v>
      </c>
      <c r="H38" s="251">
        <v>20</v>
      </c>
      <c r="I38" s="245">
        <v>0.2</v>
      </c>
      <c r="J38" s="245">
        <v>0.3</v>
      </c>
      <c r="K38" s="252">
        <f>H38*I38*J38</f>
      </c>
      <c r="L38" s="251">
        <v>25</v>
      </c>
      <c r="M38" s="245">
        <v>0.1</v>
      </c>
      <c r="N38" s="245">
        <v>0.4</v>
      </c>
      <c r="O38" s="252">
        <f>L38*M38*N38</f>
      </c>
    </row>
    <row r="39" spans="1:21">
      <c r="D39" s="244">
        <v>2</v>
      </c>
      <c r="E39" s="224" t="s">
        <v>62</v>
      </c>
      <c r="H39" s="251">
        <v>40</v>
      </c>
      <c r="I39" s="245">
        <v>0.2</v>
      </c>
      <c r="J39" s="245">
        <v>0.3</v>
      </c>
      <c r="K39" s="252">
        <f>H39*I39*J39</f>
      </c>
      <c r="L39" s="251">
        <v>50</v>
      </c>
      <c r="M39" s="245">
        <v>0.1</v>
      </c>
      <c r="N39" s="245">
        <v>0.4</v>
      </c>
      <c r="O39" s="252">
        <f>L39*M39*N39</f>
      </c>
    </row>
    <row r="40" spans="1:21">
      <c r="D40" s="244">
        <v>3</v>
      </c>
      <c r="E40" s="224" t="s">
        <v>397</v>
      </c>
      <c r="H40" s="251">
        <v>60</v>
      </c>
      <c r="I40" s="245">
        <v>0.2</v>
      </c>
      <c r="J40" s="245">
        <v>0.3</v>
      </c>
      <c r="K40" s="252">
        <f>H40*I40*J40</f>
      </c>
      <c r="L40" s="251">
        <v>75</v>
      </c>
      <c r="M40" s="245">
        <v>0.1</v>
      </c>
      <c r="N40" s="245">
        <v>0.4</v>
      </c>
      <c r="O40" s="252">
        <f>L40*M40*N40</f>
      </c>
    </row>
    <row r="41" spans="1:21">
      <c r="D41" s="244">
        <v>4</v>
      </c>
      <c r="E41" s="224" t="s">
        <v>735</v>
      </c>
      <c r="H41" s="251">
        <v>80</v>
      </c>
      <c r="I41" s="245">
        <v>0.2</v>
      </c>
      <c r="J41" s="245">
        <v>0.3</v>
      </c>
      <c r="K41" s="252">
        <f>H41*I41*J41</f>
      </c>
      <c r="L41" s="251">
        <v>100</v>
      </c>
      <c r="M41" s="245">
        <v>0.1</v>
      </c>
      <c r="N41" s="245">
        <v>0.4</v>
      </c>
      <c r="O41" s="252">
        <f>L41*M41*N41</f>
      </c>
      <c r="P41" s="253"/>
      <c r="Q41" s="253"/>
      <c r="R41" s="253"/>
      <c r="S41" s="253"/>
    </row>
    <row r="42" spans="1:21">
      <c r="D42" s="244">
        <v>5</v>
      </c>
      <c r="E42" s="224" t="s">
        <v>736</v>
      </c>
      <c r="H42" s="251">
        <v>100</v>
      </c>
      <c r="I42" s="245">
        <v>0.2</v>
      </c>
      <c r="J42" s="245">
        <v>0.3</v>
      </c>
      <c r="K42" s="252">
        <f>H42*I42*J42</f>
      </c>
      <c r="L42" s="251"/>
      <c r="M42" s="245"/>
      <c r="N42" s="245"/>
      <c r="O42" s="252"/>
      <c r="P42" s="253"/>
      <c r="Q42" s="253"/>
      <c r="R42" s="253"/>
      <c r="S42" s="253"/>
    </row>
    <row r="43" spans="1:21" ht="12.75">
      <c r="A43" s="242" t="s">
        <v>363</v>
      </c>
      <c r="B43" s="255" t="s">
        <v>752</v>
      </c>
      <c r="H43" s="251"/>
      <c r="K43" s="252"/>
      <c r="L43" s="251"/>
      <c r="O43" s="252"/>
    </row>
    <row r="44" spans="1:21">
      <c r="A44" s="245"/>
      <c r="D44" s="244">
        <v>1</v>
      </c>
      <c r="E44" s="224" t="s">
        <v>753</v>
      </c>
      <c r="H44" s="251">
        <v>20</v>
      </c>
      <c r="I44" s="245">
        <v>0.2</v>
      </c>
      <c r="J44" s="245">
        <v>0.3</v>
      </c>
      <c r="K44" s="252">
        <f>H44*I44*J44</f>
      </c>
      <c r="L44" s="251">
        <v>25</v>
      </c>
      <c r="M44" s="245">
        <v>0.1</v>
      </c>
      <c r="N44" s="245">
        <v>0.4</v>
      </c>
      <c r="O44" s="252">
        <f>L44*M44*N44</f>
      </c>
    </row>
    <row r="45" spans="1:21">
      <c r="D45" s="244">
        <v>2</v>
      </c>
      <c r="E45" s="224" t="s">
        <v>755</v>
      </c>
      <c r="H45" s="251">
        <v>40</v>
      </c>
      <c r="I45" s="245">
        <v>0.2</v>
      </c>
      <c r="J45" s="245">
        <v>0.3</v>
      </c>
      <c r="K45" s="252">
        <f>H45*I45*J45</f>
      </c>
      <c r="L45" s="251">
        <v>50</v>
      </c>
      <c r="M45" s="245">
        <v>0.1</v>
      </c>
      <c r="N45" s="245">
        <v>0.4</v>
      </c>
      <c r="O45" s="252">
        <f>L45*M45*N45</f>
      </c>
    </row>
    <row r="46" spans="1:21">
      <c r="D46" s="244">
        <v>3</v>
      </c>
      <c r="E46" s="224" t="s">
        <v>754</v>
      </c>
      <c r="H46" s="251">
        <v>60</v>
      </c>
      <c r="I46" s="245">
        <v>0.2</v>
      </c>
      <c r="J46" s="245">
        <v>0.3</v>
      </c>
      <c r="K46" s="252">
        <f>H46*I46*J46</f>
      </c>
      <c r="L46" s="251">
        <v>75</v>
      </c>
      <c r="M46" s="245">
        <v>0.1</v>
      </c>
      <c r="N46" s="245">
        <v>0.4</v>
      </c>
      <c r="O46" s="252">
        <f>L46*M46*N46</f>
      </c>
    </row>
    <row r="47" spans="1:21">
      <c r="D47" s="244">
        <v>4</v>
      </c>
      <c r="H47" s="251">
        <v>80</v>
      </c>
      <c r="I47" s="245">
        <v>0.2</v>
      </c>
      <c r="J47" s="245">
        <v>0.3</v>
      </c>
      <c r="K47" s="252">
        <f>H47*I47*J47</f>
      </c>
      <c r="L47" s="251">
        <v>100</v>
      </c>
      <c r="M47" s="245">
        <v>0.1</v>
      </c>
      <c r="N47" s="245">
        <v>0.4</v>
      </c>
      <c r="O47" s="252">
        <f>L47*M47*N47</f>
      </c>
      <c r="P47" s="253"/>
      <c r="Q47" s="253"/>
      <c r="R47" s="253"/>
      <c r="S47" s="253"/>
    </row>
    <row r="48" spans="1:21">
      <c r="D48" s="244">
        <v>5</v>
      </c>
      <c r="H48" s="251">
        <v>100</v>
      </c>
      <c r="I48" s="245">
        <v>0.2</v>
      </c>
      <c r="J48" s="245">
        <v>0.3</v>
      </c>
      <c r="K48" s="252">
        <f>H48*I48*J48</f>
      </c>
      <c r="L48" s="251"/>
      <c r="M48" s="245"/>
      <c r="N48" s="245"/>
      <c r="O48" s="252"/>
      <c r="P48" s="253"/>
      <c r="Q48" s="253"/>
      <c r="R48" s="253"/>
      <c r="S48" s="253"/>
    </row>
    <row r="49" spans="1:21" ht="12.75">
      <c r="A49" s="242" t="s">
        <v>366</v>
      </c>
      <c r="B49" s="255" t="s">
        <v>758</v>
      </c>
      <c r="H49" s="251"/>
      <c r="J49" s="270"/>
      <c r="K49" s="252"/>
      <c r="L49" s="251"/>
      <c r="N49" s="270"/>
      <c r="O49" s="252"/>
    </row>
    <row r="50" spans="1:21">
      <c r="A50" s="245"/>
      <c r="D50" s="244">
        <v>1</v>
      </c>
      <c r="E50" s="224" t="s">
        <v>598</v>
      </c>
      <c r="H50" s="251">
        <v>0</v>
      </c>
      <c r="I50" s="245">
        <v>0.2</v>
      </c>
      <c r="J50" s="245">
        <v>0.3</v>
      </c>
      <c r="K50" s="252">
        <f>H50*I50*J50</f>
      </c>
      <c r="L50" s="257"/>
      <c r="M50" s="258"/>
      <c r="N50" s="258"/>
      <c r="O50" s="259"/>
    </row>
    <row r="51" spans="1:21">
      <c r="D51" s="244">
        <v>2</v>
      </c>
      <c r="E51" s="224" t="s">
        <v>377</v>
      </c>
      <c r="H51" s="251">
        <v>20</v>
      </c>
      <c r="I51" s="245">
        <v>0.2</v>
      </c>
      <c r="J51" s="245">
        <v>0.3</v>
      </c>
      <c r="K51" s="252">
        <f>H51*I51*J51</f>
      </c>
      <c r="L51" s="257"/>
      <c r="M51" s="258"/>
      <c r="N51" s="258"/>
      <c r="O51" s="259"/>
    </row>
    <row r="52" spans="1:21">
      <c r="D52" s="244">
        <v>3</v>
      </c>
      <c r="E52" s="224" t="s">
        <v>378</v>
      </c>
      <c r="H52" s="251">
        <v>75</v>
      </c>
      <c r="I52" s="245">
        <v>0.2</v>
      </c>
      <c r="J52" s="245">
        <v>0.3</v>
      </c>
      <c r="K52" s="252">
        <f>H52*I52*J52</f>
      </c>
      <c r="L52" s="257"/>
      <c r="M52" s="258"/>
      <c r="N52" s="258"/>
      <c r="O52" s="259"/>
    </row>
    <row r="53" spans="1:21">
      <c r="D53" s="244">
        <v>4</v>
      </c>
      <c r="E53" s="224" t="s">
        <v>678</v>
      </c>
      <c r="H53" s="251">
        <v>100</v>
      </c>
      <c r="I53" s="245">
        <v>0.2</v>
      </c>
      <c r="J53" s="245">
        <v>0.3</v>
      </c>
      <c r="K53" s="252">
        <f>H53*I53*J53</f>
      </c>
      <c r="L53" s="257"/>
      <c r="M53" s="258"/>
      <c r="N53" s="258"/>
      <c r="O53" s="259"/>
      <c r="P53" s="253">
        <f>K53</f>
      </c>
      <c r="Q53" s="253">
        <f>K52</f>
      </c>
      <c r="R53" s="253">
        <f>K51</f>
      </c>
      <c r="S53" s="253">
        <f>K50</f>
      </c>
      <c r="U53" s="225">
        <f>VLOOKUP('Informasi Pokok'!D34,Parameter!E50:K53,7,0)</f>
      </c>
    </row>
    <row r="54" spans="1:21" ht="12.75" thickBot="1">
      <c r="H54" s="251"/>
      <c r="K54" s="252"/>
      <c r="L54" s="262"/>
      <c r="M54" s="260"/>
      <c r="N54" s="260"/>
      <c r="O54" s="264"/>
    </row>
    <row r="55" spans="1:21" ht="15">
      <c r="A55" s="242" t="s">
        <v>359</v>
      </c>
      <c r="B55" s="255" t="s">
        <v>747</v>
      </c>
      <c r="D55" s="491"/>
      <c r="E55" s="491"/>
      <c r="F55" s="491"/>
      <c r="G55" s="492"/>
      <c r="H55" s="251"/>
      <c r="K55" s="252"/>
      <c r="L55" s="251"/>
      <c r="O55" s="252"/>
    </row>
    <row r="56" spans="1:21">
      <c r="A56" s="271"/>
      <c r="D56" s="244">
        <v>1</v>
      </c>
      <c r="E56" s="272">
        <f>IF($G$32&lt;=2,Q254,R254)</f>
      </c>
      <c r="H56" s="251">
        <v>20</v>
      </c>
      <c r="I56" s="245">
        <v>0.25</v>
      </c>
      <c r="J56" s="245">
        <v>0.25</v>
      </c>
      <c r="K56" s="252">
        <f>H56*I56*J56</f>
      </c>
      <c r="L56" s="273">
        <v>25</v>
      </c>
      <c r="M56" s="245">
        <v>0.3</v>
      </c>
      <c r="N56" s="245">
        <v>0.6</v>
      </c>
      <c r="O56" s="252">
        <f>L56*M56*N56</f>
      </c>
      <c r="T56" s="254">
        <f>IF(G32&lt;=2,H253,H254)</f>
      </c>
    </row>
    <row r="57" spans="1:21" ht="12.75">
      <c r="A57" s="242"/>
      <c r="D57" s="244">
        <v>2</v>
      </c>
      <c r="E57" s="272">
        <f t="shared" ref="E57:E59" si="1">IF($G$32&lt;=2,Q255,R255)</f>
      </c>
      <c r="H57" s="251">
        <v>50</v>
      </c>
      <c r="I57" s="245">
        <v>0.25</v>
      </c>
      <c r="J57" s="245">
        <v>0.25</v>
      </c>
      <c r="K57" s="252">
        <f>H57*I57*J57</f>
      </c>
      <c r="L57" s="251">
        <v>50</v>
      </c>
      <c r="M57" s="245">
        <v>0.3</v>
      </c>
      <c r="N57" s="245">
        <v>0.6</v>
      </c>
      <c r="O57" s="252">
        <f>L57*M57*N57</f>
      </c>
      <c r="T57" s="254">
        <f>IF(G32&lt;=2,I253,I254)</f>
      </c>
    </row>
    <row r="58" spans="1:21" ht="12.75">
      <c r="A58" s="242"/>
      <c r="D58" s="244">
        <v>3</v>
      </c>
      <c r="E58" s="272">
        <f t="shared" si="1"/>
      </c>
      <c r="H58" s="251">
        <v>75</v>
      </c>
      <c r="I58" s="245">
        <v>0.25</v>
      </c>
      <c r="J58" s="245">
        <v>0.25</v>
      </c>
      <c r="K58" s="252">
        <f>H58*I58*J58</f>
      </c>
      <c r="L58" s="251">
        <v>75</v>
      </c>
      <c r="M58" s="245">
        <v>0.3</v>
      </c>
      <c r="N58" s="245">
        <v>0.6</v>
      </c>
      <c r="O58" s="252">
        <f>L58*M58*N58</f>
      </c>
    </row>
    <row r="59" spans="1:21" ht="12.75">
      <c r="A59" s="242"/>
      <c r="D59" s="244">
        <v>4</v>
      </c>
      <c r="E59" s="272">
        <f t="shared" si="1"/>
      </c>
      <c r="H59" s="251">
        <v>100</v>
      </c>
      <c r="I59" s="245">
        <v>0.25</v>
      </c>
      <c r="J59" s="245">
        <v>0.24</v>
      </c>
      <c r="K59" s="252">
        <f>H59*I59*J59</f>
      </c>
      <c r="L59" s="251">
        <v>100</v>
      </c>
      <c r="M59" s="245">
        <v>0.3</v>
      </c>
      <c r="N59" s="245">
        <v>0.6</v>
      </c>
      <c r="O59" s="252">
        <f>L59*M59*N59</f>
      </c>
      <c r="P59" s="253">
        <f>K59</f>
      </c>
      <c r="Q59" s="253">
        <f>K58</f>
      </c>
      <c r="R59" s="253">
        <f>K57</f>
      </c>
      <c r="S59" s="253">
        <f>K56</f>
      </c>
      <c r="U59" s="225">
        <f>VLOOKUP($T$57,Parameter!E56:K59,7,0)</f>
      </c>
    </row>
    <row r="60" spans="1:21" ht="12.75">
      <c r="A60" s="242"/>
      <c r="H60" s="251"/>
      <c r="I60" s="245"/>
      <c r="J60" s="245"/>
      <c r="K60" s="252"/>
      <c r="L60" s="251"/>
      <c r="M60" s="245"/>
      <c r="N60" s="245"/>
      <c r="O60" s="252"/>
      <c r="P60" s="253"/>
      <c r="Q60" s="253"/>
      <c r="R60" s="253"/>
      <c r="S60" s="253"/>
    </row>
    <row r="61" spans="1:21" ht="15">
      <c r="A61" s="242" t="s">
        <v>359</v>
      </c>
      <c r="B61" s="255" t="s">
        <v>737</v>
      </c>
      <c r="D61" s="491"/>
      <c r="E61" s="491"/>
      <c r="F61" s="491"/>
      <c r="G61" s="492"/>
      <c r="H61" s="251"/>
      <c r="K61" s="252"/>
      <c r="L61" s="251"/>
      <c r="O61" s="252"/>
    </row>
    <row r="62" spans="1:21">
      <c r="A62" s="271"/>
      <c r="D62" s="244">
        <v>1</v>
      </c>
      <c r="E62" s="272" t="s">
        <v>741</v>
      </c>
      <c r="H62" s="251">
        <v>20</v>
      </c>
      <c r="I62" s="245">
        <v>0.1</v>
      </c>
      <c r="J62" s="245">
        <v>0.2</v>
      </c>
      <c r="K62" s="252">
        <f>H62*I62*J62</f>
      </c>
      <c r="L62" s="273">
        <v>25</v>
      </c>
      <c r="M62" s="245">
        <v>0.3</v>
      </c>
      <c r="N62" s="245">
        <v>0.6</v>
      </c>
      <c r="O62" s="252">
        <f>L62*M62*N62</f>
      </c>
    </row>
    <row r="63" spans="1:21" ht="12.75">
      <c r="A63" s="242"/>
      <c r="D63" s="244">
        <v>2</v>
      </c>
      <c r="E63" s="224" t="s">
        <v>740</v>
      </c>
      <c r="H63" s="251">
        <v>100</v>
      </c>
      <c r="I63" s="245">
        <v>0.1</v>
      </c>
      <c r="J63" s="245">
        <v>0.3</v>
      </c>
      <c r="K63" s="252">
        <f>H63*I63*J63</f>
      </c>
      <c r="L63" s="251">
        <v>50</v>
      </c>
      <c r="M63" s="245">
        <v>0.3</v>
      </c>
      <c r="N63" s="245">
        <v>0.6</v>
      </c>
      <c r="O63" s="252">
        <f>L63*M63*N63</f>
      </c>
      <c r="P63" s="253">
        <f>K63</f>
      </c>
      <c r="Q63" s="253">
        <f>K62</f>
      </c>
      <c r="R63" s="253">
        <f>K61</f>
      </c>
      <c r="S63" s="253">
        <v>0</v>
      </c>
      <c r="U63" s="225">
        <f>VLOOKUP('Informasi Pokok'!$D$29,Parameter!E62:K63,7,0)</f>
      </c>
    </row>
    <row r="64" spans="1:21" ht="12.75">
      <c r="A64" s="242"/>
      <c r="H64" s="251"/>
      <c r="I64" s="245"/>
      <c r="J64" s="245"/>
      <c r="K64" s="252"/>
      <c r="L64" s="251"/>
      <c r="M64" s="245"/>
      <c r="N64" s="245"/>
      <c r="O64" s="252"/>
    </row>
    <row r="65" spans="1:21" ht="15">
      <c r="A65" s="242" t="s">
        <v>359</v>
      </c>
      <c r="B65" s="255" t="s">
        <v>738</v>
      </c>
      <c r="D65" s="491"/>
      <c r="E65" s="491"/>
      <c r="F65" s="491"/>
      <c r="G65" s="492"/>
      <c r="H65" s="251"/>
      <c r="K65" s="252"/>
      <c r="L65" s="251"/>
      <c r="O65" s="252"/>
    </row>
    <row r="66" spans="1:21">
      <c r="A66" s="271"/>
      <c r="D66" s="244">
        <v>1</v>
      </c>
      <c r="E66" s="272" t="s">
        <v>741</v>
      </c>
      <c r="H66" s="251">
        <v>20</v>
      </c>
      <c r="I66" s="245">
        <v>0.1</v>
      </c>
      <c r="J66" s="245">
        <v>0.2</v>
      </c>
      <c r="K66" s="252">
        <f>H66*I66*J66</f>
      </c>
      <c r="L66" s="273">
        <v>25</v>
      </c>
      <c r="M66" s="245">
        <v>0.3</v>
      </c>
      <c r="N66" s="245">
        <v>0.6</v>
      </c>
      <c r="O66" s="252">
        <f>L66*M66*N66</f>
      </c>
    </row>
    <row r="67" spans="1:21" ht="12.75">
      <c r="A67" s="242"/>
      <c r="D67" s="244">
        <v>2</v>
      </c>
      <c r="E67" s="224" t="s">
        <v>740</v>
      </c>
      <c r="H67" s="251">
        <v>100</v>
      </c>
      <c r="I67" s="245">
        <v>0.1</v>
      </c>
      <c r="J67" s="245">
        <v>0.3</v>
      </c>
      <c r="K67" s="252">
        <f>H67*I67*J67</f>
      </c>
      <c r="L67" s="251">
        <v>50</v>
      </c>
      <c r="M67" s="245">
        <v>0.3</v>
      </c>
      <c r="N67" s="245">
        <v>0.6</v>
      </c>
      <c r="O67" s="252">
        <f>L67*M67*N67</f>
      </c>
      <c r="P67" s="253">
        <f>K67</f>
      </c>
      <c r="Q67" s="253">
        <f>K66</f>
      </c>
      <c r="R67" s="253">
        <f>K65</f>
      </c>
      <c r="S67" s="253"/>
      <c r="U67" s="225">
        <f>VLOOKUP('Informasi Pokok'!$D$30,Parameter!E66:K67,7,0)</f>
      </c>
    </row>
    <row r="68" spans="1:21" ht="12.75">
      <c r="A68" s="242"/>
      <c r="H68" s="251"/>
      <c r="I68" s="245"/>
      <c r="J68" s="245"/>
      <c r="K68" s="252"/>
      <c r="L68" s="251">
        <v>75</v>
      </c>
      <c r="M68" s="245">
        <v>0.3</v>
      </c>
      <c r="N68" s="245">
        <v>0.6</v>
      </c>
      <c r="O68" s="252">
        <f>L68*M68*N68</f>
      </c>
    </row>
    <row r="69" spans="1:21" ht="12.75">
      <c r="A69" s="242"/>
      <c r="H69" s="251"/>
      <c r="I69" s="245"/>
      <c r="J69" s="245"/>
      <c r="K69" s="252"/>
      <c r="L69" s="251">
        <v>100</v>
      </c>
      <c r="M69" s="245">
        <v>0.3</v>
      </c>
      <c r="N69" s="245">
        <v>0.6</v>
      </c>
      <c r="O69" s="252">
        <f>L69*M69*N69</f>
      </c>
      <c r="P69" s="253"/>
      <c r="Q69" s="253"/>
      <c r="R69" s="253"/>
      <c r="S69" s="253"/>
    </row>
    <row r="70" spans="1:21" ht="15">
      <c r="A70" s="242" t="s">
        <v>359</v>
      </c>
      <c r="B70" s="255" t="s">
        <v>739</v>
      </c>
      <c r="D70" s="491"/>
      <c r="E70" s="491"/>
      <c r="F70" s="491"/>
      <c r="G70" s="492"/>
      <c r="H70" s="251"/>
      <c r="K70" s="252"/>
      <c r="L70" s="251"/>
      <c r="O70" s="252"/>
    </row>
    <row r="71" spans="1:21">
      <c r="A71" s="271"/>
      <c r="D71" s="244">
        <v>1</v>
      </c>
      <c r="E71" s="272" t="s">
        <v>741</v>
      </c>
      <c r="H71" s="251">
        <v>20</v>
      </c>
      <c r="I71" s="245">
        <v>0.1</v>
      </c>
      <c r="J71" s="245">
        <v>0.2</v>
      </c>
      <c r="K71" s="252">
        <f>H71*I71*J71</f>
      </c>
      <c r="L71" s="273">
        <v>25</v>
      </c>
      <c r="M71" s="245">
        <v>0.3</v>
      </c>
      <c r="N71" s="245">
        <v>0.6</v>
      </c>
      <c r="O71" s="252">
        <f>L71*M71*N71</f>
      </c>
    </row>
    <row r="72" spans="1:21" ht="12.75">
      <c r="A72" s="242"/>
      <c r="D72" s="244">
        <v>2</v>
      </c>
      <c r="E72" s="224" t="s">
        <v>740</v>
      </c>
      <c r="H72" s="251">
        <v>100</v>
      </c>
      <c r="I72" s="245">
        <v>0.1</v>
      </c>
      <c r="J72" s="245">
        <v>0.3</v>
      </c>
      <c r="K72" s="252">
        <f>H72*I72*J72</f>
      </c>
      <c r="L72" s="251">
        <v>50</v>
      </c>
      <c r="M72" s="245">
        <v>0.3</v>
      </c>
      <c r="N72" s="245">
        <v>0.6</v>
      </c>
      <c r="O72" s="252">
        <f>L72*M72*N72</f>
      </c>
      <c r="P72" s="253">
        <f>K72</f>
      </c>
      <c r="Q72" s="253">
        <f>K71</f>
      </c>
      <c r="R72" s="253">
        <f>K70</f>
      </c>
      <c r="S72" s="253">
        <f>K69</f>
      </c>
      <c r="U72" s="225">
        <f>VLOOKUP('Informasi Pokok'!$D$31,Parameter!E71:K72,7,0)</f>
      </c>
    </row>
    <row r="73" spans="1:21" ht="12.75">
      <c r="A73" s="242"/>
      <c r="H73" s="251"/>
      <c r="I73" s="245"/>
      <c r="J73" s="245"/>
      <c r="K73" s="252"/>
      <c r="L73" s="251">
        <v>75</v>
      </c>
      <c r="M73" s="245">
        <v>0.3</v>
      </c>
      <c r="N73" s="245">
        <v>0.6</v>
      </c>
      <c r="O73" s="252">
        <f>L73*M73*N73</f>
      </c>
    </row>
    <row r="74" spans="1:21" ht="15">
      <c r="A74" s="242" t="s">
        <v>359</v>
      </c>
      <c r="B74" s="255" t="s">
        <v>742</v>
      </c>
      <c r="D74" s="491"/>
      <c r="E74" s="491"/>
      <c r="F74" s="491"/>
      <c r="G74" s="492"/>
      <c r="H74" s="251"/>
      <c r="K74" s="252"/>
      <c r="L74" s="251"/>
      <c r="O74" s="252"/>
    </row>
    <row r="75" spans="1:21">
      <c r="A75" s="271"/>
      <c r="D75" s="244">
        <v>1</v>
      </c>
      <c r="E75" s="272" t="s">
        <v>743</v>
      </c>
      <c r="H75" s="251">
        <v>20</v>
      </c>
      <c r="I75" s="245">
        <v>0.1</v>
      </c>
      <c r="J75" s="245">
        <v>0.2</v>
      </c>
      <c r="K75" s="252">
        <f>H75*I75*J75</f>
      </c>
      <c r="L75" s="273">
        <v>25</v>
      </c>
      <c r="M75" s="245">
        <v>0.3</v>
      </c>
      <c r="N75" s="245">
        <v>0.6</v>
      </c>
      <c r="O75" s="252">
        <f>L75*M75*N75</f>
      </c>
    </row>
    <row r="76" spans="1:21" ht="12.75">
      <c r="A76" s="242"/>
      <c r="D76" s="244">
        <v>2</v>
      </c>
      <c r="E76" s="224" t="s">
        <v>744</v>
      </c>
      <c r="H76" s="251">
        <v>100</v>
      </c>
      <c r="I76" s="245">
        <v>0.1</v>
      </c>
      <c r="J76" s="245">
        <v>0.3</v>
      </c>
      <c r="K76" s="252">
        <f>H76*I76*J76</f>
      </c>
      <c r="L76" s="251">
        <v>50</v>
      </c>
      <c r="M76" s="245">
        <v>0.3</v>
      </c>
      <c r="N76" s="245">
        <v>0.6</v>
      </c>
      <c r="O76" s="252">
        <f>L76*M76*N76</f>
      </c>
      <c r="P76" s="253"/>
      <c r="Q76" s="253"/>
      <c r="R76" s="253"/>
      <c r="S76" s="253"/>
    </row>
    <row r="77" spans="1:21" ht="12.75">
      <c r="A77" s="242"/>
      <c r="H77" s="251"/>
      <c r="I77" s="245"/>
      <c r="J77" s="245"/>
      <c r="K77" s="252"/>
      <c r="L77" s="251">
        <v>100</v>
      </c>
      <c r="M77" s="245">
        <v>0.3</v>
      </c>
      <c r="N77" s="245">
        <v>0.6</v>
      </c>
      <c r="O77" s="252">
        <f>L77*M77*N77</f>
      </c>
      <c r="P77" s="274"/>
      <c r="Q77" s="253"/>
      <c r="R77" s="253"/>
      <c r="S77" s="253"/>
    </row>
    <row r="78" spans="1:21" ht="12.75">
      <c r="A78" s="242"/>
      <c r="B78" s="255"/>
      <c r="H78" s="251"/>
      <c r="I78" s="245"/>
      <c r="J78" s="245"/>
      <c r="K78" s="252"/>
      <c r="L78" s="251"/>
      <c r="M78" s="245"/>
      <c r="N78" s="245"/>
      <c r="O78" s="252"/>
    </row>
    <row r="79" spans="1:21" ht="13.5" thickBot="1">
      <c r="A79" s="283"/>
      <c r="B79" s="260"/>
      <c r="C79" s="260"/>
      <c r="D79" s="261"/>
      <c r="E79" s="260"/>
      <c r="F79" s="260"/>
      <c r="G79" s="260"/>
      <c r="H79" s="262"/>
      <c r="I79" s="260"/>
      <c r="J79" s="260"/>
      <c r="K79" s="264"/>
      <c r="L79" s="262"/>
      <c r="M79" s="260"/>
      <c r="N79" s="260"/>
      <c r="O79" s="264"/>
    </row>
    <row r="80" spans="1:21" s="240" customFormat="1" ht="14.25" thickBot="1">
      <c r="A80" s="232" t="s">
        <v>380</v>
      </c>
      <c r="B80" s="233"/>
      <c r="C80" s="234"/>
      <c r="D80" s="235"/>
      <c r="E80" s="236"/>
      <c r="F80" s="234"/>
      <c r="G80" s="234"/>
      <c r="H80" s="237"/>
      <c r="I80" s="238"/>
      <c r="J80" s="238"/>
      <c r="K80" s="239"/>
      <c r="L80" s="237"/>
      <c r="M80" s="238"/>
      <c r="N80" s="238"/>
      <c r="O80" s="239"/>
      <c r="U80" s="241"/>
    </row>
    <row r="81" spans="1:22" ht="12.75">
      <c r="A81" s="242" t="s">
        <v>359</v>
      </c>
      <c r="B81" s="255" t="s">
        <v>665</v>
      </c>
      <c r="E81" s="245"/>
      <c r="H81" s="251"/>
      <c r="K81" s="252"/>
      <c r="L81" s="251"/>
      <c r="O81" s="252"/>
    </row>
    <row r="82" spans="1:22">
      <c r="A82" s="284"/>
      <c r="D82" s="244">
        <v>1</v>
      </c>
      <c r="E82" s="224" t="s">
        <v>381</v>
      </c>
      <c r="H82" s="251">
        <v>32</v>
      </c>
      <c r="I82" s="245">
        <v>0.25</v>
      </c>
      <c r="J82" s="245">
        <v>0.25</v>
      </c>
      <c r="K82" s="252">
        <f>H82*I82*J82</f>
      </c>
      <c r="L82" s="273">
        <v>0</v>
      </c>
      <c r="M82" s="285">
        <v>0.25</v>
      </c>
      <c r="N82" s="285">
        <v>0.4</v>
      </c>
      <c r="O82" s="286">
        <f>L82*M82*N82</f>
      </c>
    </row>
    <row r="83" spans="1:22" ht="12.75">
      <c r="A83" s="242"/>
      <c r="D83" s="244">
        <v>2</v>
      </c>
      <c r="E83" s="224" t="s">
        <v>382</v>
      </c>
      <c r="H83" s="251">
        <v>40</v>
      </c>
      <c r="I83" s="245">
        <v>0.25</v>
      </c>
      <c r="J83" s="245">
        <v>0.25</v>
      </c>
      <c r="K83" s="252">
        <f t="shared" ref="K83:K96" si="2">H83*I83*J83</f>
      </c>
      <c r="L83" s="273">
        <v>40</v>
      </c>
      <c r="M83" s="285">
        <v>0.25</v>
      </c>
      <c r="N83" s="285">
        <v>0.4</v>
      </c>
      <c r="O83" s="286">
        <f>L83*M83*N83</f>
      </c>
    </row>
    <row r="84" spans="1:22" ht="12.75">
      <c r="A84" s="242"/>
      <c r="D84" s="244">
        <v>3</v>
      </c>
      <c r="E84" s="224" t="s">
        <v>383</v>
      </c>
      <c r="H84" s="251">
        <v>80</v>
      </c>
      <c r="I84" s="245">
        <v>0.25</v>
      </c>
      <c r="J84" s="245">
        <v>0.25</v>
      </c>
      <c r="K84" s="252">
        <f t="shared" si="2"/>
      </c>
      <c r="L84" s="273">
        <v>80</v>
      </c>
      <c r="M84" s="285">
        <v>0.25</v>
      </c>
      <c r="N84" s="285">
        <v>0.4</v>
      </c>
      <c r="O84" s="286">
        <f>L84*M84*N84</f>
      </c>
    </row>
    <row r="85" spans="1:22" ht="12.75">
      <c r="A85" s="242"/>
      <c r="D85" s="244">
        <v>4</v>
      </c>
      <c r="E85" s="224" t="s">
        <v>384</v>
      </c>
      <c r="H85" s="251">
        <v>100</v>
      </c>
      <c r="I85" s="245">
        <v>0.25</v>
      </c>
      <c r="J85" s="245">
        <v>0.25</v>
      </c>
      <c r="K85" s="252">
        <f t="shared" si="2"/>
      </c>
      <c r="L85" s="273">
        <v>100</v>
      </c>
      <c r="M85" s="285">
        <v>0.25</v>
      </c>
      <c r="N85" s="285">
        <v>0.4</v>
      </c>
      <c r="O85" s="286">
        <f>L85*M85*N85</f>
      </c>
      <c r="P85" s="253">
        <f>K85</f>
      </c>
      <c r="Q85" s="253">
        <f>K84</f>
      </c>
      <c r="R85" s="253">
        <f>K83</f>
      </c>
      <c r="S85" s="253">
        <f>K82</f>
      </c>
      <c r="U85" s="225">
        <f>VLOOKUP('Informasi Pokok'!$D$48,Parameter!E82:K85,7,0)</f>
      </c>
    </row>
    <row r="86" spans="1:22" ht="12.75">
      <c r="A86" s="242" t="s">
        <v>368</v>
      </c>
      <c r="B86" s="288" t="s">
        <v>666</v>
      </c>
      <c r="C86" s="289"/>
      <c r="D86" s="290"/>
      <c r="E86" s="289"/>
      <c r="F86" s="289"/>
      <c r="G86" s="289"/>
      <c r="H86" s="251"/>
      <c r="I86" s="245"/>
      <c r="K86" s="252"/>
      <c r="L86" s="251"/>
      <c r="M86" s="245"/>
      <c r="O86" s="252"/>
    </row>
    <row r="87" spans="1:22" ht="12.75">
      <c r="A87" s="287"/>
      <c r="B87" s="255"/>
      <c r="D87" s="244">
        <v>1</v>
      </c>
      <c r="E87" s="224" t="s">
        <v>494</v>
      </c>
      <c r="H87" s="251">
        <v>0</v>
      </c>
      <c r="I87" s="245">
        <v>0.25</v>
      </c>
      <c r="J87" s="245">
        <v>0.28000000000000003</v>
      </c>
      <c r="K87" s="252">
        <f t="shared" si="2"/>
      </c>
      <c r="L87" s="251">
        <v>0</v>
      </c>
      <c r="M87" s="245">
        <v>0.25</v>
      </c>
      <c r="N87" s="245">
        <v>0.6</v>
      </c>
      <c r="O87" s="252">
        <f>L87*M87*N87</f>
      </c>
    </row>
    <row r="88" spans="1:22" ht="12.75">
      <c r="A88" s="242"/>
      <c r="D88" s="244">
        <v>2</v>
      </c>
      <c r="E88" s="224" t="s">
        <v>493</v>
      </c>
      <c r="H88" s="251">
        <v>25</v>
      </c>
      <c r="I88" s="245">
        <v>0.25</v>
      </c>
      <c r="J88" s="245">
        <v>0.28000000000000003</v>
      </c>
      <c r="K88" s="252">
        <f t="shared" si="2"/>
      </c>
      <c r="L88" s="251">
        <v>25</v>
      </c>
      <c r="M88" s="245">
        <v>0.25</v>
      </c>
      <c r="N88" s="245">
        <v>0.6</v>
      </c>
      <c r="O88" s="252">
        <f>L88*M88*N88</f>
      </c>
    </row>
    <row r="89" spans="1:22" ht="12.75">
      <c r="A89" s="242"/>
      <c r="D89" s="244">
        <v>3</v>
      </c>
      <c r="E89" s="224" t="s">
        <v>517</v>
      </c>
      <c r="H89" s="251">
        <v>75</v>
      </c>
      <c r="I89" s="245">
        <v>0.25</v>
      </c>
      <c r="J89" s="245">
        <v>0.28000000000000003</v>
      </c>
      <c r="K89" s="252">
        <f t="shared" si="2"/>
      </c>
      <c r="L89" s="251">
        <v>75</v>
      </c>
      <c r="M89" s="245">
        <v>0.25</v>
      </c>
      <c r="N89" s="245">
        <v>0.6</v>
      </c>
      <c r="O89" s="252">
        <f>L89*M89*N89</f>
      </c>
    </row>
    <row r="90" spans="1:22" ht="12.75">
      <c r="A90" s="242"/>
      <c r="D90" s="244">
        <v>4</v>
      </c>
      <c r="E90" s="224" t="s">
        <v>495</v>
      </c>
      <c r="H90" s="251">
        <v>100</v>
      </c>
      <c r="I90" s="245">
        <v>0.25</v>
      </c>
      <c r="J90" s="245">
        <v>0.28000000000000003</v>
      </c>
      <c r="K90" s="252">
        <f t="shared" si="2"/>
      </c>
      <c r="L90" s="251">
        <v>100</v>
      </c>
      <c r="M90" s="245">
        <v>0.25</v>
      </c>
      <c r="N90" s="245">
        <v>0.6</v>
      </c>
      <c r="O90" s="252">
        <f>L90*M90*N90</f>
      </c>
      <c r="P90" s="253">
        <f>K90</f>
      </c>
      <c r="Q90" s="253">
        <f>K89</f>
      </c>
      <c r="R90" s="253">
        <f>K88</f>
      </c>
      <c r="S90" s="253">
        <f>K87</f>
      </c>
      <c r="U90" s="256">
        <f>VLOOKUP('Informasi Pokok'!$D$49,Parameter!E87:K90,7,0)</f>
      </c>
    </row>
    <row r="91" spans="1:22" ht="12.75">
      <c r="A91" s="242"/>
      <c r="H91" s="251"/>
      <c r="I91" s="245"/>
      <c r="J91" s="245"/>
      <c r="K91" s="252"/>
      <c r="L91" s="251"/>
      <c r="M91" s="245"/>
      <c r="N91" s="245"/>
      <c r="O91" s="252"/>
      <c r="P91" s="253"/>
      <c r="Q91" s="253"/>
      <c r="R91" s="253"/>
      <c r="S91" s="253"/>
    </row>
    <row r="92" spans="1:22" ht="12.75">
      <c r="A92" s="242" t="s">
        <v>379</v>
      </c>
      <c r="B92" s="224" t="s">
        <v>571</v>
      </c>
      <c r="D92" s="244">
        <v>1</v>
      </c>
      <c r="E92" s="224" t="s">
        <v>630</v>
      </c>
      <c r="H92" s="251">
        <v>10</v>
      </c>
      <c r="I92" s="245">
        <v>0.25</v>
      </c>
      <c r="J92" s="245">
        <v>0.2</v>
      </c>
      <c r="K92" s="276">
        <f t="shared" si="2"/>
      </c>
      <c r="L92" s="251"/>
      <c r="M92" s="245"/>
      <c r="N92" s="245"/>
      <c r="O92" s="252"/>
      <c r="P92" s="253"/>
    </row>
    <row r="93" spans="1:22" ht="12.75">
      <c r="A93" s="242"/>
      <c r="D93" s="244">
        <v>2</v>
      </c>
      <c r="E93" s="224" t="s">
        <v>631</v>
      </c>
      <c r="G93" s="224" t="s">
        <v>635</v>
      </c>
      <c r="H93" s="251">
        <v>25</v>
      </c>
      <c r="I93" s="245">
        <v>0.25</v>
      </c>
      <c r="J93" s="245">
        <v>0.2</v>
      </c>
      <c r="K93" s="276">
        <f t="shared" si="2"/>
      </c>
      <c r="L93" s="251"/>
      <c r="M93" s="245"/>
      <c r="N93" s="245"/>
      <c r="O93" s="252"/>
      <c r="P93" s="253"/>
    </row>
    <row r="94" spans="1:22" ht="12.75">
      <c r="A94" s="242"/>
      <c r="D94" s="244">
        <v>3</v>
      </c>
      <c r="E94" s="224" t="s">
        <v>632</v>
      </c>
      <c r="G94" s="224" t="s">
        <v>636</v>
      </c>
      <c r="H94" s="251">
        <v>50</v>
      </c>
      <c r="I94" s="245">
        <v>0.25</v>
      </c>
      <c r="J94" s="245">
        <v>0.2</v>
      </c>
      <c r="K94" s="276">
        <f t="shared" si="2"/>
      </c>
      <c r="L94" s="251"/>
      <c r="M94" s="245"/>
      <c r="N94" s="245"/>
      <c r="O94" s="252"/>
      <c r="P94" s="253"/>
    </row>
    <row r="95" spans="1:22" ht="12.75">
      <c r="A95" s="242"/>
      <c r="D95" s="244">
        <v>4</v>
      </c>
      <c r="E95" s="224" t="s">
        <v>633</v>
      </c>
      <c r="G95" s="224" t="s">
        <v>637</v>
      </c>
      <c r="H95" s="251">
        <v>75</v>
      </c>
      <c r="I95" s="245">
        <v>0.25</v>
      </c>
      <c r="J95" s="245">
        <v>0.2</v>
      </c>
      <c r="K95" s="276">
        <f t="shared" si="2"/>
      </c>
      <c r="L95" s="251"/>
      <c r="M95" s="245"/>
      <c r="N95" s="245"/>
      <c r="O95" s="252"/>
      <c r="P95" s="253"/>
    </row>
    <row r="96" spans="1:22" ht="12.75">
      <c r="A96" s="242"/>
      <c r="D96" s="244">
        <v>5</v>
      </c>
      <c r="E96" s="224" t="s">
        <v>634</v>
      </c>
      <c r="G96" s="224" t="s">
        <v>638</v>
      </c>
      <c r="H96" s="251">
        <v>100</v>
      </c>
      <c r="I96" s="245">
        <v>0.25</v>
      </c>
      <c r="J96" s="245">
        <v>0.2</v>
      </c>
      <c r="K96" s="276">
        <f t="shared" si="2"/>
      </c>
      <c r="L96" s="251"/>
      <c r="M96" s="245"/>
      <c r="N96" s="245"/>
      <c r="O96" s="252"/>
      <c r="P96" s="253"/>
      <c r="Q96" s="253">
        <f>K95</f>
      </c>
      <c r="R96" s="253">
        <f>K94</f>
      </c>
      <c r="S96" s="253">
        <f>K93</f>
      </c>
      <c r="T96" s="224">
        <f>IF('Usulan Pembiayaan'!B71&lt;70,"Risiko Tinggi",IF(AND('Usulan Pembiayaan'!B71&gt;=70,'Usulan Pembiayaan'!B71&lt;80),"Risiko Sedang",IF(AND('Usulan Pembiayaan'!B71&gt;=80,'Usulan Pembiayaan'!B71&lt;90),"Risiko Rendah",IF('Usulan Pembiayaan'!B71&gt;=90,"Risiko Sangat Rendah"))))</f>
      </c>
      <c r="V96" s="225">
        <f>VLOOKUP(T96,Parameter!E92:L96,7,0)</f>
      </c>
    </row>
    <row r="97" spans="1:30" ht="13.5" thickBot="1">
      <c r="A97" s="291"/>
      <c r="B97" s="260"/>
      <c r="C97" s="260"/>
      <c r="D97" s="261"/>
      <c r="E97" s="260"/>
      <c r="F97" s="260"/>
      <c r="G97" s="260"/>
      <c r="H97" s="262"/>
      <c r="I97" s="263"/>
      <c r="J97" s="263"/>
      <c r="K97" s="264"/>
      <c r="L97" s="262"/>
      <c r="M97" s="263"/>
      <c r="N97" s="263"/>
      <c r="O97" s="264"/>
    </row>
    <row r="98" spans="1:30" ht="13.5" thickBot="1">
      <c r="A98" s="291" t="s">
        <v>431</v>
      </c>
      <c r="B98" s="260"/>
      <c r="C98" s="260"/>
      <c r="D98" s="261"/>
      <c r="E98" s="260"/>
      <c r="F98" s="260"/>
      <c r="G98" s="260"/>
      <c r="H98" s="262"/>
      <c r="I98" s="263"/>
      <c r="J98" s="263"/>
      <c r="K98" s="264"/>
      <c r="L98" s="262"/>
      <c r="M98" s="263"/>
      <c r="N98" s="263"/>
      <c r="O98" s="264"/>
      <c r="T98" s="292"/>
    </row>
    <row r="99" spans="1:30" ht="15.75" thickBot="1">
      <c r="A99" s="242"/>
      <c r="D99" s="244">
        <v>1</v>
      </c>
      <c r="E99" s="935">
        <f>'Usulan Pembiayaan'!AB55</f>
      </c>
      <c r="H99" s="251">
        <v>0</v>
      </c>
      <c r="I99" s="245">
        <v>0.36</v>
      </c>
      <c r="J99" s="245">
        <v>0.5</v>
      </c>
      <c r="K99" s="252">
        <f>H99*I99*J99</f>
      </c>
      <c r="L99" s="262"/>
      <c r="M99" s="263"/>
      <c r="N99" s="263"/>
      <c r="O99" s="264"/>
      <c r="T99" s="293"/>
    </row>
    <row r="100" spans="1:30" ht="15.75" thickBot="1">
      <c r="A100" s="242"/>
      <c r="D100" s="244">
        <v>2</v>
      </c>
      <c r="E100" s="224">
        <f>'Usulan Pembiayaan'!AC55</f>
      </c>
      <c r="H100" s="251">
        <v>50</v>
      </c>
      <c r="I100" s="245">
        <v>0.36</v>
      </c>
      <c r="J100" s="245">
        <v>0.5</v>
      </c>
      <c r="K100" s="252">
        <f>H100*I100*J100</f>
      </c>
      <c r="L100" s="262"/>
      <c r="M100" s="263"/>
      <c r="N100" s="263"/>
      <c r="O100" s="264"/>
      <c r="T100" s="294"/>
    </row>
    <row r="101" spans="1:30" ht="15.75" thickBot="1">
      <c r="A101" s="242"/>
      <c r="D101" s="244">
        <v>3</v>
      </c>
      <c r="E101" s="224">
        <f>'Usulan Pembiayaan'!AD55</f>
      </c>
      <c r="H101" s="251">
        <v>75</v>
      </c>
      <c r="I101" s="245">
        <v>0.36</v>
      </c>
      <c r="J101" s="245">
        <v>0.5</v>
      </c>
      <c r="K101" s="252">
        <f>H101*I101*J101</f>
      </c>
      <c r="L101" s="262"/>
      <c r="M101" s="263"/>
      <c r="N101" s="263"/>
      <c r="O101" s="264"/>
      <c r="T101" s="936"/>
    </row>
    <row r="102" spans="1:30" ht="15.75" thickBot="1">
      <c r="A102" s="242"/>
      <c r="D102" s="244">
        <v>4</v>
      </c>
      <c r="E102" s="224">
        <f>'Usulan Pembiayaan'!AE55</f>
      </c>
      <c r="H102" s="251">
        <v>100</v>
      </c>
      <c r="I102" s="245">
        <v>0.36</v>
      </c>
      <c r="J102" s="245">
        <v>0.5</v>
      </c>
      <c r="K102" s="252">
        <f>H102*I102*J102</f>
      </c>
      <c r="L102" s="262"/>
      <c r="M102" s="263"/>
      <c r="N102" s="263"/>
      <c r="O102" s="264"/>
      <c r="P102" s="253">
        <f>K102</f>
      </c>
      <c r="Q102" s="253">
        <f>K101</f>
      </c>
      <c r="R102" s="253">
        <f>K100</f>
      </c>
      <c r="S102" s="253">
        <f>K99</f>
      </c>
      <c r="T102" s="294"/>
      <c r="U102" s="295">
        <f>MAX('Usulan Pembiayaan'!AF59:AF62)</f>
      </c>
    </row>
    <row r="103" spans="1:30" ht="13.5" thickBot="1">
      <c r="A103" s="291"/>
      <c r="B103" s="260"/>
      <c r="C103" s="260"/>
      <c r="D103" s="261"/>
      <c r="E103" s="260"/>
      <c r="F103" s="260"/>
      <c r="G103" s="260"/>
      <c r="H103" s="262"/>
      <c r="I103" s="263"/>
      <c r="J103" s="263"/>
      <c r="K103" s="264"/>
      <c r="L103" s="262"/>
      <c r="M103" s="263"/>
      <c r="N103" s="263"/>
      <c r="O103" s="264"/>
    </row>
    <row r="104" spans="1:30" s="240" customFormat="1" ht="14.25" thickBot="1">
      <c r="A104" s="232" t="s">
        <v>515</v>
      </c>
      <c r="B104" s="233"/>
      <c r="C104" s="234"/>
      <c r="D104" s="235"/>
      <c r="E104" s="236"/>
      <c r="F104" s="234"/>
      <c r="G104" s="234"/>
      <c r="H104" s="237"/>
      <c r="I104" s="238"/>
      <c r="J104" s="238"/>
      <c r="K104" s="239"/>
      <c r="L104" s="237"/>
      <c r="M104" s="238"/>
      <c r="N104" s="238"/>
      <c r="O104" s="239"/>
      <c r="U104" s="241"/>
    </row>
    <row r="105" spans="1:30" ht="12.75">
      <c r="A105" s="242" t="s">
        <v>359</v>
      </c>
      <c r="B105" s="255" t="s">
        <v>516</v>
      </c>
      <c r="E105" s="245"/>
      <c r="H105" s="251"/>
      <c r="K105" s="252"/>
      <c r="L105" s="251"/>
      <c r="O105" s="252"/>
    </row>
    <row r="106" spans="1:30" ht="12.75">
      <c r="A106" s="271"/>
      <c r="B106" s="255"/>
      <c r="D106" s="244">
        <v>1</v>
      </c>
      <c r="E106" s="296" t="s">
        <v>676</v>
      </c>
      <c r="H106" s="251">
        <v>20</v>
      </c>
      <c r="I106" s="245">
        <v>0.1</v>
      </c>
      <c r="J106" s="245">
        <v>0.5</v>
      </c>
      <c r="K106" s="252">
        <f>H106*I106*J106</f>
      </c>
      <c r="L106" s="251">
        <v>25</v>
      </c>
      <c r="M106" s="245">
        <v>0.1</v>
      </c>
      <c r="N106" s="245">
        <v>1</v>
      </c>
      <c r="O106" s="252">
        <f>L106*M106*N106</f>
      </c>
    </row>
    <row r="107" spans="1:30" ht="15">
      <c r="A107" s="269"/>
      <c r="B107" s="255"/>
      <c r="D107" s="244">
        <v>2</v>
      </c>
      <c r="E107" s="296" t="s">
        <v>846</v>
      </c>
      <c r="H107" s="251">
        <v>40</v>
      </c>
      <c r="I107" s="245">
        <v>0.1</v>
      </c>
      <c r="J107" s="245">
        <v>0.5</v>
      </c>
      <c r="K107" s="252">
        <f>H107*I107*J107</f>
      </c>
      <c r="L107" s="251">
        <v>50</v>
      </c>
      <c r="M107" s="245">
        <v>0.1</v>
      </c>
      <c r="N107" s="245">
        <v>1</v>
      </c>
      <c r="O107" s="252">
        <f>L107*M107*N107</f>
      </c>
      <c r="Q107" s="253"/>
      <c r="Y107" s="293">
        <f>IF(N110&lt;1,"Tidak ada",IF(N110&lt;3,"Pasif atau kurang dari 3 kali perbulan",IF(AND(N110&gt;=3,N110&lt;=8),"Mutasi 3 - 8 kali perbulan",IF(N110&gt;8,"Lebih dari 8 kali perbulan"))))</f>
      </c>
      <c r="Z107" s="293"/>
      <c r="AA107" s="293"/>
      <c r="AB107" s="293"/>
      <c r="AC107" s="293"/>
      <c r="AD107" s="293"/>
    </row>
    <row r="108" spans="1:30" ht="12.75">
      <c r="A108" s="269"/>
      <c r="B108" s="255"/>
      <c r="D108" s="244">
        <v>3</v>
      </c>
      <c r="E108" s="296" t="s">
        <v>847</v>
      </c>
      <c r="H108" s="251">
        <v>60</v>
      </c>
      <c r="I108" s="245">
        <v>0.1</v>
      </c>
      <c r="J108" s="245">
        <v>0.5</v>
      </c>
      <c r="K108" s="252">
        <f>H108*I108*J108</f>
      </c>
      <c r="L108" s="251">
        <v>75</v>
      </c>
      <c r="M108" s="245">
        <v>0.1</v>
      </c>
      <c r="N108" s="245">
        <v>1</v>
      </c>
      <c r="O108" s="252">
        <f>L108*M108*N108</f>
      </c>
      <c r="T108" s="730">
        <f>'Usulan Pembiayaan'!J54/12</f>
      </c>
    </row>
    <row r="109" spans="1:30" ht="12.75">
      <c r="A109" s="269"/>
      <c r="B109" s="255"/>
      <c r="D109" s="244">
        <v>4</v>
      </c>
      <c r="E109" s="296" t="s">
        <v>848</v>
      </c>
      <c r="H109" s="251">
        <v>80</v>
      </c>
      <c r="I109" s="245">
        <v>0.1</v>
      </c>
      <c r="J109" s="245">
        <v>0.5</v>
      </c>
      <c r="K109" s="252">
        <f>H109*I109*J109</f>
      </c>
      <c r="L109" s="251">
        <v>100</v>
      </c>
      <c r="M109" s="245">
        <v>0.1</v>
      </c>
      <c r="N109" s="245">
        <v>1</v>
      </c>
      <c r="O109" s="252">
        <f>L109*M109*N109</f>
      </c>
      <c r="P109" s="253"/>
      <c r="Q109" s="253"/>
      <c r="R109" s="253"/>
      <c r="S109" s="253"/>
    </row>
    <row r="110" spans="1:30" ht="13.5" thickBot="1">
      <c r="A110" s="255"/>
      <c r="B110" s="255"/>
      <c r="D110" s="244">
        <v>5</v>
      </c>
      <c r="E110" s="296" t="s">
        <v>849</v>
      </c>
      <c r="H110" s="251">
        <v>100</v>
      </c>
      <c r="I110" s="245">
        <v>0.1</v>
      </c>
      <c r="J110" s="245">
        <v>0.5</v>
      </c>
      <c r="K110" s="252">
        <f>H110*I110*J110</f>
      </c>
      <c r="L110" s="262"/>
      <c r="M110" s="260"/>
      <c r="N110" s="260"/>
      <c r="O110" s="264"/>
      <c r="P110" s="253">
        <f>K110</f>
      </c>
      <c r="Q110" s="253">
        <f>K108</f>
      </c>
      <c r="R110" s="253">
        <f>K107</f>
      </c>
      <c r="S110" s="253">
        <f>K106</f>
      </c>
      <c r="T110" s="730">
        <f>IF(T108&lt;=0,"0",IF(T108&lt;=2,"1 - 2 Tahun",IF(AND(T108&gt;2,T108&lt;=4),"3 - 4 Tahun",IF(AND(T108&gt;4,T108&lt;=6),"5 - 6 Tahun",IF(AND(T108&gt;6,T108&lt;=8),"7 - 8 Tahun",IF(T108&gt;8,"&gt;8 Tahun"))))))</f>
      </c>
      <c r="U110" s="295">
        <f>VLOOKUP(T110,E106:K110,7,0)</f>
      </c>
    </row>
    <row r="111" spans="1:30" ht="15.75" thickBot="1">
      <c r="A111" s="242"/>
      <c r="B111" s="255"/>
      <c r="D111" s="493"/>
      <c r="E111" s="493"/>
      <c r="F111" s="493"/>
      <c r="G111" s="493"/>
      <c r="I111" s="245"/>
      <c r="J111" s="245"/>
      <c r="K111" s="252"/>
      <c r="L111" s="261"/>
      <c r="M111" s="260"/>
      <c r="N111" s="260"/>
      <c r="O111" s="264"/>
      <c r="P111" s="253"/>
      <c r="Q111" s="253"/>
      <c r="R111" s="253"/>
      <c r="S111" s="253"/>
      <c r="U111" s="295"/>
    </row>
    <row r="112" spans="1:30" ht="13.5" thickBot="1">
      <c r="A112" s="242" t="s">
        <v>363</v>
      </c>
      <c r="B112" s="255" t="s">
        <v>639</v>
      </c>
      <c r="D112" s="244">
        <v>1</v>
      </c>
      <c r="E112" s="297" t="s">
        <v>640</v>
      </c>
      <c r="H112" s="251">
        <v>50</v>
      </c>
      <c r="I112" s="245">
        <v>0.2</v>
      </c>
      <c r="J112" s="245">
        <v>0.2</v>
      </c>
      <c r="K112" s="252">
        <f>H112*I112*J112</f>
      </c>
      <c r="L112" s="261"/>
      <c r="M112" s="260"/>
      <c r="N112" s="260"/>
      <c r="O112" s="264"/>
      <c r="P112" s="253"/>
      <c r="Q112" s="253"/>
      <c r="R112" s="253"/>
      <c r="S112" s="253"/>
      <c r="U112" s="295"/>
    </row>
    <row r="113" spans="1:22" ht="13.5" thickBot="1">
      <c r="A113" s="255"/>
      <c r="B113" s="255"/>
      <c r="D113" s="244">
        <v>2</v>
      </c>
      <c r="E113" s="297" t="s">
        <v>641</v>
      </c>
      <c r="H113" s="251">
        <v>75</v>
      </c>
      <c r="I113" s="245">
        <v>0.2</v>
      </c>
      <c r="J113" s="245">
        <v>0.2</v>
      </c>
      <c r="K113" s="252">
        <f>H113*I113*J113</f>
      </c>
      <c r="L113" s="261"/>
      <c r="M113" s="260"/>
      <c r="N113" s="260"/>
      <c r="O113" s="264"/>
      <c r="P113" s="253"/>
      <c r="Q113" s="253"/>
      <c r="R113" s="253"/>
      <c r="S113" s="253"/>
      <c r="U113" s="295"/>
    </row>
    <row r="114" spans="1:22" ht="13.5" thickBot="1">
      <c r="A114" s="255"/>
      <c r="B114" s="255"/>
      <c r="D114" s="244">
        <v>3</v>
      </c>
      <c r="E114" s="297" t="s">
        <v>642</v>
      </c>
      <c r="H114" s="251">
        <v>100</v>
      </c>
      <c r="I114" s="245">
        <v>0.2</v>
      </c>
      <c r="J114" s="245">
        <v>0.2</v>
      </c>
      <c r="K114" s="252">
        <f>H114*I114*J114</f>
      </c>
      <c r="L114" s="261"/>
      <c r="M114" s="260"/>
      <c r="N114" s="260"/>
      <c r="O114" s="264"/>
      <c r="P114" s="253">
        <f>K114</f>
      </c>
      <c r="Q114" s="253"/>
      <c r="R114" s="253">
        <f>K113</f>
      </c>
      <c r="S114" s="253">
        <f>K112</f>
      </c>
      <c r="T114" s="244">
        <f>IF('Informasi Pokok'!D53&lt;=2,"1-2",IF(AND('Informasi Pokok'!D53&gt;2,'Informasi Pokok'!D53&lt;5),"3-4",IF('Informasi Pokok'!D53&gt;=5,"&gt;=5")))</f>
      </c>
      <c r="U114" s="225">
        <f>VLOOKUP(T114,Parameter!E112:K114,7,0)</f>
      </c>
    </row>
    <row r="115" spans="1:22" ht="13.5" thickBot="1">
      <c r="A115" s="255"/>
      <c r="B115" s="255"/>
      <c r="E115" s="296"/>
      <c r="H115" s="262"/>
      <c r="I115" s="245"/>
      <c r="J115" s="245"/>
      <c r="K115" s="264"/>
      <c r="L115" s="261"/>
      <c r="M115" s="260"/>
      <c r="N115" s="260"/>
      <c r="O115" s="264"/>
      <c r="P115" s="253"/>
      <c r="Q115" s="253"/>
      <c r="R115" s="253"/>
      <c r="S115" s="253"/>
      <c r="U115" s="295"/>
    </row>
    <row r="116" spans="1:22" s="240" customFormat="1" ht="14.25" thickBot="1">
      <c r="A116" s="232" t="s">
        <v>389</v>
      </c>
      <c r="B116" s="233"/>
      <c r="C116" s="234"/>
      <c r="D116" s="235"/>
      <c r="E116" s="236"/>
      <c r="F116" s="234"/>
      <c r="G116" s="234"/>
      <c r="H116" s="237"/>
      <c r="I116" s="238"/>
      <c r="J116" s="238"/>
      <c r="K116" s="239"/>
      <c r="L116" s="237"/>
      <c r="M116" s="238"/>
      <c r="N116" s="238"/>
      <c r="O116" s="239"/>
      <c r="U116" s="241"/>
    </row>
    <row r="117" spans="1:22" ht="12.75">
      <c r="A117" s="242" t="s">
        <v>359</v>
      </c>
      <c r="B117" s="255" t="s">
        <v>390</v>
      </c>
      <c r="E117" s="245"/>
      <c r="H117" s="251"/>
      <c r="K117" s="252"/>
      <c r="L117" s="251"/>
      <c r="O117" s="252"/>
    </row>
    <row r="118" spans="1:22" ht="12.75">
      <c r="A118" s="242"/>
      <c r="B118" s="255"/>
      <c r="D118" s="244">
        <v>1</v>
      </c>
      <c r="E118" s="224" t="s">
        <v>976</v>
      </c>
      <c r="H118" s="298">
        <v>50</v>
      </c>
      <c r="I118" s="245">
        <v>0.2</v>
      </c>
      <c r="J118" s="245">
        <v>0.5</v>
      </c>
      <c r="K118" s="252">
        <f>H118*I118*J118</f>
      </c>
      <c r="L118" s="251"/>
      <c r="O118" s="252"/>
      <c r="T118" s="432"/>
    </row>
    <row r="119" spans="1:22" ht="13.5" thickBot="1">
      <c r="A119" s="255"/>
      <c r="D119" s="244">
        <v>2</v>
      </c>
      <c r="E119" s="224" t="s">
        <v>977</v>
      </c>
      <c r="H119" s="251">
        <v>75</v>
      </c>
      <c r="I119" s="245">
        <v>0.2</v>
      </c>
      <c r="J119" s="245">
        <v>0.5</v>
      </c>
      <c r="K119" s="252">
        <f>H119*I119*J119</f>
      </c>
      <c r="L119" s="251">
        <v>0</v>
      </c>
      <c r="M119" s="245">
        <v>0.2</v>
      </c>
      <c r="N119" s="245">
        <v>1</v>
      </c>
      <c r="O119" s="252">
        <f>L119*M119*N119</f>
      </c>
      <c r="Q119" s="253"/>
      <c r="T119" s="433">
        <f>'Usulan Pembiayaan'!J65</f>
      </c>
    </row>
    <row r="120" spans="1:22" ht="15">
      <c r="A120" s="255"/>
      <c r="D120" s="244">
        <v>3</v>
      </c>
      <c r="E120" s="224" t="s">
        <v>978</v>
      </c>
      <c r="H120" s="251">
        <v>100</v>
      </c>
      <c r="I120" s="245">
        <v>0.2</v>
      </c>
      <c r="J120" s="245">
        <v>0.5</v>
      </c>
      <c r="K120" s="252">
        <f>H120*I120*J120</f>
      </c>
      <c r="L120" s="251">
        <v>100</v>
      </c>
      <c r="M120" s="245">
        <v>0.2</v>
      </c>
      <c r="N120" s="245">
        <v>1</v>
      </c>
      <c r="O120" s="252">
        <f>L120*M120*N120</f>
      </c>
      <c r="P120" s="253">
        <f>K120</f>
      </c>
      <c r="Q120" s="253">
        <f>K119</f>
      </c>
      <c r="R120" s="253">
        <f>K118</f>
      </c>
      <c r="S120" s="253">
        <f>K121</f>
      </c>
      <c r="T120" s="876">
        <f>IF(AND(T119&gt;=100%,T119&lt;=125%),"100% s.d 125%",IF(AND(T119&gt;125%,T119&lt;=150%),"&gt;125% s.d 150%",IF(T119&gt;150%,"&gt;150%",IF(T119&lt;100%,"&lt;100%"))))</f>
      </c>
      <c r="U120" s="256">
        <f>VLOOKUP(T120,Parameter!E118:K121,7,0)</f>
      </c>
      <c r="V120" s="225">
        <f>IF(AND(E122="Tunai/Transfer",T119&lt;100%),T121,T120)</f>
      </c>
    </row>
    <row r="121" spans="1:22" ht="13.5" thickBot="1">
      <c r="A121" s="255"/>
      <c r="D121" s="244">
        <v>4</v>
      </c>
      <c r="E121" s="224" t="s">
        <v>979</v>
      </c>
      <c r="H121" s="251">
        <v>0</v>
      </c>
      <c r="I121" s="245">
        <v>0.15</v>
      </c>
      <c r="J121" s="245">
        <v>0.5</v>
      </c>
      <c r="K121" s="252">
        <v>-30</v>
      </c>
      <c r="L121" s="262"/>
      <c r="M121" s="263"/>
      <c r="N121" s="263"/>
      <c r="O121" s="264"/>
      <c r="T121" s="224">
        <f>IF(T119&lt;100%,T118,T120)</f>
      </c>
    </row>
    <row r="122" spans="1:22" ht="13.5" thickBot="1">
      <c r="A122" s="255"/>
      <c r="E122" s="429"/>
      <c r="H122" s="251"/>
      <c r="I122" s="245"/>
      <c r="J122" s="245"/>
      <c r="K122" s="252"/>
      <c r="L122" s="261"/>
      <c r="M122" s="263"/>
      <c r="N122" s="263"/>
      <c r="O122" s="264"/>
    </row>
    <row r="123" spans="1:22" ht="13.5" thickBot="1">
      <c r="A123" s="255"/>
      <c r="H123" s="251"/>
      <c r="I123" s="245"/>
      <c r="J123" s="245"/>
      <c r="K123" s="252"/>
      <c r="L123" s="261"/>
      <c r="M123" s="263"/>
      <c r="N123" s="263"/>
      <c r="O123" s="264"/>
    </row>
    <row r="124" spans="1:22" ht="13.5" thickBot="1">
      <c r="A124" s="255"/>
      <c r="E124" s="430"/>
      <c r="H124" s="251"/>
      <c r="I124" s="245"/>
      <c r="J124" s="245"/>
      <c r="K124" s="252"/>
      <c r="L124" s="261"/>
      <c r="M124" s="263"/>
      <c r="N124" s="263"/>
      <c r="O124" s="264"/>
    </row>
    <row r="125" spans="1:22" ht="13.5" thickBot="1">
      <c r="A125" s="255"/>
      <c r="B125" s="224" t="s">
        <v>763</v>
      </c>
      <c r="D125" s="244">
        <v>1</v>
      </c>
      <c r="E125" s="224" t="s">
        <v>741</v>
      </c>
      <c r="H125" s="251">
        <v>50</v>
      </c>
      <c r="I125" s="245">
        <v>0.15</v>
      </c>
      <c r="J125" s="245">
        <v>0.2</v>
      </c>
      <c r="K125" s="252">
        <f>H125*I125*J125</f>
      </c>
      <c r="L125" s="261"/>
      <c r="M125" s="263"/>
      <c r="N125" s="263"/>
      <c r="O125" s="264"/>
    </row>
    <row r="126" spans="1:22" ht="13.5" thickBot="1">
      <c r="A126" s="255"/>
      <c r="D126" s="244">
        <v>2</v>
      </c>
      <c r="E126" s="224" t="s">
        <v>740</v>
      </c>
      <c r="H126" s="251">
        <v>100</v>
      </c>
      <c r="I126" s="245">
        <v>0.15</v>
      </c>
      <c r="J126" s="245">
        <v>0.2</v>
      </c>
      <c r="K126" s="252">
        <f>H126*I126*J126</f>
      </c>
      <c r="L126" s="261"/>
      <c r="M126" s="263"/>
      <c r="N126" s="263"/>
      <c r="O126" s="264"/>
      <c r="P126" s="253"/>
      <c r="Q126" s="253">
        <f>K125</f>
      </c>
      <c r="U126" s="256"/>
    </row>
    <row r="127" spans="1:22" ht="13.5" thickBot="1">
      <c r="A127" s="255"/>
      <c r="H127" s="251"/>
      <c r="I127" s="245"/>
      <c r="J127" s="245"/>
      <c r="K127" s="252"/>
      <c r="L127" s="261"/>
      <c r="M127" s="263"/>
      <c r="N127" s="263"/>
      <c r="O127" s="264"/>
    </row>
    <row r="128" spans="1:22" ht="13.5" thickBot="1">
      <c r="A128" s="255"/>
      <c r="D128" s="224"/>
      <c r="H128" s="251"/>
      <c r="I128" s="245"/>
      <c r="J128" s="245"/>
      <c r="K128" s="252"/>
      <c r="L128" s="261"/>
      <c r="M128" s="263"/>
      <c r="N128" s="263"/>
      <c r="O128" s="264"/>
    </row>
    <row r="129" spans="1:21" ht="13.5" thickBot="1">
      <c r="A129" s="255"/>
      <c r="B129" s="224" t="s">
        <v>765</v>
      </c>
      <c r="D129" s="244">
        <v>1</v>
      </c>
      <c r="E129" s="224" t="s">
        <v>741</v>
      </c>
      <c r="H129" s="251">
        <v>50</v>
      </c>
      <c r="I129" s="245">
        <v>0.15</v>
      </c>
      <c r="J129" s="245">
        <v>0.2</v>
      </c>
      <c r="K129" s="252">
        <f>H129*I129*J129</f>
      </c>
      <c r="L129" s="261"/>
      <c r="M129" s="263"/>
      <c r="N129" s="263"/>
      <c r="O129" s="264"/>
    </row>
    <row r="130" spans="1:21" ht="13.5" thickBot="1">
      <c r="A130" s="255"/>
      <c r="D130" s="244">
        <v>2</v>
      </c>
      <c r="E130" s="224" t="s">
        <v>740</v>
      </c>
      <c r="H130" s="251">
        <v>100</v>
      </c>
      <c r="I130" s="245">
        <v>0.15</v>
      </c>
      <c r="J130" s="245">
        <v>0.2</v>
      </c>
      <c r="K130" s="252">
        <f>H130*I130*J130</f>
      </c>
      <c r="L130" s="261"/>
      <c r="M130" s="263"/>
      <c r="N130" s="263"/>
      <c r="O130" s="264"/>
      <c r="P130" s="253"/>
      <c r="Q130" s="253">
        <f>K129</f>
      </c>
      <c r="U130" s="256"/>
    </row>
    <row r="131" spans="1:21" ht="13.5" thickBot="1">
      <c r="A131" s="255"/>
      <c r="H131" s="251"/>
      <c r="I131" s="245"/>
      <c r="J131" s="245"/>
      <c r="K131" s="252"/>
      <c r="L131" s="261"/>
      <c r="M131" s="263"/>
      <c r="N131" s="263"/>
      <c r="O131" s="264"/>
      <c r="P131" s="253"/>
      <c r="U131" s="256"/>
    </row>
    <row r="132" spans="1:21" ht="13.5" thickBot="1">
      <c r="A132" s="255"/>
      <c r="B132" s="224" t="s">
        <v>771</v>
      </c>
      <c r="D132" s="244">
        <v>1</v>
      </c>
      <c r="E132" s="224" t="s">
        <v>773</v>
      </c>
      <c r="H132" s="251">
        <v>50</v>
      </c>
      <c r="I132" s="245">
        <v>0.1</v>
      </c>
      <c r="J132" s="245">
        <v>0.2</v>
      </c>
      <c r="K132" s="252">
        <f>H132*I132*J132</f>
      </c>
      <c r="L132" s="261"/>
      <c r="M132" s="263"/>
      <c r="N132" s="263"/>
      <c r="O132" s="264"/>
      <c r="U132" s="256"/>
    </row>
    <row r="133" spans="1:21" ht="13.5" thickBot="1">
      <c r="A133" s="255"/>
      <c r="D133" s="244">
        <v>2</v>
      </c>
      <c r="E133" s="224" t="s">
        <v>768</v>
      </c>
      <c r="H133" s="251">
        <v>100</v>
      </c>
      <c r="I133" s="245">
        <v>0.1</v>
      </c>
      <c r="J133" s="245">
        <v>0.2</v>
      </c>
      <c r="K133" s="252">
        <f>H133*I133*J133</f>
      </c>
      <c r="L133" s="261"/>
      <c r="M133" s="263"/>
      <c r="N133" s="263"/>
      <c r="O133" s="264"/>
      <c r="P133" s="253">
        <f>K133</f>
      </c>
      <c r="Q133" s="253">
        <f>K132</f>
      </c>
      <c r="U133" s="256">
        <f>VLOOKUP('Aspek Non Keuangan'!F77,Parameter!E132:K133,7,0)</f>
      </c>
    </row>
    <row r="134" spans="1:21" ht="13.5" thickBot="1">
      <c r="A134" s="255"/>
      <c r="H134" s="251"/>
      <c r="I134" s="245"/>
      <c r="J134" s="245"/>
      <c r="K134" s="252"/>
      <c r="L134" s="261"/>
      <c r="M134" s="263"/>
      <c r="N134" s="263"/>
      <c r="O134" s="264"/>
      <c r="P134" s="253"/>
      <c r="Q134" s="253"/>
      <c r="U134" s="256"/>
    </row>
    <row r="135" spans="1:21" ht="13.5" thickBot="1">
      <c r="A135" s="255"/>
      <c r="B135" s="224" t="s">
        <v>593</v>
      </c>
      <c r="D135" s="244">
        <v>1</v>
      </c>
      <c r="E135" s="224" t="s">
        <v>584</v>
      </c>
      <c r="H135" s="251">
        <v>50</v>
      </c>
      <c r="I135" s="245">
        <v>0.1</v>
      </c>
      <c r="J135" s="245">
        <v>0.2</v>
      </c>
      <c r="K135" s="252">
        <f>H135*I135*J135</f>
      </c>
      <c r="L135" s="261"/>
      <c r="M135" s="263"/>
      <c r="N135" s="263"/>
      <c r="O135" s="264"/>
      <c r="U135" s="256"/>
    </row>
    <row r="136" spans="1:21" ht="13.5" thickBot="1">
      <c r="A136" s="255"/>
      <c r="D136" s="244">
        <v>2</v>
      </c>
      <c r="E136" s="224" t="s">
        <v>592</v>
      </c>
      <c r="H136" s="251">
        <v>100</v>
      </c>
      <c r="I136" s="245">
        <v>0.1</v>
      </c>
      <c r="J136" s="245">
        <v>0.2</v>
      </c>
      <c r="K136" s="252">
        <f>H136*I136*J136</f>
      </c>
      <c r="L136" s="261"/>
      <c r="M136" s="263"/>
      <c r="N136" s="263"/>
      <c r="O136" s="264"/>
      <c r="P136" s="253">
        <f>K136</f>
      </c>
      <c r="Q136" s="253">
        <f>K135</f>
      </c>
      <c r="U136" s="256">
        <f>VLOOKUP('Aspek Non Keuangan'!F83,Parameter!E135:K136,7,0)</f>
      </c>
    </row>
    <row r="137" spans="1:21" ht="13.5" thickBot="1">
      <c r="A137" s="255"/>
      <c r="H137" s="251"/>
      <c r="I137" s="245"/>
      <c r="J137" s="245"/>
      <c r="K137" s="252"/>
      <c r="L137" s="261"/>
      <c r="M137" s="263"/>
      <c r="N137" s="263"/>
      <c r="O137" s="264"/>
      <c r="P137" s="253"/>
      <c r="Q137" s="253"/>
      <c r="U137" s="256"/>
    </row>
    <row r="138" spans="1:21" ht="13.5" thickBot="1">
      <c r="A138" s="255"/>
      <c r="B138" s="224" t="s">
        <v>772</v>
      </c>
      <c r="D138" s="244">
        <v>1</v>
      </c>
      <c r="E138" s="224" t="s">
        <v>584</v>
      </c>
      <c r="H138" s="251">
        <v>50</v>
      </c>
      <c r="I138" s="245">
        <v>0.1</v>
      </c>
      <c r="J138" s="245">
        <v>0.2</v>
      </c>
      <c r="K138" s="252">
        <f>H138*I138*J138</f>
      </c>
      <c r="L138" s="261"/>
      <c r="M138" s="263"/>
      <c r="N138" s="263"/>
      <c r="O138" s="264"/>
      <c r="U138" s="256"/>
    </row>
    <row r="139" spans="1:21" ht="13.5" thickBot="1">
      <c r="A139" s="255"/>
      <c r="D139" s="244">
        <v>2</v>
      </c>
      <c r="E139" s="224" t="s">
        <v>770</v>
      </c>
      <c r="H139" s="251">
        <v>100</v>
      </c>
      <c r="I139" s="245">
        <v>0.1</v>
      </c>
      <c r="J139" s="245">
        <v>0.2</v>
      </c>
      <c r="K139" s="252">
        <f>H139*I139*J139</f>
      </c>
      <c r="L139" s="261"/>
      <c r="M139" s="263"/>
      <c r="N139" s="263"/>
      <c r="O139" s="264"/>
      <c r="P139" s="253">
        <f>K139</f>
      </c>
      <c r="Q139" s="253">
        <f>K138</f>
      </c>
      <c r="U139" s="256">
        <f>VLOOKUP('Aspek Non Keuangan'!F88,Parameter!E138:K139,7,0)</f>
      </c>
    </row>
    <row r="140" spans="1:21" ht="13.5" thickBot="1">
      <c r="A140" s="299"/>
      <c r="B140" s="260"/>
      <c r="C140" s="260"/>
      <c r="D140" s="261"/>
      <c r="E140" s="260"/>
      <c r="F140" s="260"/>
      <c r="G140" s="260"/>
      <c r="H140" s="262"/>
      <c r="I140" s="263"/>
      <c r="J140" s="263"/>
      <c r="K140" s="264"/>
      <c r="L140" s="261"/>
      <c r="M140" s="263"/>
      <c r="N140" s="263"/>
      <c r="O140" s="264"/>
    </row>
    <row r="141" spans="1:21" s="240" customFormat="1" ht="14.25" thickBot="1">
      <c r="A141" s="232" t="s">
        <v>583</v>
      </c>
      <c r="B141" s="233"/>
      <c r="C141" s="234"/>
      <c r="D141" s="235"/>
      <c r="E141" s="236"/>
      <c r="F141" s="234"/>
      <c r="G141" s="234"/>
      <c r="H141" s="237"/>
      <c r="I141" s="238"/>
      <c r="J141" s="238"/>
      <c r="K141" s="239"/>
      <c r="L141" s="237"/>
      <c r="M141" s="238"/>
      <c r="N141" s="238"/>
      <c r="O141" s="239"/>
      <c r="P141" s="300">
        <f>SUM(P6:P140)</f>
      </c>
      <c r="Q141" s="301">
        <f>SUM(Q1:Q140)</f>
      </c>
      <c r="R141" s="240">
        <f>SUM(R1:R120)</f>
      </c>
      <c r="S141" s="301">
        <f>SUM(S1:S120)</f>
      </c>
      <c r="U141" s="240">
        <f>SUM(U7:U140)</f>
      </c>
    </row>
    <row r="142" spans="1:21" ht="12.75">
      <c r="A142" s="242" t="s">
        <v>359</v>
      </c>
      <c r="B142" s="243" t="s">
        <v>391</v>
      </c>
      <c r="H142" s="251"/>
      <c r="K142" s="252"/>
      <c r="L142" s="251"/>
      <c r="O142" s="252"/>
    </row>
    <row r="143" spans="1:21" ht="12.75">
      <c r="A143" s="275"/>
      <c r="D143" s="278">
        <v>1</v>
      </c>
      <c r="E143" s="279">
        <v>-10</v>
      </c>
      <c r="F143" s="279"/>
      <c r="G143" s="279"/>
      <c r="H143" s="280"/>
      <c r="I143" s="281"/>
      <c r="J143" s="281"/>
      <c r="K143" s="282">
        <v>-10</v>
      </c>
      <c r="L143" s="280"/>
      <c r="M143" s="281"/>
      <c r="N143" s="281"/>
      <c r="O143" s="279">
        <v>-10</v>
      </c>
      <c r="T143" s="431">
        <f>'Usulan Pembiayaan'!AC81</f>
      </c>
      <c r="U143" s="302">
        <f>IF(T143&lt;=1,U141,U141*70%)</f>
      </c>
    </row>
    <row r="144" spans="1:21" ht="12.75">
      <c r="A144" s="277"/>
      <c r="D144" s="278">
        <v>2</v>
      </c>
      <c r="E144" s="279">
        <f>E143+1</f>
      </c>
      <c r="F144" s="279"/>
      <c r="G144" s="279"/>
      <c r="H144" s="280"/>
      <c r="I144" s="281"/>
      <c r="J144" s="281"/>
      <c r="K144" s="282">
        <v>-5</v>
      </c>
      <c r="L144" s="280"/>
      <c r="M144" s="281"/>
      <c r="N144" s="281"/>
      <c r="O144" s="279">
        <f>O143+1</f>
      </c>
    </row>
    <row r="145" spans="1:15" ht="12.75">
      <c r="A145" s="277"/>
      <c r="D145" s="278">
        <v>3</v>
      </c>
      <c r="E145" s="279">
        <f t="shared" ref="E145:E163" si="3">E144+1</f>
      </c>
      <c r="F145" s="279"/>
      <c r="G145" s="279"/>
      <c r="H145" s="280"/>
      <c r="I145" s="281"/>
      <c r="J145" s="281"/>
      <c r="K145" s="282">
        <v>0</v>
      </c>
      <c r="L145" s="280"/>
      <c r="M145" s="281"/>
      <c r="N145" s="281"/>
      <c r="O145" s="279">
        <f t="shared" ref="O145:O163" si="4">O144+1</f>
      </c>
    </row>
    <row r="146" spans="1:15" ht="12.75">
      <c r="A146" s="277"/>
      <c r="D146" s="278"/>
      <c r="E146" s="279">
        <f t="shared" si="3"/>
      </c>
      <c r="F146" s="279"/>
      <c r="G146" s="279"/>
      <c r="H146" s="280"/>
      <c r="I146" s="281"/>
      <c r="J146" s="281"/>
      <c r="K146" s="282"/>
      <c r="L146" s="280"/>
      <c r="M146" s="281"/>
      <c r="N146" s="281"/>
      <c r="O146" s="279">
        <f t="shared" si="4"/>
      </c>
    </row>
    <row r="147" spans="1:15" ht="12.75">
      <c r="A147" s="277"/>
      <c r="D147" s="278"/>
      <c r="E147" s="279">
        <f t="shared" si="3"/>
      </c>
      <c r="F147" s="279"/>
      <c r="G147" s="279"/>
      <c r="H147" s="280"/>
      <c r="I147" s="281"/>
      <c r="J147" s="281"/>
      <c r="K147" s="282"/>
      <c r="L147" s="280"/>
      <c r="M147" s="281"/>
      <c r="N147" s="281"/>
      <c r="O147" s="279">
        <f t="shared" si="4"/>
      </c>
    </row>
    <row r="148" spans="1:15" ht="12.75">
      <c r="A148" s="277"/>
      <c r="D148" s="278"/>
      <c r="E148" s="279">
        <f t="shared" si="3"/>
      </c>
      <c r="F148" s="279"/>
      <c r="G148" s="279"/>
      <c r="H148" s="280"/>
      <c r="I148" s="281"/>
      <c r="J148" s="281"/>
      <c r="K148" s="282"/>
      <c r="L148" s="280"/>
      <c r="M148" s="281"/>
      <c r="N148" s="281"/>
      <c r="O148" s="279">
        <f t="shared" si="4"/>
      </c>
    </row>
    <row r="149" spans="1:15" ht="12.75">
      <c r="A149" s="277"/>
      <c r="D149" s="278"/>
      <c r="E149" s="279">
        <f t="shared" si="3"/>
      </c>
      <c r="F149" s="279"/>
      <c r="G149" s="279"/>
      <c r="H149" s="280"/>
      <c r="I149" s="281"/>
      <c r="J149" s="281"/>
      <c r="K149" s="282"/>
      <c r="L149" s="280"/>
      <c r="M149" s="281"/>
      <c r="N149" s="281"/>
      <c r="O149" s="279">
        <f t="shared" si="4"/>
      </c>
    </row>
    <row r="150" spans="1:15" ht="12.75">
      <c r="A150" s="277"/>
      <c r="D150" s="278"/>
      <c r="E150" s="279">
        <f t="shared" si="3"/>
      </c>
      <c r="F150" s="279"/>
      <c r="G150" s="279"/>
      <c r="H150" s="280"/>
      <c r="I150" s="281"/>
      <c r="J150" s="281"/>
      <c r="K150" s="282"/>
      <c r="L150" s="280"/>
      <c r="M150" s="281"/>
      <c r="N150" s="281"/>
      <c r="O150" s="279">
        <f t="shared" si="4"/>
      </c>
    </row>
    <row r="151" spans="1:15" ht="12.75">
      <c r="A151" s="277"/>
      <c r="D151" s="278"/>
      <c r="E151" s="279">
        <f t="shared" si="3"/>
      </c>
      <c r="F151" s="279"/>
      <c r="G151" s="279"/>
      <c r="H151" s="280"/>
      <c r="I151" s="281"/>
      <c r="J151" s="281"/>
      <c r="K151" s="282"/>
      <c r="L151" s="280"/>
      <c r="M151" s="281"/>
      <c r="N151" s="281"/>
      <c r="O151" s="279">
        <f t="shared" si="4"/>
      </c>
    </row>
    <row r="152" spans="1:15" ht="12.75">
      <c r="A152" s="277"/>
      <c r="D152" s="278"/>
      <c r="E152" s="279">
        <f t="shared" si="3"/>
      </c>
      <c r="F152" s="279"/>
      <c r="G152" s="279"/>
      <c r="H152" s="280"/>
      <c r="I152" s="281"/>
      <c r="J152" s="281"/>
      <c r="K152" s="282"/>
      <c r="L152" s="280"/>
      <c r="M152" s="281"/>
      <c r="N152" s="281"/>
      <c r="O152" s="279">
        <f t="shared" si="4"/>
      </c>
    </row>
    <row r="153" spans="1:15" ht="12.75">
      <c r="A153" s="277"/>
      <c r="D153" s="278"/>
      <c r="E153" s="279">
        <f t="shared" si="3"/>
      </c>
      <c r="F153" s="279"/>
      <c r="G153" s="279"/>
      <c r="H153" s="280"/>
      <c r="I153" s="281"/>
      <c r="J153" s="281"/>
      <c r="K153" s="282"/>
      <c r="L153" s="280"/>
      <c r="M153" s="281"/>
      <c r="N153" s="281"/>
      <c r="O153" s="279">
        <f t="shared" si="4"/>
      </c>
    </row>
    <row r="154" spans="1:15" ht="12.75">
      <c r="A154" s="277"/>
      <c r="D154" s="278"/>
      <c r="E154" s="279">
        <f t="shared" si="3"/>
      </c>
      <c r="F154" s="279"/>
      <c r="G154" s="279"/>
      <c r="H154" s="280"/>
      <c r="I154" s="281"/>
      <c r="J154" s="281"/>
      <c r="K154" s="282"/>
      <c r="L154" s="280"/>
      <c r="M154" s="281"/>
      <c r="N154" s="281"/>
      <c r="O154" s="279">
        <f t="shared" si="4"/>
      </c>
    </row>
    <row r="155" spans="1:15" ht="12.75">
      <c r="A155" s="277"/>
      <c r="D155" s="278"/>
      <c r="E155" s="279">
        <f t="shared" si="3"/>
      </c>
      <c r="F155" s="279"/>
      <c r="G155" s="279"/>
      <c r="H155" s="280"/>
      <c r="I155" s="281"/>
      <c r="J155" s="281"/>
      <c r="K155" s="282"/>
      <c r="L155" s="280"/>
      <c r="M155" s="281"/>
      <c r="N155" s="281"/>
      <c r="O155" s="279">
        <f t="shared" si="4"/>
      </c>
    </row>
    <row r="156" spans="1:15" ht="12.75">
      <c r="A156" s="277"/>
      <c r="D156" s="278"/>
      <c r="E156" s="279">
        <f t="shared" si="3"/>
      </c>
      <c r="F156" s="279"/>
      <c r="G156" s="279"/>
      <c r="H156" s="280"/>
      <c r="I156" s="281"/>
      <c r="J156" s="281"/>
      <c r="K156" s="282"/>
      <c r="L156" s="280"/>
      <c r="M156" s="281"/>
      <c r="N156" s="281"/>
      <c r="O156" s="279">
        <f t="shared" si="4"/>
      </c>
    </row>
    <row r="157" spans="1:15" ht="12.75">
      <c r="A157" s="277"/>
      <c r="D157" s="278"/>
      <c r="E157" s="279">
        <f t="shared" si="3"/>
      </c>
      <c r="F157" s="279"/>
      <c r="G157" s="279"/>
      <c r="H157" s="280"/>
      <c r="I157" s="281"/>
      <c r="J157" s="281"/>
      <c r="K157" s="282"/>
      <c r="L157" s="280"/>
      <c r="M157" s="281"/>
      <c r="N157" s="281"/>
      <c r="O157" s="279">
        <f t="shared" si="4"/>
      </c>
    </row>
    <row r="158" spans="1:15" ht="12.75">
      <c r="A158" s="277"/>
      <c r="D158" s="278"/>
      <c r="E158" s="279">
        <f t="shared" si="3"/>
      </c>
      <c r="F158" s="279"/>
      <c r="G158" s="279"/>
      <c r="H158" s="280"/>
      <c r="I158" s="281"/>
      <c r="J158" s="281"/>
      <c r="K158" s="282"/>
      <c r="L158" s="280"/>
      <c r="M158" s="281"/>
      <c r="N158" s="281"/>
      <c r="O158" s="279">
        <f t="shared" si="4"/>
      </c>
    </row>
    <row r="159" spans="1:15" ht="12.75">
      <c r="A159" s="277"/>
      <c r="D159" s="278"/>
      <c r="E159" s="279">
        <f t="shared" si="3"/>
      </c>
      <c r="F159" s="279"/>
      <c r="G159" s="279"/>
      <c r="H159" s="280"/>
      <c r="I159" s="281"/>
      <c r="J159" s="281"/>
      <c r="K159" s="282"/>
      <c r="L159" s="280"/>
      <c r="M159" s="281"/>
      <c r="N159" s="281"/>
      <c r="O159" s="279">
        <f t="shared" si="4"/>
      </c>
    </row>
    <row r="160" spans="1:15" ht="12.75">
      <c r="A160" s="277"/>
      <c r="D160" s="278"/>
      <c r="E160" s="279">
        <f t="shared" si="3"/>
      </c>
      <c r="F160" s="279"/>
      <c r="G160" s="279"/>
      <c r="H160" s="280"/>
      <c r="I160" s="281"/>
      <c r="J160" s="281"/>
      <c r="K160" s="282"/>
      <c r="L160" s="280"/>
      <c r="M160" s="281"/>
      <c r="N160" s="281"/>
      <c r="O160" s="279">
        <f t="shared" si="4"/>
      </c>
    </row>
    <row r="161" spans="1:15" ht="12.75">
      <c r="A161" s="277"/>
      <c r="D161" s="278"/>
      <c r="E161" s="279">
        <f t="shared" si="3"/>
      </c>
      <c r="F161" s="279"/>
      <c r="G161" s="279"/>
      <c r="H161" s="280"/>
      <c r="I161" s="281"/>
      <c r="J161" s="281"/>
      <c r="K161" s="282"/>
      <c r="L161" s="280"/>
      <c r="M161" s="281"/>
      <c r="N161" s="281"/>
      <c r="O161" s="279">
        <f t="shared" si="4"/>
      </c>
    </row>
    <row r="162" spans="1:15" ht="12.75">
      <c r="A162" s="277"/>
      <c r="D162" s="278">
        <v>4</v>
      </c>
      <c r="E162" s="279">
        <f t="shared" si="3"/>
      </c>
      <c r="F162" s="279"/>
      <c r="G162" s="279"/>
      <c r="H162" s="280"/>
      <c r="I162" s="281"/>
      <c r="J162" s="281"/>
      <c r="K162" s="282">
        <v>5</v>
      </c>
      <c r="L162" s="280"/>
      <c r="M162" s="281"/>
      <c r="N162" s="281"/>
      <c r="O162" s="279">
        <f t="shared" si="4"/>
      </c>
    </row>
    <row r="163" spans="1:15" ht="12.75">
      <c r="A163" s="277"/>
      <c r="D163" s="278">
        <v>5</v>
      </c>
      <c r="E163" s="279">
        <f t="shared" si="3"/>
      </c>
      <c r="F163" s="279"/>
      <c r="G163" s="279"/>
      <c r="H163" s="303"/>
      <c r="I163" s="304"/>
      <c r="J163" s="304"/>
      <c r="K163" s="305">
        <v>10</v>
      </c>
      <c r="L163" s="303"/>
      <c r="M163" s="304"/>
      <c r="N163" s="304"/>
      <c r="O163" s="279">
        <f t="shared" si="4"/>
      </c>
    </row>
    <row r="164" spans="1:15">
      <c r="J164" s="306"/>
      <c r="N164" s="306"/>
    </row>
    <row r="165" spans="1:15">
      <c r="J165" s="306"/>
      <c r="N165" s="306"/>
    </row>
    <row r="177" spans="4:15" ht="12.75">
      <c r="D177" s="255" t="s">
        <v>392</v>
      </c>
      <c r="E177" s="255"/>
      <c r="H177" s="224"/>
      <c r="K177" s="224"/>
      <c r="L177" s="224"/>
      <c r="O177" s="224"/>
    </row>
    <row r="178" spans="4:15">
      <c r="D178" s="244">
        <v>1</v>
      </c>
      <c r="E178" s="224" t="s">
        <v>70</v>
      </c>
      <c r="H178" s="224"/>
      <c r="K178" s="224"/>
      <c r="L178" s="224"/>
      <c r="O178" s="224"/>
    </row>
    <row r="179" spans="4:15">
      <c r="D179" s="244">
        <v>2</v>
      </c>
      <c r="E179" s="224" t="s">
        <v>393</v>
      </c>
      <c r="H179" s="224"/>
      <c r="K179" s="224"/>
      <c r="L179" s="224"/>
      <c r="O179" s="224"/>
    </row>
    <row r="181" spans="4:15" ht="12.75">
      <c r="D181" s="255" t="s">
        <v>394</v>
      </c>
      <c r="E181" s="255"/>
      <c r="H181" s="224"/>
      <c r="K181" s="224"/>
      <c r="L181" s="224"/>
      <c r="O181" s="224"/>
    </row>
    <row r="182" spans="4:15">
      <c r="D182" s="244">
        <v>1</v>
      </c>
      <c r="E182" s="224" t="s">
        <v>395</v>
      </c>
      <c r="H182" s="224"/>
      <c r="K182" s="224"/>
      <c r="L182" s="224"/>
      <c r="O182" s="224"/>
    </row>
    <row r="183" spans="4:15">
      <c r="D183" s="244">
        <v>2</v>
      </c>
      <c r="E183" s="224" t="s">
        <v>396</v>
      </c>
      <c r="H183" s="224"/>
      <c r="K183" s="224"/>
      <c r="L183" s="224"/>
      <c r="O183" s="224"/>
    </row>
    <row r="185" spans="4:15" ht="12.75">
      <c r="D185" s="255" t="s">
        <v>397</v>
      </c>
      <c r="E185" s="255"/>
      <c r="H185" s="224"/>
      <c r="K185" s="224"/>
      <c r="L185" s="224"/>
      <c r="O185" s="224"/>
    </row>
    <row r="186" spans="4:15">
      <c r="D186" s="244">
        <v>1</v>
      </c>
      <c r="E186" s="224" t="s">
        <v>370</v>
      </c>
      <c r="H186" s="224"/>
      <c r="K186" s="224"/>
      <c r="L186" s="224"/>
      <c r="O186" s="224"/>
    </row>
    <row r="187" spans="4:15">
      <c r="D187" s="244">
        <v>2</v>
      </c>
      <c r="E187" s="224" t="s">
        <v>371</v>
      </c>
      <c r="H187" s="224"/>
      <c r="K187" s="224"/>
      <c r="L187" s="224"/>
      <c r="O187" s="224"/>
    </row>
    <row r="188" spans="4:15">
      <c r="D188" s="244">
        <v>3</v>
      </c>
      <c r="E188" s="224" t="s">
        <v>372</v>
      </c>
      <c r="H188" s="224"/>
      <c r="K188" s="224"/>
      <c r="L188" s="224"/>
      <c r="O188" s="224"/>
    </row>
    <row r="189" spans="4:15">
      <c r="D189" s="244">
        <v>4</v>
      </c>
      <c r="E189" s="224" t="s">
        <v>373</v>
      </c>
      <c r="H189" s="224"/>
      <c r="K189" s="224"/>
      <c r="L189" s="224"/>
      <c r="O189" s="224"/>
    </row>
    <row r="190" spans="4:15">
      <c r="D190" s="244">
        <v>5</v>
      </c>
      <c r="E190" s="224" t="s">
        <v>137</v>
      </c>
      <c r="H190" s="224"/>
      <c r="K190" s="224"/>
      <c r="L190" s="224"/>
      <c r="O190" s="224"/>
    </row>
    <row r="192" spans="4:15" ht="12.75">
      <c r="D192" s="255" t="s">
        <v>93</v>
      </c>
      <c r="E192" s="255"/>
      <c r="H192" s="224"/>
      <c r="K192" s="224"/>
      <c r="L192" s="224"/>
      <c r="O192" s="224"/>
    </row>
    <row r="193" spans="4:15">
      <c r="D193" s="244">
        <v>1</v>
      </c>
      <c r="E193" s="224" t="s">
        <v>398</v>
      </c>
      <c r="H193" s="224"/>
      <c r="K193" s="224"/>
      <c r="L193" s="224"/>
      <c r="O193" s="224"/>
    </row>
    <row r="194" spans="4:15">
      <c r="D194" s="244">
        <v>2</v>
      </c>
      <c r="E194" s="224" t="s">
        <v>399</v>
      </c>
      <c r="H194" s="224"/>
      <c r="K194" s="224"/>
      <c r="L194" s="224"/>
      <c r="O194" s="224"/>
    </row>
    <row r="195" spans="4:15">
      <c r="D195" s="244">
        <v>3</v>
      </c>
      <c r="E195" s="224" t="s">
        <v>400</v>
      </c>
      <c r="H195" s="224"/>
      <c r="K195" s="224"/>
      <c r="L195" s="224"/>
      <c r="O195" s="224"/>
    </row>
    <row r="196" spans="4:15">
      <c r="D196" s="244">
        <v>4</v>
      </c>
      <c r="E196" s="224" t="s">
        <v>137</v>
      </c>
      <c r="H196" s="224"/>
      <c r="K196" s="224"/>
      <c r="L196" s="224"/>
      <c r="O196" s="224"/>
    </row>
    <row r="198" spans="4:15" ht="12.75">
      <c r="D198" s="255" t="s">
        <v>364</v>
      </c>
      <c r="E198" s="255"/>
      <c r="H198" s="224"/>
      <c r="K198" s="224"/>
      <c r="L198" s="224"/>
      <c r="O198" s="224"/>
    </row>
    <row r="199" spans="4:15">
      <c r="D199" s="244">
        <v>1</v>
      </c>
      <c r="E199" s="224" t="s">
        <v>86</v>
      </c>
      <c r="H199" s="224"/>
      <c r="K199" s="224"/>
      <c r="L199" s="224"/>
      <c r="O199" s="224"/>
    </row>
    <row r="200" spans="4:15">
      <c r="D200" s="244">
        <v>2</v>
      </c>
      <c r="E200" s="224" t="s">
        <v>401</v>
      </c>
      <c r="H200" s="224"/>
      <c r="K200" s="224"/>
      <c r="L200" s="224"/>
      <c r="O200" s="224"/>
    </row>
    <row r="202" spans="4:15" ht="12.75">
      <c r="D202" s="255" t="s">
        <v>402</v>
      </c>
      <c r="E202" s="255"/>
      <c r="H202" s="224"/>
      <c r="K202" s="224"/>
      <c r="L202" s="224"/>
      <c r="O202" s="224"/>
    </row>
    <row r="203" spans="4:15">
      <c r="D203" s="244">
        <v>1</v>
      </c>
      <c r="E203" s="224" t="s">
        <v>398</v>
      </c>
      <c r="H203" s="224"/>
      <c r="K203" s="224"/>
      <c r="L203" s="224"/>
      <c r="O203" s="224"/>
    </row>
    <row r="204" spans="4:15">
      <c r="D204" s="244">
        <v>2</v>
      </c>
      <c r="E204" s="224" t="s">
        <v>399</v>
      </c>
      <c r="H204" s="224"/>
      <c r="K204" s="224"/>
      <c r="L204" s="224"/>
      <c r="O204" s="224"/>
    </row>
    <row r="205" spans="4:15">
      <c r="D205" s="244">
        <v>3</v>
      </c>
      <c r="E205" s="224" t="s">
        <v>400</v>
      </c>
      <c r="H205" s="224"/>
      <c r="K205" s="224"/>
      <c r="L205" s="224"/>
      <c r="O205" s="224"/>
    </row>
    <row r="206" spans="4:15">
      <c r="D206" s="244">
        <v>4</v>
      </c>
      <c r="E206" s="224" t="s">
        <v>137</v>
      </c>
      <c r="H206" s="224"/>
      <c r="K206" s="224"/>
      <c r="L206" s="224"/>
      <c r="O206" s="224"/>
    </row>
    <row r="208" spans="4:15" ht="12.75">
      <c r="D208" s="255" t="s">
        <v>2</v>
      </c>
    </row>
    <row r="209" spans="4:17">
      <c r="D209" s="244">
        <v>1</v>
      </c>
      <c r="E209" s="270" t="s">
        <v>403</v>
      </c>
      <c r="F209" s="296" t="s">
        <v>388</v>
      </c>
      <c r="G209" s="224">
        <v>0</v>
      </c>
      <c r="Q209" s="296"/>
    </row>
    <row r="210" spans="4:17">
      <c r="D210" s="244">
        <v>2</v>
      </c>
      <c r="E210" s="270" t="s">
        <v>404</v>
      </c>
      <c r="F210" s="296" t="s">
        <v>388</v>
      </c>
      <c r="G210" s="224">
        <v>0</v>
      </c>
      <c r="Q210" s="296"/>
    </row>
    <row r="211" spans="4:17">
      <c r="D211" s="244">
        <v>3</v>
      </c>
      <c r="E211" s="270" t="s">
        <v>405</v>
      </c>
      <c r="F211" s="296" t="s">
        <v>388</v>
      </c>
      <c r="G211" s="224">
        <v>0</v>
      </c>
      <c r="Q211" s="296"/>
    </row>
    <row r="212" spans="4:17">
      <c r="D212" s="244">
        <v>4</v>
      </c>
      <c r="E212" s="270" t="s">
        <v>406</v>
      </c>
      <c r="F212" s="296" t="s">
        <v>388</v>
      </c>
      <c r="G212" s="224">
        <v>0</v>
      </c>
      <c r="Q212" s="296"/>
    </row>
    <row r="213" spans="4:17">
      <c r="D213" s="244">
        <v>5</v>
      </c>
      <c r="E213" s="270" t="s">
        <v>407</v>
      </c>
      <c r="F213" s="296" t="s">
        <v>388</v>
      </c>
      <c r="G213" s="224">
        <v>0</v>
      </c>
    </row>
    <row r="214" spans="4:17">
      <c r="D214" s="244">
        <v>6</v>
      </c>
      <c r="E214" s="270" t="s">
        <v>408</v>
      </c>
      <c r="F214" s="296" t="s">
        <v>388</v>
      </c>
      <c r="G214" s="224">
        <v>0</v>
      </c>
    </row>
    <row r="215" spans="4:17">
      <c r="D215" s="244">
        <v>7</v>
      </c>
      <c r="E215" s="224" t="s">
        <v>409</v>
      </c>
      <c r="F215" s="296" t="s">
        <v>388</v>
      </c>
      <c r="G215" s="224">
        <v>0</v>
      </c>
    </row>
    <row r="216" spans="4:17">
      <c r="D216" s="244">
        <v>8</v>
      </c>
      <c r="E216" s="224" t="s">
        <v>410</v>
      </c>
      <c r="F216" s="296" t="s">
        <v>388</v>
      </c>
      <c r="G216" s="224">
        <v>0</v>
      </c>
    </row>
    <row r="217" spans="4:17">
      <c r="D217" s="244">
        <v>9</v>
      </c>
      <c r="E217" s="224" t="s">
        <v>411</v>
      </c>
      <c r="F217" s="296" t="s">
        <v>387</v>
      </c>
      <c r="G217" s="224">
        <v>0</v>
      </c>
    </row>
    <row r="218" spans="4:17">
      <c r="D218" s="244">
        <v>10</v>
      </c>
      <c r="E218" s="224" t="s">
        <v>412</v>
      </c>
      <c r="F218" s="296" t="s">
        <v>387</v>
      </c>
      <c r="G218" s="224">
        <v>0</v>
      </c>
    </row>
    <row r="219" spans="4:17">
      <c r="D219" s="244">
        <v>11</v>
      </c>
      <c r="E219" s="224" t="s">
        <v>413</v>
      </c>
      <c r="F219" s="296" t="s">
        <v>387</v>
      </c>
      <c r="G219" s="224">
        <v>0</v>
      </c>
    </row>
    <row r="220" spans="4:17">
      <c r="D220" s="244">
        <v>12</v>
      </c>
      <c r="E220" s="224" t="s">
        <v>414</v>
      </c>
      <c r="F220" s="296" t="s">
        <v>387</v>
      </c>
      <c r="G220" s="224">
        <v>0</v>
      </c>
    </row>
    <row r="221" spans="4:17">
      <c r="D221" s="244">
        <v>13</v>
      </c>
      <c r="E221" s="224" t="s">
        <v>415</v>
      </c>
      <c r="F221" s="296" t="s">
        <v>387</v>
      </c>
      <c r="G221" s="224">
        <v>0</v>
      </c>
    </row>
    <row r="222" spans="4:17">
      <c r="D222" s="244">
        <v>14</v>
      </c>
      <c r="E222" s="224" t="s">
        <v>416</v>
      </c>
      <c r="F222" s="296" t="s">
        <v>387</v>
      </c>
      <c r="G222" s="224">
        <v>0</v>
      </c>
    </row>
    <row r="223" spans="4:17">
      <c r="D223" s="244">
        <v>15</v>
      </c>
      <c r="E223" s="224" t="s">
        <v>417</v>
      </c>
      <c r="F223" s="296" t="s">
        <v>387</v>
      </c>
      <c r="G223" s="224">
        <v>0</v>
      </c>
    </row>
    <row r="224" spans="4:17">
      <c r="D224" s="244">
        <v>16</v>
      </c>
      <c r="E224" s="224" t="s">
        <v>418</v>
      </c>
      <c r="F224" s="296" t="s">
        <v>387</v>
      </c>
      <c r="G224" s="224">
        <v>0</v>
      </c>
      <c r="H224" s="224"/>
      <c r="K224" s="224"/>
      <c r="L224" s="224"/>
      <c r="O224" s="224"/>
    </row>
    <row r="225" spans="4:15">
      <c r="D225" s="244">
        <v>17</v>
      </c>
      <c r="E225" s="224" t="s">
        <v>419</v>
      </c>
      <c r="F225" s="296" t="s">
        <v>387</v>
      </c>
      <c r="G225" s="224">
        <v>0</v>
      </c>
      <c r="H225" s="224"/>
      <c r="K225" s="224"/>
      <c r="L225" s="224"/>
      <c r="O225" s="224"/>
    </row>
    <row r="226" spans="4:15">
      <c r="D226" s="244">
        <v>18</v>
      </c>
      <c r="E226" s="224" t="s">
        <v>420</v>
      </c>
      <c r="F226" s="296" t="s">
        <v>386</v>
      </c>
      <c r="G226" s="224">
        <v>0</v>
      </c>
      <c r="H226" s="224"/>
      <c r="K226" s="224"/>
      <c r="L226" s="224"/>
      <c r="O226" s="224"/>
    </row>
    <row r="227" spans="4:15">
      <c r="D227" s="244">
        <v>19</v>
      </c>
      <c r="E227" s="224" t="s">
        <v>421</v>
      </c>
      <c r="F227" s="296" t="s">
        <v>385</v>
      </c>
      <c r="G227" s="224">
        <v>1</v>
      </c>
      <c r="H227" s="224"/>
      <c r="K227" s="224"/>
      <c r="L227" s="224"/>
      <c r="O227" s="224"/>
    </row>
    <row r="228" spans="4:15">
      <c r="D228" s="244">
        <v>20</v>
      </c>
      <c r="E228" s="224" t="s">
        <v>422</v>
      </c>
      <c r="F228" s="296" t="s">
        <v>385</v>
      </c>
      <c r="G228" s="224">
        <v>1</v>
      </c>
      <c r="H228" s="224"/>
      <c r="K228" s="224"/>
      <c r="L228" s="224"/>
      <c r="O228" s="224"/>
    </row>
    <row r="229" spans="4:15">
      <c r="D229" s="244">
        <v>21</v>
      </c>
      <c r="E229" s="224" t="s">
        <v>423</v>
      </c>
      <c r="F229" s="296" t="s">
        <v>385</v>
      </c>
      <c r="G229" s="224">
        <v>1</v>
      </c>
      <c r="H229" s="224"/>
      <c r="K229" s="224"/>
      <c r="L229" s="224"/>
      <c r="O229" s="224"/>
    </row>
    <row r="230" spans="4:15">
      <c r="D230" s="244">
        <v>22</v>
      </c>
      <c r="E230" s="224" t="s">
        <v>424</v>
      </c>
      <c r="F230" s="296" t="s">
        <v>385</v>
      </c>
      <c r="G230" s="224">
        <v>1</v>
      </c>
      <c r="H230" s="224"/>
      <c r="K230" s="224"/>
      <c r="L230" s="224"/>
      <c r="O230" s="224"/>
    </row>
    <row r="232" spans="4:15" ht="12.75">
      <c r="D232" s="255" t="s">
        <v>425</v>
      </c>
      <c r="H232" s="224"/>
      <c r="K232" s="224"/>
      <c r="L232" s="224"/>
      <c r="O232" s="224"/>
    </row>
    <row r="233" spans="4:15">
      <c r="D233" s="244">
        <v>1</v>
      </c>
      <c r="E233" s="224" t="s">
        <v>426</v>
      </c>
      <c r="H233" s="224"/>
      <c r="K233" s="224"/>
      <c r="L233" s="224"/>
      <c r="O233" s="224"/>
    </row>
    <row r="234" spans="4:15">
      <c r="D234" s="244">
        <v>2</v>
      </c>
      <c r="E234" s="224" t="s">
        <v>427</v>
      </c>
      <c r="H234" s="224"/>
      <c r="K234" s="224"/>
      <c r="L234" s="224"/>
      <c r="O234" s="224"/>
    </row>
    <row r="235" spans="4:15">
      <c r="D235" s="244">
        <v>3</v>
      </c>
      <c r="E235" s="224" t="s">
        <v>428</v>
      </c>
      <c r="H235" s="224"/>
      <c r="K235" s="224"/>
      <c r="L235" s="224"/>
      <c r="O235" s="224"/>
    </row>
    <row r="237" spans="4:15" ht="12.75">
      <c r="D237" s="255" t="s">
        <v>429</v>
      </c>
      <c r="H237" s="224"/>
      <c r="K237" s="224"/>
      <c r="L237" s="224"/>
      <c r="O237" s="224"/>
    </row>
    <row r="238" spans="4:15">
      <c r="D238" s="244">
        <v>1</v>
      </c>
      <c r="E238" s="224" t="s">
        <v>430</v>
      </c>
      <c r="H238" s="224"/>
      <c r="K238" s="224"/>
      <c r="L238" s="224"/>
      <c r="O238" s="224"/>
    </row>
    <row r="246" spans="3:18">
      <c r="D246" s="224" t="s">
        <v>63</v>
      </c>
    </row>
    <row r="247" spans="3:18">
      <c r="D247" s="224" t="s">
        <v>59</v>
      </c>
    </row>
    <row r="248" spans="3:18">
      <c r="D248" s="224" t="s">
        <v>62</v>
      </c>
    </row>
    <row r="249" spans="3:18">
      <c r="D249" s="224" t="s">
        <v>61</v>
      </c>
    </row>
    <row r="250" spans="3:18">
      <c r="D250" s="224" t="s">
        <v>137</v>
      </c>
    </row>
    <row r="252" spans="3:18" ht="15.75">
      <c r="D252" s="307">
        <v>55</v>
      </c>
      <c r="E252" s="224">
        <f>IF(AND(D252&gt;=21,D252&lt;=30),"21 - 30 tahun",IF(AND(D252&gt;30,D252&lt;=40),"31 - 40 tahun",IF(AND(D252&gt;40,D252&lt;=55),"41 - 55 tahun",IF(AND(D252&gt;55,D252&lt;=60),"56 - 60 tahun"))))</f>
      </c>
    </row>
    <row r="253" spans="3:18" ht="15" customHeight="1">
      <c r="E253" s="309">
        <f>IF(AND(D254&gt;=21,D254&lt;=30),"20 - 30 tahun",IF(AND(D254&gt;30,D254&lt;=40),"31 - 40 tahun",IF(AND(D254&gt;40,D254&lt;=50),"41 - 50 tahun",IF(AND(D254&gt;50,D254&lt;=60),"51 - 60 tahun"))))</f>
      </c>
      <c r="F253" s="224" t="s">
        <v>677</v>
      </c>
      <c r="G253" s="302">
        <v>60</v>
      </c>
      <c r="H253" s="494">
        <f>G253-D254</f>
      </c>
      <c r="I253" s="570">
        <f>IF(H253&lt;5,"&lt;5 Tahun",IF(AND(H253&gt;=5,H253&lt;=15),"5 Tahun - 15 Tahun",IF(AND(H253&gt;15,H253&lt;=30),"&gt;15 - 30 Tahun",IF(H253&gt;30,"&gt;30 Tahun"))))</f>
      </c>
      <c r="J253" s="253" t="s">
        <v>677</v>
      </c>
      <c r="K253" s="224" t="s">
        <v>775</v>
      </c>
      <c r="Q253" s="224" t="s">
        <v>677</v>
      </c>
      <c r="R253" s="224" t="s">
        <v>775</v>
      </c>
    </row>
    <row r="254" spans="3:18" ht="15.75">
      <c r="D254" s="308">
        <f>YEAR('Informasi Pokok'!D6)-IF(MONTH('Informasi Pokok'!D6)&lt;MONTH('Informasi Pokok'!I13),1,0)-YEAR('Informasi Pokok'!I13)+IF('Informasi Pokok'!D6-DATE(YEAR('Informasi Pokok'!D6)-IF(MONTH('Informasi Pokok'!D6)&lt;MONTH('Informasi Pokok'!I13),1,0),MONTH('Informasi Pokok'!I13),DAY('Informasi Pokok'!I13))&lt;=360,0,1)</f>
      </c>
      <c r="E254" s="309">
        <f>IF(AND(D254&gt;=21,D254&lt;=30),"20 - 30 tahun",IF(AND(D254&gt;30,D254&lt;=40),"31 - 40 tahun",IF(AND(D254&gt;40,D254&lt;=50),"41 - 50 tahun",IF(AND(D254&gt;50,D254&lt;=55),"51 - 55 tahun"))))</f>
      </c>
      <c r="F254" s="309" t="s">
        <v>775</v>
      </c>
      <c r="G254" s="302">
        <v>55</v>
      </c>
      <c r="H254" s="494">
        <f>G254-D254</f>
      </c>
      <c r="I254" s="570">
        <f>IF(H254&lt;5,"&lt;5 Tahun",IF(AND(H254&gt;=5,H254&lt;=15),"5 Tahun - 15 Tahun",IF(AND(H254&gt;15,H254&lt;=25),"&gt;15 - 25 Tahun",IF(H254&gt;25,"&gt;25 Tahun"))))</f>
      </c>
      <c r="J254" s="224" t="s">
        <v>776</v>
      </c>
      <c r="K254" s="224" t="s">
        <v>776</v>
      </c>
      <c r="Q254" s="272" t="s">
        <v>748</v>
      </c>
      <c r="R254" s="272" t="s">
        <v>748</v>
      </c>
    </row>
    <row r="255" spans="3:18">
      <c r="D255" s="224"/>
      <c r="J255" s="224" t="s">
        <v>362</v>
      </c>
      <c r="K255" s="224" t="s">
        <v>362</v>
      </c>
      <c r="Q255" s="224" t="s">
        <v>751</v>
      </c>
      <c r="R255" s="224" t="s">
        <v>751</v>
      </c>
    </row>
    <row r="256" spans="3:18" ht="15.75">
      <c r="C256" s="224">
        <v>1</v>
      </c>
      <c r="D256" s="308">
        <f>DATEDIF('Aspek Keuangan'!Q74,'Aspek Keuangan'!T74,"M")</f>
      </c>
      <c r="E256" s="310">
        <v>1</v>
      </c>
      <c r="F256" s="311">
        <f ca="1">DATEDIF(D257,F257,"M")</f>
      </c>
      <c r="G256" s="312">
        <f ca="1">D256-F256</f>
      </c>
      <c r="J256" s="224" t="s">
        <v>680</v>
      </c>
      <c r="K256" s="224" t="s">
        <v>680</v>
      </c>
      <c r="Q256" s="224" t="s">
        <v>778</v>
      </c>
      <c r="R256" s="224" t="s">
        <v>749</v>
      </c>
    </row>
    <row r="257" spans="3:18">
      <c r="D257" s="313">
        <f>'Aspek Keuangan'!Q74</f>
      </c>
      <c r="E257" s="313">
        <f ca="1">TODAY()</f>
      </c>
      <c r="F257" s="314">
        <f ca="1">IF(E257="","",DATE(YEAR(E257),MONTH(E257)-E256,DAY(D257)))</f>
      </c>
      <c r="G257" s="315">
        <f>'Aspek Keuangan'!F74/Parameter!D256</f>
      </c>
      <c r="J257" s="224" t="s">
        <v>774</v>
      </c>
      <c r="K257" s="224" t="s">
        <v>756</v>
      </c>
      <c r="Q257" s="224" t="s">
        <v>777</v>
      </c>
      <c r="R257" s="224" t="s">
        <v>750</v>
      </c>
    </row>
    <row r="258" spans="3:18" ht="15.75">
      <c r="C258" s="224">
        <v>2</v>
      </c>
      <c r="D258" s="308">
        <f>DATEDIF('Aspek Keuangan'!Q75,'Aspek Keuangan'!T75,"M")</f>
      </c>
      <c r="E258" s="310">
        <v>1</v>
      </c>
      <c r="F258" s="311">
        <f ca="1">DATEDIF(D259,F259,"M")</f>
      </c>
      <c r="G258" s="312">
        <f ca="1">D258-F258</f>
      </c>
    </row>
    <row r="259" spans="3:18">
      <c r="D259" s="313">
        <f>'Aspek Keuangan'!Q75</f>
      </c>
      <c r="E259" s="313">
        <f ca="1">TODAY()</f>
      </c>
      <c r="F259" s="314">
        <f ca="1">IF(E259="","",DATE(YEAR(E259),MONTH(E259)-E258,DAY(D259)))</f>
      </c>
      <c r="G259" s="315">
        <f>'Aspek Keuangan'!F75/Parameter!D258</f>
      </c>
    </row>
    <row r="260" spans="3:18" ht="15.75">
      <c r="C260" s="224">
        <v>3</v>
      </c>
      <c r="D260" s="308">
        <f>DATEDIF('Aspek Keuangan'!Q76,'Aspek Keuangan'!T76,"M")</f>
      </c>
      <c r="E260" s="310">
        <v>1</v>
      </c>
      <c r="F260" s="311">
        <f ca="1">DATEDIF(D261,F261,"M")</f>
      </c>
      <c r="G260" s="312">
        <f ca="1">D260-F260</f>
      </c>
    </row>
    <row r="261" spans="3:18">
      <c r="D261" s="313">
        <f>'Aspek Keuangan'!Q76</f>
      </c>
      <c r="E261" s="313">
        <f ca="1">TODAY()</f>
      </c>
      <c r="F261" s="314">
        <f ca="1">IF(E261="","",DATE(YEAR(E261),MONTH(E261)-E260,DAY(D261)))</f>
      </c>
      <c r="G261" s="315">
        <f>'Aspek Keuangan'!F76/Parameter!D260</f>
      </c>
    </row>
    <row r="262" spans="3:18" ht="15.75">
      <c r="C262" s="224">
        <v>4</v>
      </c>
      <c r="D262" s="308">
        <f>DATEDIF('Aspek Keuangan'!Q79,'Aspek Keuangan'!T79,"M")</f>
      </c>
      <c r="E262" s="310">
        <v>1</v>
      </c>
      <c r="F262" s="311">
        <f ca="1">DATEDIF(D263,F263,"M")</f>
      </c>
      <c r="G262" s="312">
        <f ca="1">D262-F262</f>
      </c>
    </row>
    <row r="263" spans="3:18">
      <c r="D263" s="313">
        <f>'Aspek Keuangan'!Q79</f>
      </c>
      <c r="E263" s="313">
        <f ca="1">TODAY()</f>
      </c>
      <c r="F263" s="314">
        <f ca="1">IF(E263="","",DATE(YEAR(E263),MONTH(E263)-E262,DAY(D263)))</f>
      </c>
      <c r="G263" s="315">
        <f>'Aspek Keuangan'!F79/Parameter!D262</f>
      </c>
    </row>
    <row r="264" spans="3:18" ht="15.75">
      <c r="C264" s="224">
        <v>5</v>
      </c>
      <c r="D264" s="308">
        <f>DATEDIF('Aspek Keuangan'!Q80,'Aspek Keuangan'!T80,"M")</f>
      </c>
      <c r="E264" s="310">
        <v>1</v>
      </c>
      <c r="F264" s="311">
        <f ca="1">DATEDIF(D265,F265,"M")</f>
      </c>
      <c r="G264" s="312">
        <f ca="1">D264-F264</f>
      </c>
    </row>
    <row r="265" spans="3:18">
      <c r="D265" s="313">
        <f>'Aspek Keuangan'!Q80</f>
      </c>
      <c r="E265" s="313">
        <f ca="1">TODAY()</f>
      </c>
      <c r="F265" s="314">
        <f ca="1">IF(E265="","",DATE(YEAR(E265),MONTH(E265)-E264,DAY(D265)))</f>
      </c>
      <c r="G265" s="315">
        <f>'Aspek Keuangan'!F80/Parameter!D264</f>
      </c>
    </row>
    <row r="267" spans="3:18" ht="15.75">
      <c r="C267" s="224">
        <v>1</v>
      </c>
      <c r="D267" s="308">
        <f>DATEDIF('Aspek Keuangan'!Q88,'Aspek Keuangan'!T88,"M")</f>
      </c>
      <c r="E267" s="310">
        <v>1</v>
      </c>
      <c r="F267" s="311">
        <f ca="1">DATEDIF(D268,F268,"M")</f>
      </c>
      <c r="G267" s="312">
        <f ca="1">D267-F267</f>
      </c>
    </row>
    <row r="268" spans="3:18">
      <c r="D268" s="313">
        <f>'Aspek Keuangan'!Q88</f>
      </c>
      <c r="E268" s="313">
        <f ca="1">TODAY()</f>
      </c>
      <c r="F268" s="314">
        <f ca="1">IF(E268="","",DATE(YEAR(E268),MONTH(E268)-E267,DAY(D268)))</f>
      </c>
      <c r="G268" s="315">
        <f>'Aspek Keuangan'!F88/Parameter!D267</f>
      </c>
    </row>
    <row r="269" spans="3:18" ht="15.75">
      <c r="C269" s="224">
        <v>2</v>
      </c>
      <c r="D269" s="308">
        <f>DATEDIF('Aspek Keuangan'!Q89,'Aspek Keuangan'!T89,"M")</f>
      </c>
      <c r="E269" s="310">
        <v>1</v>
      </c>
      <c r="F269" s="311">
        <f ca="1">DATEDIF(D270,F270,"M")</f>
      </c>
      <c r="G269" s="312">
        <f ca="1">D269-F269</f>
      </c>
    </row>
    <row r="270" spans="3:18">
      <c r="D270" s="313">
        <f>'Aspek Keuangan'!Q89</f>
      </c>
      <c r="E270" s="313">
        <f ca="1">TODAY()</f>
      </c>
      <c r="F270" s="314">
        <f ca="1">IF(E270="","",DATE(YEAR(E270),MONTH(E270)-E269,DAY(D270)))</f>
      </c>
      <c r="G270" s="315">
        <f>'Aspek Keuangan'!F89/Parameter!D269</f>
      </c>
    </row>
    <row r="271" spans="3:18" ht="15.75">
      <c r="C271" s="224">
        <v>3</v>
      </c>
      <c r="D271" s="308">
        <f>DATEDIF('Aspek Keuangan'!Q90,'Aspek Keuangan'!T90,"M")</f>
      </c>
      <c r="E271" s="310">
        <v>1</v>
      </c>
      <c r="F271" s="311">
        <f ca="1">DATEDIF(D272,F272,"M")</f>
      </c>
      <c r="G271" s="312">
        <f ca="1">D271-F271</f>
      </c>
    </row>
    <row r="272" spans="3:18">
      <c r="D272" s="313">
        <f>'Aspek Keuangan'!Q90</f>
      </c>
      <c r="E272" s="313">
        <f ca="1">TODAY()</f>
      </c>
      <c r="F272" s="314">
        <f ca="1">IF(E272="","",DATE(YEAR(E272),MONTH(E272)-E271,DAY(D272)))</f>
      </c>
      <c r="G272" s="315">
        <f>'Aspek Keuangan'!F90/Parameter!D271</f>
      </c>
    </row>
    <row r="273" spans="3:7" ht="15.75">
      <c r="C273" s="224">
        <v>4</v>
      </c>
      <c r="D273" s="308">
        <f>DATEDIF('Aspek Keuangan'!Q91,'Aspek Keuangan'!T91,"M")</f>
      </c>
      <c r="E273" s="310">
        <v>1</v>
      </c>
      <c r="F273" s="311">
        <f ca="1">DATEDIF(D274,F274,"M")</f>
      </c>
      <c r="G273" s="312">
        <f ca="1">D273-F273</f>
      </c>
    </row>
    <row r="274" spans="3:7">
      <c r="D274" s="313">
        <f>'Aspek Keuangan'!Q91</f>
      </c>
      <c r="E274" s="313">
        <f ca="1">TODAY()</f>
      </c>
      <c r="F274" s="314">
        <f ca="1">IF(E274="","",DATE(YEAR(E274),MONTH(E274)-E273,DAY(D274)))</f>
      </c>
      <c r="G274" s="315">
        <f>'Aspek Keuangan'!F91/Parameter!D273</f>
      </c>
    </row>
    <row r="275" spans="3:7" ht="15.75">
      <c r="C275" s="224">
        <v>5</v>
      </c>
      <c r="D275" s="308">
        <f>DATEDIF('Aspek Keuangan'!Q92,'Aspek Keuangan'!T92,"M")</f>
      </c>
      <c r="E275" s="310">
        <v>1</v>
      </c>
      <c r="F275" s="311">
        <f ca="1">DATEDIF(D276,F276,"M")</f>
      </c>
      <c r="G275" s="312">
        <f ca="1">D275-F275</f>
      </c>
    </row>
    <row r="276" spans="3:7">
      <c r="D276" s="313">
        <f>'Aspek Keuangan'!Q92</f>
      </c>
      <c r="E276" s="313">
        <f ca="1">TODAY()</f>
      </c>
      <c r="F276" s="314">
        <f ca="1">IF(E276="","",DATE(YEAR(E276),MONTH(E276)-E275,DAY(D276)))</f>
      </c>
      <c r="G276" s="315">
        <f>'Aspek Keuangan'!F92/Parameter!D275</f>
      </c>
    </row>
  </sheetData>
  <sheetProtection algorithmName="SHA-512" hashValue="m7k8rWsWAUHNBrKjHBi6yTMpSPvPF2dD+/63H1WcisOhWMbYzdnCvmhd7c5kpJ7vjSGyPZ9ruvm9cG+fbO50QQ==" saltValue="IZ5vlFaDMq0TgOZMPLLd3w==" spinCount="100000" sheet="1" objects="1" scenarios="1"/>
  <mergeCells count="3">
    <mergeCell ref="A1:G3"/>
    <mergeCell ref="H1:K1"/>
    <mergeCell ref="L1:O1"/>
  </mergeCells>
  <pageMargins left="0.7" right="0.7" top="0.75" bottom="0.75" header="0.3" footer="0.3"/>
  <pageSetup paperSize="9" orientation="portrait"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I1026"/>
  <sheetViews>
    <sheetView workbookViewId="0">
      <selection activeCell="C2" sqref="C2"/>
    </sheetView>
  </sheetViews>
  <sheetFormatPr defaultColWidth="9.140625" defaultRowHeight="15"/>
  <cols>
    <col min="1" max="1" width="6" style="200" customWidth="1"/>
    <col min="2" max="3" width="7.85546875" style="200" customWidth="1"/>
    <col min="4" max="4" width="6" style="200" customWidth="1"/>
    <col min="5" max="5" width="14.28515625" style="200" customWidth="1"/>
    <col min="6" max="6" width="19.28515625" style="200" customWidth="1"/>
    <col min="7" max="7" width="7.85546875" style="200" customWidth="1"/>
    <col min="8" max="8" width="9" style="201" customWidth="1"/>
    <col min="9" max="9" width="130.28515625" style="200" customWidth="1"/>
    <col min="10" max="16384" width="9.140625" style="200"/>
  </cols>
  <sheetData>
    <row r="2" spans="1:9" ht="15.75" thickBot="1"/>
    <row r="3" spans="1:9" s="222" customFormat="1" ht="21.75" customHeight="1" thickBot="1">
      <c r="B3" s="344" t="s">
        <v>438</v>
      </c>
      <c r="C3" s="344" t="s">
        <v>439</v>
      </c>
      <c r="D3" s="344" t="s">
        <v>644</v>
      </c>
      <c r="E3" s="1876" t="s">
        <v>440</v>
      </c>
      <c r="F3" s="1876"/>
      <c r="G3" s="344" t="s">
        <v>644</v>
      </c>
      <c r="H3" s="223" t="s">
        <v>441</v>
      </c>
      <c r="I3" s="344" t="s">
        <v>442</v>
      </c>
    </row>
    <row r="4" spans="1:9" ht="30.75" thickBot="1">
      <c r="A4" s="200">
        <v>1</v>
      </c>
      <c r="B4" s="202">
        <v>100</v>
      </c>
      <c r="C4" s="202">
        <v>98</v>
      </c>
      <c r="D4" s="202">
        <v>1</v>
      </c>
      <c r="E4" s="203" t="s">
        <v>443</v>
      </c>
      <c r="F4" s="202" t="s">
        <v>444</v>
      </c>
      <c r="G4" s="202">
        <v>1</v>
      </c>
      <c r="H4" s="204">
        <v>2.9999999999999997E-4</v>
      </c>
      <c r="I4" s="205" t="s">
        <v>445</v>
      </c>
    </row>
    <row r="5" spans="1:9" ht="15.75" customHeight="1" thickBot="1">
      <c r="A5" s="200">
        <v>2</v>
      </c>
      <c r="B5" s="202">
        <v>97</v>
      </c>
      <c r="C5" s="202">
        <v>95</v>
      </c>
      <c r="D5" s="202">
        <v>2</v>
      </c>
      <c r="E5" s="203" t="s">
        <v>446</v>
      </c>
      <c r="F5" s="202" t="s">
        <v>447</v>
      </c>
      <c r="G5" s="202">
        <v>2</v>
      </c>
      <c r="H5" s="204">
        <v>2.9999999999999997E-4</v>
      </c>
      <c r="I5" s="206" t="s">
        <v>533</v>
      </c>
    </row>
    <row r="6" spans="1:9" ht="30.75" thickBot="1">
      <c r="A6" s="200">
        <v>3</v>
      </c>
      <c r="B6" s="202">
        <v>94</v>
      </c>
      <c r="C6" s="202">
        <v>92</v>
      </c>
      <c r="D6" s="202">
        <v>3</v>
      </c>
      <c r="E6" s="203" t="s">
        <v>449</v>
      </c>
      <c r="F6" s="202" t="s">
        <v>447</v>
      </c>
      <c r="G6" s="202">
        <v>3</v>
      </c>
      <c r="H6" s="204">
        <v>2.9999999999999997E-4</v>
      </c>
      <c r="I6" s="206" t="s">
        <v>448</v>
      </c>
    </row>
    <row r="7" spans="1:9" ht="30.75" thickBot="1">
      <c r="A7" s="200">
        <v>4</v>
      </c>
      <c r="B7" s="202">
        <v>91</v>
      </c>
      <c r="C7" s="202">
        <v>89</v>
      </c>
      <c r="D7" s="202">
        <v>4</v>
      </c>
      <c r="E7" s="203" t="s">
        <v>450</v>
      </c>
      <c r="F7" s="202" t="s">
        <v>447</v>
      </c>
      <c r="G7" s="202">
        <v>4</v>
      </c>
      <c r="H7" s="204">
        <v>2.9999999999999997E-4</v>
      </c>
      <c r="I7" s="206" t="s">
        <v>534</v>
      </c>
    </row>
    <row r="8" spans="1:9" ht="15.75" customHeight="1" thickBot="1">
      <c r="A8" s="200">
        <v>5</v>
      </c>
      <c r="B8" s="202">
        <v>88</v>
      </c>
      <c r="C8" s="202">
        <v>86</v>
      </c>
      <c r="D8" s="202">
        <v>5</v>
      </c>
      <c r="E8" s="203" t="s">
        <v>451</v>
      </c>
      <c r="F8" s="202" t="s">
        <v>452</v>
      </c>
      <c r="G8" s="202">
        <v>5</v>
      </c>
      <c r="H8" s="204">
        <v>5.9999999999999995E-4</v>
      </c>
      <c r="I8" s="206" t="s">
        <v>535</v>
      </c>
    </row>
    <row r="9" spans="1:9" ht="30.75" thickBot="1">
      <c r="A9" s="200">
        <v>6</v>
      </c>
      <c r="B9" s="202">
        <v>85</v>
      </c>
      <c r="C9" s="202">
        <v>83</v>
      </c>
      <c r="D9" s="202">
        <v>6</v>
      </c>
      <c r="E9" s="203" t="s">
        <v>454</v>
      </c>
      <c r="F9" s="202" t="s">
        <v>452</v>
      </c>
      <c r="G9" s="202">
        <v>6</v>
      </c>
      <c r="H9" s="204">
        <v>4.0000000000000002E-4</v>
      </c>
      <c r="I9" s="207" t="s">
        <v>453</v>
      </c>
    </row>
    <row r="10" spans="1:9" ht="30.75" thickBot="1">
      <c r="A10" s="200">
        <v>7</v>
      </c>
      <c r="B10" s="202">
        <v>82</v>
      </c>
      <c r="C10" s="202">
        <v>80</v>
      </c>
      <c r="D10" s="202">
        <v>7</v>
      </c>
      <c r="E10" s="203" t="s">
        <v>455</v>
      </c>
      <c r="F10" s="202" t="s">
        <v>452</v>
      </c>
      <c r="G10" s="202">
        <v>7</v>
      </c>
      <c r="H10" s="204">
        <v>5.0000000000000001E-4</v>
      </c>
      <c r="I10" s="206" t="s">
        <v>536</v>
      </c>
    </row>
    <row r="11" spans="1:9" ht="15.75" customHeight="1" thickBot="1">
      <c r="A11" s="200">
        <v>8</v>
      </c>
      <c r="B11" s="202">
        <v>79</v>
      </c>
      <c r="C11" s="202">
        <v>77</v>
      </c>
      <c r="D11" s="202">
        <v>8</v>
      </c>
      <c r="E11" s="203" t="s">
        <v>456</v>
      </c>
      <c r="F11" s="202" t="s">
        <v>457</v>
      </c>
      <c r="G11" s="202">
        <v>8</v>
      </c>
      <c r="H11" s="204">
        <v>1.8E-3</v>
      </c>
      <c r="I11" s="206" t="s">
        <v>537</v>
      </c>
    </row>
    <row r="12" spans="1:9" ht="30.75" thickBot="1">
      <c r="A12" s="200">
        <v>9</v>
      </c>
      <c r="B12" s="202">
        <v>76</v>
      </c>
      <c r="C12" s="202">
        <v>74</v>
      </c>
      <c r="D12" s="202">
        <v>9</v>
      </c>
      <c r="E12" s="203" t="s">
        <v>459</v>
      </c>
      <c r="F12" s="202" t="s">
        <v>457</v>
      </c>
      <c r="G12" s="202">
        <v>9</v>
      </c>
      <c r="H12" s="204">
        <v>2.8999999999999998E-3</v>
      </c>
      <c r="I12" s="206" t="s">
        <v>458</v>
      </c>
    </row>
    <row r="13" spans="1:9" ht="30.75" thickBot="1">
      <c r="A13" s="200">
        <v>10</v>
      </c>
      <c r="B13" s="202">
        <v>73</v>
      </c>
      <c r="C13" s="202">
        <v>71</v>
      </c>
      <c r="D13" s="202">
        <v>10</v>
      </c>
      <c r="E13" s="203" t="s">
        <v>460</v>
      </c>
      <c r="F13" s="202" t="s">
        <v>457</v>
      </c>
      <c r="G13" s="202">
        <v>10</v>
      </c>
      <c r="H13" s="204">
        <v>3.3E-3</v>
      </c>
      <c r="I13" s="206" t="s">
        <v>538</v>
      </c>
    </row>
    <row r="14" spans="1:9" ht="15.75" customHeight="1" thickBot="1">
      <c r="A14" s="200">
        <v>11</v>
      </c>
      <c r="B14" s="202">
        <v>70</v>
      </c>
      <c r="C14" s="202">
        <v>68</v>
      </c>
      <c r="D14" s="202">
        <v>11</v>
      </c>
      <c r="E14" s="203" t="s">
        <v>461</v>
      </c>
      <c r="F14" s="202" t="s">
        <v>462</v>
      </c>
      <c r="G14" s="202">
        <v>11</v>
      </c>
      <c r="H14" s="204">
        <v>4.7999999999999996E-3</v>
      </c>
      <c r="I14" s="206" t="s">
        <v>539</v>
      </c>
    </row>
    <row r="15" spans="1:9" ht="45.75" thickBot="1">
      <c r="A15" s="200">
        <v>12</v>
      </c>
      <c r="B15" s="202">
        <v>67</v>
      </c>
      <c r="C15" s="202">
        <v>65</v>
      </c>
      <c r="D15" s="202">
        <v>12</v>
      </c>
      <c r="E15" s="208" t="s">
        <v>464</v>
      </c>
      <c r="F15" s="202" t="s">
        <v>462</v>
      </c>
      <c r="G15" s="202">
        <v>12</v>
      </c>
      <c r="H15" s="204">
        <v>1.0699999999999999E-2</v>
      </c>
      <c r="I15" s="207" t="s">
        <v>463</v>
      </c>
    </row>
    <row r="16" spans="1:9" ht="45.75" thickBot="1">
      <c r="A16" s="200">
        <v>13</v>
      </c>
      <c r="B16" s="202">
        <v>64</v>
      </c>
      <c r="C16" s="202">
        <v>62</v>
      </c>
      <c r="D16" s="202">
        <v>13</v>
      </c>
      <c r="E16" s="208" t="s">
        <v>465</v>
      </c>
      <c r="F16" s="202" t="s">
        <v>466</v>
      </c>
      <c r="G16" s="202">
        <v>13</v>
      </c>
      <c r="H16" s="204">
        <v>1.46E-2</v>
      </c>
      <c r="I16" s="206" t="s">
        <v>540</v>
      </c>
    </row>
    <row r="17" spans="1:9" ht="15.75" customHeight="1" thickBot="1">
      <c r="A17" s="200">
        <v>14</v>
      </c>
      <c r="B17" s="202">
        <v>61</v>
      </c>
      <c r="C17" s="202">
        <v>59</v>
      </c>
      <c r="D17" s="202">
        <v>14</v>
      </c>
      <c r="E17" s="208" t="s">
        <v>467</v>
      </c>
      <c r="F17" s="202" t="s">
        <v>466</v>
      </c>
      <c r="G17" s="202">
        <v>14</v>
      </c>
      <c r="H17" s="204">
        <v>3.2399999999999998E-2</v>
      </c>
      <c r="I17" s="206" t="s">
        <v>541</v>
      </c>
    </row>
    <row r="18" spans="1:9" ht="45.75" thickBot="1">
      <c r="A18" s="200">
        <v>15</v>
      </c>
      <c r="B18" s="202">
        <v>58</v>
      </c>
      <c r="C18" s="202">
        <v>56</v>
      </c>
      <c r="D18" s="202">
        <v>15</v>
      </c>
      <c r="E18" s="209" t="s">
        <v>469</v>
      </c>
      <c r="F18" s="202" t="s">
        <v>470</v>
      </c>
      <c r="G18" s="202">
        <v>15</v>
      </c>
      <c r="H18" s="204">
        <v>9.2899999999999996E-2</v>
      </c>
      <c r="I18" s="207" t="s">
        <v>468</v>
      </c>
    </row>
    <row r="19" spans="1:9" ht="45.75" thickBot="1">
      <c r="A19" s="200">
        <v>16</v>
      </c>
      <c r="B19" s="202">
        <v>55</v>
      </c>
      <c r="C19" s="202">
        <v>53</v>
      </c>
      <c r="D19" s="202">
        <v>16</v>
      </c>
      <c r="E19" s="209" t="s">
        <v>471</v>
      </c>
      <c r="F19" s="202" t="s">
        <v>470</v>
      </c>
      <c r="G19" s="202">
        <v>16</v>
      </c>
      <c r="H19" s="204">
        <v>0.11890000000000001</v>
      </c>
      <c r="I19" s="206" t="s">
        <v>542</v>
      </c>
    </row>
    <row r="20" spans="1:9" ht="15.75" customHeight="1" thickBot="1">
      <c r="A20" s="200">
        <v>17</v>
      </c>
      <c r="B20" s="202">
        <v>52</v>
      </c>
      <c r="C20" s="202">
        <v>50</v>
      </c>
      <c r="D20" s="202">
        <v>17</v>
      </c>
      <c r="E20" s="208" t="s">
        <v>472</v>
      </c>
      <c r="F20" s="202" t="s">
        <v>473</v>
      </c>
      <c r="G20" s="202">
        <v>17</v>
      </c>
      <c r="H20" s="204">
        <v>0.2472</v>
      </c>
      <c r="I20" s="206" t="s">
        <v>543</v>
      </c>
    </row>
    <row r="21" spans="1:9" ht="45.75" thickBot="1">
      <c r="A21" s="200">
        <v>18</v>
      </c>
      <c r="B21" s="202">
        <v>49</v>
      </c>
      <c r="C21" s="202">
        <v>47</v>
      </c>
      <c r="D21" s="202">
        <v>18</v>
      </c>
      <c r="E21" s="208" t="s">
        <v>475</v>
      </c>
      <c r="F21" s="202" t="s">
        <v>473</v>
      </c>
      <c r="G21" s="202">
        <v>18</v>
      </c>
      <c r="H21" s="204">
        <v>0.2472</v>
      </c>
      <c r="I21" s="207" t="s">
        <v>474</v>
      </c>
    </row>
    <row r="22" spans="1:9" ht="45.75" thickBot="1">
      <c r="A22" s="200">
        <v>19</v>
      </c>
      <c r="B22" s="202">
        <v>46</v>
      </c>
      <c r="C22" s="202">
        <v>44</v>
      </c>
      <c r="D22" s="202">
        <v>19</v>
      </c>
      <c r="E22" s="208" t="s">
        <v>476</v>
      </c>
      <c r="F22" s="202" t="s">
        <v>477</v>
      </c>
      <c r="G22" s="202">
        <v>19</v>
      </c>
      <c r="H22" s="204">
        <v>0.2472</v>
      </c>
      <c r="I22" s="206" t="s">
        <v>544</v>
      </c>
    </row>
    <row r="23" spans="1:9" ht="15.75" thickBot="1">
      <c r="A23" s="200">
        <v>20</v>
      </c>
      <c r="B23" s="202">
        <v>43</v>
      </c>
      <c r="C23" s="202">
        <v>0</v>
      </c>
      <c r="D23" s="202">
        <v>20</v>
      </c>
      <c r="E23" s="202" t="s">
        <v>478</v>
      </c>
      <c r="F23" s="202" t="s">
        <v>479</v>
      </c>
      <c r="G23" s="202">
        <v>20</v>
      </c>
      <c r="H23" s="204">
        <v>1</v>
      </c>
      <c r="I23" s="202" t="s">
        <v>480</v>
      </c>
    </row>
    <row r="24" spans="1:9">
      <c r="E24" s="200" t="s">
        <v>481</v>
      </c>
      <c r="F24" s="200" t="s">
        <v>481</v>
      </c>
      <c r="G24" s="200">
        <v>21</v>
      </c>
    </row>
    <row r="26" spans="1:9">
      <c r="D26" s="210">
        <v>100</v>
      </c>
      <c r="E26" s="210" t="s">
        <v>443</v>
      </c>
      <c r="F26" s="210">
        <v>1</v>
      </c>
      <c r="H26" s="211"/>
    </row>
    <row r="27" spans="1:9">
      <c r="D27" s="210">
        <v>99</v>
      </c>
      <c r="E27" s="210" t="s">
        <v>443</v>
      </c>
      <c r="F27" s="210">
        <v>1</v>
      </c>
      <c r="H27" s="211"/>
    </row>
    <row r="28" spans="1:9">
      <c r="D28" s="210">
        <v>98</v>
      </c>
      <c r="E28" s="210" t="s">
        <v>443</v>
      </c>
      <c r="F28" s="210">
        <v>1</v>
      </c>
      <c r="H28" s="211"/>
    </row>
    <row r="29" spans="1:9">
      <c r="D29" s="210">
        <v>97</v>
      </c>
      <c r="E29" s="210" t="s">
        <v>446</v>
      </c>
      <c r="F29" s="210">
        <v>2</v>
      </c>
      <c r="H29" s="211"/>
    </row>
    <row r="30" spans="1:9">
      <c r="D30" s="210">
        <v>96</v>
      </c>
      <c r="E30" s="210" t="s">
        <v>446</v>
      </c>
      <c r="F30" s="210">
        <v>2</v>
      </c>
      <c r="H30" s="211"/>
    </row>
    <row r="31" spans="1:9">
      <c r="D31" s="210">
        <v>95</v>
      </c>
      <c r="E31" s="210" t="s">
        <v>446</v>
      </c>
      <c r="F31" s="210">
        <v>2</v>
      </c>
      <c r="H31" s="211"/>
    </row>
    <row r="32" spans="1:9">
      <c r="D32" s="210">
        <v>94</v>
      </c>
      <c r="E32" s="210" t="s">
        <v>449</v>
      </c>
      <c r="F32" s="210">
        <v>3</v>
      </c>
      <c r="H32" s="211"/>
    </row>
    <row r="33" spans="4:8">
      <c r="D33" s="210">
        <v>93</v>
      </c>
      <c r="E33" s="210" t="s">
        <v>449</v>
      </c>
      <c r="F33" s="210">
        <v>3</v>
      </c>
      <c r="H33" s="211"/>
    </row>
    <row r="34" spans="4:8">
      <c r="D34" s="210">
        <v>92</v>
      </c>
      <c r="E34" s="210" t="s">
        <v>449</v>
      </c>
      <c r="F34" s="210">
        <v>3</v>
      </c>
      <c r="H34" s="211"/>
    </row>
    <row r="35" spans="4:8">
      <c r="D35" s="210">
        <v>91</v>
      </c>
      <c r="E35" s="210" t="s">
        <v>450</v>
      </c>
      <c r="F35" s="210">
        <v>4</v>
      </c>
      <c r="H35" s="211"/>
    </row>
    <row r="36" spans="4:8">
      <c r="D36" s="210">
        <v>90</v>
      </c>
      <c r="E36" s="210" t="s">
        <v>450</v>
      </c>
      <c r="F36" s="210">
        <v>4</v>
      </c>
      <c r="H36" s="211"/>
    </row>
    <row r="37" spans="4:8">
      <c r="D37" s="210">
        <v>89</v>
      </c>
      <c r="E37" s="210" t="s">
        <v>450</v>
      </c>
      <c r="F37" s="210">
        <v>4</v>
      </c>
      <c r="H37" s="211"/>
    </row>
    <row r="38" spans="4:8">
      <c r="D38" s="210">
        <v>88</v>
      </c>
      <c r="E38" s="210" t="s">
        <v>451</v>
      </c>
      <c r="F38" s="210">
        <v>5</v>
      </c>
      <c r="H38" s="211"/>
    </row>
    <row r="39" spans="4:8">
      <c r="D39" s="210">
        <v>87</v>
      </c>
      <c r="E39" s="210" t="s">
        <v>451</v>
      </c>
      <c r="F39" s="210">
        <v>5</v>
      </c>
      <c r="H39" s="211"/>
    </row>
    <row r="40" spans="4:8">
      <c r="D40" s="210">
        <v>86</v>
      </c>
      <c r="E40" s="210" t="s">
        <v>451</v>
      </c>
      <c r="F40" s="210">
        <v>5</v>
      </c>
      <c r="H40" s="211"/>
    </row>
    <row r="41" spans="4:8">
      <c r="D41" s="210">
        <v>85</v>
      </c>
      <c r="E41" s="210" t="s">
        <v>454</v>
      </c>
      <c r="F41" s="210">
        <v>6</v>
      </c>
      <c r="H41" s="211"/>
    </row>
    <row r="42" spans="4:8">
      <c r="D42" s="210">
        <v>84</v>
      </c>
      <c r="E42" s="210" t="s">
        <v>454</v>
      </c>
      <c r="F42" s="210">
        <v>6</v>
      </c>
      <c r="H42" s="211"/>
    </row>
    <row r="43" spans="4:8">
      <c r="D43" s="210">
        <v>83</v>
      </c>
      <c r="E43" s="210" t="s">
        <v>454</v>
      </c>
      <c r="F43" s="210">
        <v>6</v>
      </c>
      <c r="H43" s="211"/>
    </row>
    <row r="44" spans="4:8">
      <c r="D44" s="210">
        <v>82</v>
      </c>
      <c r="E44" s="210" t="s">
        <v>455</v>
      </c>
      <c r="F44" s="210">
        <v>7</v>
      </c>
      <c r="H44" s="211"/>
    </row>
    <row r="45" spans="4:8">
      <c r="D45" s="210">
        <v>81</v>
      </c>
      <c r="E45" s="210" t="s">
        <v>455</v>
      </c>
      <c r="F45" s="210">
        <v>7</v>
      </c>
      <c r="H45" s="211"/>
    </row>
    <row r="46" spans="4:8">
      <c r="D46" s="210">
        <v>80</v>
      </c>
      <c r="E46" s="210" t="s">
        <v>455</v>
      </c>
      <c r="F46" s="210">
        <v>7</v>
      </c>
      <c r="H46" s="211"/>
    </row>
    <row r="47" spans="4:8">
      <c r="D47" s="210">
        <v>79</v>
      </c>
      <c r="E47" s="210" t="s">
        <v>456</v>
      </c>
      <c r="F47" s="210">
        <v>8</v>
      </c>
      <c r="H47" s="211"/>
    </row>
    <row r="48" spans="4:8">
      <c r="D48" s="210">
        <v>78</v>
      </c>
      <c r="E48" s="210" t="s">
        <v>456</v>
      </c>
      <c r="F48" s="210">
        <v>8</v>
      </c>
      <c r="H48" s="211"/>
    </row>
    <row r="49" spans="4:8">
      <c r="D49" s="210">
        <v>77</v>
      </c>
      <c r="E49" s="210" t="s">
        <v>456</v>
      </c>
      <c r="F49" s="210">
        <v>8</v>
      </c>
      <c r="H49" s="211"/>
    </row>
    <row r="50" spans="4:8">
      <c r="D50" s="210">
        <v>76</v>
      </c>
      <c r="E50" s="210" t="s">
        <v>459</v>
      </c>
      <c r="F50" s="210">
        <v>9</v>
      </c>
      <c r="H50" s="211"/>
    </row>
    <row r="51" spans="4:8">
      <c r="D51" s="210">
        <v>75</v>
      </c>
      <c r="E51" s="210" t="s">
        <v>459</v>
      </c>
      <c r="F51" s="210">
        <v>9</v>
      </c>
      <c r="H51" s="211"/>
    </row>
    <row r="52" spans="4:8">
      <c r="D52" s="210">
        <v>74</v>
      </c>
      <c r="E52" s="210" t="s">
        <v>459</v>
      </c>
      <c r="F52" s="210">
        <v>9</v>
      </c>
      <c r="H52" s="211"/>
    </row>
    <row r="53" spans="4:8">
      <c r="D53" s="210">
        <v>73</v>
      </c>
      <c r="E53" s="210" t="s">
        <v>460</v>
      </c>
      <c r="F53" s="210">
        <v>10</v>
      </c>
      <c r="H53" s="211"/>
    </row>
    <row r="54" spans="4:8">
      <c r="D54" s="210">
        <v>72</v>
      </c>
      <c r="E54" s="210" t="s">
        <v>460</v>
      </c>
      <c r="F54" s="210">
        <v>10</v>
      </c>
      <c r="H54" s="211"/>
    </row>
    <row r="55" spans="4:8">
      <c r="D55" s="210">
        <v>71</v>
      </c>
      <c r="E55" s="210" t="s">
        <v>460</v>
      </c>
      <c r="F55" s="210">
        <v>10</v>
      </c>
      <c r="H55" s="211"/>
    </row>
    <row r="56" spans="4:8">
      <c r="D56" s="210">
        <v>70</v>
      </c>
      <c r="E56" s="210" t="s">
        <v>461</v>
      </c>
      <c r="F56" s="210">
        <v>11</v>
      </c>
      <c r="H56" s="211"/>
    </row>
    <row r="57" spans="4:8">
      <c r="D57" s="210">
        <v>69</v>
      </c>
      <c r="E57" s="210" t="s">
        <v>461</v>
      </c>
      <c r="F57" s="210">
        <v>11</v>
      </c>
      <c r="H57" s="211"/>
    </row>
    <row r="58" spans="4:8">
      <c r="D58" s="210">
        <v>68</v>
      </c>
      <c r="E58" s="210" t="s">
        <v>461</v>
      </c>
      <c r="F58" s="210">
        <v>11</v>
      </c>
      <c r="H58" s="211"/>
    </row>
    <row r="59" spans="4:8">
      <c r="D59" s="210">
        <v>67</v>
      </c>
      <c r="E59" s="210" t="s">
        <v>464</v>
      </c>
      <c r="F59" s="210">
        <v>12</v>
      </c>
      <c r="H59" s="211"/>
    </row>
    <row r="60" spans="4:8">
      <c r="D60" s="210">
        <v>66</v>
      </c>
      <c r="E60" s="210" t="s">
        <v>464</v>
      </c>
      <c r="F60" s="210">
        <v>12</v>
      </c>
      <c r="H60" s="211"/>
    </row>
    <row r="61" spans="4:8">
      <c r="D61" s="210">
        <v>65</v>
      </c>
      <c r="E61" s="210" t="s">
        <v>464</v>
      </c>
      <c r="F61" s="210">
        <v>12</v>
      </c>
      <c r="H61" s="211"/>
    </row>
    <row r="62" spans="4:8">
      <c r="D62" s="210">
        <v>64</v>
      </c>
      <c r="E62" s="210" t="s">
        <v>465</v>
      </c>
      <c r="F62" s="210">
        <v>13</v>
      </c>
      <c r="H62" s="211"/>
    </row>
    <row r="63" spans="4:8">
      <c r="D63" s="210">
        <v>63</v>
      </c>
      <c r="E63" s="210" t="s">
        <v>465</v>
      </c>
      <c r="F63" s="210">
        <v>13</v>
      </c>
      <c r="H63" s="211"/>
    </row>
    <row r="64" spans="4:8">
      <c r="D64" s="210">
        <v>62</v>
      </c>
      <c r="E64" s="210" t="s">
        <v>465</v>
      </c>
      <c r="F64" s="210">
        <v>13</v>
      </c>
      <c r="H64" s="211"/>
    </row>
    <row r="65" spans="4:8">
      <c r="D65" s="210">
        <v>61</v>
      </c>
      <c r="E65" s="210" t="s">
        <v>467</v>
      </c>
      <c r="F65" s="210">
        <v>14</v>
      </c>
      <c r="H65" s="211"/>
    </row>
    <row r="66" spans="4:8">
      <c r="D66" s="210">
        <v>60</v>
      </c>
      <c r="E66" s="210" t="s">
        <v>467</v>
      </c>
      <c r="F66" s="210">
        <v>14</v>
      </c>
      <c r="H66" s="211"/>
    </row>
    <row r="67" spans="4:8">
      <c r="D67" s="210">
        <v>59</v>
      </c>
      <c r="E67" s="210" t="s">
        <v>467</v>
      </c>
      <c r="F67" s="210">
        <v>14</v>
      </c>
      <c r="H67" s="211"/>
    </row>
    <row r="68" spans="4:8">
      <c r="D68" s="210">
        <v>58</v>
      </c>
      <c r="E68" s="210" t="s">
        <v>469</v>
      </c>
      <c r="F68" s="210">
        <v>15</v>
      </c>
      <c r="H68" s="211"/>
    </row>
    <row r="69" spans="4:8">
      <c r="D69" s="210">
        <v>57</v>
      </c>
      <c r="E69" s="210" t="s">
        <v>469</v>
      </c>
      <c r="F69" s="210">
        <v>15</v>
      </c>
      <c r="H69" s="211"/>
    </row>
    <row r="70" spans="4:8">
      <c r="D70" s="210">
        <v>56</v>
      </c>
      <c r="E70" s="210" t="s">
        <v>469</v>
      </c>
      <c r="F70" s="210">
        <v>15</v>
      </c>
      <c r="H70" s="211"/>
    </row>
    <row r="71" spans="4:8">
      <c r="D71" s="210">
        <v>55</v>
      </c>
      <c r="E71" s="210" t="s">
        <v>471</v>
      </c>
      <c r="F71" s="210">
        <v>16</v>
      </c>
      <c r="H71" s="211"/>
    </row>
    <row r="72" spans="4:8">
      <c r="D72" s="210">
        <v>54</v>
      </c>
      <c r="E72" s="210" t="s">
        <v>471</v>
      </c>
      <c r="F72" s="210">
        <v>16</v>
      </c>
      <c r="H72" s="211"/>
    </row>
    <row r="73" spans="4:8">
      <c r="D73" s="210">
        <v>53</v>
      </c>
      <c r="E73" s="210" t="s">
        <v>471</v>
      </c>
      <c r="F73" s="210">
        <v>16</v>
      </c>
      <c r="H73" s="211"/>
    </row>
    <row r="74" spans="4:8">
      <c r="D74" s="210">
        <v>52</v>
      </c>
      <c r="E74" s="210" t="s">
        <v>472</v>
      </c>
      <c r="F74" s="210">
        <v>17</v>
      </c>
      <c r="H74" s="211"/>
    </row>
    <row r="75" spans="4:8">
      <c r="D75" s="210">
        <v>51</v>
      </c>
      <c r="E75" s="210" t="s">
        <v>472</v>
      </c>
      <c r="F75" s="210">
        <v>17</v>
      </c>
      <c r="H75" s="211"/>
    </row>
    <row r="76" spans="4:8">
      <c r="D76" s="210">
        <v>50</v>
      </c>
      <c r="E76" s="210" t="s">
        <v>472</v>
      </c>
      <c r="F76" s="210">
        <v>17</v>
      </c>
      <c r="H76" s="211"/>
    </row>
    <row r="77" spans="4:8">
      <c r="D77" s="210">
        <v>49</v>
      </c>
      <c r="E77" s="210" t="s">
        <v>475</v>
      </c>
      <c r="F77" s="210">
        <v>18</v>
      </c>
      <c r="H77" s="211"/>
    </row>
    <row r="78" spans="4:8">
      <c r="D78" s="210">
        <v>48</v>
      </c>
      <c r="E78" s="210" t="s">
        <v>475</v>
      </c>
      <c r="F78" s="210">
        <v>18</v>
      </c>
      <c r="H78" s="211"/>
    </row>
    <row r="79" spans="4:8">
      <c r="D79" s="210">
        <v>47</v>
      </c>
      <c r="E79" s="210" t="s">
        <v>475</v>
      </c>
      <c r="F79" s="210">
        <v>18</v>
      </c>
      <c r="H79" s="211"/>
    </row>
    <row r="80" spans="4:8">
      <c r="D80" s="210">
        <v>46</v>
      </c>
      <c r="E80" s="210" t="s">
        <v>476</v>
      </c>
      <c r="F80" s="210">
        <v>19</v>
      </c>
      <c r="H80" s="211"/>
    </row>
    <row r="81" spans="4:8">
      <c r="D81" s="210">
        <v>45</v>
      </c>
      <c r="E81" s="210" t="s">
        <v>476</v>
      </c>
      <c r="F81" s="210">
        <v>19</v>
      </c>
      <c r="H81" s="211"/>
    </row>
    <row r="82" spans="4:8">
      <c r="D82" s="210">
        <v>44</v>
      </c>
      <c r="E82" s="210" t="s">
        <v>476</v>
      </c>
      <c r="F82" s="210">
        <v>19</v>
      </c>
      <c r="H82" s="211"/>
    </row>
    <row r="83" spans="4:8">
      <c r="D83" s="210">
        <v>43</v>
      </c>
      <c r="E83" s="210" t="s">
        <v>478</v>
      </c>
      <c r="F83" s="210">
        <v>20</v>
      </c>
      <c r="H83" s="211"/>
    </row>
    <row r="84" spans="4:8">
      <c r="D84" s="210">
        <v>42</v>
      </c>
      <c r="E84" s="210" t="s">
        <v>478</v>
      </c>
      <c r="F84" s="210">
        <v>20</v>
      </c>
      <c r="H84" s="211"/>
    </row>
    <row r="85" spans="4:8">
      <c r="D85" s="210">
        <v>41</v>
      </c>
      <c r="E85" s="210" t="s">
        <v>478</v>
      </c>
      <c r="F85" s="210">
        <v>20</v>
      </c>
      <c r="H85" s="211"/>
    </row>
    <row r="86" spans="4:8">
      <c r="D86" s="210">
        <v>40</v>
      </c>
      <c r="E86" s="210" t="s">
        <v>478</v>
      </c>
      <c r="F86" s="210">
        <v>20</v>
      </c>
      <c r="H86" s="211"/>
    </row>
    <row r="87" spans="4:8">
      <c r="D87" s="210">
        <v>39</v>
      </c>
      <c r="E87" s="210" t="s">
        <v>478</v>
      </c>
      <c r="F87" s="210">
        <v>20</v>
      </c>
      <c r="H87" s="211"/>
    </row>
    <row r="88" spans="4:8">
      <c r="D88" s="210">
        <v>38</v>
      </c>
      <c r="E88" s="210" t="s">
        <v>478</v>
      </c>
      <c r="F88" s="210">
        <v>20</v>
      </c>
      <c r="H88" s="211"/>
    </row>
    <row r="89" spans="4:8">
      <c r="D89" s="210">
        <v>37</v>
      </c>
      <c r="E89" s="210" t="s">
        <v>478</v>
      </c>
      <c r="F89" s="210">
        <v>20</v>
      </c>
      <c r="H89" s="211"/>
    </row>
    <row r="90" spans="4:8">
      <c r="D90" s="210">
        <v>36</v>
      </c>
      <c r="E90" s="210" t="s">
        <v>478</v>
      </c>
      <c r="F90" s="210">
        <v>20</v>
      </c>
      <c r="H90" s="211"/>
    </row>
    <row r="91" spans="4:8">
      <c r="D91" s="210">
        <v>35</v>
      </c>
      <c r="E91" s="210" t="s">
        <v>478</v>
      </c>
      <c r="F91" s="210">
        <v>20</v>
      </c>
      <c r="H91" s="211"/>
    </row>
    <row r="92" spans="4:8">
      <c r="D92" s="210">
        <v>34</v>
      </c>
      <c r="E92" s="210" t="s">
        <v>478</v>
      </c>
      <c r="F92" s="210">
        <v>20</v>
      </c>
      <c r="H92" s="211"/>
    </row>
    <row r="93" spans="4:8">
      <c r="D93" s="210">
        <v>33</v>
      </c>
      <c r="E93" s="210" t="s">
        <v>478</v>
      </c>
      <c r="F93" s="210">
        <v>20</v>
      </c>
      <c r="H93" s="211"/>
    </row>
    <row r="94" spans="4:8">
      <c r="D94" s="210">
        <v>32</v>
      </c>
      <c r="E94" s="210" t="s">
        <v>478</v>
      </c>
      <c r="F94" s="210">
        <v>20</v>
      </c>
      <c r="H94" s="211"/>
    </row>
    <row r="95" spans="4:8">
      <c r="D95" s="210">
        <v>31</v>
      </c>
      <c r="E95" s="210" t="s">
        <v>478</v>
      </c>
      <c r="F95" s="210">
        <v>20</v>
      </c>
      <c r="H95" s="211"/>
    </row>
    <row r="96" spans="4:8">
      <c r="D96" s="210">
        <v>30</v>
      </c>
      <c r="E96" s="210" t="s">
        <v>478</v>
      </c>
      <c r="F96" s="210">
        <v>20</v>
      </c>
      <c r="H96" s="211"/>
    </row>
    <row r="97" spans="4:8">
      <c r="D97" s="210">
        <v>29</v>
      </c>
      <c r="E97" s="210" t="s">
        <v>478</v>
      </c>
      <c r="F97" s="210">
        <v>20</v>
      </c>
      <c r="H97" s="211"/>
    </row>
    <row r="98" spans="4:8">
      <c r="D98" s="210">
        <v>28</v>
      </c>
      <c r="E98" s="210" t="s">
        <v>478</v>
      </c>
      <c r="F98" s="210">
        <v>20</v>
      </c>
      <c r="H98" s="211"/>
    </row>
    <row r="99" spans="4:8">
      <c r="D99" s="210">
        <v>27</v>
      </c>
      <c r="E99" s="210" t="s">
        <v>478</v>
      </c>
      <c r="F99" s="210">
        <v>20</v>
      </c>
      <c r="H99" s="211"/>
    </row>
    <row r="100" spans="4:8">
      <c r="D100" s="210">
        <v>26</v>
      </c>
      <c r="E100" s="210" t="s">
        <v>478</v>
      </c>
      <c r="F100" s="210">
        <v>20</v>
      </c>
      <c r="H100" s="211"/>
    </row>
    <row r="101" spans="4:8">
      <c r="D101" s="210">
        <v>25</v>
      </c>
      <c r="E101" s="210" t="s">
        <v>478</v>
      </c>
      <c r="F101" s="210">
        <v>20</v>
      </c>
      <c r="H101" s="211"/>
    </row>
    <row r="102" spans="4:8">
      <c r="D102" s="210">
        <v>24</v>
      </c>
      <c r="E102" s="210" t="s">
        <v>478</v>
      </c>
      <c r="F102" s="210">
        <v>20</v>
      </c>
      <c r="H102" s="211"/>
    </row>
    <row r="103" spans="4:8">
      <c r="D103" s="210">
        <v>23</v>
      </c>
      <c r="E103" s="210" t="s">
        <v>478</v>
      </c>
      <c r="F103" s="210">
        <v>20</v>
      </c>
      <c r="H103" s="211"/>
    </row>
    <row r="104" spans="4:8">
      <c r="D104" s="210">
        <v>22</v>
      </c>
      <c r="E104" s="210" t="s">
        <v>478</v>
      </c>
      <c r="F104" s="210">
        <v>20</v>
      </c>
      <c r="H104" s="211"/>
    </row>
    <row r="105" spans="4:8">
      <c r="D105" s="210">
        <v>21</v>
      </c>
      <c r="E105" s="210" t="s">
        <v>478</v>
      </c>
      <c r="F105" s="210">
        <v>20</v>
      </c>
      <c r="H105" s="211"/>
    </row>
    <row r="106" spans="4:8">
      <c r="D106" s="210">
        <v>20</v>
      </c>
      <c r="E106" s="210" t="s">
        <v>478</v>
      </c>
      <c r="F106" s="210">
        <v>20</v>
      </c>
      <c r="H106" s="211"/>
    </row>
    <row r="107" spans="4:8">
      <c r="D107" s="210">
        <v>19</v>
      </c>
      <c r="E107" s="210" t="s">
        <v>478</v>
      </c>
      <c r="F107" s="210">
        <v>20</v>
      </c>
      <c r="H107" s="211"/>
    </row>
    <row r="108" spans="4:8">
      <c r="D108" s="210">
        <v>18</v>
      </c>
      <c r="E108" s="210" t="s">
        <v>478</v>
      </c>
      <c r="F108" s="210">
        <v>20</v>
      </c>
      <c r="H108" s="211"/>
    </row>
    <row r="109" spans="4:8">
      <c r="D109" s="210">
        <v>17</v>
      </c>
      <c r="E109" s="210" t="s">
        <v>478</v>
      </c>
      <c r="F109" s="210">
        <v>20</v>
      </c>
      <c r="H109" s="211"/>
    </row>
    <row r="110" spans="4:8">
      <c r="D110" s="210">
        <v>16</v>
      </c>
      <c r="E110" s="210" t="s">
        <v>478</v>
      </c>
      <c r="F110" s="210">
        <v>20</v>
      </c>
      <c r="H110" s="211"/>
    </row>
    <row r="111" spans="4:8">
      <c r="D111" s="210">
        <v>15</v>
      </c>
      <c r="E111" s="210" t="s">
        <v>478</v>
      </c>
      <c r="F111" s="210">
        <v>20</v>
      </c>
      <c r="H111" s="211"/>
    </row>
    <row r="112" spans="4:8">
      <c r="D112" s="210">
        <v>14</v>
      </c>
      <c r="E112" s="210" t="s">
        <v>478</v>
      </c>
      <c r="F112" s="210">
        <v>20</v>
      </c>
      <c r="H112" s="211"/>
    </row>
    <row r="113" spans="4:8">
      <c r="D113" s="210">
        <v>13</v>
      </c>
      <c r="E113" s="210" t="s">
        <v>478</v>
      </c>
      <c r="F113" s="210">
        <v>20</v>
      </c>
      <c r="H113" s="211"/>
    </row>
    <row r="114" spans="4:8">
      <c r="D114" s="210">
        <v>12</v>
      </c>
      <c r="E114" s="210" t="s">
        <v>478</v>
      </c>
      <c r="F114" s="210">
        <v>20</v>
      </c>
      <c r="H114" s="211"/>
    </row>
    <row r="115" spans="4:8">
      <c r="D115" s="210">
        <v>11</v>
      </c>
      <c r="E115" s="210" t="s">
        <v>478</v>
      </c>
      <c r="F115" s="210">
        <v>20</v>
      </c>
      <c r="H115" s="211"/>
    </row>
    <row r="116" spans="4:8">
      <c r="D116" s="210">
        <v>10</v>
      </c>
      <c r="E116" s="210" t="s">
        <v>478</v>
      </c>
      <c r="F116" s="210">
        <v>20</v>
      </c>
      <c r="H116" s="211"/>
    </row>
    <row r="117" spans="4:8">
      <c r="D117" s="210">
        <v>9</v>
      </c>
      <c r="E117" s="210" t="s">
        <v>478</v>
      </c>
      <c r="F117" s="210">
        <v>20</v>
      </c>
      <c r="H117" s="211"/>
    </row>
    <row r="118" spans="4:8">
      <c r="D118" s="210">
        <v>8</v>
      </c>
      <c r="E118" s="210" t="s">
        <v>478</v>
      </c>
      <c r="F118" s="210">
        <v>20</v>
      </c>
      <c r="H118" s="211"/>
    </row>
    <row r="119" spans="4:8">
      <c r="D119" s="210">
        <v>7</v>
      </c>
      <c r="E119" s="210" t="s">
        <v>478</v>
      </c>
      <c r="F119" s="210">
        <v>20</v>
      </c>
      <c r="H119" s="211"/>
    </row>
    <row r="120" spans="4:8">
      <c r="D120" s="210">
        <v>6</v>
      </c>
      <c r="E120" s="210" t="s">
        <v>478</v>
      </c>
      <c r="F120" s="210">
        <v>20</v>
      </c>
      <c r="H120" s="211"/>
    </row>
    <row r="121" spans="4:8">
      <c r="D121" s="210">
        <v>5</v>
      </c>
      <c r="E121" s="210" t="s">
        <v>478</v>
      </c>
      <c r="F121" s="210">
        <v>20</v>
      </c>
      <c r="H121" s="211"/>
    </row>
    <row r="122" spans="4:8">
      <c r="D122" s="210">
        <v>4</v>
      </c>
      <c r="E122" s="210" t="s">
        <v>478</v>
      </c>
      <c r="F122" s="210">
        <v>20</v>
      </c>
      <c r="H122" s="211"/>
    </row>
    <row r="123" spans="4:8">
      <c r="D123" s="210">
        <v>3</v>
      </c>
      <c r="E123" s="210" t="s">
        <v>478</v>
      </c>
      <c r="F123" s="210">
        <v>20</v>
      </c>
      <c r="H123" s="211"/>
    </row>
    <row r="124" spans="4:8">
      <c r="D124" s="210">
        <v>2</v>
      </c>
      <c r="E124" s="210" t="s">
        <v>478</v>
      </c>
      <c r="F124" s="210">
        <v>20</v>
      </c>
      <c r="H124" s="211"/>
    </row>
    <row r="125" spans="4:8">
      <c r="D125" s="210">
        <v>1</v>
      </c>
      <c r="E125" s="210" t="s">
        <v>478</v>
      </c>
      <c r="F125" s="210">
        <v>20</v>
      </c>
      <c r="H125" s="211"/>
    </row>
    <row r="126" spans="4:8">
      <c r="D126" s="210">
        <v>0</v>
      </c>
      <c r="E126" s="210" t="s">
        <v>478</v>
      </c>
      <c r="F126" s="210">
        <v>20</v>
      </c>
      <c r="H126" s="211"/>
    </row>
    <row r="127" spans="4:8">
      <c r="E127" s="201"/>
      <c r="H127" s="211"/>
    </row>
    <row r="128" spans="4:8">
      <c r="E128" s="201"/>
      <c r="H128" s="211"/>
    </row>
    <row r="129" spans="5:8">
      <c r="E129" s="201"/>
      <c r="H129" s="211"/>
    </row>
    <row r="130" spans="5:8">
      <c r="E130" s="201"/>
      <c r="H130" s="211"/>
    </row>
    <row r="131" spans="5:8">
      <c r="E131" s="201"/>
      <c r="H131" s="211"/>
    </row>
    <row r="132" spans="5:8">
      <c r="E132" s="201"/>
      <c r="H132" s="211"/>
    </row>
    <row r="133" spans="5:8">
      <c r="E133" s="201"/>
      <c r="H133" s="211"/>
    </row>
    <row r="134" spans="5:8">
      <c r="E134" s="201"/>
      <c r="H134" s="211"/>
    </row>
    <row r="135" spans="5:8">
      <c r="E135" s="201"/>
      <c r="H135" s="211"/>
    </row>
    <row r="136" spans="5:8">
      <c r="E136" s="201"/>
      <c r="H136" s="211"/>
    </row>
    <row r="137" spans="5:8">
      <c r="E137" s="201"/>
      <c r="H137" s="211"/>
    </row>
    <row r="138" spans="5:8">
      <c r="E138" s="201"/>
      <c r="H138" s="211"/>
    </row>
    <row r="139" spans="5:8">
      <c r="E139" s="201"/>
      <c r="H139" s="211"/>
    </row>
    <row r="140" spans="5:8">
      <c r="E140" s="201"/>
      <c r="H140" s="211"/>
    </row>
    <row r="141" spans="5:8">
      <c r="E141" s="201"/>
      <c r="H141" s="211"/>
    </row>
    <row r="142" spans="5:8">
      <c r="E142" s="201"/>
      <c r="H142" s="211"/>
    </row>
    <row r="143" spans="5:8">
      <c r="E143" s="201"/>
      <c r="H143" s="211"/>
    </row>
    <row r="144" spans="5:8">
      <c r="E144" s="201"/>
      <c r="H144" s="211"/>
    </row>
    <row r="145" spans="5:8">
      <c r="E145" s="201"/>
      <c r="H145" s="211"/>
    </row>
    <row r="146" spans="5:8">
      <c r="E146" s="201"/>
      <c r="H146" s="211"/>
    </row>
    <row r="147" spans="5:8">
      <c r="E147" s="201"/>
      <c r="H147" s="211"/>
    </row>
    <row r="148" spans="5:8">
      <c r="E148" s="201"/>
      <c r="H148" s="211"/>
    </row>
    <row r="149" spans="5:8">
      <c r="E149" s="201"/>
      <c r="H149" s="211"/>
    </row>
    <row r="150" spans="5:8">
      <c r="E150" s="201"/>
      <c r="H150" s="211"/>
    </row>
    <row r="151" spans="5:8">
      <c r="E151" s="201"/>
      <c r="H151" s="211"/>
    </row>
    <row r="152" spans="5:8">
      <c r="E152" s="201"/>
      <c r="H152" s="211"/>
    </row>
    <row r="153" spans="5:8">
      <c r="E153" s="201"/>
      <c r="H153" s="211"/>
    </row>
    <row r="154" spans="5:8">
      <c r="E154" s="201"/>
      <c r="H154" s="211"/>
    </row>
    <row r="155" spans="5:8">
      <c r="E155" s="201"/>
      <c r="H155" s="211"/>
    </row>
    <row r="156" spans="5:8">
      <c r="E156" s="201"/>
      <c r="H156" s="211"/>
    </row>
    <row r="157" spans="5:8">
      <c r="E157" s="201"/>
      <c r="H157" s="211"/>
    </row>
    <row r="158" spans="5:8">
      <c r="E158" s="201"/>
      <c r="H158" s="211"/>
    </row>
    <row r="159" spans="5:8">
      <c r="E159" s="201"/>
      <c r="H159" s="211"/>
    </row>
    <row r="160" spans="5:8">
      <c r="E160" s="201"/>
      <c r="H160" s="211"/>
    </row>
    <row r="161" spans="5:8">
      <c r="E161" s="201"/>
      <c r="H161" s="211"/>
    </row>
    <row r="162" spans="5:8">
      <c r="E162" s="201"/>
      <c r="H162" s="211"/>
    </row>
    <row r="163" spans="5:8">
      <c r="E163" s="201"/>
      <c r="H163" s="211"/>
    </row>
    <row r="164" spans="5:8">
      <c r="E164" s="201"/>
      <c r="H164" s="211"/>
    </row>
    <row r="165" spans="5:8">
      <c r="E165" s="201"/>
      <c r="H165" s="211"/>
    </row>
    <row r="166" spans="5:8">
      <c r="E166" s="201"/>
      <c r="H166" s="211"/>
    </row>
    <row r="167" spans="5:8">
      <c r="E167" s="201"/>
      <c r="H167" s="211"/>
    </row>
    <row r="168" spans="5:8">
      <c r="E168" s="201"/>
      <c r="H168" s="211"/>
    </row>
    <row r="169" spans="5:8">
      <c r="E169" s="201"/>
      <c r="H169" s="211"/>
    </row>
    <row r="170" spans="5:8">
      <c r="E170" s="201"/>
      <c r="H170" s="211"/>
    </row>
    <row r="171" spans="5:8">
      <c r="E171" s="201"/>
      <c r="H171" s="211"/>
    </row>
    <row r="172" spans="5:8">
      <c r="E172" s="201"/>
      <c r="H172" s="211"/>
    </row>
    <row r="173" spans="5:8">
      <c r="E173" s="201"/>
      <c r="H173" s="211"/>
    </row>
    <row r="174" spans="5:8">
      <c r="E174" s="201"/>
      <c r="H174" s="211"/>
    </row>
    <row r="175" spans="5:8">
      <c r="E175" s="201"/>
      <c r="H175" s="211"/>
    </row>
    <row r="176" spans="5:8">
      <c r="E176" s="201"/>
      <c r="H176" s="211"/>
    </row>
    <row r="177" spans="5:8">
      <c r="E177" s="201"/>
      <c r="H177" s="211"/>
    </row>
    <row r="178" spans="5:8">
      <c r="E178" s="201"/>
      <c r="H178" s="211"/>
    </row>
    <row r="179" spans="5:8">
      <c r="E179" s="201"/>
      <c r="H179" s="211"/>
    </row>
    <row r="180" spans="5:8">
      <c r="E180" s="201"/>
      <c r="H180" s="211"/>
    </row>
    <row r="181" spans="5:8">
      <c r="E181" s="201"/>
      <c r="H181" s="211"/>
    </row>
    <row r="182" spans="5:8">
      <c r="E182" s="201"/>
      <c r="H182" s="211"/>
    </row>
    <row r="183" spans="5:8">
      <c r="E183" s="201"/>
      <c r="H183" s="211"/>
    </row>
    <row r="184" spans="5:8">
      <c r="E184" s="201"/>
      <c r="H184" s="211"/>
    </row>
    <row r="185" spans="5:8">
      <c r="E185" s="201"/>
      <c r="H185" s="211"/>
    </row>
    <row r="186" spans="5:8">
      <c r="E186" s="201"/>
      <c r="H186" s="211"/>
    </row>
    <row r="187" spans="5:8">
      <c r="E187" s="201"/>
      <c r="H187" s="211"/>
    </row>
    <row r="188" spans="5:8">
      <c r="E188" s="201"/>
      <c r="H188" s="211"/>
    </row>
    <row r="189" spans="5:8">
      <c r="E189" s="201"/>
      <c r="H189" s="211"/>
    </row>
    <row r="190" spans="5:8">
      <c r="E190" s="201"/>
      <c r="H190" s="211"/>
    </row>
    <row r="191" spans="5:8">
      <c r="E191" s="201"/>
      <c r="H191" s="211"/>
    </row>
    <row r="192" spans="5:8">
      <c r="E192" s="201"/>
      <c r="H192" s="211"/>
    </row>
    <row r="193" spans="5:8">
      <c r="E193" s="201"/>
      <c r="H193" s="211"/>
    </row>
    <row r="194" spans="5:8">
      <c r="E194" s="201"/>
      <c r="H194" s="211"/>
    </row>
    <row r="195" spans="5:8">
      <c r="E195" s="201"/>
      <c r="H195" s="211"/>
    </row>
    <row r="196" spans="5:8">
      <c r="E196" s="201"/>
      <c r="H196" s="211"/>
    </row>
    <row r="197" spans="5:8">
      <c r="E197" s="201"/>
      <c r="H197" s="211"/>
    </row>
    <row r="198" spans="5:8">
      <c r="E198" s="201"/>
      <c r="H198" s="211"/>
    </row>
    <row r="199" spans="5:8">
      <c r="E199" s="201"/>
      <c r="H199" s="211"/>
    </row>
    <row r="200" spans="5:8">
      <c r="E200" s="201"/>
      <c r="H200" s="211"/>
    </row>
    <row r="201" spans="5:8">
      <c r="E201" s="201"/>
      <c r="H201" s="211"/>
    </row>
    <row r="202" spans="5:8">
      <c r="E202" s="201"/>
      <c r="H202" s="211"/>
    </row>
    <row r="203" spans="5:8">
      <c r="E203" s="201"/>
      <c r="H203" s="211"/>
    </row>
    <row r="204" spans="5:8">
      <c r="E204" s="201"/>
      <c r="H204" s="211"/>
    </row>
    <row r="205" spans="5:8">
      <c r="E205" s="201"/>
      <c r="H205" s="211"/>
    </row>
    <row r="206" spans="5:8">
      <c r="E206" s="201"/>
      <c r="H206" s="211"/>
    </row>
    <row r="207" spans="5:8">
      <c r="E207" s="201"/>
      <c r="H207" s="211"/>
    </row>
    <row r="208" spans="5:8">
      <c r="E208" s="201"/>
      <c r="H208" s="211"/>
    </row>
    <row r="209" spans="5:8">
      <c r="E209" s="201"/>
      <c r="H209" s="211"/>
    </row>
    <row r="210" spans="5:8">
      <c r="E210" s="201"/>
      <c r="H210" s="211"/>
    </row>
    <row r="211" spans="5:8">
      <c r="E211" s="201"/>
      <c r="H211" s="211"/>
    </row>
    <row r="212" spans="5:8">
      <c r="E212" s="201"/>
      <c r="H212" s="211"/>
    </row>
    <row r="213" spans="5:8">
      <c r="E213" s="201"/>
      <c r="H213" s="211"/>
    </row>
    <row r="214" spans="5:8">
      <c r="E214" s="201"/>
      <c r="H214" s="211"/>
    </row>
    <row r="215" spans="5:8">
      <c r="E215" s="201"/>
      <c r="H215" s="211"/>
    </row>
    <row r="216" spans="5:8">
      <c r="E216" s="201"/>
      <c r="H216" s="211"/>
    </row>
    <row r="217" spans="5:8">
      <c r="E217" s="201"/>
      <c r="H217" s="211"/>
    </row>
    <row r="218" spans="5:8">
      <c r="E218" s="201"/>
      <c r="H218" s="211"/>
    </row>
    <row r="219" spans="5:8">
      <c r="E219" s="201"/>
      <c r="H219" s="211"/>
    </row>
    <row r="220" spans="5:8">
      <c r="E220" s="201"/>
      <c r="H220" s="211"/>
    </row>
    <row r="221" spans="5:8">
      <c r="E221" s="201"/>
      <c r="H221" s="211"/>
    </row>
    <row r="222" spans="5:8">
      <c r="E222" s="201"/>
      <c r="H222" s="211"/>
    </row>
    <row r="223" spans="5:8">
      <c r="E223" s="201"/>
      <c r="H223" s="211"/>
    </row>
    <row r="224" spans="5:8">
      <c r="E224" s="201"/>
      <c r="H224" s="211"/>
    </row>
    <row r="225" spans="5:8">
      <c r="E225" s="201"/>
      <c r="H225" s="211"/>
    </row>
    <row r="226" spans="5:8">
      <c r="E226" s="201"/>
      <c r="H226" s="211"/>
    </row>
    <row r="227" spans="5:8">
      <c r="E227" s="201"/>
      <c r="H227" s="211"/>
    </row>
    <row r="228" spans="5:8">
      <c r="E228" s="201"/>
      <c r="H228" s="211"/>
    </row>
    <row r="229" spans="5:8">
      <c r="E229" s="201"/>
      <c r="H229" s="211"/>
    </row>
    <row r="230" spans="5:8">
      <c r="E230" s="201"/>
      <c r="H230" s="211"/>
    </row>
    <row r="231" spans="5:8">
      <c r="E231" s="201"/>
      <c r="H231" s="211"/>
    </row>
    <row r="232" spans="5:8">
      <c r="E232" s="201"/>
      <c r="H232" s="211"/>
    </row>
    <row r="233" spans="5:8">
      <c r="E233" s="201"/>
      <c r="H233" s="211"/>
    </row>
    <row r="234" spans="5:8">
      <c r="E234" s="201"/>
      <c r="H234" s="211"/>
    </row>
    <row r="235" spans="5:8">
      <c r="E235" s="201"/>
      <c r="H235" s="211"/>
    </row>
    <row r="236" spans="5:8">
      <c r="E236" s="201"/>
      <c r="H236" s="211"/>
    </row>
    <row r="237" spans="5:8">
      <c r="E237" s="201"/>
      <c r="H237" s="211"/>
    </row>
    <row r="238" spans="5:8">
      <c r="E238" s="201"/>
      <c r="H238" s="211"/>
    </row>
    <row r="239" spans="5:8">
      <c r="E239" s="201"/>
      <c r="H239" s="211"/>
    </row>
    <row r="240" spans="5:8">
      <c r="E240" s="201"/>
      <c r="H240" s="211"/>
    </row>
    <row r="241" spans="5:8">
      <c r="E241" s="201"/>
      <c r="H241" s="211"/>
    </row>
    <row r="242" spans="5:8">
      <c r="E242" s="201"/>
      <c r="H242" s="211"/>
    </row>
    <row r="243" spans="5:8">
      <c r="E243" s="201"/>
      <c r="H243" s="211"/>
    </row>
    <row r="244" spans="5:8">
      <c r="E244" s="201"/>
      <c r="H244" s="211"/>
    </row>
    <row r="245" spans="5:8">
      <c r="E245" s="201"/>
      <c r="H245" s="211"/>
    </row>
    <row r="246" spans="5:8">
      <c r="E246" s="201"/>
      <c r="H246" s="211"/>
    </row>
    <row r="247" spans="5:8">
      <c r="E247" s="201"/>
      <c r="H247" s="211"/>
    </row>
    <row r="248" spans="5:8">
      <c r="E248" s="201"/>
      <c r="H248" s="211"/>
    </row>
    <row r="249" spans="5:8">
      <c r="E249" s="201"/>
      <c r="H249" s="211"/>
    </row>
    <row r="250" spans="5:8">
      <c r="E250" s="201"/>
      <c r="H250" s="211"/>
    </row>
    <row r="251" spans="5:8">
      <c r="E251" s="201"/>
      <c r="H251" s="211"/>
    </row>
    <row r="252" spans="5:8">
      <c r="E252" s="201"/>
      <c r="H252" s="211"/>
    </row>
    <row r="253" spans="5:8">
      <c r="E253" s="201"/>
      <c r="H253" s="211"/>
    </row>
    <row r="254" spans="5:8">
      <c r="E254" s="201"/>
      <c r="H254" s="211"/>
    </row>
    <row r="255" spans="5:8">
      <c r="E255" s="201"/>
      <c r="H255" s="211"/>
    </row>
    <row r="256" spans="5:8">
      <c r="E256" s="201"/>
      <c r="H256" s="211"/>
    </row>
    <row r="257" spans="5:8">
      <c r="E257" s="201"/>
      <c r="H257" s="211"/>
    </row>
    <row r="258" spans="5:8">
      <c r="E258" s="201"/>
      <c r="H258" s="211"/>
    </row>
    <row r="259" spans="5:8">
      <c r="E259" s="201"/>
      <c r="H259" s="211"/>
    </row>
    <row r="260" spans="5:8">
      <c r="E260" s="201"/>
      <c r="H260" s="211"/>
    </row>
    <row r="261" spans="5:8">
      <c r="E261" s="201"/>
      <c r="H261" s="211"/>
    </row>
    <row r="262" spans="5:8">
      <c r="E262" s="201"/>
      <c r="H262" s="211"/>
    </row>
    <row r="263" spans="5:8">
      <c r="E263" s="201"/>
      <c r="H263" s="211"/>
    </row>
    <row r="264" spans="5:8">
      <c r="E264" s="201"/>
      <c r="H264" s="211"/>
    </row>
    <row r="265" spans="5:8">
      <c r="E265" s="201"/>
      <c r="H265" s="211"/>
    </row>
    <row r="266" spans="5:8">
      <c r="E266" s="201"/>
      <c r="H266" s="211"/>
    </row>
    <row r="267" spans="5:8">
      <c r="E267" s="201"/>
      <c r="H267" s="211"/>
    </row>
    <row r="268" spans="5:8">
      <c r="E268" s="201"/>
      <c r="H268" s="211"/>
    </row>
    <row r="269" spans="5:8">
      <c r="E269" s="201"/>
      <c r="H269" s="211"/>
    </row>
    <row r="270" spans="5:8">
      <c r="E270" s="201"/>
      <c r="H270" s="211"/>
    </row>
    <row r="271" spans="5:8">
      <c r="E271" s="201"/>
      <c r="H271" s="211"/>
    </row>
    <row r="272" spans="5:8">
      <c r="E272" s="201"/>
      <c r="H272" s="211"/>
    </row>
    <row r="273" spans="5:8">
      <c r="E273" s="201"/>
      <c r="H273" s="211"/>
    </row>
    <row r="274" spans="5:8">
      <c r="E274" s="201"/>
      <c r="H274" s="211"/>
    </row>
    <row r="275" spans="5:8">
      <c r="E275" s="201"/>
      <c r="H275" s="211"/>
    </row>
    <row r="276" spans="5:8">
      <c r="E276" s="201"/>
      <c r="H276" s="211"/>
    </row>
    <row r="277" spans="5:8">
      <c r="E277" s="201"/>
      <c r="H277" s="211"/>
    </row>
    <row r="278" spans="5:8">
      <c r="E278" s="201"/>
      <c r="H278" s="211"/>
    </row>
    <row r="279" spans="5:8">
      <c r="E279" s="201"/>
      <c r="H279" s="211"/>
    </row>
    <row r="280" spans="5:8">
      <c r="E280" s="201"/>
      <c r="H280" s="211"/>
    </row>
    <row r="281" spans="5:8">
      <c r="E281" s="201"/>
      <c r="H281" s="211"/>
    </row>
    <row r="282" spans="5:8">
      <c r="E282" s="201"/>
      <c r="H282" s="211"/>
    </row>
    <row r="283" spans="5:8">
      <c r="E283" s="201"/>
      <c r="H283" s="211"/>
    </row>
    <row r="284" spans="5:8">
      <c r="E284" s="201"/>
      <c r="H284" s="211"/>
    </row>
    <row r="285" spans="5:8">
      <c r="E285" s="201"/>
      <c r="H285" s="211"/>
    </row>
    <row r="286" spans="5:8">
      <c r="E286" s="201"/>
      <c r="H286" s="211"/>
    </row>
    <row r="287" spans="5:8">
      <c r="E287" s="201"/>
      <c r="H287" s="211"/>
    </row>
    <row r="288" spans="5:8">
      <c r="E288" s="201"/>
      <c r="H288" s="211"/>
    </row>
    <row r="289" spans="5:8">
      <c r="E289" s="201"/>
      <c r="H289" s="211"/>
    </row>
    <row r="290" spans="5:8">
      <c r="E290" s="201"/>
      <c r="H290" s="211"/>
    </row>
    <row r="291" spans="5:8">
      <c r="E291" s="201"/>
      <c r="H291" s="211"/>
    </row>
    <row r="292" spans="5:8">
      <c r="E292" s="201"/>
      <c r="H292" s="211"/>
    </row>
    <row r="293" spans="5:8">
      <c r="E293" s="201"/>
      <c r="H293" s="211"/>
    </row>
    <row r="294" spans="5:8">
      <c r="E294" s="201"/>
      <c r="H294" s="211"/>
    </row>
    <row r="295" spans="5:8">
      <c r="E295" s="201"/>
      <c r="H295" s="211"/>
    </row>
    <row r="296" spans="5:8">
      <c r="E296" s="201"/>
      <c r="H296" s="211"/>
    </row>
    <row r="297" spans="5:8">
      <c r="E297" s="201"/>
      <c r="H297" s="211"/>
    </row>
    <row r="298" spans="5:8">
      <c r="E298" s="201"/>
      <c r="H298" s="211"/>
    </row>
    <row r="299" spans="5:8">
      <c r="E299" s="201"/>
      <c r="H299" s="211"/>
    </row>
    <row r="300" spans="5:8">
      <c r="E300" s="201"/>
      <c r="H300" s="211"/>
    </row>
    <row r="301" spans="5:8">
      <c r="E301" s="201"/>
      <c r="H301" s="211"/>
    </row>
    <row r="302" spans="5:8">
      <c r="E302" s="201"/>
      <c r="H302" s="211"/>
    </row>
    <row r="303" spans="5:8">
      <c r="E303" s="201"/>
      <c r="H303" s="211"/>
    </row>
    <row r="304" spans="5:8">
      <c r="E304" s="201"/>
      <c r="H304" s="211"/>
    </row>
    <row r="305" spans="5:8">
      <c r="E305" s="201"/>
      <c r="H305" s="211"/>
    </row>
    <row r="306" spans="5:8">
      <c r="E306" s="201"/>
      <c r="H306" s="211"/>
    </row>
    <row r="307" spans="5:8">
      <c r="E307" s="201"/>
      <c r="H307" s="211"/>
    </row>
    <row r="308" spans="5:8">
      <c r="E308" s="201"/>
      <c r="H308" s="211"/>
    </row>
    <row r="309" spans="5:8">
      <c r="E309" s="201"/>
      <c r="H309" s="211"/>
    </row>
    <row r="310" spans="5:8">
      <c r="E310" s="201"/>
      <c r="H310" s="211"/>
    </row>
    <row r="311" spans="5:8">
      <c r="E311" s="201"/>
      <c r="H311" s="211"/>
    </row>
    <row r="312" spans="5:8">
      <c r="E312" s="201"/>
      <c r="H312" s="211"/>
    </row>
    <row r="313" spans="5:8">
      <c r="E313" s="201"/>
      <c r="H313" s="211"/>
    </row>
    <row r="314" spans="5:8">
      <c r="E314" s="201"/>
      <c r="H314" s="211"/>
    </row>
    <row r="315" spans="5:8">
      <c r="E315" s="201"/>
      <c r="H315" s="211"/>
    </row>
    <row r="316" spans="5:8">
      <c r="E316" s="201"/>
      <c r="H316" s="211"/>
    </row>
    <row r="317" spans="5:8">
      <c r="E317" s="201"/>
      <c r="H317" s="211"/>
    </row>
    <row r="318" spans="5:8">
      <c r="E318" s="201"/>
      <c r="H318" s="211"/>
    </row>
    <row r="319" spans="5:8">
      <c r="E319" s="201"/>
      <c r="H319" s="211"/>
    </row>
    <row r="320" spans="5:8">
      <c r="E320" s="201"/>
      <c r="H320" s="211"/>
    </row>
    <row r="321" spans="5:8">
      <c r="E321" s="201"/>
      <c r="H321" s="211"/>
    </row>
    <row r="322" spans="5:8">
      <c r="E322" s="201"/>
      <c r="H322" s="211"/>
    </row>
    <row r="323" spans="5:8">
      <c r="E323" s="201"/>
      <c r="H323" s="211"/>
    </row>
    <row r="324" spans="5:8">
      <c r="E324" s="201"/>
      <c r="H324" s="211"/>
    </row>
    <row r="325" spans="5:8">
      <c r="E325" s="201"/>
      <c r="H325" s="211"/>
    </row>
    <row r="326" spans="5:8">
      <c r="E326" s="201"/>
      <c r="H326" s="211"/>
    </row>
    <row r="327" spans="5:8">
      <c r="E327" s="201"/>
      <c r="H327" s="211"/>
    </row>
    <row r="328" spans="5:8">
      <c r="E328" s="201"/>
      <c r="H328" s="211"/>
    </row>
    <row r="329" spans="5:8">
      <c r="E329" s="201"/>
      <c r="H329" s="211"/>
    </row>
    <row r="330" spans="5:8">
      <c r="E330" s="201"/>
      <c r="H330" s="211"/>
    </row>
    <row r="331" spans="5:8">
      <c r="E331" s="201"/>
      <c r="H331" s="211"/>
    </row>
    <row r="332" spans="5:8">
      <c r="E332" s="201"/>
      <c r="H332" s="211"/>
    </row>
    <row r="333" spans="5:8">
      <c r="E333" s="201"/>
      <c r="H333" s="211"/>
    </row>
    <row r="334" spans="5:8">
      <c r="E334" s="201"/>
      <c r="H334" s="211"/>
    </row>
    <row r="335" spans="5:8">
      <c r="E335" s="201"/>
      <c r="H335" s="211"/>
    </row>
    <row r="336" spans="5:8">
      <c r="E336" s="201"/>
      <c r="H336" s="211"/>
    </row>
    <row r="337" spans="5:8">
      <c r="E337" s="201"/>
      <c r="H337" s="211"/>
    </row>
    <row r="338" spans="5:8">
      <c r="E338" s="201"/>
      <c r="H338" s="211"/>
    </row>
    <row r="339" spans="5:8">
      <c r="E339" s="201"/>
      <c r="H339" s="211"/>
    </row>
    <row r="340" spans="5:8">
      <c r="E340" s="201"/>
      <c r="H340" s="211"/>
    </row>
    <row r="341" spans="5:8">
      <c r="E341" s="201"/>
      <c r="H341" s="211"/>
    </row>
    <row r="342" spans="5:8">
      <c r="E342" s="201"/>
      <c r="H342" s="211"/>
    </row>
    <row r="343" spans="5:8">
      <c r="E343" s="201"/>
      <c r="H343" s="211"/>
    </row>
    <row r="344" spans="5:8">
      <c r="E344" s="201"/>
      <c r="H344" s="211"/>
    </row>
    <row r="345" spans="5:8">
      <c r="E345" s="201"/>
      <c r="H345" s="211"/>
    </row>
    <row r="346" spans="5:8">
      <c r="E346" s="201"/>
      <c r="H346" s="211"/>
    </row>
    <row r="347" spans="5:8">
      <c r="E347" s="201"/>
      <c r="H347" s="211"/>
    </row>
    <row r="348" spans="5:8">
      <c r="E348" s="201"/>
      <c r="H348" s="211"/>
    </row>
    <row r="349" spans="5:8">
      <c r="E349" s="201"/>
      <c r="H349" s="211"/>
    </row>
    <row r="350" spans="5:8">
      <c r="E350" s="201"/>
      <c r="H350" s="211"/>
    </row>
    <row r="351" spans="5:8">
      <c r="E351" s="201"/>
      <c r="H351" s="211"/>
    </row>
    <row r="352" spans="5:8">
      <c r="E352" s="201"/>
      <c r="H352" s="211"/>
    </row>
    <row r="353" spans="5:8">
      <c r="E353" s="201"/>
      <c r="H353" s="211"/>
    </row>
    <row r="354" spans="5:8">
      <c r="E354" s="201"/>
      <c r="H354" s="211"/>
    </row>
    <row r="355" spans="5:8">
      <c r="E355" s="201"/>
      <c r="H355" s="211"/>
    </row>
    <row r="356" spans="5:8">
      <c r="E356" s="201"/>
      <c r="H356" s="211"/>
    </row>
    <row r="357" spans="5:8">
      <c r="E357" s="201"/>
      <c r="H357" s="211"/>
    </row>
    <row r="358" spans="5:8">
      <c r="E358" s="201"/>
      <c r="H358" s="211"/>
    </row>
    <row r="359" spans="5:8">
      <c r="E359" s="201"/>
      <c r="H359" s="211"/>
    </row>
    <row r="360" spans="5:8">
      <c r="E360" s="201"/>
      <c r="H360" s="211"/>
    </row>
    <row r="361" spans="5:8">
      <c r="E361" s="201"/>
      <c r="H361" s="211"/>
    </row>
    <row r="362" spans="5:8">
      <c r="E362" s="201"/>
      <c r="H362" s="211"/>
    </row>
    <row r="363" spans="5:8">
      <c r="E363" s="201"/>
      <c r="H363" s="211"/>
    </row>
    <row r="364" spans="5:8">
      <c r="E364" s="201"/>
      <c r="H364" s="211"/>
    </row>
    <row r="365" spans="5:8">
      <c r="E365" s="201"/>
      <c r="H365" s="211"/>
    </row>
    <row r="366" spans="5:8">
      <c r="E366" s="201"/>
      <c r="H366" s="211"/>
    </row>
    <row r="367" spans="5:8">
      <c r="E367" s="201"/>
      <c r="H367" s="211"/>
    </row>
    <row r="368" spans="5:8">
      <c r="E368" s="201"/>
      <c r="H368" s="211"/>
    </row>
    <row r="369" spans="5:8">
      <c r="E369" s="201"/>
      <c r="H369" s="211"/>
    </row>
    <row r="370" spans="5:8">
      <c r="E370" s="201"/>
      <c r="H370" s="211"/>
    </row>
    <row r="371" spans="5:8">
      <c r="E371" s="201"/>
      <c r="H371" s="211"/>
    </row>
    <row r="372" spans="5:8">
      <c r="E372" s="201"/>
      <c r="H372" s="211"/>
    </row>
    <row r="373" spans="5:8">
      <c r="E373" s="201"/>
      <c r="H373" s="211"/>
    </row>
    <row r="374" spans="5:8">
      <c r="E374" s="201"/>
      <c r="H374" s="211"/>
    </row>
    <row r="375" spans="5:8">
      <c r="E375" s="201"/>
      <c r="H375" s="211"/>
    </row>
    <row r="376" spans="5:8">
      <c r="E376" s="201"/>
      <c r="H376" s="211"/>
    </row>
    <row r="377" spans="5:8">
      <c r="E377" s="201"/>
      <c r="H377" s="211"/>
    </row>
    <row r="378" spans="5:8">
      <c r="E378" s="201"/>
      <c r="H378" s="211"/>
    </row>
    <row r="379" spans="5:8">
      <c r="E379" s="201"/>
      <c r="H379" s="211"/>
    </row>
    <row r="380" spans="5:8">
      <c r="E380" s="201"/>
      <c r="H380" s="211"/>
    </row>
    <row r="381" spans="5:8">
      <c r="E381" s="201"/>
      <c r="H381" s="211"/>
    </row>
    <row r="382" spans="5:8">
      <c r="E382" s="201"/>
      <c r="H382" s="211"/>
    </row>
    <row r="383" spans="5:8">
      <c r="E383" s="201"/>
      <c r="H383" s="211"/>
    </row>
    <row r="384" spans="5:8">
      <c r="E384" s="201"/>
      <c r="H384" s="211"/>
    </row>
    <row r="385" spans="5:8">
      <c r="E385" s="201"/>
      <c r="H385" s="211"/>
    </row>
    <row r="386" spans="5:8">
      <c r="E386" s="201"/>
      <c r="H386" s="211"/>
    </row>
    <row r="387" spans="5:8">
      <c r="E387" s="201"/>
      <c r="H387" s="211"/>
    </row>
    <row r="388" spans="5:8">
      <c r="E388" s="201"/>
      <c r="H388" s="211"/>
    </row>
    <row r="389" spans="5:8">
      <c r="E389" s="201"/>
      <c r="H389" s="211"/>
    </row>
    <row r="390" spans="5:8">
      <c r="E390" s="201"/>
      <c r="H390" s="211"/>
    </row>
    <row r="391" spans="5:8">
      <c r="E391" s="201"/>
      <c r="H391" s="211"/>
    </row>
    <row r="392" spans="5:8">
      <c r="E392" s="201"/>
      <c r="H392" s="211"/>
    </row>
    <row r="393" spans="5:8">
      <c r="E393" s="201"/>
      <c r="H393" s="211"/>
    </row>
    <row r="394" spans="5:8">
      <c r="E394" s="201"/>
      <c r="H394" s="211"/>
    </row>
    <row r="395" spans="5:8">
      <c r="E395" s="201"/>
      <c r="H395" s="211"/>
    </row>
    <row r="396" spans="5:8">
      <c r="E396" s="201"/>
      <c r="H396" s="211"/>
    </row>
    <row r="397" spans="5:8">
      <c r="E397" s="201"/>
      <c r="H397" s="211"/>
    </row>
    <row r="398" spans="5:8">
      <c r="E398" s="201"/>
      <c r="H398" s="211"/>
    </row>
    <row r="399" spans="5:8">
      <c r="E399" s="201"/>
      <c r="H399" s="211"/>
    </row>
    <row r="400" spans="5:8">
      <c r="E400" s="201"/>
      <c r="H400" s="211"/>
    </row>
    <row r="401" spans="5:8">
      <c r="E401" s="201"/>
      <c r="H401" s="211"/>
    </row>
    <row r="402" spans="5:8">
      <c r="E402" s="201"/>
      <c r="H402" s="211"/>
    </row>
    <row r="403" spans="5:8">
      <c r="E403" s="201"/>
      <c r="H403" s="211"/>
    </row>
    <row r="404" spans="5:8">
      <c r="E404" s="201"/>
      <c r="H404" s="211"/>
    </row>
    <row r="405" spans="5:8">
      <c r="E405" s="201"/>
      <c r="H405" s="211"/>
    </row>
    <row r="406" spans="5:8">
      <c r="E406" s="201"/>
      <c r="H406" s="211"/>
    </row>
    <row r="407" spans="5:8">
      <c r="E407" s="201"/>
      <c r="H407" s="211"/>
    </row>
    <row r="408" spans="5:8">
      <c r="E408" s="201"/>
      <c r="H408" s="211"/>
    </row>
    <row r="409" spans="5:8">
      <c r="E409" s="201"/>
      <c r="H409" s="211"/>
    </row>
    <row r="410" spans="5:8">
      <c r="E410" s="201"/>
      <c r="H410" s="211"/>
    </row>
    <row r="411" spans="5:8">
      <c r="E411" s="201"/>
      <c r="H411" s="211"/>
    </row>
    <row r="412" spans="5:8">
      <c r="E412" s="201"/>
      <c r="H412" s="211"/>
    </row>
    <row r="413" spans="5:8">
      <c r="E413" s="201"/>
      <c r="H413" s="211"/>
    </row>
    <row r="414" spans="5:8">
      <c r="E414" s="201"/>
      <c r="H414" s="211"/>
    </row>
    <row r="415" spans="5:8">
      <c r="E415" s="201"/>
      <c r="H415" s="211"/>
    </row>
    <row r="416" spans="5:8">
      <c r="E416" s="201"/>
      <c r="H416" s="211"/>
    </row>
    <row r="417" spans="5:8">
      <c r="E417" s="201"/>
      <c r="H417" s="211"/>
    </row>
    <row r="418" spans="5:8">
      <c r="E418" s="201"/>
      <c r="H418" s="211"/>
    </row>
    <row r="419" spans="5:8">
      <c r="E419" s="201"/>
      <c r="H419" s="211"/>
    </row>
    <row r="420" spans="5:8">
      <c r="E420" s="201"/>
      <c r="H420" s="211"/>
    </row>
    <row r="421" spans="5:8">
      <c r="E421" s="201"/>
      <c r="H421" s="211"/>
    </row>
    <row r="422" spans="5:8">
      <c r="E422" s="201"/>
      <c r="H422" s="211"/>
    </row>
    <row r="423" spans="5:8">
      <c r="E423" s="201"/>
      <c r="H423" s="211"/>
    </row>
    <row r="424" spans="5:8">
      <c r="E424" s="201"/>
      <c r="H424" s="211"/>
    </row>
    <row r="425" spans="5:8">
      <c r="E425" s="201"/>
      <c r="H425" s="211"/>
    </row>
    <row r="426" spans="5:8">
      <c r="E426" s="201"/>
      <c r="H426" s="211"/>
    </row>
    <row r="427" spans="5:8">
      <c r="E427" s="201"/>
      <c r="H427" s="211"/>
    </row>
    <row r="428" spans="5:8">
      <c r="E428" s="201"/>
      <c r="H428" s="211"/>
    </row>
    <row r="429" spans="5:8">
      <c r="E429" s="201"/>
      <c r="H429" s="211"/>
    </row>
    <row r="430" spans="5:8">
      <c r="E430" s="201"/>
      <c r="H430" s="211"/>
    </row>
    <row r="431" spans="5:8">
      <c r="E431" s="201"/>
      <c r="H431" s="211"/>
    </row>
    <row r="432" spans="5:8">
      <c r="E432" s="201"/>
      <c r="H432" s="211"/>
    </row>
    <row r="433" spans="5:8">
      <c r="E433" s="201"/>
      <c r="H433" s="211"/>
    </row>
    <row r="434" spans="5:8">
      <c r="E434" s="201"/>
      <c r="H434" s="211"/>
    </row>
    <row r="435" spans="5:8">
      <c r="E435" s="201"/>
      <c r="H435" s="211"/>
    </row>
    <row r="436" spans="5:8">
      <c r="E436" s="201"/>
      <c r="H436" s="211"/>
    </row>
    <row r="437" spans="5:8">
      <c r="E437" s="201"/>
      <c r="H437" s="211"/>
    </row>
    <row r="438" spans="5:8">
      <c r="E438" s="201"/>
      <c r="H438" s="211"/>
    </row>
    <row r="439" spans="5:8">
      <c r="E439" s="201"/>
      <c r="H439" s="211"/>
    </row>
    <row r="440" spans="5:8">
      <c r="E440" s="201"/>
      <c r="H440" s="211"/>
    </row>
    <row r="441" spans="5:8">
      <c r="E441" s="201"/>
      <c r="H441" s="211"/>
    </row>
    <row r="442" spans="5:8">
      <c r="E442" s="201"/>
      <c r="H442" s="211"/>
    </row>
    <row r="443" spans="5:8">
      <c r="E443" s="201"/>
      <c r="H443" s="211"/>
    </row>
    <row r="444" spans="5:8">
      <c r="E444" s="201"/>
      <c r="H444" s="211"/>
    </row>
    <row r="445" spans="5:8">
      <c r="E445" s="201"/>
      <c r="H445" s="211"/>
    </row>
    <row r="446" spans="5:8">
      <c r="E446" s="201"/>
      <c r="H446" s="211"/>
    </row>
    <row r="447" spans="5:8">
      <c r="E447" s="201"/>
      <c r="H447" s="211"/>
    </row>
    <row r="448" spans="5:8">
      <c r="E448" s="201"/>
      <c r="H448" s="211"/>
    </row>
    <row r="449" spans="5:8">
      <c r="E449" s="201"/>
      <c r="H449" s="211"/>
    </row>
    <row r="450" spans="5:8">
      <c r="E450" s="201"/>
      <c r="H450" s="211"/>
    </row>
    <row r="451" spans="5:8">
      <c r="E451" s="201"/>
      <c r="H451" s="211"/>
    </row>
    <row r="452" spans="5:8">
      <c r="E452" s="201"/>
      <c r="H452" s="211"/>
    </row>
    <row r="453" spans="5:8">
      <c r="E453" s="201"/>
      <c r="H453" s="211"/>
    </row>
    <row r="454" spans="5:8">
      <c r="E454" s="201"/>
      <c r="H454" s="211"/>
    </row>
    <row r="455" spans="5:8">
      <c r="E455" s="201"/>
      <c r="H455" s="211"/>
    </row>
    <row r="456" spans="5:8">
      <c r="E456" s="201"/>
      <c r="H456" s="211"/>
    </row>
    <row r="457" spans="5:8">
      <c r="E457" s="201"/>
      <c r="H457" s="211"/>
    </row>
    <row r="458" spans="5:8">
      <c r="E458" s="201"/>
      <c r="H458" s="211"/>
    </row>
    <row r="459" spans="5:8">
      <c r="E459" s="201"/>
      <c r="H459" s="211"/>
    </row>
    <row r="460" spans="5:8">
      <c r="E460" s="201"/>
      <c r="H460" s="211"/>
    </row>
    <row r="461" spans="5:8">
      <c r="E461" s="201"/>
      <c r="H461" s="211"/>
    </row>
    <row r="462" spans="5:8">
      <c r="E462" s="201"/>
      <c r="H462" s="211"/>
    </row>
    <row r="463" spans="5:8">
      <c r="E463" s="201"/>
      <c r="H463" s="211"/>
    </row>
    <row r="464" spans="5:8">
      <c r="E464" s="201"/>
      <c r="H464" s="211"/>
    </row>
    <row r="465" spans="5:8">
      <c r="E465" s="201"/>
      <c r="H465" s="211"/>
    </row>
    <row r="466" spans="5:8">
      <c r="E466" s="201"/>
      <c r="H466" s="211"/>
    </row>
    <row r="467" spans="5:8">
      <c r="E467" s="201"/>
      <c r="H467" s="211"/>
    </row>
    <row r="468" spans="5:8">
      <c r="E468" s="201"/>
      <c r="H468" s="211"/>
    </row>
    <row r="469" spans="5:8">
      <c r="E469" s="201"/>
      <c r="H469" s="211"/>
    </row>
    <row r="470" spans="5:8">
      <c r="E470" s="201"/>
      <c r="H470" s="211"/>
    </row>
    <row r="471" spans="5:8">
      <c r="E471" s="201"/>
      <c r="H471" s="211"/>
    </row>
    <row r="472" spans="5:8">
      <c r="E472" s="201"/>
      <c r="H472" s="211"/>
    </row>
    <row r="473" spans="5:8">
      <c r="E473" s="201"/>
      <c r="H473" s="211"/>
    </row>
    <row r="474" spans="5:8">
      <c r="E474" s="201"/>
      <c r="H474" s="211"/>
    </row>
    <row r="475" spans="5:8">
      <c r="E475" s="201"/>
      <c r="H475" s="211"/>
    </row>
    <row r="476" spans="5:8">
      <c r="E476" s="201"/>
      <c r="H476" s="211"/>
    </row>
    <row r="477" spans="5:8">
      <c r="E477" s="201"/>
      <c r="H477" s="211"/>
    </row>
    <row r="478" spans="5:8">
      <c r="E478" s="201"/>
      <c r="H478" s="211"/>
    </row>
    <row r="479" spans="5:8">
      <c r="E479" s="201"/>
      <c r="H479" s="211"/>
    </row>
    <row r="480" spans="5:8">
      <c r="E480" s="201"/>
      <c r="H480" s="211"/>
    </row>
    <row r="481" spans="5:8">
      <c r="E481" s="201"/>
      <c r="H481" s="211"/>
    </row>
    <row r="482" spans="5:8">
      <c r="E482" s="201"/>
      <c r="H482" s="211"/>
    </row>
    <row r="483" spans="5:8">
      <c r="E483" s="201"/>
      <c r="H483" s="211"/>
    </row>
    <row r="484" spans="5:8">
      <c r="E484" s="201"/>
      <c r="H484" s="211"/>
    </row>
    <row r="485" spans="5:8">
      <c r="E485" s="201"/>
      <c r="H485" s="211"/>
    </row>
    <row r="486" spans="5:8">
      <c r="E486" s="201"/>
      <c r="H486" s="211"/>
    </row>
    <row r="487" spans="5:8">
      <c r="E487" s="201"/>
      <c r="H487" s="211"/>
    </row>
    <row r="488" spans="5:8">
      <c r="E488" s="201"/>
      <c r="H488" s="211"/>
    </row>
    <row r="489" spans="5:8">
      <c r="E489" s="201"/>
      <c r="H489" s="211"/>
    </row>
    <row r="490" spans="5:8">
      <c r="E490" s="201"/>
      <c r="H490" s="211"/>
    </row>
    <row r="491" spans="5:8">
      <c r="E491" s="201"/>
      <c r="H491" s="211"/>
    </row>
    <row r="492" spans="5:8">
      <c r="E492" s="201"/>
      <c r="H492" s="211"/>
    </row>
    <row r="493" spans="5:8">
      <c r="E493" s="201"/>
      <c r="H493" s="211"/>
    </row>
    <row r="494" spans="5:8">
      <c r="E494" s="201"/>
      <c r="H494" s="211"/>
    </row>
    <row r="495" spans="5:8">
      <c r="E495" s="201"/>
      <c r="H495" s="211"/>
    </row>
    <row r="496" spans="5:8">
      <c r="E496" s="201"/>
      <c r="H496" s="211"/>
    </row>
    <row r="497" spans="5:8">
      <c r="E497" s="201"/>
      <c r="H497" s="211"/>
    </row>
    <row r="498" spans="5:8">
      <c r="E498" s="201"/>
      <c r="H498" s="211"/>
    </row>
    <row r="499" spans="5:8">
      <c r="E499" s="201"/>
      <c r="H499" s="211"/>
    </row>
    <row r="500" spans="5:8">
      <c r="E500" s="201"/>
      <c r="H500" s="211"/>
    </row>
    <row r="501" spans="5:8">
      <c r="E501" s="201"/>
      <c r="H501" s="211"/>
    </row>
    <row r="502" spans="5:8">
      <c r="E502" s="201"/>
      <c r="H502" s="211"/>
    </row>
    <row r="503" spans="5:8">
      <c r="E503" s="201"/>
      <c r="H503" s="211"/>
    </row>
    <row r="504" spans="5:8">
      <c r="E504" s="201"/>
      <c r="H504" s="211"/>
    </row>
    <row r="505" spans="5:8">
      <c r="E505" s="201"/>
      <c r="H505" s="211"/>
    </row>
    <row r="506" spans="5:8">
      <c r="E506" s="201"/>
      <c r="H506" s="211"/>
    </row>
    <row r="507" spans="5:8">
      <c r="E507" s="201"/>
      <c r="H507" s="211"/>
    </row>
    <row r="508" spans="5:8">
      <c r="E508" s="201"/>
      <c r="H508" s="211"/>
    </row>
    <row r="509" spans="5:8">
      <c r="E509" s="201"/>
      <c r="H509" s="211"/>
    </row>
    <row r="510" spans="5:8">
      <c r="E510" s="201"/>
      <c r="H510" s="211"/>
    </row>
    <row r="511" spans="5:8">
      <c r="E511" s="201"/>
      <c r="H511" s="211"/>
    </row>
    <row r="512" spans="5:8">
      <c r="E512" s="201"/>
      <c r="H512" s="211"/>
    </row>
    <row r="513" spans="5:8">
      <c r="E513" s="201"/>
      <c r="H513" s="211"/>
    </row>
    <row r="514" spans="5:8">
      <c r="E514" s="201"/>
      <c r="H514" s="211"/>
    </row>
    <row r="515" spans="5:8">
      <c r="E515" s="201"/>
      <c r="H515" s="211"/>
    </row>
    <row r="516" spans="5:8">
      <c r="E516" s="201"/>
      <c r="H516" s="211"/>
    </row>
    <row r="517" spans="5:8">
      <c r="E517" s="201"/>
      <c r="H517" s="211"/>
    </row>
    <row r="518" spans="5:8">
      <c r="E518" s="201"/>
      <c r="H518" s="211"/>
    </row>
    <row r="519" spans="5:8">
      <c r="E519" s="201"/>
      <c r="H519" s="211"/>
    </row>
    <row r="520" spans="5:8">
      <c r="E520" s="201"/>
      <c r="H520" s="211"/>
    </row>
    <row r="521" spans="5:8">
      <c r="E521" s="201"/>
      <c r="H521" s="211"/>
    </row>
    <row r="522" spans="5:8">
      <c r="E522" s="201"/>
      <c r="H522" s="211"/>
    </row>
    <row r="523" spans="5:8">
      <c r="E523" s="201"/>
      <c r="H523" s="211"/>
    </row>
    <row r="524" spans="5:8">
      <c r="E524" s="201"/>
      <c r="H524" s="211"/>
    </row>
    <row r="525" spans="5:8">
      <c r="E525" s="201"/>
      <c r="H525" s="211"/>
    </row>
    <row r="526" spans="5:8">
      <c r="E526" s="201"/>
      <c r="H526" s="211"/>
    </row>
    <row r="527" spans="5:8">
      <c r="E527" s="201"/>
      <c r="H527" s="211"/>
    </row>
    <row r="528" spans="5:8">
      <c r="E528" s="201"/>
      <c r="H528" s="211"/>
    </row>
    <row r="529" spans="5:8">
      <c r="E529" s="201"/>
      <c r="H529" s="211"/>
    </row>
    <row r="530" spans="5:8">
      <c r="E530" s="201"/>
      <c r="H530" s="211"/>
    </row>
    <row r="531" spans="5:8">
      <c r="E531" s="201"/>
      <c r="H531" s="211"/>
    </row>
    <row r="532" spans="5:8">
      <c r="E532" s="201"/>
      <c r="H532" s="211"/>
    </row>
    <row r="533" spans="5:8">
      <c r="E533" s="201"/>
      <c r="H533" s="211"/>
    </row>
    <row r="534" spans="5:8">
      <c r="E534" s="201"/>
      <c r="H534" s="211"/>
    </row>
    <row r="535" spans="5:8">
      <c r="E535" s="201"/>
      <c r="H535" s="211"/>
    </row>
    <row r="536" spans="5:8">
      <c r="E536" s="201"/>
      <c r="H536" s="211"/>
    </row>
    <row r="537" spans="5:8">
      <c r="E537" s="201"/>
      <c r="H537" s="211"/>
    </row>
    <row r="538" spans="5:8">
      <c r="E538" s="201"/>
      <c r="H538" s="211"/>
    </row>
    <row r="539" spans="5:8">
      <c r="E539" s="201"/>
      <c r="H539" s="211"/>
    </row>
    <row r="540" spans="5:8">
      <c r="E540" s="201"/>
      <c r="H540" s="211"/>
    </row>
    <row r="541" spans="5:8">
      <c r="E541" s="201"/>
      <c r="H541" s="211"/>
    </row>
    <row r="542" spans="5:8">
      <c r="E542" s="201"/>
      <c r="H542" s="211"/>
    </row>
    <row r="543" spans="5:8">
      <c r="E543" s="201"/>
      <c r="H543" s="211"/>
    </row>
    <row r="544" spans="5:8">
      <c r="E544" s="201"/>
      <c r="H544" s="211"/>
    </row>
    <row r="545" spans="5:8">
      <c r="E545" s="201"/>
      <c r="H545" s="211"/>
    </row>
    <row r="546" spans="5:8">
      <c r="E546" s="201"/>
      <c r="H546" s="211"/>
    </row>
    <row r="547" spans="5:8">
      <c r="E547" s="201"/>
      <c r="H547" s="211"/>
    </row>
    <row r="548" spans="5:8">
      <c r="E548" s="201"/>
      <c r="H548" s="211"/>
    </row>
    <row r="549" spans="5:8">
      <c r="E549" s="201"/>
      <c r="H549" s="211"/>
    </row>
    <row r="550" spans="5:8">
      <c r="E550" s="201"/>
      <c r="H550" s="211"/>
    </row>
    <row r="551" spans="5:8">
      <c r="E551" s="201"/>
      <c r="H551" s="211"/>
    </row>
    <row r="552" spans="5:8">
      <c r="E552" s="201"/>
      <c r="H552" s="211"/>
    </row>
    <row r="553" spans="5:8">
      <c r="E553" s="201"/>
      <c r="H553" s="211"/>
    </row>
    <row r="554" spans="5:8">
      <c r="E554" s="201"/>
      <c r="H554" s="211"/>
    </row>
    <row r="555" spans="5:8">
      <c r="E555" s="201"/>
      <c r="H555" s="211"/>
    </row>
    <row r="556" spans="5:8">
      <c r="E556" s="201"/>
      <c r="H556" s="211"/>
    </row>
    <row r="557" spans="5:8">
      <c r="E557" s="201"/>
      <c r="H557" s="211"/>
    </row>
    <row r="558" spans="5:8">
      <c r="E558" s="201"/>
      <c r="H558" s="211"/>
    </row>
    <row r="559" spans="5:8">
      <c r="E559" s="201"/>
      <c r="H559" s="211"/>
    </row>
    <row r="560" spans="5:8">
      <c r="E560" s="201"/>
      <c r="H560" s="211"/>
    </row>
    <row r="561" spans="5:8">
      <c r="E561" s="201"/>
      <c r="H561" s="211"/>
    </row>
    <row r="562" spans="5:8">
      <c r="E562" s="201"/>
      <c r="H562" s="211"/>
    </row>
    <row r="563" spans="5:8">
      <c r="E563" s="201"/>
      <c r="H563" s="211"/>
    </row>
    <row r="564" spans="5:8">
      <c r="E564" s="201"/>
      <c r="H564" s="211"/>
    </row>
    <row r="565" spans="5:8">
      <c r="E565" s="201"/>
      <c r="H565" s="211"/>
    </row>
    <row r="566" spans="5:8">
      <c r="E566" s="201"/>
      <c r="H566" s="211"/>
    </row>
    <row r="567" spans="5:8">
      <c r="E567" s="201"/>
      <c r="H567" s="211"/>
    </row>
    <row r="568" spans="5:8">
      <c r="E568" s="201"/>
      <c r="H568" s="211"/>
    </row>
    <row r="569" spans="5:8">
      <c r="E569" s="201"/>
      <c r="H569" s="211"/>
    </row>
    <row r="570" spans="5:8">
      <c r="E570" s="201"/>
      <c r="H570" s="211"/>
    </row>
    <row r="571" spans="5:8">
      <c r="E571" s="201"/>
      <c r="H571" s="211"/>
    </row>
    <row r="572" spans="5:8">
      <c r="E572" s="201"/>
      <c r="H572" s="211"/>
    </row>
    <row r="573" spans="5:8">
      <c r="E573" s="201"/>
      <c r="H573" s="211"/>
    </row>
    <row r="574" spans="5:8">
      <c r="E574" s="201"/>
      <c r="H574" s="211"/>
    </row>
    <row r="575" spans="5:8">
      <c r="E575" s="201"/>
      <c r="H575" s="211"/>
    </row>
    <row r="576" spans="5:8">
      <c r="E576" s="201"/>
      <c r="H576" s="211"/>
    </row>
    <row r="577" spans="5:8">
      <c r="E577" s="201"/>
      <c r="H577" s="211"/>
    </row>
    <row r="578" spans="5:8">
      <c r="E578" s="201"/>
      <c r="H578" s="211"/>
    </row>
    <row r="579" spans="5:8">
      <c r="E579" s="201"/>
      <c r="H579" s="211"/>
    </row>
    <row r="580" spans="5:8">
      <c r="E580" s="201"/>
      <c r="H580" s="211"/>
    </row>
    <row r="581" spans="5:8">
      <c r="E581" s="201"/>
      <c r="H581" s="211"/>
    </row>
    <row r="582" spans="5:8">
      <c r="E582" s="201"/>
      <c r="H582" s="211"/>
    </row>
    <row r="583" spans="5:8">
      <c r="E583" s="201"/>
      <c r="H583" s="211"/>
    </row>
    <row r="584" spans="5:8">
      <c r="E584" s="201"/>
      <c r="H584" s="211"/>
    </row>
    <row r="585" spans="5:8">
      <c r="E585" s="201"/>
      <c r="H585" s="211"/>
    </row>
    <row r="586" spans="5:8">
      <c r="E586" s="201"/>
      <c r="H586" s="211"/>
    </row>
    <row r="587" spans="5:8">
      <c r="E587" s="201"/>
      <c r="H587" s="211"/>
    </row>
    <row r="588" spans="5:8">
      <c r="E588" s="201"/>
      <c r="H588" s="211"/>
    </row>
    <row r="589" spans="5:8">
      <c r="E589" s="201"/>
      <c r="H589" s="211"/>
    </row>
    <row r="590" spans="5:8">
      <c r="E590" s="201"/>
      <c r="H590" s="211"/>
    </row>
    <row r="591" spans="5:8">
      <c r="E591" s="201"/>
      <c r="H591" s="211"/>
    </row>
    <row r="592" spans="5:8">
      <c r="E592" s="201"/>
      <c r="H592" s="211"/>
    </row>
    <row r="593" spans="5:8">
      <c r="E593" s="201"/>
      <c r="H593" s="211"/>
    </row>
    <row r="594" spans="5:8">
      <c r="E594" s="201"/>
      <c r="H594" s="211"/>
    </row>
    <row r="595" spans="5:8">
      <c r="E595" s="201"/>
      <c r="H595" s="211"/>
    </row>
    <row r="596" spans="5:8">
      <c r="E596" s="201"/>
      <c r="H596" s="211"/>
    </row>
    <row r="597" spans="5:8">
      <c r="E597" s="201"/>
      <c r="H597" s="211"/>
    </row>
    <row r="598" spans="5:8">
      <c r="E598" s="201"/>
      <c r="H598" s="211"/>
    </row>
    <row r="599" spans="5:8">
      <c r="E599" s="201"/>
      <c r="H599" s="211"/>
    </row>
    <row r="600" spans="5:8">
      <c r="E600" s="201"/>
      <c r="H600" s="211"/>
    </row>
    <row r="601" spans="5:8">
      <c r="E601" s="201"/>
      <c r="H601" s="211"/>
    </row>
    <row r="602" spans="5:8">
      <c r="E602" s="201"/>
      <c r="H602" s="211"/>
    </row>
    <row r="603" spans="5:8">
      <c r="E603" s="201"/>
      <c r="H603" s="211"/>
    </row>
    <row r="604" spans="5:8">
      <c r="E604" s="201"/>
      <c r="H604" s="211"/>
    </row>
    <row r="605" spans="5:8">
      <c r="E605" s="201"/>
      <c r="H605" s="211"/>
    </row>
    <row r="606" spans="5:8">
      <c r="E606" s="201"/>
      <c r="H606" s="211"/>
    </row>
    <row r="607" spans="5:8">
      <c r="E607" s="201"/>
      <c r="H607" s="211"/>
    </row>
    <row r="608" spans="5:8">
      <c r="E608" s="201"/>
      <c r="H608" s="211"/>
    </row>
    <row r="609" spans="5:8">
      <c r="E609" s="201"/>
      <c r="H609" s="211"/>
    </row>
    <row r="610" spans="5:8">
      <c r="E610" s="201"/>
      <c r="H610" s="211"/>
    </row>
    <row r="611" spans="5:8">
      <c r="E611" s="201"/>
      <c r="H611" s="211"/>
    </row>
    <row r="612" spans="5:8">
      <c r="E612" s="201"/>
      <c r="H612" s="211"/>
    </row>
    <row r="613" spans="5:8">
      <c r="E613" s="201"/>
      <c r="H613" s="211"/>
    </row>
    <row r="614" spans="5:8">
      <c r="E614" s="201"/>
      <c r="H614" s="211"/>
    </row>
    <row r="615" spans="5:8">
      <c r="E615" s="201"/>
      <c r="H615" s="211"/>
    </row>
    <row r="616" spans="5:8">
      <c r="E616" s="201"/>
      <c r="H616" s="211"/>
    </row>
    <row r="617" spans="5:8">
      <c r="E617" s="201"/>
      <c r="H617" s="211"/>
    </row>
    <row r="618" spans="5:8">
      <c r="E618" s="201"/>
      <c r="H618" s="211"/>
    </row>
    <row r="619" spans="5:8">
      <c r="E619" s="201"/>
      <c r="H619" s="211"/>
    </row>
    <row r="620" spans="5:8">
      <c r="E620" s="201"/>
      <c r="H620" s="211"/>
    </row>
    <row r="621" spans="5:8">
      <c r="E621" s="201"/>
      <c r="H621" s="211"/>
    </row>
    <row r="622" spans="5:8">
      <c r="E622" s="201"/>
      <c r="H622" s="211"/>
    </row>
    <row r="623" spans="5:8">
      <c r="E623" s="201"/>
      <c r="H623" s="211"/>
    </row>
    <row r="624" spans="5:8">
      <c r="E624" s="201"/>
      <c r="H624" s="211"/>
    </row>
    <row r="625" spans="5:8">
      <c r="E625" s="201"/>
      <c r="H625" s="211"/>
    </row>
    <row r="626" spans="5:8">
      <c r="E626" s="201"/>
      <c r="H626" s="211"/>
    </row>
    <row r="627" spans="5:8">
      <c r="E627" s="201"/>
      <c r="H627" s="211"/>
    </row>
    <row r="628" spans="5:8">
      <c r="E628" s="201"/>
      <c r="H628" s="211"/>
    </row>
    <row r="629" spans="5:8">
      <c r="E629" s="201"/>
      <c r="H629" s="211"/>
    </row>
    <row r="630" spans="5:8">
      <c r="E630" s="201"/>
      <c r="H630" s="211"/>
    </row>
    <row r="631" spans="5:8">
      <c r="E631" s="201"/>
      <c r="H631" s="211"/>
    </row>
    <row r="632" spans="5:8">
      <c r="E632" s="201"/>
      <c r="H632" s="211"/>
    </row>
    <row r="633" spans="5:8">
      <c r="E633" s="201"/>
      <c r="H633" s="211"/>
    </row>
    <row r="634" spans="5:8">
      <c r="E634" s="201"/>
      <c r="H634" s="211"/>
    </row>
    <row r="635" spans="5:8">
      <c r="E635" s="201"/>
      <c r="H635" s="211"/>
    </row>
    <row r="636" spans="5:8">
      <c r="E636" s="201"/>
      <c r="H636" s="211"/>
    </row>
    <row r="637" spans="5:8">
      <c r="E637" s="201"/>
      <c r="H637" s="211"/>
    </row>
    <row r="638" spans="5:8">
      <c r="E638" s="201"/>
      <c r="H638" s="211"/>
    </row>
    <row r="639" spans="5:8">
      <c r="E639" s="201"/>
      <c r="H639" s="211"/>
    </row>
    <row r="640" spans="5:8">
      <c r="E640" s="201"/>
      <c r="H640" s="211"/>
    </row>
    <row r="641" spans="5:8">
      <c r="E641" s="201"/>
      <c r="H641" s="211"/>
    </row>
    <row r="642" spans="5:8">
      <c r="E642" s="201"/>
      <c r="H642" s="211"/>
    </row>
    <row r="643" spans="5:8">
      <c r="E643" s="201"/>
      <c r="H643" s="211"/>
    </row>
    <row r="644" spans="5:8">
      <c r="E644" s="201"/>
      <c r="H644" s="211"/>
    </row>
    <row r="645" spans="5:8">
      <c r="E645" s="201"/>
      <c r="H645" s="211"/>
    </row>
    <row r="646" spans="5:8">
      <c r="E646" s="201"/>
      <c r="H646" s="211"/>
    </row>
    <row r="647" spans="5:8">
      <c r="E647" s="201"/>
      <c r="H647" s="211"/>
    </row>
    <row r="648" spans="5:8">
      <c r="E648" s="201"/>
      <c r="H648" s="211"/>
    </row>
    <row r="649" spans="5:8">
      <c r="E649" s="201"/>
      <c r="H649" s="211"/>
    </row>
    <row r="650" spans="5:8">
      <c r="E650" s="201"/>
      <c r="H650" s="211"/>
    </row>
    <row r="651" spans="5:8">
      <c r="E651" s="201"/>
      <c r="H651" s="211"/>
    </row>
    <row r="652" spans="5:8">
      <c r="E652" s="201"/>
      <c r="H652" s="211"/>
    </row>
    <row r="653" spans="5:8">
      <c r="E653" s="201"/>
      <c r="H653" s="211"/>
    </row>
    <row r="654" spans="5:8">
      <c r="E654" s="201"/>
      <c r="H654" s="211"/>
    </row>
    <row r="655" spans="5:8">
      <c r="E655" s="201"/>
      <c r="H655" s="211"/>
    </row>
    <row r="656" spans="5:8">
      <c r="E656" s="201"/>
      <c r="H656" s="211"/>
    </row>
    <row r="657" spans="5:8">
      <c r="E657" s="201"/>
      <c r="H657" s="211"/>
    </row>
    <row r="658" spans="5:8">
      <c r="E658" s="201"/>
      <c r="H658" s="211"/>
    </row>
    <row r="659" spans="5:8">
      <c r="E659" s="201"/>
      <c r="H659" s="211"/>
    </row>
    <row r="660" spans="5:8">
      <c r="E660" s="201"/>
      <c r="H660" s="211"/>
    </row>
    <row r="661" spans="5:8">
      <c r="E661" s="201"/>
      <c r="H661" s="211"/>
    </row>
    <row r="662" spans="5:8">
      <c r="E662" s="201"/>
      <c r="H662" s="211"/>
    </row>
    <row r="663" spans="5:8">
      <c r="E663" s="201"/>
      <c r="H663" s="211"/>
    </row>
    <row r="664" spans="5:8">
      <c r="E664" s="201"/>
      <c r="H664" s="211"/>
    </row>
    <row r="665" spans="5:8">
      <c r="E665" s="201"/>
      <c r="H665" s="211"/>
    </row>
    <row r="666" spans="5:8">
      <c r="E666" s="201"/>
      <c r="H666" s="211"/>
    </row>
    <row r="667" spans="5:8">
      <c r="E667" s="201"/>
      <c r="H667" s="211"/>
    </row>
    <row r="668" spans="5:8">
      <c r="E668" s="201"/>
      <c r="H668" s="211"/>
    </row>
    <row r="669" spans="5:8">
      <c r="E669" s="201"/>
      <c r="H669" s="211"/>
    </row>
    <row r="670" spans="5:8">
      <c r="E670" s="201"/>
      <c r="H670" s="211"/>
    </row>
    <row r="671" spans="5:8">
      <c r="E671" s="201"/>
      <c r="H671" s="211"/>
    </row>
    <row r="672" spans="5:8">
      <c r="E672" s="201"/>
      <c r="H672" s="211"/>
    </row>
    <row r="673" spans="5:8">
      <c r="E673" s="201"/>
      <c r="H673" s="211"/>
    </row>
    <row r="674" spans="5:8">
      <c r="E674" s="201"/>
      <c r="H674" s="211"/>
    </row>
    <row r="675" spans="5:8">
      <c r="E675" s="201"/>
      <c r="H675" s="211"/>
    </row>
    <row r="676" spans="5:8">
      <c r="E676" s="201"/>
      <c r="H676" s="211"/>
    </row>
    <row r="677" spans="5:8">
      <c r="E677" s="201"/>
      <c r="H677" s="211"/>
    </row>
    <row r="678" spans="5:8">
      <c r="E678" s="201"/>
      <c r="H678" s="211"/>
    </row>
    <row r="679" spans="5:8">
      <c r="E679" s="201"/>
      <c r="H679" s="211"/>
    </row>
    <row r="680" spans="5:8">
      <c r="E680" s="201"/>
      <c r="H680" s="211"/>
    </row>
    <row r="681" spans="5:8">
      <c r="E681" s="201"/>
      <c r="H681" s="211"/>
    </row>
    <row r="682" spans="5:8">
      <c r="E682" s="201"/>
      <c r="H682" s="211"/>
    </row>
    <row r="683" spans="5:8">
      <c r="E683" s="201"/>
      <c r="H683" s="211"/>
    </row>
    <row r="684" spans="5:8">
      <c r="E684" s="201"/>
      <c r="H684" s="211"/>
    </row>
    <row r="685" spans="5:8">
      <c r="E685" s="201"/>
      <c r="H685" s="211"/>
    </row>
    <row r="686" spans="5:8">
      <c r="E686" s="201"/>
      <c r="H686" s="211"/>
    </row>
    <row r="687" spans="5:8">
      <c r="E687" s="201"/>
      <c r="H687" s="211"/>
    </row>
    <row r="688" spans="5:8">
      <c r="E688" s="201"/>
      <c r="H688" s="211"/>
    </row>
    <row r="689" spans="5:8">
      <c r="E689" s="201"/>
      <c r="H689" s="211"/>
    </row>
    <row r="690" spans="5:8">
      <c r="E690" s="201"/>
      <c r="H690" s="211"/>
    </row>
    <row r="691" spans="5:8">
      <c r="E691" s="201"/>
      <c r="H691" s="211"/>
    </row>
    <row r="692" spans="5:8">
      <c r="E692" s="201"/>
      <c r="H692" s="211"/>
    </row>
    <row r="693" spans="5:8">
      <c r="E693" s="201"/>
      <c r="H693" s="211"/>
    </row>
    <row r="694" spans="5:8">
      <c r="E694" s="201"/>
      <c r="H694" s="211"/>
    </row>
    <row r="695" spans="5:8">
      <c r="E695" s="201"/>
      <c r="H695" s="211"/>
    </row>
    <row r="696" spans="5:8">
      <c r="E696" s="201"/>
      <c r="H696" s="211"/>
    </row>
    <row r="697" spans="5:8">
      <c r="E697" s="201"/>
      <c r="H697" s="211"/>
    </row>
    <row r="698" spans="5:8">
      <c r="E698" s="201"/>
      <c r="H698" s="211"/>
    </row>
    <row r="699" spans="5:8">
      <c r="E699" s="201"/>
      <c r="H699" s="211"/>
    </row>
    <row r="700" spans="5:8">
      <c r="E700" s="201"/>
      <c r="H700" s="211"/>
    </row>
    <row r="701" spans="5:8">
      <c r="E701" s="201"/>
      <c r="H701" s="211"/>
    </row>
    <row r="702" spans="5:8">
      <c r="E702" s="201"/>
      <c r="H702" s="211"/>
    </row>
    <row r="703" spans="5:8">
      <c r="E703" s="201"/>
      <c r="H703" s="211"/>
    </row>
    <row r="704" spans="5:8">
      <c r="E704" s="201"/>
      <c r="H704" s="211"/>
    </row>
    <row r="705" spans="5:8">
      <c r="E705" s="201"/>
      <c r="H705" s="211"/>
    </row>
    <row r="706" spans="5:8">
      <c r="E706" s="201"/>
      <c r="H706" s="211"/>
    </row>
    <row r="707" spans="5:8">
      <c r="E707" s="201"/>
      <c r="H707" s="211"/>
    </row>
    <row r="708" spans="5:8">
      <c r="E708" s="201"/>
      <c r="H708" s="211"/>
    </row>
    <row r="709" spans="5:8">
      <c r="E709" s="201"/>
      <c r="H709" s="211"/>
    </row>
    <row r="710" spans="5:8">
      <c r="E710" s="201"/>
      <c r="H710" s="211"/>
    </row>
    <row r="711" spans="5:8">
      <c r="E711" s="201"/>
      <c r="H711" s="211"/>
    </row>
    <row r="712" spans="5:8">
      <c r="E712" s="201"/>
      <c r="H712" s="211"/>
    </row>
    <row r="713" spans="5:8">
      <c r="E713" s="201"/>
      <c r="H713" s="211"/>
    </row>
    <row r="714" spans="5:8">
      <c r="E714" s="201"/>
      <c r="H714" s="211"/>
    </row>
    <row r="715" spans="5:8">
      <c r="E715" s="201"/>
      <c r="H715" s="211"/>
    </row>
    <row r="716" spans="5:8">
      <c r="E716" s="201"/>
      <c r="H716" s="211"/>
    </row>
    <row r="717" spans="5:8">
      <c r="E717" s="201"/>
      <c r="H717" s="211"/>
    </row>
    <row r="718" spans="5:8">
      <c r="E718" s="201"/>
      <c r="H718" s="211"/>
    </row>
    <row r="719" spans="5:8">
      <c r="E719" s="201"/>
      <c r="H719" s="211"/>
    </row>
    <row r="720" spans="5:8">
      <c r="E720" s="201"/>
      <c r="H720" s="211"/>
    </row>
    <row r="721" spans="5:8">
      <c r="E721" s="201"/>
      <c r="H721" s="211"/>
    </row>
    <row r="722" spans="5:8">
      <c r="E722" s="201"/>
      <c r="H722" s="211"/>
    </row>
    <row r="723" spans="5:8">
      <c r="E723" s="201"/>
      <c r="H723" s="211"/>
    </row>
    <row r="724" spans="5:8">
      <c r="E724" s="201"/>
      <c r="H724" s="211"/>
    </row>
    <row r="725" spans="5:8">
      <c r="E725" s="201"/>
      <c r="H725" s="211"/>
    </row>
    <row r="726" spans="5:8">
      <c r="E726" s="201"/>
      <c r="H726" s="211"/>
    </row>
    <row r="727" spans="5:8">
      <c r="E727" s="201"/>
      <c r="H727" s="211"/>
    </row>
    <row r="728" spans="5:8">
      <c r="E728" s="201"/>
      <c r="H728" s="211"/>
    </row>
    <row r="729" spans="5:8">
      <c r="E729" s="201"/>
      <c r="H729" s="211"/>
    </row>
    <row r="730" spans="5:8">
      <c r="E730" s="201"/>
      <c r="H730" s="211"/>
    </row>
    <row r="731" spans="5:8">
      <c r="E731" s="201"/>
      <c r="H731" s="211"/>
    </row>
    <row r="732" spans="5:8">
      <c r="E732" s="201"/>
      <c r="H732" s="211"/>
    </row>
    <row r="733" spans="5:8">
      <c r="E733" s="201"/>
      <c r="H733" s="211"/>
    </row>
    <row r="734" spans="5:8">
      <c r="E734" s="201"/>
      <c r="H734" s="211"/>
    </row>
    <row r="735" spans="5:8">
      <c r="E735" s="201"/>
      <c r="H735" s="211"/>
    </row>
    <row r="736" spans="5:8">
      <c r="E736" s="201"/>
      <c r="H736" s="211"/>
    </row>
    <row r="737" spans="5:8">
      <c r="E737" s="201"/>
      <c r="H737" s="211"/>
    </row>
    <row r="738" spans="5:8">
      <c r="E738" s="201"/>
      <c r="H738" s="211"/>
    </row>
    <row r="739" spans="5:8">
      <c r="E739" s="201"/>
      <c r="H739" s="211"/>
    </row>
    <row r="740" spans="5:8">
      <c r="E740" s="201"/>
      <c r="H740" s="211"/>
    </row>
    <row r="741" spans="5:8">
      <c r="E741" s="201"/>
      <c r="H741" s="211"/>
    </row>
    <row r="742" spans="5:8">
      <c r="E742" s="201"/>
      <c r="H742" s="211"/>
    </row>
    <row r="743" spans="5:8">
      <c r="E743" s="201"/>
      <c r="H743" s="211"/>
    </row>
    <row r="744" spans="5:8">
      <c r="E744" s="201"/>
      <c r="H744" s="211"/>
    </row>
    <row r="745" spans="5:8">
      <c r="E745" s="201"/>
      <c r="H745" s="211"/>
    </row>
    <row r="746" spans="5:8">
      <c r="E746" s="201"/>
      <c r="H746" s="211"/>
    </row>
    <row r="747" spans="5:8">
      <c r="E747" s="201"/>
      <c r="H747" s="211"/>
    </row>
    <row r="748" spans="5:8">
      <c r="E748" s="201"/>
      <c r="H748" s="211"/>
    </row>
    <row r="749" spans="5:8">
      <c r="E749" s="201"/>
      <c r="H749" s="211"/>
    </row>
    <row r="750" spans="5:8">
      <c r="E750" s="201"/>
      <c r="H750" s="211"/>
    </row>
    <row r="751" spans="5:8">
      <c r="E751" s="201"/>
      <c r="H751" s="211"/>
    </row>
    <row r="752" spans="5:8">
      <c r="E752" s="201"/>
      <c r="H752" s="211"/>
    </row>
    <row r="753" spans="5:8">
      <c r="E753" s="201"/>
      <c r="H753" s="211"/>
    </row>
    <row r="754" spans="5:8">
      <c r="E754" s="201"/>
      <c r="H754" s="211"/>
    </row>
    <row r="755" spans="5:8">
      <c r="E755" s="201"/>
      <c r="H755" s="211"/>
    </row>
    <row r="756" spans="5:8">
      <c r="E756" s="201"/>
      <c r="H756" s="211"/>
    </row>
    <row r="757" spans="5:8">
      <c r="E757" s="201"/>
      <c r="H757" s="211"/>
    </row>
    <row r="758" spans="5:8">
      <c r="E758" s="201"/>
      <c r="H758" s="211"/>
    </row>
    <row r="759" spans="5:8">
      <c r="E759" s="201"/>
      <c r="H759" s="211"/>
    </row>
    <row r="760" spans="5:8">
      <c r="E760" s="201"/>
      <c r="H760" s="211"/>
    </row>
    <row r="761" spans="5:8">
      <c r="E761" s="201"/>
      <c r="H761" s="211"/>
    </row>
    <row r="762" spans="5:8">
      <c r="E762" s="201"/>
      <c r="H762" s="211"/>
    </row>
    <row r="763" spans="5:8">
      <c r="E763" s="201"/>
      <c r="H763" s="211"/>
    </row>
    <row r="764" spans="5:8">
      <c r="E764" s="201"/>
      <c r="H764" s="211"/>
    </row>
    <row r="765" spans="5:8">
      <c r="E765" s="201"/>
      <c r="H765" s="211"/>
    </row>
    <row r="766" spans="5:8">
      <c r="E766" s="201"/>
      <c r="H766" s="211"/>
    </row>
    <row r="767" spans="5:8">
      <c r="E767" s="201"/>
      <c r="H767" s="211"/>
    </row>
    <row r="768" spans="5:8">
      <c r="E768" s="201"/>
      <c r="H768" s="211"/>
    </row>
    <row r="769" spans="5:8">
      <c r="E769" s="201"/>
      <c r="H769" s="211"/>
    </row>
    <row r="770" spans="5:8">
      <c r="E770" s="201"/>
      <c r="H770" s="211"/>
    </row>
    <row r="771" spans="5:8">
      <c r="E771" s="201"/>
      <c r="H771" s="211"/>
    </row>
    <row r="772" spans="5:8">
      <c r="E772" s="201"/>
      <c r="H772" s="211"/>
    </row>
    <row r="773" spans="5:8">
      <c r="E773" s="201"/>
      <c r="H773" s="211"/>
    </row>
    <row r="774" spans="5:8">
      <c r="E774" s="201"/>
      <c r="H774" s="211"/>
    </row>
    <row r="775" spans="5:8">
      <c r="E775" s="201"/>
      <c r="H775" s="211"/>
    </row>
    <row r="776" spans="5:8">
      <c r="E776" s="201"/>
      <c r="H776" s="211"/>
    </row>
    <row r="777" spans="5:8">
      <c r="E777" s="201"/>
      <c r="H777" s="211"/>
    </row>
    <row r="778" spans="5:8">
      <c r="E778" s="201"/>
      <c r="H778" s="211"/>
    </row>
    <row r="779" spans="5:8">
      <c r="E779" s="201"/>
      <c r="H779" s="211"/>
    </row>
    <row r="780" spans="5:8">
      <c r="E780" s="201"/>
      <c r="H780" s="211"/>
    </row>
    <row r="781" spans="5:8">
      <c r="E781" s="201"/>
      <c r="H781" s="211"/>
    </row>
    <row r="782" spans="5:8">
      <c r="E782" s="201"/>
      <c r="H782" s="211"/>
    </row>
    <row r="783" spans="5:8">
      <c r="E783" s="201"/>
      <c r="H783" s="211"/>
    </row>
    <row r="784" spans="5:8">
      <c r="E784" s="201"/>
      <c r="H784" s="211"/>
    </row>
    <row r="785" spans="5:8">
      <c r="E785" s="201"/>
      <c r="H785" s="211"/>
    </row>
    <row r="786" spans="5:8">
      <c r="E786" s="201"/>
      <c r="H786" s="211"/>
    </row>
    <row r="787" spans="5:8">
      <c r="E787" s="201"/>
      <c r="H787" s="211"/>
    </row>
    <row r="788" spans="5:8">
      <c r="E788" s="201"/>
      <c r="H788" s="211"/>
    </row>
    <row r="789" spans="5:8">
      <c r="E789" s="201"/>
      <c r="H789" s="211"/>
    </row>
    <row r="790" spans="5:8">
      <c r="E790" s="201"/>
      <c r="H790" s="211"/>
    </row>
    <row r="791" spans="5:8">
      <c r="E791" s="201"/>
      <c r="H791" s="211"/>
    </row>
    <row r="792" spans="5:8">
      <c r="E792" s="201"/>
      <c r="H792" s="211"/>
    </row>
    <row r="793" spans="5:8">
      <c r="E793" s="201"/>
      <c r="H793" s="211"/>
    </row>
    <row r="794" spans="5:8">
      <c r="E794" s="201"/>
      <c r="H794" s="211"/>
    </row>
    <row r="795" spans="5:8">
      <c r="E795" s="201"/>
      <c r="H795" s="211"/>
    </row>
    <row r="796" spans="5:8">
      <c r="E796" s="201"/>
      <c r="H796" s="211"/>
    </row>
    <row r="797" spans="5:8">
      <c r="E797" s="201"/>
      <c r="H797" s="211"/>
    </row>
    <row r="798" spans="5:8">
      <c r="E798" s="201"/>
      <c r="H798" s="211"/>
    </row>
    <row r="799" spans="5:8">
      <c r="E799" s="201"/>
      <c r="H799" s="211"/>
    </row>
    <row r="800" spans="5:8">
      <c r="E800" s="201"/>
      <c r="H800" s="211"/>
    </row>
    <row r="801" spans="5:8">
      <c r="E801" s="201"/>
      <c r="H801" s="211"/>
    </row>
    <row r="802" spans="5:8">
      <c r="E802" s="201"/>
      <c r="H802" s="211"/>
    </row>
    <row r="803" spans="5:8">
      <c r="E803" s="201"/>
      <c r="H803" s="211"/>
    </row>
    <row r="804" spans="5:8">
      <c r="E804" s="201"/>
      <c r="H804" s="211"/>
    </row>
    <row r="805" spans="5:8">
      <c r="E805" s="201"/>
      <c r="H805" s="211"/>
    </row>
    <row r="806" spans="5:8">
      <c r="E806" s="201"/>
      <c r="H806" s="211"/>
    </row>
    <row r="807" spans="5:8">
      <c r="E807" s="201"/>
      <c r="H807" s="211"/>
    </row>
    <row r="808" spans="5:8">
      <c r="E808" s="201"/>
      <c r="H808" s="211"/>
    </row>
    <row r="809" spans="5:8">
      <c r="E809" s="201"/>
      <c r="H809" s="211"/>
    </row>
    <row r="810" spans="5:8">
      <c r="E810" s="201"/>
      <c r="H810" s="211"/>
    </row>
    <row r="811" spans="5:8">
      <c r="E811" s="201"/>
      <c r="H811" s="211"/>
    </row>
    <row r="812" spans="5:8">
      <c r="E812" s="201"/>
      <c r="H812" s="211"/>
    </row>
    <row r="813" spans="5:8">
      <c r="E813" s="201"/>
      <c r="H813" s="211"/>
    </row>
    <row r="814" spans="5:8">
      <c r="E814" s="201"/>
      <c r="H814" s="211"/>
    </row>
    <row r="815" spans="5:8">
      <c r="E815" s="201"/>
      <c r="H815" s="211"/>
    </row>
    <row r="816" spans="5:8">
      <c r="E816" s="201"/>
      <c r="H816" s="211"/>
    </row>
    <row r="817" spans="5:8">
      <c r="E817" s="201"/>
      <c r="H817" s="211"/>
    </row>
    <row r="818" spans="5:8">
      <c r="E818" s="201"/>
      <c r="H818" s="211"/>
    </row>
    <row r="819" spans="5:8">
      <c r="E819" s="201"/>
      <c r="H819" s="211"/>
    </row>
    <row r="820" spans="5:8">
      <c r="E820" s="201"/>
      <c r="H820" s="211"/>
    </row>
    <row r="821" spans="5:8">
      <c r="E821" s="201"/>
      <c r="H821" s="211"/>
    </row>
    <row r="822" spans="5:8">
      <c r="E822" s="201"/>
      <c r="H822" s="211"/>
    </row>
    <row r="823" spans="5:8">
      <c r="E823" s="201"/>
      <c r="H823" s="211"/>
    </row>
    <row r="824" spans="5:8">
      <c r="E824" s="201"/>
      <c r="H824" s="211"/>
    </row>
    <row r="825" spans="5:8">
      <c r="E825" s="201"/>
      <c r="H825" s="211"/>
    </row>
    <row r="826" spans="5:8">
      <c r="E826" s="201"/>
      <c r="H826" s="211"/>
    </row>
    <row r="827" spans="5:8">
      <c r="E827" s="201"/>
      <c r="H827" s="211"/>
    </row>
    <row r="828" spans="5:8">
      <c r="E828" s="201"/>
      <c r="H828" s="211"/>
    </row>
    <row r="829" spans="5:8">
      <c r="E829" s="201"/>
      <c r="H829" s="211"/>
    </row>
    <row r="830" spans="5:8">
      <c r="E830" s="201"/>
      <c r="H830" s="211"/>
    </row>
    <row r="831" spans="5:8">
      <c r="E831" s="201"/>
      <c r="H831" s="211"/>
    </row>
    <row r="832" spans="5:8">
      <c r="E832" s="201"/>
      <c r="H832" s="211"/>
    </row>
    <row r="833" spans="5:8">
      <c r="E833" s="201"/>
      <c r="H833" s="211"/>
    </row>
    <row r="834" spans="5:8">
      <c r="E834" s="201"/>
      <c r="H834" s="211"/>
    </row>
    <row r="835" spans="5:8">
      <c r="E835" s="201"/>
      <c r="H835" s="211"/>
    </row>
    <row r="836" spans="5:8">
      <c r="E836" s="201"/>
      <c r="H836" s="211"/>
    </row>
    <row r="837" spans="5:8">
      <c r="E837" s="201"/>
      <c r="H837" s="211"/>
    </row>
    <row r="838" spans="5:8">
      <c r="E838" s="201"/>
      <c r="H838" s="211"/>
    </row>
    <row r="839" spans="5:8">
      <c r="E839" s="201"/>
      <c r="H839" s="211"/>
    </row>
    <row r="840" spans="5:8">
      <c r="E840" s="201"/>
      <c r="H840" s="211"/>
    </row>
    <row r="841" spans="5:8">
      <c r="E841" s="201"/>
      <c r="H841" s="211"/>
    </row>
    <row r="842" spans="5:8">
      <c r="E842" s="201"/>
      <c r="H842" s="211"/>
    </row>
    <row r="843" spans="5:8">
      <c r="E843" s="201"/>
      <c r="H843" s="211"/>
    </row>
    <row r="844" spans="5:8">
      <c r="E844" s="201"/>
      <c r="H844" s="211"/>
    </row>
    <row r="845" spans="5:8">
      <c r="E845" s="201"/>
      <c r="H845" s="211"/>
    </row>
    <row r="846" spans="5:8">
      <c r="E846" s="201"/>
      <c r="H846" s="211"/>
    </row>
    <row r="847" spans="5:8">
      <c r="E847" s="201"/>
      <c r="H847" s="211"/>
    </row>
    <row r="848" spans="5:8">
      <c r="E848" s="201"/>
      <c r="H848" s="211"/>
    </row>
    <row r="849" spans="5:8">
      <c r="E849" s="201"/>
      <c r="H849" s="211"/>
    </row>
    <row r="850" spans="5:8">
      <c r="E850" s="201"/>
      <c r="H850" s="211"/>
    </row>
    <row r="851" spans="5:8">
      <c r="E851" s="201"/>
      <c r="H851" s="211"/>
    </row>
    <row r="852" spans="5:8">
      <c r="E852" s="201"/>
      <c r="H852" s="211"/>
    </row>
    <row r="853" spans="5:8">
      <c r="E853" s="201"/>
      <c r="H853" s="211"/>
    </row>
    <row r="854" spans="5:8">
      <c r="E854" s="201"/>
      <c r="H854" s="211"/>
    </row>
    <row r="855" spans="5:8">
      <c r="E855" s="201"/>
      <c r="H855" s="211"/>
    </row>
    <row r="856" spans="5:8">
      <c r="E856" s="201"/>
      <c r="H856" s="211"/>
    </row>
    <row r="857" spans="5:8">
      <c r="E857" s="201"/>
      <c r="H857" s="211"/>
    </row>
    <row r="858" spans="5:8">
      <c r="E858" s="201"/>
      <c r="H858" s="211"/>
    </row>
    <row r="859" spans="5:8">
      <c r="E859" s="201"/>
      <c r="H859" s="211"/>
    </row>
    <row r="860" spans="5:8">
      <c r="E860" s="201"/>
      <c r="H860" s="211"/>
    </row>
    <row r="861" spans="5:8">
      <c r="E861" s="201"/>
      <c r="H861" s="211"/>
    </row>
    <row r="862" spans="5:8">
      <c r="E862" s="201"/>
      <c r="H862" s="211"/>
    </row>
    <row r="863" spans="5:8">
      <c r="E863" s="201"/>
      <c r="H863" s="211"/>
    </row>
    <row r="864" spans="5:8">
      <c r="E864" s="201"/>
      <c r="H864" s="211"/>
    </row>
    <row r="865" spans="5:8">
      <c r="E865" s="201"/>
      <c r="H865" s="211"/>
    </row>
    <row r="866" spans="5:8">
      <c r="E866" s="201"/>
      <c r="H866" s="211"/>
    </row>
    <row r="867" spans="5:8">
      <c r="E867" s="201"/>
      <c r="H867" s="211"/>
    </row>
    <row r="868" spans="5:8">
      <c r="E868" s="201"/>
      <c r="H868" s="211"/>
    </row>
    <row r="869" spans="5:8">
      <c r="E869" s="201"/>
      <c r="H869" s="211"/>
    </row>
    <row r="870" spans="5:8">
      <c r="E870" s="201"/>
      <c r="H870" s="211"/>
    </row>
    <row r="871" spans="5:8">
      <c r="E871" s="201"/>
      <c r="H871" s="211"/>
    </row>
    <row r="872" spans="5:8">
      <c r="E872" s="201"/>
      <c r="H872" s="211"/>
    </row>
    <row r="873" spans="5:8">
      <c r="E873" s="201"/>
      <c r="H873" s="211"/>
    </row>
    <row r="874" spans="5:8">
      <c r="E874" s="201"/>
      <c r="H874" s="211"/>
    </row>
    <row r="875" spans="5:8">
      <c r="E875" s="201"/>
      <c r="H875" s="211"/>
    </row>
    <row r="876" spans="5:8">
      <c r="E876" s="201"/>
      <c r="H876" s="211"/>
    </row>
    <row r="877" spans="5:8">
      <c r="E877" s="201"/>
      <c r="H877" s="211"/>
    </row>
    <row r="878" spans="5:8">
      <c r="E878" s="201"/>
      <c r="H878" s="211"/>
    </row>
    <row r="879" spans="5:8">
      <c r="E879" s="201"/>
      <c r="H879" s="211"/>
    </row>
    <row r="880" spans="5:8">
      <c r="E880" s="201"/>
      <c r="H880" s="211"/>
    </row>
    <row r="881" spans="5:8">
      <c r="E881" s="201"/>
      <c r="H881" s="211"/>
    </row>
    <row r="882" spans="5:8">
      <c r="E882" s="201"/>
      <c r="H882" s="211"/>
    </row>
    <row r="883" spans="5:8">
      <c r="E883" s="201"/>
      <c r="H883" s="211"/>
    </row>
    <row r="884" spans="5:8">
      <c r="E884" s="201"/>
      <c r="H884" s="211"/>
    </row>
    <row r="885" spans="5:8">
      <c r="E885" s="201"/>
      <c r="H885" s="211"/>
    </row>
    <row r="886" spans="5:8">
      <c r="E886" s="201"/>
      <c r="H886" s="211"/>
    </row>
    <row r="887" spans="5:8">
      <c r="E887" s="201"/>
      <c r="H887" s="211"/>
    </row>
    <row r="888" spans="5:8">
      <c r="E888" s="201"/>
      <c r="H888" s="211"/>
    </row>
    <row r="889" spans="5:8">
      <c r="E889" s="201"/>
      <c r="H889" s="211"/>
    </row>
    <row r="890" spans="5:8">
      <c r="E890" s="201"/>
      <c r="H890" s="211"/>
    </row>
    <row r="891" spans="5:8">
      <c r="E891" s="201"/>
      <c r="H891" s="211"/>
    </row>
    <row r="892" spans="5:8">
      <c r="E892" s="201"/>
      <c r="H892" s="211"/>
    </row>
    <row r="893" spans="5:8">
      <c r="E893" s="201"/>
      <c r="H893" s="211"/>
    </row>
    <row r="894" spans="5:8">
      <c r="E894" s="201"/>
      <c r="H894" s="211"/>
    </row>
    <row r="895" spans="5:8">
      <c r="E895" s="201"/>
      <c r="H895" s="211"/>
    </row>
    <row r="896" spans="5:8">
      <c r="E896" s="201"/>
      <c r="H896" s="211"/>
    </row>
    <row r="897" spans="5:8">
      <c r="E897" s="201"/>
      <c r="H897" s="211"/>
    </row>
    <row r="898" spans="5:8">
      <c r="E898" s="201"/>
      <c r="H898" s="211"/>
    </row>
    <row r="899" spans="5:8">
      <c r="E899" s="201"/>
      <c r="H899" s="211"/>
    </row>
    <row r="900" spans="5:8">
      <c r="E900" s="201"/>
      <c r="H900" s="211"/>
    </row>
    <row r="901" spans="5:8">
      <c r="E901" s="201"/>
      <c r="H901" s="211"/>
    </row>
    <row r="902" spans="5:8">
      <c r="E902" s="201"/>
      <c r="H902" s="211"/>
    </row>
    <row r="903" spans="5:8">
      <c r="E903" s="201"/>
      <c r="H903" s="211"/>
    </row>
    <row r="904" spans="5:8">
      <c r="E904" s="201"/>
      <c r="H904" s="211"/>
    </row>
    <row r="905" spans="5:8">
      <c r="E905" s="201"/>
      <c r="H905" s="211"/>
    </row>
    <row r="906" spans="5:8">
      <c r="E906" s="201"/>
      <c r="H906" s="211"/>
    </row>
    <row r="907" spans="5:8">
      <c r="E907" s="201"/>
      <c r="H907" s="211"/>
    </row>
    <row r="908" spans="5:8">
      <c r="E908" s="201"/>
      <c r="H908" s="211"/>
    </row>
    <row r="909" spans="5:8">
      <c r="E909" s="201"/>
      <c r="H909" s="211"/>
    </row>
    <row r="910" spans="5:8">
      <c r="E910" s="201"/>
      <c r="H910" s="211"/>
    </row>
    <row r="911" spans="5:8">
      <c r="E911" s="201"/>
      <c r="H911" s="211"/>
    </row>
    <row r="912" spans="5:8">
      <c r="E912" s="201"/>
      <c r="H912" s="211"/>
    </row>
    <row r="913" spans="5:8">
      <c r="E913" s="201"/>
      <c r="H913" s="211"/>
    </row>
    <row r="914" spans="5:8">
      <c r="E914" s="201"/>
      <c r="H914" s="211"/>
    </row>
    <row r="915" spans="5:8">
      <c r="E915" s="201"/>
      <c r="H915" s="211"/>
    </row>
    <row r="916" spans="5:8">
      <c r="E916" s="201"/>
      <c r="H916" s="211"/>
    </row>
    <row r="917" spans="5:8">
      <c r="E917" s="201"/>
      <c r="H917" s="211"/>
    </row>
    <row r="918" spans="5:8">
      <c r="E918" s="201"/>
      <c r="H918" s="211"/>
    </row>
    <row r="919" spans="5:8">
      <c r="E919" s="201"/>
      <c r="H919" s="211"/>
    </row>
    <row r="920" spans="5:8">
      <c r="E920" s="201"/>
      <c r="H920" s="211"/>
    </row>
    <row r="921" spans="5:8">
      <c r="E921" s="201"/>
      <c r="H921" s="211"/>
    </row>
    <row r="922" spans="5:8">
      <c r="E922" s="201"/>
      <c r="H922" s="211"/>
    </row>
    <row r="923" spans="5:8">
      <c r="E923" s="201"/>
      <c r="H923" s="211"/>
    </row>
    <row r="924" spans="5:8">
      <c r="E924" s="201"/>
      <c r="H924" s="211"/>
    </row>
    <row r="925" spans="5:8">
      <c r="E925" s="201"/>
      <c r="H925" s="211"/>
    </row>
    <row r="926" spans="5:8">
      <c r="E926" s="201"/>
      <c r="H926" s="211"/>
    </row>
    <row r="927" spans="5:8">
      <c r="E927" s="201"/>
      <c r="H927" s="211"/>
    </row>
    <row r="928" spans="5:8">
      <c r="E928" s="201"/>
      <c r="H928" s="211"/>
    </row>
    <row r="929" spans="5:8">
      <c r="E929" s="201"/>
      <c r="H929" s="211"/>
    </row>
    <row r="930" spans="5:8">
      <c r="E930" s="201"/>
      <c r="H930" s="211"/>
    </row>
    <row r="931" spans="5:8">
      <c r="E931" s="201"/>
      <c r="H931" s="211"/>
    </row>
    <row r="932" spans="5:8">
      <c r="E932" s="201"/>
      <c r="H932" s="211"/>
    </row>
    <row r="933" spans="5:8">
      <c r="E933" s="201"/>
      <c r="H933" s="211"/>
    </row>
    <row r="934" spans="5:8">
      <c r="E934" s="201"/>
      <c r="H934" s="211"/>
    </row>
    <row r="935" spans="5:8">
      <c r="E935" s="201"/>
      <c r="H935" s="211"/>
    </row>
    <row r="936" spans="5:8">
      <c r="E936" s="201"/>
      <c r="H936" s="211"/>
    </row>
    <row r="937" spans="5:8">
      <c r="E937" s="201"/>
      <c r="H937" s="211"/>
    </row>
    <row r="938" spans="5:8">
      <c r="E938" s="201"/>
      <c r="H938" s="211"/>
    </row>
    <row r="939" spans="5:8">
      <c r="E939" s="201"/>
      <c r="H939" s="211"/>
    </row>
    <row r="940" spans="5:8">
      <c r="E940" s="201"/>
      <c r="H940" s="211"/>
    </row>
    <row r="941" spans="5:8">
      <c r="E941" s="201"/>
      <c r="H941" s="211"/>
    </row>
    <row r="942" spans="5:8">
      <c r="E942" s="201"/>
      <c r="H942" s="211"/>
    </row>
    <row r="943" spans="5:8">
      <c r="E943" s="201"/>
      <c r="H943" s="211"/>
    </row>
    <row r="944" spans="5:8">
      <c r="E944" s="201"/>
      <c r="H944" s="211"/>
    </row>
    <row r="945" spans="5:8">
      <c r="E945" s="201"/>
      <c r="H945" s="211"/>
    </row>
    <row r="946" spans="5:8">
      <c r="E946" s="201"/>
      <c r="H946" s="211"/>
    </row>
    <row r="947" spans="5:8">
      <c r="E947" s="201"/>
      <c r="H947" s="211"/>
    </row>
    <row r="948" spans="5:8">
      <c r="E948" s="201"/>
      <c r="H948" s="211"/>
    </row>
    <row r="949" spans="5:8">
      <c r="E949" s="201"/>
      <c r="H949" s="211"/>
    </row>
    <row r="950" spans="5:8">
      <c r="E950" s="201"/>
      <c r="H950" s="211"/>
    </row>
    <row r="951" spans="5:8">
      <c r="E951" s="201"/>
      <c r="H951" s="211"/>
    </row>
    <row r="952" spans="5:8">
      <c r="E952" s="201"/>
      <c r="H952" s="211"/>
    </row>
    <row r="953" spans="5:8">
      <c r="E953" s="201"/>
      <c r="H953" s="211"/>
    </row>
    <row r="954" spans="5:8">
      <c r="E954" s="201"/>
      <c r="H954" s="211"/>
    </row>
    <row r="955" spans="5:8">
      <c r="E955" s="201"/>
      <c r="H955" s="211"/>
    </row>
    <row r="956" spans="5:8">
      <c r="E956" s="201"/>
      <c r="H956" s="211"/>
    </row>
    <row r="957" spans="5:8">
      <c r="E957" s="201"/>
      <c r="H957" s="211"/>
    </row>
    <row r="958" spans="5:8">
      <c r="E958" s="201"/>
      <c r="H958" s="211"/>
    </row>
    <row r="959" spans="5:8">
      <c r="E959" s="201"/>
      <c r="H959" s="211"/>
    </row>
    <row r="960" spans="5:8">
      <c r="E960" s="201"/>
      <c r="H960" s="211"/>
    </row>
    <row r="961" spans="5:8">
      <c r="E961" s="201"/>
      <c r="H961" s="211"/>
    </row>
    <row r="962" spans="5:8">
      <c r="E962" s="201"/>
      <c r="H962" s="211"/>
    </row>
    <row r="963" spans="5:8">
      <c r="E963" s="201"/>
      <c r="H963" s="211"/>
    </row>
    <row r="964" spans="5:8">
      <c r="E964" s="201"/>
      <c r="H964" s="211"/>
    </row>
    <row r="965" spans="5:8">
      <c r="E965" s="201"/>
      <c r="H965" s="211"/>
    </row>
    <row r="966" spans="5:8">
      <c r="E966" s="201"/>
      <c r="H966" s="211"/>
    </row>
    <row r="967" spans="5:8">
      <c r="E967" s="201"/>
      <c r="H967" s="211"/>
    </row>
    <row r="968" spans="5:8">
      <c r="E968" s="201"/>
      <c r="H968" s="211"/>
    </row>
    <row r="969" spans="5:8">
      <c r="E969" s="201"/>
      <c r="H969" s="211"/>
    </row>
    <row r="970" spans="5:8">
      <c r="E970" s="201"/>
      <c r="H970" s="211"/>
    </row>
    <row r="971" spans="5:8">
      <c r="E971" s="201"/>
      <c r="H971" s="211"/>
    </row>
    <row r="972" spans="5:8">
      <c r="E972" s="201"/>
      <c r="H972" s="211"/>
    </row>
    <row r="973" spans="5:8">
      <c r="E973" s="201"/>
      <c r="H973" s="211"/>
    </row>
    <row r="974" spans="5:8">
      <c r="E974" s="201"/>
      <c r="H974" s="211"/>
    </row>
    <row r="975" spans="5:8">
      <c r="E975" s="201"/>
      <c r="H975" s="211"/>
    </row>
    <row r="976" spans="5:8">
      <c r="E976" s="201"/>
      <c r="H976" s="211"/>
    </row>
    <row r="977" spans="5:8">
      <c r="E977" s="201"/>
      <c r="H977" s="211"/>
    </row>
    <row r="978" spans="5:8">
      <c r="E978" s="201"/>
      <c r="H978" s="211"/>
    </row>
    <row r="979" spans="5:8">
      <c r="E979" s="201"/>
      <c r="H979" s="211"/>
    </row>
    <row r="980" spans="5:8">
      <c r="E980" s="201"/>
      <c r="H980" s="211"/>
    </row>
    <row r="981" spans="5:8">
      <c r="E981" s="201"/>
      <c r="H981" s="211"/>
    </row>
    <row r="982" spans="5:8">
      <c r="E982" s="201"/>
      <c r="H982" s="211"/>
    </row>
    <row r="983" spans="5:8">
      <c r="E983" s="201"/>
      <c r="H983" s="211"/>
    </row>
    <row r="984" spans="5:8">
      <c r="E984" s="201"/>
      <c r="H984" s="211"/>
    </row>
    <row r="985" spans="5:8">
      <c r="E985" s="201"/>
      <c r="H985" s="211"/>
    </row>
    <row r="986" spans="5:8">
      <c r="E986" s="201"/>
      <c r="H986" s="211"/>
    </row>
    <row r="987" spans="5:8">
      <c r="E987" s="201"/>
      <c r="H987" s="211"/>
    </row>
    <row r="988" spans="5:8">
      <c r="E988" s="201"/>
      <c r="H988" s="211"/>
    </row>
    <row r="989" spans="5:8">
      <c r="E989" s="201"/>
      <c r="H989" s="211"/>
    </row>
    <row r="990" spans="5:8">
      <c r="E990" s="201"/>
      <c r="H990" s="211"/>
    </row>
    <row r="991" spans="5:8">
      <c r="E991" s="201"/>
      <c r="H991" s="211"/>
    </row>
    <row r="992" spans="5:8">
      <c r="E992" s="201"/>
      <c r="H992" s="211"/>
    </row>
    <row r="993" spans="5:8">
      <c r="E993" s="201"/>
      <c r="H993" s="211"/>
    </row>
    <row r="994" spans="5:8">
      <c r="E994" s="201"/>
      <c r="H994" s="211"/>
    </row>
    <row r="995" spans="5:8">
      <c r="E995" s="201"/>
      <c r="H995" s="211"/>
    </row>
    <row r="996" spans="5:8">
      <c r="E996" s="201"/>
      <c r="H996" s="211"/>
    </row>
    <row r="997" spans="5:8">
      <c r="E997" s="201"/>
      <c r="H997" s="211"/>
    </row>
    <row r="998" spans="5:8">
      <c r="E998" s="201"/>
      <c r="H998" s="211"/>
    </row>
    <row r="999" spans="5:8">
      <c r="E999" s="201"/>
      <c r="H999" s="211"/>
    </row>
    <row r="1000" spans="5:8">
      <c r="E1000" s="201"/>
      <c r="H1000" s="211"/>
    </row>
    <row r="1001" spans="5:8">
      <c r="E1001" s="201"/>
      <c r="H1001" s="211"/>
    </row>
    <row r="1002" spans="5:8">
      <c r="E1002" s="201"/>
      <c r="H1002" s="211"/>
    </row>
    <row r="1003" spans="5:8">
      <c r="E1003" s="201"/>
      <c r="H1003" s="211"/>
    </row>
    <row r="1004" spans="5:8">
      <c r="E1004" s="201"/>
      <c r="H1004" s="211"/>
    </row>
    <row r="1005" spans="5:8">
      <c r="E1005" s="201"/>
      <c r="H1005" s="211"/>
    </row>
    <row r="1006" spans="5:8">
      <c r="E1006" s="201"/>
      <c r="H1006" s="211"/>
    </row>
    <row r="1007" spans="5:8">
      <c r="E1007" s="201"/>
      <c r="H1007" s="211"/>
    </row>
    <row r="1008" spans="5:8">
      <c r="E1008" s="201"/>
      <c r="H1008" s="211"/>
    </row>
    <row r="1009" spans="5:8">
      <c r="E1009" s="201"/>
      <c r="H1009" s="211"/>
    </row>
    <row r="1010" spans="5:8">
      <c r="E1010" s="201"/>
      <c r="H1010" s="211"/>
    </row>
    <row r="1011" spans="5:8">
      <c r="E1011" s="201"/>
      <c r="H1011" s="211"/>
    </row>
    <row r="1012" spans="5:8">
      <c r="E1012" s="201"/>
      <c r="H1012" s="211"/>
    </row>
    <row r="1013" spans="5:8">
      <c r="E1013" s="201"/>
      <c r="H1013" s="211"/>
    </row>
    <row r="1014" spans="5:8">
      <c r="E1014" s="201"/>
      <c r="H1014" s="211"/>
    </row>
    <row r="1015" spans="5:8">
      <c r="E1015" s="201"/>
      <c r="H1015" s="211"/>
    </row>
    <row r="1016" spans="5:8">
      <c r="E1016" s="201"/>
      <c r="H1016" s="211"/>
    </row>
    <row r="1017" spans="5:8">
      <c r="E1017" s="201"/>
      <c r="H1017" s="211"/>
    </row>
    <row r="1018" spans="5:8">
      <c r="E1018" s="201"/>
      <c r="H1018" s="211"/>
    </row>
    <row r="1019" spans="5:8">
      <c r="E1019" s="201"/>
      <c r="H1019" s="211"/>
    </row>
    <row r="1020" spans="5:8">
      <c r="E1020" s="201"/>
      <c r="H1020" s="211"/>
    </row>
    <row r="1021" spans="5:8">
      <c r="E1021" s="201"/>
      <c r="H1021" s="211"/>
    </row>
    <row r="1022" spans="5:8">
      <c r="E1022" s="201"/>
      <c r="H1022" s="211"/>
    </row>
    <row r="1023" spans="5:8">
      <c r="E1023" s="201"/>
      <c r="H1023" s="211"/>
    </row>
    <row r="1024" spans="5:8">
      <c r="E1024" s="201"/>
      <c r="H1024" s="211"/>
    </row>
    <row r="1025" spans="5:8">
      <c r="E1025" s="201"/>
      <c r="H1025" s="211"/>
    </row>
    <row r="1026" spans="5:8">
      <c r="E1026" s="201"/>
      <c r="H1026" s="211"/>
    </row>
  </sheetData>
  <sheetProtection password="C4C7" sheet="1" objects="1" scenarios="1" formatCells="0" formatColumns="0"/>
  <mergeCells count="1">
    <mergeCell ref="E3:F3"/>
  </mergeCells>
  <pageMargins left="0.7" right="0.7" top="0.75" bottom="0.75" header="0.3" footer="0.3"/>
  <pageSetup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
  <sheetViews>
    <sheetView workbookViewId="0">
      <selection sqref="A1:Z1048576"/>
    </sheetView>
  </sheetViews>
  <sheetFormatPr defaultColWidth="8.85546875" defaultRowHeight="15"/>
  <cols>
    <col min="1" max="26" width="3.42578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Informasi Pokok</vt:lpstr>
      <vt:lpstr>Aspek Non Keuangan</vt:lpstr>
      <vt:lpstr>Aspek Keuangan</vt:lpstr>
      <vt:lpstr>AKTIVITAS USAHA</vt:lpstr>
      <vt:lpstr>Rekening Koran &amp; Aset</vt:lpstr>
      <vt:lpstr>Usulan Pembiayaan</vt:lpstr>
      <vt:lpstr>K Modal</vt:lpstr>
      <vt:lpstr>Komite Kredit</vt:lpstr>
      <vt:lpstr>Keputusan Pembiayaan</vt:lpstr>
      <vt:lpstr>Rekomendasi AO</vt:lpstr>
      <vt:lpstr>Jadang</vt:lpstr>
      <vt:lpstr>Parameter</vt:lpstr>
      <vt:lpstr>Rating</vt:lpstr>
      <vt:lpstr>SPPK</vt:lpstr>
      <vt:lpstr>'Aspek Keuangan'!Print_Area</vt:lpstr>
      <vt:lpstr>'Aspek Non Keuangan'!Print_Area</vt:lpstr>
      <vt:lpstr>'Informasi Pokok'!Print_Area</vt:lpstr>
      <vt:lpstr>'Keputusan Pembiayaan'!Print_Area</vt:lpstr>
      <vt:lpstr>'Rekening Koran &amp; Aset'!Print_Area</vt:lpstr>
      <vt:lpstr>'Rekomendasi AO'!Print_Area</vt:lpstr>
      <vt:lpstr>'Usulan Pembiayaan'!Print_Area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SSCI</cp:lastModifiedBy>
  <cp:lastPrinted>2025-05-22T02:27:30Z</cp:lastPrinted>
  <dcterms:created xsi:type="dcterms:W3CDTF">2011-05-18T22:45:14Z</dcterms:created>
  <dcterms:modified xsi:type="dcterms:W3CDTF">2025-07-04T07:13:29Z</dcterms:modified>
</cp:coreProperties>
</file>