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bookViews>
    <workbookView xWindow="-120" yWindow="-120" windowWidth="20736" windowHeight="11040" firstSheet="3" activeTab="10"/>
  </bookViews>
  <sheets>
    <sheet name="Informasi Pokok" sheetId="17" r:id="rId1"/>
    <sheet name="Aspek Non Keuangan" sheetId="13" r:id="rId2"/>
    <sheet name="AKTIVITAS USAHA" sheetId="20" state="hidden" r:id="rId3"/>
    <sheet name="Rekening Koran &amp; Aset " sheetId="4" r:id="rId4"/>
    <sheet name="Aspek Keuangan" sheetId="12" r:id="rId5"/>
    <sheet name="Usulan Pembiayaan" sheetId="14" r:id="rId6"/>
    <sheet name="K Modal" sheetId="19" state="hidden" r:id="rId7"/>
    <sheet name="Komite Kredit" sheetId="18" state="hidden" r:id="rId8"/>
    <sheet name="Keputusan Pembiayaan" sheetId="15" r:id="rId9"/>
    <sheet name="Jadang" sheetId="23" r:id="rId10"/>
    <sheet name="Parameter" sheetId="21" r:id="rId11"/>
    <sheet name="Rating" sheetId="22" r:id="rId12"/>
    <sheet name="SPPK" sheetId="16" state="hidden" r:id="rId13"/>
    <sheet name="Sheet1" sheetId="24" r:id="rId14"/>
  </sheets>
  <externalReferences>
    <externalReference r:id="rId15"/>
    <externalReference r:id="rId16"/>
    <externalReference r:id="rId17"/>
    <externalReference r:id="rId18"/>
  </externalReferences>
  <definedNames>
    <definedName name="BULAN">[1]KASUS10!$I$23:$I$202</definedName>
    <definedName name="JKL">[2]parameter!$E$163:$E$164</definedName>
    <definedName name="JKW">[2]parameter!$E$190:$E$211</definedName>
    <definedName name="kolek">'[3]ASPEK KEU'!$K$46:$K$50</definedName>
    <definedName name="PENY">[2]parameter_tier!$E$141:$E$161</definedName>
    <definedName name="PKR">[2]parameter!$E$174:$E$177</definedName>
    <definedName name="PKS">[2]parameter!$E$184:$E$187</definedName>
    <definedName name="_xlnm.Print_Area" localSheetId="1">'Aspek Non Keuangan'!$A$1:$Z$149</definedName>
    <definedName name="_xlnm.Print_Area" localSheetId="0">'Informasi Pokok'!$A$1:$J$77</definedName>
    <definedName name="_xlnm.Print_Area" localSheetId="9">Jadang!$A$1:$M$147</definedName>
    <definedName name="_xlnm.Print_Area" localSheetId="8">'Keputusan Pembiayaan'!$A$2:$Y$91</definedName>
    <definedName name="_xlnm.Print_Area" localSheetId="3">'Rekening Koran &amp; Aset '!$A$1:$L$148</definedName>
    <definedName name="_xlnm.Print_Area" localSheetId="5">'Usulan Pembiayaan'!$A$2:$Y$137</definedName>
    <definedName name="S1A">[2]parameter!$E$6:$E$9</definedName>
    <definedName name="S1B">[2]parameter!$E$11:$E$12</definedName>
    <definedName name="S1C">[2]parameter!$E$14:$E$17</definedName>
    <definedName name="S1D">[2]parameter!$E$19:$E$22</definedName>
    <definedName name="S2A">[2]parameter!$E$26:$E$29</definedName>
    <definedName name="S2B">[2]parameter!$E$31:$E$34</definedName>
    <definedName name="S2C">[2]parameter!$E$36:$E$39</definedName>
    <definedName name="S3A">[2]parameter!$E$43:$E$46</definedName>
    <definedName name="S3B">[2]parameter_tier!$E$48:$E$55</definedName>
    <definedName name="S3C">[2]parameter!$E$53:$E$55</definedName>
    <definedName name="S3D">[2]parameter!$E$57:$E$60</definedName>
    <definedName name="S3E">[2]parameter!$E$62:$E$65</definedName>
    <definedName name="S3F">[2]parameter!$E$67:$E$70</definedName>
    <definedName name="S3I">[2]parameter!$E$86:$E$89</definedName>
    <definedName name="S3J">[2]parameter!$E$91:$E$94</definedName>
    <definedName name="S3K">[2]parameter!$E$96:$E$99</definedName>
    <definedName name="S4A">[2]parameter!$E$103:$E$106</definedName>
    <definedName name="S4D">[2]parameter!$E$118:$E$121</definedName>
    <definedName name="S6A">[2]parameter!$E$132:$E$133</definedName>
    <definedName name="STA">[2]parameter!$E$180:$E$181</definedName>
    <definedName name="TUJ">[2]parameter!$E$159:$E$160</definedName>
  </definedNames>
  <calcPr calcId="162913" fullCalcOnLoad="1"/>
</workbook>
</file>

<file path=xl/calcChain.xml><?xml version="1.0" encoding="utf-8"?>
<calcChain xmlns="http://schemas.openxmlformats.org/spreadsheetml/2006/main">
  <c r="C83" i="15" l="1"/>
  <c r="C80" i="15"/>
  <c r="C81" i="15"/>
  <c r="C82" i="15"/>
  <c r="A85" i="15"/>
  <c r="K82" i="15"/>
  <c r="K81" i="15"/>
  <c r="K80" i="15"/>
  <c r="O102" i="12"/>
  <c r="L100" i="12"/>
  <c r="I102" i="12"/>
  <c r="L102" i="12"/>
  <c r="N26" i="14"/>
  <c r="U4" i="17" l="1"/>
  <c r="P4" i="17"/>
  <c r="M119" i="12" l="1"/>
  <c r="H131" i="23" l="1"/>
  <c r="I92" i="12"/>
  <c r="S91" i="13"/>
  <c r="R33" i="12" l="1"/>
  <c r="C61" i="4"/>
  <c r="B61" i="4"/>
  <c r="H88" i="4"/>
  <c r="M54" i="15" l="1"/>
  <c r="M32" i="15"/>
  <c r="M35" i="15"/>
  <c r="M22" i="15"/>
  <c r="M21" i="15"/>
  <c r="U48" i="21"/>
  <c r="K48" i="21"/>
  <c r="Q48" i="21" s="1"/>
  <c r="K47" i="21"/>
  <c r="K46" i="21"/>
  <c r="K45" i="21"/>
  <c r="K44" i="21"/>
  <c r="P48" i="21" l="1"/>
  <c r="N71" i="12" l="1"/>
  <c r="N70" i="12"/>
  <c r="N69" i="12"/>
  <c r="N68" i="12"/>
  <c r="T129" i="21"/>
  <c r="T131" i="21" s="1"/>
  <c r="M49" i="15" s="1"/>
  <c r="N18" i="14" l="1"/>
  <c r="R18" i="14"/>
  <c r="N16" i="15" l="1"/>
  <c r="A12" i="17"/>
  <c r="F11" i="17"/>
  <c r="A20" i="17" l="1"/>
  <c r="A21" i="17"/>
  <c r="AB19" i="14"/>
  <c r="A22" i="17" l="1"/>
  <c r="A23" i="17" s="1"/>
  <c r="A24" i="17" s="1"/>
  <c r="A25" i="17" s="1"/>
  <c r="A26" i="17" s="1"/>
  <c r="A27" i="17" s="1"/>
  <c r="A28" i="17" s="1"/>
  <c r="A29" i="17" s="1"/>
  <c r="A30" i="17" s="1"/>
  <c r="A32" i="17" s="1"/>
  <c r="AL19" i="14"/>
  <c r="AP19" i="14"/>
  <c r="B88" i="14" s="1"/>
  <c r="C79" i="15" s="1"/>
  <c r="AM19" i="14"/>
  <c r="AI19" i="14"/>
  <c r="AE19" i="14"/>
  <c r="AF19" i="14"/>
  <c r="AJ19" i="14"/>
  <c r="AN19" i="14"/>
  <c r="AC19" i="14"/>
  <c r="AG19" i="14"/>
  <c r="AK19" i="14"/>
  <c r="AD19" i="14"/>
  <c r="B66" i="17" s="1"/>
  <c r="AH19" i="14"/>
  <c r="AH71" i="12"/>
  <c r="AM71" i="12" s="1"/>
  <c r="AH70" i="12"/>
  <c r="AM70" i="12" s="1"/>
  <c r="AH69" i="12"/>
  <c r="AM69" i="12" s="1"/>
  <c r="AH68" i="12"/>
  <c r="AJ68" i="12" s="1"/>
  <c r="AK68" i="12" s="1"/>
  <c r="AH67" i="12"/>
  <c r="AM67" i="12" s="1"/>
  <c r="AJ69" i="12" l="1"/>
  <c r="AK69" i="12" s="1"/>
  <c r="AJ70" i="12"/>
  <c r="AK70" i="12" s="1"/>
  <c r="AJ67" i="12"/>
  <c r="AK67" i="12" s="1"/>
  <c r="AJ71" i="12"/>
  <c r="AK71" i="12" s="1"/>
  <c r="AM68" i="12"/>
  <c r="Q95" i="13"/>
  <c r="L95" i="13"/>
  <c r="S94" i="13"/>
  <c r="S93" i="13"/>
  <c r="S92" i="13"/>
  <c r="V85" i="13"/>
  <c r="V84" i="13"/>
  <c r="V83" i="13"/>
  <c r="V82" i="13"/>
  <c r="V81" i="13"/>
  <c r="R86" i="13"/>
  <c r="O86" i="13"/>
  <c r="S95" i="13" l="1"/>
  <c r="V86" i="13"/>
  <c r="N76" i="13" l="1"/>
  <c r="R75" i="13" l="1"/>
  <c r="R74" i="13"/>
  <c r="R73" i="13"/>
  <c r="R72" i="13"/>
  <c r="R71" i="13"/>
  <c r="R70" i="13"/>
  <c r="R69" i="13"/>
  <c r="A70" i="13"/>
  <c r="A71" i="13" s="1"/>
  <c r="A72" i="13" s="1"/>
  <c r="A73" i="13" s="1"/>
  <c r="A74" i="13" s="1"/>
  <c r="A75" i="13" s="1"/>
  <c r="R76" i="13" l="1"/>
  <c r="I97" i="13" s="1"/>
  <c r="AH60" i="12" l="1"/>
  <c r="AH59" i="12"/>
  <c r="AH58" i="12"/>
  <c r="AH57" i="12"/>
  <c r="AM57" i="12" s="1"/>
  <c r="AH56" i="12"/>
  <c r="AM56" i="12" s="1"/>
  <c r="AJ56" i="12" l="1"/>
  <c r="AK56" i="12" s="1"/>
  <c r="AJ58" i="12"/>
  <c r="AK58" i="12" s="1"/>
  <c r="AE58" i="12" s="1"/>
  <c r="N58" i="12" s="1"/>
  <c r="AM58" i="12"/>
  <c r="AJ57" i="12"/>
  <c r="AK57" i="12" s="1"/>
  <c r="AE57" i="12" s="1"/>
  <c r="N57" i="12" s="1"/>
  <c r="AJ59" i="12"/>
  <c r="AK59" i="12" s="1"/>
  <c r="AE59" i="12" s="1"/>
  <c r="N59" i="12" s="1"/>
  <c r="AM59" i="12"/>
  <c r="AJ60" i="12"/>
  <c r="AK60" i="12" s="1"/>
  <c r="AE60" i="12" s="1"/>
  <c r="N60" i="12" s="1"/>
  <c r="AM60" i="12"/>
  <c r="A63" i="17"/>
  <c r="A64" i="17" s="1"/>
  <c r="A65" i="17" s="1"/>
  <c r="A66" i="17" s="1"/>
  <c r="A67" i="17" s="1"/>
  <c r="A68" i="17" s="1"/>
  <c r="A69" i="17" s="1"/>
  <c r="A71" i="17" s="1"/>
  <c r="K72" i="15"/>
  <c r="K71" i="15"/>
  <c r="K70" i="15"/>
  <c r="K69" i="15"/>
  <c r="K67" i="15"/>
  <c r="AO11" i="14"/>
  <c r="AO8" i="14"/>
  <c r="AO9" i="14"/>
  <c r="B87" i="14"/>
  <c r="C78" i="15" s="1"/>
  <c r="AO10" i="14"/>
  <c r="AO12" i="14"/>
  <c r="AO4" i="14"/>
  <c r="B86" i="14" l="1"/>
  <c r="C77" i="15" s="1"/>
  <c r="AO5" i="14"/>
  <c r="AO7" i="14"/>
  <c r="AO6" i="14"/>
  <c r="AO3" i="14"/>
  <c r="AO19" i="14" s="1"/>
  <c r="AO13" i="14"/>
  <c r="B77" i="14"/>
  <c r="C70" i="15" s="1"/>
  <c r="B80" i="14"/>
  <c r="C73" i="15" s="1"/>
  <c r="B85" i="14"/>
  <c r="C76" i="15" s="1"/>
  <c r="B76" i="14"/>
  <c r="C69" i="15" s="1"/>
  <c r="B78" i="14"/>
  <c r="C71" i="15" s="1"/>
  <c r="B82" i="14"/>
  <c r="C68" i="15" s="1"/>
  <c r="B79" i="14"/>
  <c r="C72" i="15" s="1"/>
  <c r="M57" i="15"/>
  <c r="AC77" i="14" l="1"/>
  <c r="AB77" i="14" s="1"/>
  <c r="M77" i="14" s="1"/>
  <c r="Q70" i="15" s="1"/>
  <c r="B84" i="14"/>
  <c r="C75" i="15" s="1"/>
  <c r="I63" i="14"/>
  <c r="I57" i="14"/>
  <c r="I55" i="14"/>
  <c r="I61" i="14"/>
  <c r="B83" i="14"/>
  <c r="C74" i="15" s="1"/>
  <c r="I56" i="14"/>
  <c r="I62" i="14"/>
  <c r="K57" i="4"/>
  <c r="J57" i="4"/>
  <c r="G57" i="4"/>
  <c r="F57" i="4"/>
  <c r="C57" i="4"/>
  <c r="B57" i="4"/>
  <c r="J129" i="4" l="1"/>
  <c r="AB36" i="14" l="1"/>
  <c r="AB35" i="14"/>
  <c r="AB34" i="14"/>
  <c r="C3" i="4"/>
  <c r="E6" i="4"/>
  <c r="I6" i="4" s="1"/>
  <c r="D6" i="4"/>
  <c r="G1" i="4" l="1"/>
  <c r="K56" i="4" l="1"/>
  <c r="K55" i="4"/>
  <c r="J56" i="4"/>
  <c r="J55" i="4"/>
  <c r="G56" i="4"/>
  <c r="G55" i="4"/>
  <c r="F56" i="4"/>
  <c r="F55" i="4"/>
  <c r="C56" i="4"/>
  <c r="C55" i="4"/>
  <c r="B55" i="4"/>
  <c r="Q19" i="23" l="1"/>
  <c r="Q18" i="23"/>
  <c r="Q16" i="23"/>
  <c r="Q23" i="23" s="1"/>
  <c r="S4" i="23"/>
  <c r="R16" i="23" l="1"/>
  <c r="S82" i="14" l="1"/>
  <c r="AG71" i="12"/>
  <c r="AG70" i="12"/>
  <c r="AG69" i="12"/>
  <c r="AG68" i="12"/>
  <c r="AG67" i="12"/>
  <c r="AG60" i="12"/>
  <c r="AG59" i="12"/>
  <c r="AG58" i="12"/>
  <c r="AG57" i="12"/>
  <c r="AG56" i="12"/>
  <c r="B81" i="12" l="1"/>
  <c r="B80" i="12"/>
  <c r="B38" i="17"/>
  <c r="K135" i="21"/>
  <c r="K134" i="21"/>
  <c r="K133" i="21"/>
  <c r="O19" i="12" l="1"/>
  <c r="M51" i="15"/>
  <c r="T135" i="21"/>
  <c r="E62" i="17" s="1"/>
  <c r="P135" i="21" l="1"/>
  <c r="R135" i="21"/>
  <c r="S135" i="21"/>
  <c r="U135" i="21" l="1"/>
  <c r="K68" i="15" l="1"/>
  <c r="R16" i="15" l="1"/>
  <c r="Q68" i="15"/>
  <c r="AB124" i="23" l="1"/>
  <c r="AB120" i="23"/>
  <c r="AB127" i="23"/>
  <c r="AB123" i="23"/>
  <c r="AB119" i="23"/>
  <c r="AB115" i="23"/>
  <c r="AB116" i="23"/>
  <c r="AB112" i="23"/>
  <c r="AB108" i="23"/>
  <c r="AB113" i="23"/>
  <c r="AB107" i="23"/>
  <c r="AB103" i="23"/>
  <c r="AB99" i="23"/>
  <c r="AB95" i="23"/>
  <c r="AB126" i="23"/>
  <c r="AB122" i="23"/>
  <c r="AB118" i="23"/>
  <c r="AB125" i="23"/>
  <c r="AB121" i="23"/>
  <c r="AB117" i="23"/>
  <c r="AB114" i="23"/>
  <c r="AB110" i="23"/>
  <c r="AB109" i="23"/>
  <c r="AB105" i="23"/>
  <c r="AB101" i="23"/>
  <c r="AB97" i="23"/>
  <c r="AB93" i="23"/>
  <c r="AB111" i="23"/>
  <c r="AB106" i="23"/>
  <c r="AB102" i="23"/>
  <c r="AB98" i="23"/>
  <c r="AB94" i="23"/>
  <c r="AB90" i="23"/>
  <c r="AB86" i="23"/>
  <c r="AB82" i="23"/>
  <c r="AB78" i="23"/>
  <c r="AB74" i="23"/>
  <c r="AB89" i="23"/>
  <c r="AB85" i="23"/>
  <c r="AB81" i="23"/>
  <c r="AB77" i="23"/>
  <c r="AB73" i="23"/>
  <c r="AB69" i="23"/>
  <c r="AB104" i="23"/>
  <c r="AB100" i="23"/>
  <c r="AB96" i="23"/>
  <c r="AB92" i="23"/>
  <c r="AB88" i="23"/>
  <c r="AB84" i="23"/>
  <c r="AB80" i="23"/>
  <c r="AB76" i="23"/>
  <c r="AB72" i="23"/>
  <c r="AB91" i="23"/>
  <c r="AB87" i="23"/>
  <c r="AB83" i="23"/>
  <c r="AB79" i="23"/>
  <c r="AB75" i="23"/>
  <c r="AB71" i="23"/>
  <c r="AB70" i="23"/>
  <c r="AB68" i="23"/>
  <c r="D289" i="21"/>
  <c r="D288" i="21"/>
  <c r="AI71" i="12" s="1"/>
  <c r="AE71" i="12" s="1"/>
  <c r="D287" i="21"/>
  <c r="D286" i="21"/>
  <c r="AI70" i="12" s="1"/>
  <c r="AE70" i="12" s="1"/>
  <c r="D285" i="21"/>
  <c r="D284" i="21"/>
  <c r="AI69" i="12" s="1"/>
  <c r="AE69" i="12" s="1"/>
  <c r="D283" i="21"/>
  <c r="D282" i="21"/>
  <c r="AI68" i="12" s="1"/>
  <c r="AE68" i="12" s="1"/>
  <c r="E289" i="21"/>
  <c r="E287" i="21"/>
  <c r="E285" i="21"/>
  <c r="E283" i="21"/>
  <c r="D281" i="21"/>
  <c r="D280" i="21"/>
  <c r="AI67" i="12" s="1"/>
  <c r="AE67" i="12" s="1"/>
  <c r="N67" i="12" s="1"/>
  <c r="N72" i="12" s="1"/>
  <c r="E281" i="21"/>
  <c r="D278" i="21"/>
  <c r="D277" i="21"/>
  <c r="AI60" i="12" s="1"/>
  <c r="D276" i="21"/>
  <c r="D275" i="21"/>
  <c r="AI59" i="12" s="1"/>
  <c r="D274" i="21"/>
  <c r="D273" i="21"/>
  <c r="AI58" i="12" s="1"/>
  <c r="D272" i="21"/>
  <c r="D271" i="21"/>
  <c r="AI57" i="12" s="1"/>
  <c r="E278" i="21"/>
  <c r="E276" i="21"/>
  <c r="E274" i="21"/>
  <c r="E272" i="21"/>
  <c r="D269" i="21"/>
  <c r="AI56" i="12" s="1"/>
  <c r="AE56" i="12" s="1"/>
  <c r="N56" i="12" s="1"/>
  <c r="D270" i="21"/>
  <c r="E270" i="21"/>
  <c r="F289" i="21" l="1"/>
  <c r="F288" i="21" s="1"/>
  <c r="F287" i="21"/>
  <c r="F286" i="21" s="1"/>
  <c r="F278" i="21"/>
  <c r="F277" i="21" s="1"/>
  <c r="F281" i="21"/>
  <c r="F285" i="21"/>
  <c r="F284" i="21" s="1"/>
  <c r="AL69" i="12" s="1"/>
  <c r="AN69" i="12" s="1"/>
  <c r="AO69" i="12" s="1"/>
  <c r="F283" i="21"/>
  <c r="G270" i="21"/>
  <c r="G281" i="21"/>
  <c r="G285" i="21"/>
  <c r="G283" i="21"/>
  <c r="G287" i="21"/>
  <c r="G274" i="21"/>
  <c r="G278" i="21"/>
  <c r="F272" i="21"/>
  <c r="G272" i="21"/>
  <c r="G276" i="21"/>
  <c r="G289" i="21"/>
  <c r="F276" i="21"/>
  <c r="F275" i="21" s="1"/>
  <c r="F274" i="21"/>
  <c r="F273" i="21" s="1"/>
  <c r="AL58" i="12" s="1"/>
  <c r="AN58" i="12" s="1"/>
  <c r="AO58" i="12" s="1"/>
  <c r="I58" i="12" s="1"/>
  <c r="F270" i="21"/>
  <c r="E265" i="21"/>
  <c r="AE72" i="12" l="1"/>
  <c r="G288" i="21"/>
  <c r="AP71" i="12" s="1"/>
  <c r="AL71" i="12"/>
  <c r="AN71" i="12" s="1"/>
  <c r="AO71" i="12" s="1"/>
  <c r="G286" i="21"/>
  <c r="AP70" i="12" s="1"/>
  <c r="AL70" i="12"/>
  <c r="AN70" i="12" s="1"/>
  <c r="AO70" i="12" s="1"/>
  <c r="F280" i="21"/>
  <c r="G280" i="21" s="1"/>
  <c r="AP67" i="12" s="1"/>
  <c r="I67" i="12" s="1"/>
  <c r="F282" i="21"/>
  <c r="AL68" i="12" s="1"/>
  <c r="AN68" i="12" s="1"/>
  <c r="AO68" i="12" s="1"/>
  <c r="G284" i="21"/>
  <c r="AP69" i="12" s="1"/>
  <c r="AE61" i="12"/>
  <c r="N61" i="12"/>
  <c r="G277" i="21"/>
  <c r="AP60" i="12" s="1"/>
  <c r="AF60" i="12" s="1"/>
  <c r="AL60" i="12"/>
  <c r="AN60" i="12" s="1"/>
  <c r="AO60" i="12" s="1"/>
  <c r="I60" i="12" s="1"/>
  <c r="G275" i="21"/>
  <c r="AP59" i="12" s="1"/>
  <c r="AF59" i="12" s="1"/>
  <c r="AL59" i="12"/>
  <c r="AN59" i="12" s="1"/>
  <c r="AO59" i="12" s="1"/>
  <c r="I59" i="12" s="1"/>
  <c r="F269" i="21"/>
  <c r="G269" i="21" s="1"/>
  <c r="AP56" i="12" s="1"/>
  <c r="AF56" i="12" s="1"/>
  <c r="G273" i="21"/>
  <c r="AP58" i="12" s="1"/>
  <c r="AF58" i="12" s="1"/>
  <c r="F271" i="21"/>
  <c r="AL57" i="12" s="1"/>
  <c r="AN57" i="12" s="1"/>
  <c r="AO57" i="12" s="1"/>
  <c r="I57" i="12" s="1"/>
  <c r="Y128" i="21"/>
  <c r="N39" i="14" l="1"/>
  <c r="AA30" i="14" s="1"/>
  <c r="AB42" i="14" s="1"/>
  <c r="AF71" i="12"/>
  <c r="I71" i="12"/>
  <c r="AF69" i="12"/>
  <c r="I69" i="12"/>
  <c r="AF70" i="12"/>
  <c r="I70" i="12"/>
  <c r="AF67" i="12"/>
  <c r="AL67" i="12"/>
  <c r="AN67" i="12" s="1"/>
  <c r="AO67" i="12" s="1"/>
  <c r="G282" i="21"/>
  <c r="AP68" i="12" s="1"/>
  <c r="AL56" i="12"/>
  <c r="AN56" i="12" s="1"/>
  <c r="AO56" i="12" s="1"/>
  <c r="I56" i="12" s="1"/>
  <c r="I61" i="12" s="1"/>
  <c r="G271" i="21"/>
  <c r="AP57" i="12" s="1"/>
  <c r="AF57" i="12" s="1"/>
  <c r="AF61" i="12" s="1"/>
  <c r="M80" i="12" s="1"/>
  <c r="M34" i="15"/>
  <c r="G4" i="14"/>
  <c r="AB41" i="14" l="1"/>
  <c r="AB30" i="14"/>
  <c r="AB32" i="14"/>
  <c r="AB39" i="14"/>
  <c r="AB38" i="14"/>
  <c r="AF68" i="12"/>
  <c r="AF72" i="12" s="1"/>
  <c r="M81" i="12" s="1"/>
  <c r="M83" i="12" s="1"/>
  <c r="I68" i="12"/>
  <c r="I72" i="12" s="1"/>
  <c r="M56" i="15"/>
  <c r="N19" i="14" l="1"/>
  <c r="N15" i="15" l="1"/>
  <c r="K152" i="21"/>
  <c r="P152" i="21" s="1"/>
  <c r="K151" i="21"/>
  <c r="U152" i="21" l="1"/>
  <c r="R90" i="15"/>
  <c r="N14" i="15"/>
  <c r="H76" i="17" l="1"/>
  <c r="I53" i="4" l="1"/>
  <c r="A61" i="4" s="1"/>
  <c r="A62" i="4" s="1"/>
  <c r="A63" i="4" s="1"/>
  <c r="A64" i="4" s="1"/>
  <c r="A65" i="4" s="1"/>
  <c r="A66" i="4" s="1"/>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M7" i="4" l="1"/>
  <c r="M9" i="4"/>
  <c r="K149" i="21"/>
  <c r="P149" i="21" s="1"/>
  <c r="K148" i="21"/>
  <c r="K145" i="21"/>
  <c r="K144" i="21"/>
  <c r="K141" i="21"/>
  <c r="T160" i="12"/>
  <c r="R130" i="13"/>
  <c r="Q116" i="14"/>
  <c r="P145" i="21" l="1"/>
  <c r="U145" i="21"/>
  <c r="U149" i="21"/>
  <c r="U7" i="17" l="1"/>
  <c r="U5" i="17"/>
  <c r="U6" i="17" s="1"/>
  <c r="D267" i="21"/>
  <c r="E267" i="21" s="1"/>
  <c r="I15" i="17" s="1"/>
  <c r="C3" i="23"/>
  <c r="B8" i="23" s="1"/>
  <c r="N10" i="15"/>
  <c r="P3" i="17" l="1"/>
  <c r="P5" i="17" s="1"/>
  <c r="B9" i="23"/>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47" i="23" s="1"/>
  <c r="B48" i="23" s="1"/>
  <c r="B49" i="23" s="1"/>
  <c r="B50" i="23" s="1"/>
  <c r="B51" i="23" s="1"/>
  <c r="B52" i="23" s="1"/>
  <c r="B53" i="23" s="1"/>
  <c r="B54" i="23" s="1"/>
  <c r="B55" i="23" s="1"/>
  <c r="B56" i="23" s="1"/>
  <c r="B57" i="23" s="1"/>
  <c r="B58" i="23" s="1"/>
  <c r="B59" i="23" s="1"/>
  <c r="B60" i="23" s="1"/>
  <c r="B61" i="23" s="1"/>
  <c r="B62" i="23" s="1"/>
  <c r="B63" i="23" s="1"/>
  <c r="B64" i="23" s="1"/>
  <c r="B65" i="23" s="1"/>
  <c r="B66" i="23" s="1"/>
  <c r="B67" i="23" s="1"/>
  <c r="B68" i="23" s="1"/>
  <c r="B69" i="23" s="1"/>
  <c r="B70" i="23" s="1"/>
  <c r="B71" i="23" s="1"/>
  <c r="B72" i="23" s="1"/>
  <c r="B73" i="23" s="1"/>
  <c r="B74" i="23" s="1"/>
  <c r="B75" i="23" s="1"/>
  <c r="B76" i="23" s="1"/>
  <c r="B77" i="23" s="1"/>
  <c r="B78" i="23" s="1"/>
  <c r="B79" i="23" s="1"/>
  <c r="B80" i="23" s="1"/>
  <c r="B81" i="23" s="1"/>
  <c r="B82" i="23" s="1"/>
  <c r="B83" i="23" s="1"/>
  <c r="B84" i="23" s="1"/>
  <c r="B85" i="23" s="1"/>
  <c r="B86" i="23" s="1"/>
  <c r="B87" i="23" s="1"/>
  <c r="B88" i="23" s="1"/>
  <c r="B89" i="23" s="1"/>
  <c r="B90" i="23" s="1"/>
  <c r="B91" i="23" s="1"/>
  <c r="B92" i="23" s="1"/>
  <c r="B93" i="23" s="1"/>
  <c r="B94" i="23" s="1"/>
  <c r="B95" i="23" s="1"/>
  <c r="B96" i="23" s="1"/>
  <c r="B97" i="23" s="1"/>
  <c r="B98" i="23" s="1"/>
  <c r="B99" i="23" s="1"/>
  <c r="B100" i="23" s="1"/>
  <c r="B101" i="23" s="1"/>
  <c r="B102" i="23" s="1"/>
  <c r="B103" i="23" s="1"/>
  <c r="B104" i="23" s="1"/>
  <c r="B105" i="23" s="1"/>
  <c r="B106" i="23" s="1"/>
  <c r="B107" i="23" s="1"/>
  <c r="B108" i="23" s="1"/>
  <c r="B109" i="23" s="1"/>
  <c r="B110" i="23" s="1"/>
  <c r="B111" i="23" s="1"/>
  <c r="B112" i="23" s="1"/>
  <c r="B113" i="23" s="1"/>
  <c r="B114" i="23" s="1"/>
  <c r="B115" i="23" s="1"/>
  <c r="B116" i="23" s="1"/>
  <c r="B117" i="23" s="1"/>
  <c r="B118" i="23" s="1"/>
  <c r="B119" i="23" s="1"/>
  <c r="B120" i="23" s="1"/>
  <c r="B121" i="23" s="1"/>
  <c r="B122" i="23" s="1"/>
  <c r="B123" i="23" s="1"/>
  <c r="B124" i="23" s="1"/>
  <c r="B125" i="23" s="1"/>
  <c r="B126" i="23" s="1"/>
  <c r="B127" i="23" s="1"/>
  <c r="I8" i="23"/>
  <c r="I9" i="23" s="1"/>
  <c r="I10" i="23" s="1"/>
  <c r="I11" i="23" s="1"/>
  <c r="I12" i="23" s="1"/>
  <c r="I13" i="23" s="1"/>
  <c r="I14" i="23" s="1"/>
  <c r="I15" i="23" s="1"/>
  <c r="I16" i="23" s="1"/>
  <c r="I17" i="23" s="1"/>
  <c r="I18" i="23" s="1"/>
  <c r="I19" i="23" s="1"/>
  <c r="I20" i="23" s="1"/>
  <c r="I21" i="23" s="1"/>
  <c r="I22" i="23" s="1"/>
  <c r="I23" i="23" s="1"/>
  <c r="I24" i="23" s="1"/>
  <c r="I25" i="23" s="1"/>
  <c r="I26" i="23" s="1"/>
  <c r="I27" i="23" s="1"/>
  <c r="I28" i="23" s="1"/>
  <c r="I29" i="23" s="1"/>
  <c r="I30" i="23" s="1"/>
  <c r="I31" i="23" s="1"/>
  <c r="I32" i="23" s="1"/>
  <c r="I33" i="23" s="1"/>
  <c r="I34" i="23" s="1"/>
  <c r="I35" i="23" s="1"/>
  <c r="I36" i="23" s="1"/>
  <c r="I37" i="23" s="1"/>
  <c r="I38" i="23" s="1"/>
  <c r="I39" i="23" s="1"/>
  <c r="I40" i="23" s="1"/>
  <c r="I41" i="23" s="1"/>
  <c r="I42" i="23" s="1"/>
  <c r="I43" i="23" s="1"/>
  <c r="I44" i="23" s="1"/>
  <c r="I45" i="23" s="1"/>
  <c r="I46" i="23" s="1"/>
  <c r="I47" i="23" s="1"/>
  <c r="I48" i="23" s="1"/>
  <c r="I49" i="23" s="1"/>
  <c r="I50" i="23" s="1"/>
  <c r="I51" i="23" s="1"/>
  <c r="I52" i="23" s="1"/>
  <c r="I53" i="23" s="1"/>
  <c r="I54" i="23" s="1"/>
  <c r="I55" i="23" s="1"/>
  <c r="I56" i="23" s="1"/>
  <c r="I57" i="23" s="1"/>
  <c r="I58" i="23" s="1"/>
  <c r="I59" i="23" s="1"/>
  <c r="I60" i="23" s="1"/>
  <c r="I61" i="23" s="1"/>
  <c r="I62" i="23" s="1"/>
  <c r="I63" i="23" s="1"/>
  <c r="I64" i="23" s="1"/>
  <c r="I65" i="23" s="1"/>
  <c r="I66" i="23" s="1"/>
  <c r="I67" i="23" s="1"/>
  <c r="I68" i="23" s="1"/>
  <c r="I69" i="23" s="1"/>
  <c r="I70" i="23" s="1"/>
  <c r="I71" i="23" s="1"/>
  <c r="I72" i="23" s="1"/>
  <c r="I73" i="23" s="1"/>
  <c r="I74" i="23" s="1"/>
  <c r="I75" i="23" s="1"/>
  <c r="I76" i="23" s="1"/>
  <c r="I77" i="23" s="1"/>
  <c r="I78" i="23" s="1"/>
  <c r="I79" i="23" s="1"/>
  <c r="I80" i="23" s="1"/>
  <c r="I81" i="23" s="1"/>
  <c r="I82" i="23" s="1"/>
  <c r="I83" i="23" s="1"/>
  <c r="I84" i="23" s="1"/>
  <c r="I85" i="23" s="1"/>
  <c r="I86" i="23" s="1"/>
  <c r="I87" i="23" s="1"/>
  <c r="I88" i="23" s="1"/>
  <c r="I89" i="23" s="1"/>
  <c r="I90" i="23" s="1"/>
  <c r="I91" i="23" s="1"/>
  <c r="I92" i="23" s="1"/>
  <c r="I93" i="23" s="1"/>
  <c r="I94" i="23" s="1"/>
  <c r="I95" i="23" s="1"/>
  <c r="I96" i="23" s="1"/>
  <c r="I97" i="23" s="1"/>
  <c r="I98" i="23" s="1"/>
  <c r="I99" i="23" s="1"/>
  <c r="I100" i="23" s="1"/>
  <c r="I101" i="23" s="1"/>
  <c r="I102" i="23" s="1"/>
  <c r="I103" i="23" s="1"/>
  <c r="I104" i="23" s="1"/>
  <c r="I105" i="23" s="1"/>
  <c r="I106" i="23" s="1"/>
  <c r="I107" i="23" s="1"/>
  <c r="I108" i="23" s="1"/>
  <c r="I109" i="23" s="1"/>
  <c r="I110" i="23" s="1"/>
  <c r="I111" i="23" s="1"/>
  <c r="I112" i="23" s="1"/>
  <c r="I113" i="23" s="1"/>
  <c r="I114" i="23" s="1"/>
  <c r="I115" i="23" s="1"/>
  <c r="I116" i="23" s="1"/>
  <c r="I117" i="23" s="1"/>
  <c r="I118" i="23" s="1"/>
  <c r="I119" i="23" s="1"/>
  <c r="I120" i="23" s="1"/>
  <c r="I121" i="23" s="1"/>
  <c r="I122" i="23" s="1"/>
  <c r="I123" i="23" s="1"/>
  <c r="I124" i="23" s="1"/>
  <c r="I125" i="23" s="1"/>
  <c r="I126" i="23" s="1"/>
  <c r="I127" i="23" s="1"/>
  <c r="N9" i="15"/>
  <c r="G3" i="14" l="1"/>
  <c r="N8" i="15"/>
  <c r="N13" i="15"/>
  <c r="K66" i="15" s="1"/>
  <c r="N12" i="15"/>
  <c r="N14" i="14"/>
  <c r="K65" i="15" l="1"/>
  <c r="B10" i="14"/>
  <c r="A1" i="23" l="1"/>
  <c r="H1" i="23"/>
  <c r="N16" i="14" l="1"/>
  <c r="N15" i="14"/>
  <c r="N17" i="14" l="1"/>
  <c r="AB20" i="14" l="1"/>
  <c r="AC20" i="14"/>
  <c r="Q61" i="14"/>
  <c r="Q62" i="14" s="1"/>
  <c r="Q63" i="14" s="1"/>
  <c r="Q64" i="14" s="1"/>
  <c r="L92" i="12"/>
  <c r="O46" i="12"/>
  <c r="O47" i="12"/>
  <c r="O45" i="12"/>
  <c r="R32" i="12"/>
  <c r="N20" i="14" l="1"/>
  <c r="N17" i="15" s="1"/>
  <c r="G7" i="14"/>
  <c r="Z92" i="12" l="1"/>
  <c r="S92" i="12"/>
  <c r="B129" i="14"/>
  <c r="B120" i="14"/>
  <c r="I100" i="12"/>
  <c r="N11" i="15" l="1"/>
  <c r="A2" i="23" s="1"/>
  <c r="H2" i="23" s="1"/>
  <c r="C101" i="12"/>
  <c r="C100" i="12"/>
  <c r="T147" i="12"/>
  <c r="M140" i="12"/>
  <c r="M129" i="12"/>
  <c r="V94" i="12"/>
  <c r="N8" i="4"/>
  <c r="H24" i="12"/>
  <c r="N37" i="12"/>
  <c r="R34" i="12"/>
  <c r="R35" i="12"/>
  <c r="R36" i="12"/>
  <c r="K48" i="12"/>
  <c r="R37" i="12" l="1"/>
  <c r="R9" i="4" l="1"/>
  <c r="O9" i="4"/>
  <c r="S9" i="4"/>
  <c r="P9" i="4"/>
  <c r="S8" i="4"/>
  <c r="P8" i="4"/>
  <c r="R8" i="4"/>
  <c r="O8" i="4"/>
  <c r="D7" i="4"/>
  <c r="O7" i="4"/>
  <c r="R7" i="4"/>
  <c r="S7" i="4"/>
  <c r="B56" i="4"/>
  <c r="P7" i="4" s="1"/>
  <c r="T152" i="12"/>
  <c r="N38" i="14" s="1"/>
  <c r="H101" i="12"/>
  <c r="H100" i="12"/>
  <c r="I101" i="12"/>
  <c r="R10" i="4" l="1"/>
  <c r="O10" i="4"/>
  <c r="P10" i="4"/>
  <c r="O94" i="12"/>
  <c r="H94" i="12"/>
  <c r="P100" i="12" l="1"/>
  <c r="L101" i="12"/>
  <c r="P101" i="12" l="1"/>
  <c r="W94" i="12" l="1"/>
  <c r="Z94" i="12"/>
  <c r="P94" i="12"/>
  <c r="S94" i="12"/>
  <c r="O24" i="12"/>
  <c r="K24" i="12"/>
  <c r="M25" i="15" l="1"/>
  <c r="M47" i="15" l="1"/>
  <c r="M44" i="15"/>
  <c r="M42" i="15"/>
  <c r="M41" i="15"/>
  <c r="M40" i="15"/>
  <c r="M39" i="15"/>
  <c r="M38" i="15"/>
  <c r="M37" i="15"/>
  <c r="M36" i="15"/>
  <c r="M33" i="15"/>
  <c r="M30" i="15"/>
  <c r="M29" i="15"/>
  <c r="M28" i="15"/>
  <c r="M26" i="15"/>
  <c r="M24" i="15"/>
  <c r="M23" i="15"/>
  <c r="B56" i="17" l="1"/>
  <c r="N31" i="14" l="1"/>
  <c r="H102" i="12" l="1"/>
  <c r="W9" i="12"/>
  <c r="W7" i="12"/>
  <c r="B11" i="12"/>
  <c r="E9" i="12"/>
  <c r="I10" i="12"/>
  <c r="M10" i="12"/>
  <c r="F10" i="12"/>
  <c r="P9" i="12"/>
  <c r="I9" i="12"/>
  <c r="M9" i="12"/>
  <c r="F9" i="12"/>
  <c r="Q9" i="4"/>
  <c r="N9" i="4"/>
  <c r="Q8" i="4"/>
  <c r="Q7" i="4"/>
  <c r="N7" i="4"/>
  <c r="N10" i="4" l="1"/>
  <c r="L9" i="12"/>
  <c r="L10" i="12"/>
  <c r="E10" i="12"/>
  <c r="L8" i="12"/>
  <c r="B8" i="12"/>
  <c r="M8" i="12"/>
  <c r="M11" i="12"/>
  <c r="P8" i="12"/>
  <c r="F8" i="12"/>
  <c r="F11" i="12"/>
  <c r="I8" i="12"/>
  <c r="I11" i="12"/>
  <c r="E8" i="12"/>
  <c r="D8" i="4"/>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E11" i="12" l="1"/>
  <c r="P10" i="12"/>
  <c r="S10" i="4"/>
  <c r="P11" i="12" s="1"/>
  <c r="Q10" i="4"/>
  <c r="L11" i="12" s="1"/>
  <c r="W8" i="12" s="1"/>
  <c r="D36" i="4"/>
  <c r="D37" i="4" s="1"/>
  <c r="D38" i="4" s="1"/>
  <c r="D39" i="4" s="1"/>
  <c r="D40" i="4" s="1"/>
  <c r="D41" i="4" s="1"/>
  <c r="D42" i="4" s="1"/>
  <c r="D43" i="4" s="1"/>
  <c r="D44" i="4" s="1"/>
  <c r="D45" i="4" s="1"/>
  <c r="D46" i="4" s="1"/>
  <c r="D47" i="4" s="1"/>
  <c r="D48" i="4" s="1"/>
  <c r="D49" i="4" s="1"/>
  <c r="D50" i="4" s="1"/>
  <c r="D51" i="4" s="1"/>
  <c r="D52" i="4" s="1"/>
  <c r="D53" i="4" s="1"/>
  <c r="M46" i="15" l="1"/>
  <c r="T7" i="4"/>
  <c r="H6" i="4"/>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S8" i="12" l="1"/>
  <c r="H37" i="4"/>
  <c r="H38" i="4" s="1"/>
  <c r="H39" i="4" s="1"/>
  <c r="H40" i="4" s="1"/>
  <c r="H41" i="4" s="1"/>
  <c r="H42" i="4" s="1"/>
  <c r="H43" i="4" s="1"/>
  <c r="H44" i="4" s="1"/>
  <c r="K131" i="21"/>
  <c r="B57" i="17"/>
  <c r="B52" i="17"/>
  <c r="B50" i="17"/>
  <c r="P131" i="21" l="1"/>
  <c r="H45" i="4"/>
  <c r="H46" i="4" s="1"/>
  <c r="H47" i="4" s="1"/>
  <c r="H48" i="4" s="1"/>
  <c r="H49" i="4" s="1"/>
  <c r="H50" i="4" s="1"/>
  <c r="H51" i="4" s="1"/>
  <c r="H52" i="4" s="1"/>
  <c r="H53" i="4" s="1"/>
  <c r="K13" i="21"/>
  <c r="K139" i="21"/>
  <c r="K121" i="21"/>
  <c r="R123" i="21" s="1"/>
  <c r="K122" i="21"/>
  <c r="K123" i="21"/>
  <c r="K120" i="21"/>
  <c r="S123" i="21" s="1"/>
  <c r="K114" i="21"/>
  <c r="K115" i="21"/>
  <c r="R117" i="21" s="1"/>
  <c r="K116" i="21"/>
  <c r="Q117" i="21" s="1"/>
  <c r="K117" i="21"/>
  <c r="K113" i="21"/>
  <c r="O157" i="21"/>
  <c r="O158" i="21" s="1"/>
  <c r="O159" i="21" s="1"/>
  <c r="O160" i="21" s="1"/>
  <c r="O161" i="21" s="1"/>
  <c r="O162" i="21" s="1"/>
  <c r="O163" i="21" s="1"/>
  <c r="O164" i="21" s="1"/>
  <c r="O165" i="21" s="1"/>
  <c r="O166" i="21" s="1"/>
  <c r="O167" i="21" s="1"/>
  <c r="O168" i="21" s="1"/>
  <c r="O169" i="21" s="1"/>
  <c r="O170" i="21" s="1"/>
  <c r="O171" i="21" s="1"/>
  <c r="O172" i="21" s="1"/>
  <c r="O173" i="21" s="1"/>
  <c r="O174" i="21" s="1"/>
  <c r="O175" i="21" s="1"/>
  <c r="O176" i="21" s="1"/>
  <c r="E157" i="21"/>
  <c r="E158" i="21" s="1"/>
  <c r="E159" i="21" s="1"/>
  <c r="E160" i="21" s="1"/>
  <c r="E161" i="21" s="1"/>
  <c r="E162" i="21" s="1"/>
  <c r="E163" i="21" s="1"/>
  <c r="E164" i="21" s="1"/>
  <c r="E165" i="21" s="1"/>
  <c r="E166" i="21" s="1"/>
  <c r="E167" i="21" s="1"/>
  <c r="E168" i="21" s="1"/>
  <c r="E169" i="21" s="1"/>
  <c r="E170" i="21" s="1"/>
  <c r="E171" i="21" s="1"/>
  <c r="E172" i="21" s="1"/>
  <c r="E173" i="21" s="1"/>
  <c r="E174" i="21" s="1"/>
  <c r="E175" i="21" s="1"/>
  <c r="E176" i="21" s="1"/>
  <c r="O141" i="21"/>
  <c r="P141" i="21"/>
  <c r="O140" i="21"/>
  <c r="K140" i="21"/>
  <c r="Q141" i="21" s="1"/>
  <c r="O130" i="21"/>
  <c r="K130" i="21"/>
  <c r="U131" i="21" s="1"/>
  <c r="O129" i="21"/>
  <c r="K129" i="21"/>
  <c r="O128" i="21"/>
  <c r="K128" i="21"/>
  <c r="S131" i="21" s="1"/>
  <c r="O127" i="21"/>
  <c r="K127" i="21"/>
  <c r="O112" i="21"/>
  <c r="K112" i="21"/>
  <c r="P112" i="21" s="1"/>
  <c r="O111" i="21"/>
  <c r="K111" i="21"/>
  <c r="Q112" i="21" s="1"/>
  <c r="O110" i="21"/>
  <c r="K110" i="21"/>
  <c r="R112" i="21" s="1"/>
  <c r="O109" i="21"/>
  <c r="K109" i="21"/>
  <c r="K107" i="21"/>
  <c r="K106" i="21"/>
  <c r="K105" i="21"/>
  <c r="R107" i="21" s="1"/>
  <c r="K104" i="21"/>
  <c r="S107" i="21" s="1"/>
  <c r="K102" i="21"/>
  <c r="K101" i="21"/>
  <c r="Q102" i="21" s="1"/>
  <c r="K100" i="21"/>
  <c r="R102" i="21" s="1"/>
  <c r="K99" i="21"/>
  <c r="S102" i="21" s="1"/>
  <c r="O97" i="21"/>
  <c r="K97" i="21"/>
  <c r="P97" i="21" s="1"/>
  <c r="O96" i="21"/>
  <c r="K96" i="21"/>
  <c r="Q97" i="21" s="1"/>
  <c r="O95" i="21"/>
  <c r="K95" i="21"/>
  <c r="R97" i="21" s="1"/>
  <c r="O94" i="21"/>
  <c r="K94" i="21"/>
  <c r="K90" i="21"/>
  <c r="P90" i="21" s="1"/>
  <c r="K89" i="21"/>
  <c r="Q90" i="21" s="1"/>
  <c r="K88" i="21"/>
  <c r="K87" i="21"/>
  <c r="S90" i="21" s="1"/>
  <c r="K85" i="21"/>
  <c r="P85" i="21" s="1"/>
  <c r="K84" i="21"/>
  <c r="Q85" i="21" s="1"/>
  <c r="K83" i="21"/>
  <c r="K82" i="21"/>
  <c r="S85" i="21" s="1"/>
  <c r="K80" i="21"/>
  <c r="P80" i="21" s="1"/>
  <c r="K79" i="21"/>
  <c r="Q80" i="21" s="1"/>
  <c r="K78" i="21"/>
  <c r="K77" i="21"/>
  <c r="S80" i="21" s="1"/>
  <c r="K68" i="21"/>
  <c r="P68" i="21" s="1"/>
  <c r="K67" i="21"/>
  <c r="Q68" i="21" s="1"/>
  <c r="K66" i="21"/>
  <c r="K65" i="21"/>
  <c r="S68" i="21" s="1"/>
  <c r="K63" i="21"/>
  <c r="P63" i="21" s="1"/>
  <c r="K62" i="21"/>
  <c r="Q63" i="21" s="1"/>
  <c r="K61" i="21"/>
  <c r="K60" i="21"/>
  <c r="S63" i="21" s="1"/>
  <c r="K58" i="21"/>
  <c r="P58" i="21" s="1"/>
  <c r="K57" i="21"/>
  <c r="Q58" i="21" s="1"/>
  <c r="K56" i="21"/>
  <c r="R58" i="21" s="1"/>
  <c r="K55" i="21"/>
  <c r="O53" i="21"/>
  <c r="K53" i="21"/>
  <c r="P53" i="21" s="1"/>
  <c r="O52" i="21"/>
  <c r="K52" i="21"/>
  <c r="Q53" i="21" s="1"/>
  <c r="O51" i="21"/>
  <c r="K51" i="21"/>
  <c r="R53" i="21" s="1"/>
  <c r="O50" i="21"/>
  <c r="K50" i="21"/>
  <c r="K40" i="21"/>
  <c r="K39" i="21"/>
  <c r="Q40" i="21" s="1"/>
  <c r="K38" i="21"/>
  <c r="R40" i="21" s="1"/>
  <c r="K37" i="21"/>
  <c r="O35" i="21"/>
  <c r="K35" i="21"/>
  <c r="P35" i="21" s="1"/>
  <c r="O34" i="21"/>
  <c r="K34" i="21"/>
  <c r="Q35" i="21" s="1"/>
  <c r="O33" i="21"/>
  <c r="K33" i="21"/>
  <c r="R35" i="21" s="1"/>
  <c r="O32" i="21"/>
  <c r="K32" i="21"/>
  <c r="O30" i="21"/>
  <c r="K30" i="21"/>
  <c r="P30" i="21" s="1"/>
  <c r="O29" i="21"/>
  <c r="K29" i="21"/>
  <c r="Q30" i="21" s="1"/>
  <c r="O28" i="21"/>
  <c r="K28" i="21"/>
  <c r="R30" i="21" s="1"/>
  <c r="O27" i="21"/>
  <c r="K27" i="21"/>
  <c r="K23" i="21"/>
  <c r="P23" i="21" s="1"/>
  <c r="K22" i="21"/>
  <c r="Q23" i="21" s="1"/>
  <c r="K21" i="21"/>
  <c r="K20" i="21"/>
  <c r="S23" i="21" s="1"/>
  <c r="O18" i="21"/>
  <c r="K18" i="21"/>
  <c r="P18" i="21" s="1"/>
  <c r="O17" i="21"/>
  <c r="K17" i="21"/>
  <c r="O16" i="21"/>
  <c r="K16" i="21"/>
  <c r="R18" i="21" s="1"/>
  <c r="O15" i="21"/>
  <c r="K15" i="21"/>
  <c r="S18" i="21" s="1"/>
  <c r="O12" i="21"/>
  <c r="K12" i="21"/>
  <c r="Q12" i="21" s="1"/>
  <c r="O11" i="21"/>
  <c r="K11" i="21"/>
  <c r="O9" i="21"/>
  <c r="K9" i="21"/>
  <c r="R7" i="21" s="1"/>
  <c r="O8" i="21"/>
  <c r="K8" i="21"/>
  <c r="P7" i="21" s="1"/>
  <c r="O7" i="21"/>
  <c r="K7" i="21"/>
  <c r="Q7" i="21" s="1"/>
  <c r="O6" i="21"/>
  <c r="K6" i="21"/>
  <c r="S7" i="21" s="1"/>
  <c r="L6" i="4" l="1"/>
  <c r="L7" i="4" s="1"/>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T8" i="4"/>
  <c r="S9" i="12" s="1"/>
  <c r="R12" i="21"/>
  <c r="S12" i="21" s="1"/>
  <c r="P12" i="21"/>
  <c r="P107" i="21"/>
  <c r="U107" i="21"/>
  <c r="Q131" i="21"/>
  <c r="U30" i="21"/>
  <c r="U35" i="21"/>
  <c r="R141" i="21"/>
  <c r="S141" i="21" s="1"/>
  <c r="Q123" i="21"/>
  <c r="P40" i="21"/>
  <c r="U40" i="21"/>
  <c r="S53" i="21"/>
  <c r="U53" i="21"/>
  <c r="R63" i="21"/>
  <c r="U63" i="21"/>
  <c r="R68" i="21"/>
  <c r="U68" i="21"/>
  <c r="R80" i="21"/>
  <c r="U80" i="21"/>
  <c r="R85" i="21"/>
  <c r="U85" i="21"/>
  <c r="R90" i="21"/>
  <c r="U90" i="21"/>
  <c r="S30" i="21"/>
  <c r="Q18" i="21"/>
  <c r="U18" i="21"/>
  <c r="R23" i="21"/>
  <c r="U23" i="21"/>
  <c r="Q107" i="21"/>
  <c r="S117" i="21"/>
  <c r="U7" i="21"/>
  <c r="P102" i="21"/>
  <c r="S40" i="21"/>
  <c r="S58" i="21"/>
  <c r="U58" i="21"/>
  <c r="S97" i="21"/>
  <c r="U97" i="21"/>
  <c r="S112" i="21"/>
  <c r="U112" i="21"/>
  <c r="R131" i="21"/>
  <c r="P123" i="21"/>
  <c r="S35" i="21"/>
  <c r="U12" i="21"/>
  <c r="P154" i="21" l="1"/>
  <c r="L40" i="4"/>
  <c r="L41" i="4" s="1"/>
  <c r="L42" i="4" s="1"/>
  <c r="L43" i="4" s="1"/>
  <c r="L44" i="4" s="1"/>
  <c r="L45" i="4" s="1"/>
  <c r="L46" i="4" s="1"/>
  <c r="L47" i="4" s="1"/>
  <c r="L48" i="4" s="1"/>
  <c r="L49" i="4" s="1"/>
  <c r="L50" i="4" s="1"/>
  <c r="L51" i="4" s="1"/>
  <c r="L52" i="4" s="1"/>
  <c r="L53" i="4" s="1"/>
  <c r="D61" i="4" s="1"/>
  <c r="D67" i="4" s="1"/>
  <c r="T9" i="4" s="1"/>
  <c r="S154" i="21"/>
  <c r="R154" i="21"/>
  <c r="Q154" i="21"/>
  <c r="N30" i="14"/>
  <c r="F72" i="12"/>
  <c r="F61" i="12"/>
  <c r="H48" i="12"/>
  <c r="H89" i="4" l="1"/>
  <c r="F117" i="4" s="1"/>
  <c r="S10" i="12"/>
  <c r="G14" i="12" s="1"/>
  <c r="K74" i="14" s="1"/>
  <c r="AA106" i="14" s="1"/>
  <c r="AB106" i="14" s="1"/>
  <c r="T10" i="4"/>
  <c r="S11" i="12" s="1"/>
  <c r="W10" i="12" s="1"/>
  <c r="M45" i="15" l="1"/>
  <c r="U102" i="21"/>
  <c r="S41" i="19"/>
  <c r="AC41" i="18" l="1"/>
  <c r="AC43" i="18" s="1"/>
  <c r="AD42" i="18" l="1"/>
  <c r="J15" i="18"/>
  <c r="J14" i="18"/>
  <c r="J13" i="18"/>
  <c r="J12" i="18"/>
  <c r="J11" i="18"/>
  <c r="J6" i="18"/>
  <c r="J5" i="18"/>
  <c r="S21" i="18"/>
  <c r="N20" i="18"/>
  <c r="N21" i="18"/>
  <c r="N19" i="18"/>
  <c r="K20" i="18"/>
  <c r="K21" i="18"/>
  <c r="K19" i="18"/>
  <c r="U3" i="18"/>
  <c r="C11" i="18"/>
  <c r="C15" i="18"/>
  <c r="C14" i="18"/>
  <c r="C13" i="18"/>
  <c r="C12" i="18"/>
  <c r="C10" i="18"/>
  <c r="S20" i="18" l="1"/>
  <c r="S19" i="18"/>
  <c r="W21" i="18"/>
  <c r="N22" i="18"/>
  <c r="W20" i="18" l="1"/>
  <c r="S22" i="18"/>
  <c r="W19" i="18"/>
  <c r="N11" i="19"/>
  <c r="J10" i="18"/>
  <c r="O48" i="12" l="1"/>
  <c r="W22" i="18"/>
  <c r="Z5" i="19" l="1"/>
  <c r="V68" i="23" l="1"/>
  <c r="N5" i="19"/>
  <c r="V69" i="23" l="1"/>
  <c r="N17" i="19"/>
  <c r="W68" i="23" l="1"/>
  <c r="V70" i="23"/>
  <c r="S34" i="19"/>
  <c r="Z4" i="19"/>
  <c r="Z6" i="19" s="1"/>
  <c r="Z7" i="19" s="1"/>
  <c r="V71" i="23" l="1"/>
  <c r="W69" i="23"/>
  <c r="X68" i="23"/>
  <c r="Z8" i="19"/>
  <c r="Z9" i="19" s="1"/>
  <c r="W70" i="23" l="1"/>
  <c r="X69" i="23"/>
  <c r="V72" i="23"/>
  <c r="B10" i="12"/>
  <c r="I94" i="12"/>
  <c r="L94" i="12"/>
  <c r="M104" i="12" s="1"/>
  <c r="V73" i="23" l="1"/>
  <c r="W71" i="23"/>
  <c r="X70" i="23"/>
  <c r="M105" i="12"/>
  <c r="M106" i="12" s="1"/>
  <c r="W72" i="23" l="1"/>
  <c r="X71" i="23"/>
  <c r="V74" i="23"/>
  <c r="P102" i="12"/>
  <c r="N27" i="14" s="1"/>
  <c r="V75" i="23" l="1"/>
  <c r="W73" i="23"/>
  <c r="X72" i="23"/>
  <c r="J45" i="14"/>
  <c r="J48" i="14" s="1"/>
  <c r="J49" i="14" s="1"/>
  <c r="J46" i="14"/>
  <c r="J47" i="14"/>
  <c r="W74" i="23" l="1"/>
  <c r="X73" i="23"/>
  <c r="V76" i="23"/>
  <c r="N4" i="19"/>
  <c r="N28" i="14"/>
  <c r="V77" i="23" l="1"/>
  <c r="W75" i="23"/>
  <c r="X74" i="23"/>
  <c r="K71" i="14"/>
  <c r="Y14" i="19"/>
  <c r="N16" i="19" s="1"/>
  <c r="AC5" i="19"/>
  <c r="N10" i="19"/>
  <c r="K23" i="19"/>
  <c r="T4" i="19"/>
  <c r="M8" i="19" s="1"/>
  <c r="P7" i="19" s="1"/>
  <c r="H23" i="19" s="1"/>
  <c r="AC6" i="19"/>
  <c r="AC4" i="19"/>
  <c r="W76" i="23" l="1"/>
  <c r="X75" i="23"/>
  <c r="V78" i="23"/>
  <c r="AC7" i="19"/>
  <c r="AC8" i="19" s="1"/>
  <c r="AC9" i="19" s="1"/>
  <c r="AC10" i="19" s="1"/>
  <c r="K26" i="19"/>
  <c r="T10" i="19"/>
  <c r="M14" i="19" s="1"/>
  <c r="P13" i="19" s="1"/>
  <c r="H26" i="19" s="1"/>
  <c r="S23" i="19"/>
  <c r="T16" i="19"/>
  <c r="M20" i="19" s="1"/>
  <c r="P19" i="19" s="1"/>
  <c r="H29" i="19" s="1"/>
  <c r="K29" i="19"/>
  <c r="V79" i="23" l="1"/>
  <c r="W77" i="23"/>
  <c r="X76" i="23"/>
  <c r="S29" i="19"/>
  <c r="S26" i="19"/>
  <c r="W78" i="23" l="1"/>
  <c r="X77" i="23"/>
  <c r="V80" i="23"/>
  <c r="S32" i="19"/>
  <c r="S35" i="19" s="1"/>
  <c r="S43" i="19" s="1"/>
  <c r="N32" i="14"/>
  <c r="N33" i="14" s="1"/>
  <c r="N34" i="14" s="1"/>
  <c r="N35" i="14" s="1"/>
  <c r="AA85" i="14" l="1"/>
  <c r="N37" i="14"/>
  <c r="V81" i="23"/>
  <c r="W79" i="23"/>
  <c r="X78" i="23"/>
  <c r="N41" i="14" l="1"/>
  <c r="AA86" i="14"/>
  <c r="AA87" i="14" s="1"/>
  <c r="AB86" i="14" s="1"/>
  <c r="W80" i="23"/>
  <c r="X79" i="23"/>
  <c r="V82" i="23"/>
  <c r="N42" i="14" l="1"/>
  <c r="Q57" i="14"/>
  <c r="Q65" i="14"/>
  <c r="AC86" i="14"/>
  <c r="AB87" i="14"/>
  <c r="E120" i="21" s="1"/>
  <c r="V83" i="23"/>
  <c r="W81" i="23"/>
  <c r="X80" i="23"/>
  <c r="K69" i="14" l="1"/>
  <c r="Q55" i="14"/>
  <c r="Q56" i="14" s="1"/>
  <c r="Q58" i="14"/>
  <c r="AC87" i="14"/>
  <c r="E121" i="21" s="1"/>
  <c r="AD86" i="14"/>
  <c r="AE87" i="14" s="1"/>
  <c r="E123" i="21" s="1"/>
  <c r="W82" i="23"/>
  <c r="X81" i="23"/>
  <c r="V84" i="23"/>
  <c r="E8" i="4"/>
  <c r="E48" i="4"/>
  <c r="E31" i="4"/>
  <c r="E10" i="4"/>
  <c r="E44" i="4"/>
  <c r="E27" i="4"/>
  <c r="E53" i="4"/>
  <c r="E40" i="4"/>
  <c r="E23" i="4"/>
  <c r="E49" i="4"/>
  <c r="E36" i="4"/>
  <c r="E19" i="4"/>
  <c r="E45" i="4"/>
  <c r="E32" i="4"/>
  <c r="E15" i="4"/>
  <c r="E41" i="4"/>
  <c r="E28" i="4"/>
  <c r="E11" i="4"/>
  <c r="E37" i="4"/>
  <c r="E24" i="4"/>
  <c r="E50" i="4"/>
  <c r="E33" i="4"/>
  <c r="E20" i="4"/>
  <c r="E46" i="4"/>
  <c r="E13" i="4"/>
  <c r="E16" i="4"/>
  <c r="E42" i="4"/>
  <c r="E25" i="4"/>
  <c r="E12" i="4"/>
  <c r="E38" i="4"/>
  <c r="E21" i="4"/>
  <c r="E34" i="4"/>
  <c r="E17" i="4"/>
  <c r="E51" i="4"/>
  <c r="E30" i="4"/>
  <c r="E47" i="4"/>
  <c r="E26" i="4"/>
  <c r="E9" i="4"/>
  <c r="E43" i="4"/>
  <c r="E22" i="4"/>
  <c r="E29" i="4"/>
  <c r="E39" i="4"/>
  <c r="E18" i="4"/>
  <c r="E52" i="4"/>
  <c r="E35" i="4"/>
  <c r="E14" i="4"/>
  <c r="E7" i="4"/>
  <c r="M8" i="4"/>
  <c r="B9" i="12" s="1"/>
  <c r="AD87" i="14" l="1"/>
  <c r="E122" i="21" s="1"/>
  <c r="V85" i="23"/>
  <c r="W83" i="23"/>
  <c r="X82" i="23"/>
  <c r="W84" i="23" l="1"/>
  <c r="X83" i="23"/>
  <c r="V86" i="23"/>
  <c r="V87" i="23" l="1"/>
  <c r="W85" i="23"/>
  <c r="X84" i="23"/>
  <c r="K72" i="14"/>
  <c r="K73" i="14" l="1"/>
  <c r="W86" i="23"/>
  <c r="X85" i="23"/>
  <c r="V88" i="23"/>
  <c r="V89" i="23" l="1"/>
  <c r="W87" i="23"/>
  <c r="X86" i="23"/>
  <c r="W88" i="23" l="1"/>
  <c r="X87" i="23"/>
  <c r="V90" i="23"/>
  <c r="V91" i="23" l="1"/>
  <c r="W89" i="23"/>
  <c r="X88" i="23"/>
  <c r="W90" i="23" l="1"/>
  <c r="X89" i="23"/>
  <c r="V92" i="23"/>
  <c r="V93" i="23" l="1"/>
  <c r="W91" i="23"/>
  <c r="X90" i="23"/>
  <c r="W92" i="23" l="1"/>
  <c r="X91" i="23"/>
  <c r="V94" i="23"/>
  <c r="V95" i="23" l="1"/>
  <c r="W93" i="23"/>
  <c r="X92" i="23"/>
  <c r="W94" i="23" l="1"/>
  <c r="X93" i="23"/>
  <c r="V96" i="23"/>
  <c r="V97" i="23" l="1"/>
  <c r="W95" i="23"/>
  <c r="X94" i="23"/>
  <c r="W96" i="23" l="1"/>
  <c r="X95" i="23"/>
  <c r="V98" i="23"/>
  <c r="V99" i="23" l="1"/>
  <c r="W97" i="23"/>
  <c r="X96" i="23"/>
  <c r="W98" i="23" l="1"/>
  <c r="X97" i="23"/>
  <c r="V100" i="23"/>
  <c r="V101" i="23" l="1"/>
  <c r="W99" i="23"/>
  <c r="X98" i="23"/>
  <c r="W100" i="23" l="1"/>
  <c r="X99" i="23"/>
  <c r="V102" i="23"/>
  <c r="V103" i="23" l="1"/>
  <c r="W101" i="23"/>
  <c r="X100" i="23"/>
  <c r="W102" i="23" l="1"/>
  <c r="X101" i="23"/>
  <c r="V104" i="23"/>
  <c r="V105" i="23" l="1"/>
  <c r="W103" i="23"/>
  <c r="X102" i="23"/>
  <c r="W104" i="23" l="1"/>
  <c r="X103" i="23"/>
  <c r="V106" i="23"/>
  <c r="V107" i="23" l="1"/>
  <c r="W105" i="23"/>
  <c r="X104" i="23"/>
  <c r="W106" i="23" l="1"/>
  <c r="X105" i="23"/>
  <c r="V108" i="23"/>
  <c r="V109" i="23" l="1"/>
  <c r="W107" i="23"/>
  <c r="X106" i="23"/>
  <c r="W108" i="23" l="1"/>
  <c r="X107" i="23"/>
  <c r="V110" i="23"/>
  <c r="V111" i="23" l="1"/>
  <c r="W109" i="23"/>
  <c r="X108" i="23"/>
  <c r="W110" i="23" l="1"/>
  <c r="X109" i="23"/>
  <c r="V112" i="23"/>
  <c r="V113" i="23" l="1"/>
  <c r="W111" i="23"/>
  <c r="X110" i="23"/>
  <c r="W112" i="23" l="1"/>
  <c r="X111" i="23"/>
  <c r="V114" i="23"/>
  <c r="V115" i="23" l="1"/>
  <c r="W113" i="23"/>
  <c r="X112" i="23"/>
  <c r="W114" i="23" l="1"/>
  <c r="X113" i="23"/>
  <c r="V116" i="23"/>
  <c r="W115" i="23" l="1"/>
  <c r="X114" i="23"/>
  <c r="V117" i="23"/>
  <c r="V118" i="23" l="1"/>
  <c r="W116" i="23"/>
  <c r="X115" i="23"/>
  <c r="W117" i="23" l="1"/>
  <c r="X116" i="23"/>
  <c r="V119" i="23"/>
  <c r="V120" i="23" l="1"/>
  <c r="W118" i="23"/>
  <c r="X117" i="23"/>
  <c r="W119" i="23" l="1"/>
  <c r="X118" i="23"/>
  <c r="V121" i="23"/>
  <c r="V122" i="23" l="1"/>
  <c r="W120" i="23"/>
  <c r="X119" i="23"/>
  <c r="W121" i="23" l="1"/>
  <c r="X120" i="23"/>
  <c r="V123" i="23"/>
  <c r="V124" i="23" l="1"/>
  <c r="W122" i="23"/>
  <c r="X121" i="23"/>
  <c r="W123" i="23" l="1"/>
  <c r="X122" i="23"/>
  <c r="V125" i="23"/>
  <c r="V126" i="23" l="1"/>
  <c r="W124" i="23"/>
  <c r="X123" i="23"/>
  <c r="W125" i="23" l="1"/>
  <c r="X124" i="23"/>
  <c r="V127" i="23"/>
  <c r="W126" i="23" l="1"/>
  <c r="X125" i="23"/>
  <c r="W127" i="23" l="1"/>
  <c r="X126" i="23"/>
  <c r="X127" i="23" l="1"/>
  <c r="Y68" i="23" l="1"/>
  <c r="AA68" i="23" l="1"/>
  <c r="E68" i="23" s="1"/>
  <c r="Z68" i="23" l="1"/>
  <c r="D68" i="23" s="1"/>
  <c r="F68" i="23" s="1"/>
  <c r="L68" i="23"/>
  <c r="K68" i="23" l="1"/>
  <c r="M68" i="23" s="1"/>
  <c r="Y69" i="23"/>
  <c r="AA69" i="23" l="1"/>
  <c r="E69" i="23" s="1"/>
  <c r="L69" i="23" l="1"/>
  <c r="Z69" i="23"/>
  <c r="D69" i="23" s="1"/>
  <c r="F69" i="23" s="1"/>
  <c r="K69" i="23" l="1"/>
  <c r="M69" i="23" s="1"/>
  <c r="Y70" i="23"/>
  <c r="AA70" i="23" l="1"/>
  <c r="E70" i="23" s="1"/>
  <c r="Z70" i="23" l="1"/>
  <c r="D70" i="23" s="1"/>
  <c r="F70" i="23" s="1"/>
  <c r="L70" i="23"/>
  <c r="K70" i="23" l="1"/>
  <c r="M70" i="23" s="1"/>
  <c r="Y71" i="23"/>
  <c r="AA71" i="23" l="1"/>
  <c r="E71" i="23" s="1"/>
  <c r="L71" i="23" l="1"/>
  <c r="Z71" i="23"/>
  <c r="D71" i="23" s="1"/>
  <c r="F71" i="23" s="1"/>
  <c r="K71" i="23" l="1"/>
  <c r="M71" i="23" s="1"/>
  <c r="Y72" i="23"/>
  <c r="AA72" i="23" l="1"/>
  <c r="E72" i="23" s="1"/>
  <c r="Z72" i="23" l="1"/>
  <c r="D72" i="23" s="1"/>
  <c r="F72" i="23" s="1"/>
  <c r="L72" i="23"/>
  <c r="K72" i="23" l="1"/>
  <c r="M72" i="23" s="1"/>
  <c r="Y73" i="23"/>
  <c r="AA73" i="23" l="1"/>
  <c r="E73" i="23" s="1"/>
  <c r="Z73" i="23" l="1"/>
  <c r="D73" i="23" s="1"/>
  <c r="F73" i="23" s="1"/>
  <c r="L73" i="23"/>
  <c r="K73" i="23" l="1"/>
  <c r="M73" i="23" s="1"/>
  <c r="Y74" i="23"/>
  <c r="AA74" i="23" l="1"/>
  <c r="E74" i="23" s="1"/>
  <c r="Z74" i="23" l="1"/>
  <c r="D74" i="23" s="1"/>
  <c r="F74" i="23" s="1"/>
  <c r="L74" i="23"/>
  <c r="K74" i="23" l="1"/>
  <c r="M74" i="23" s="1"/>
  <c r="Y75" i="23"/>
  <c r="AA75" i="23" l="1"/>
  <c r="E75" i="23" s="1"/>
  <c r="Z75" i="23" l="1"/>
  <c r="D75" i="23" s="1"/>
  <c r="F75" i="23" s="1"/>
  <c r="L75" i="23"/>
  <c r="K75" i="23" l="1"/>
  <c r="M75" i="23" s="1"/>
  <c r="Y76" i="23"/>
  <c r="AA76" i="23" l="1"/>
  <c r="E76" i="23" s="1"/>
  <c r="Z76" i="23" l="1"/>
  <c r="D76" i="23" s="1"/>
  <c r="F76" i="23" s="1"/>
  <c r="L76" i="23"/>
  <c r="K76" i="23" l="1"/>
  <c r="M76" i="23" s="1"/>
  <c r="Y77" i="23"/>
  <c r="AA77" i="23" l="1"/>
  <c r="E77" i="23" s="1"/>
  <c r="Z77" i="23" l="1"/>
  <c r="D77" i="23" s="1"/>
  <c r="F77" i="23" s="1"/>
  <c r="L77" i="23"/>
  <c r="K77" i="23" l="1"/>
  <c r="M77" i="23" s="1"/>
  <c r="Y78" i="23"/>
  <c r="AA78" i="23" l="1"/>
  <c r="E78" i="23" s="1"/>
  <c r="Z78" i="23" l="1"/>
  <c r="D78" i="23" s="1"/>
  <c r="F78" i="23" s="1"/>
  <c r="L78" i="23"/>
  <c r="K78" i="23" l="1"/>
  <c r="M78" i="23" s="1"/>
  <c r="Y79" i="23"/>
  <c r="AA79" i="23" l="1"/>
  <c r="E79" i="23" s="1"/>
  <c r="Z79" i="23" l="1"/>
  <c r="D79" i="23" s="1"/>
  <c r="F79" i="23" s="1"/>
  <c r="L79" i="23"/>
  <c r="K79" i="23" l="1"/>
  <c r="M79" i="23" s="1"/>
  <c r="Y80" i="23"/>
  <c r="AA80" i="23" l="1"/>
  <c r="E80" i="23" s="1"/>
  <c r="Z80" i="23" l="1"/>
  <c r="D80" i="23" s="1"/>
  <c r="F80" i="23" s="1"/>
  <c r="L80" i="23"/>
  <c r="K80" i="23" l="1"/>
  <c r="M80" i="23" s="1"/>
  <c r="Y81" i="23"/>
  <c r="AA81" i="23" l="1"/>
  <c r="E81" i="23" s="1"/>
  <c r="Z81" i="23" l="1"/>
  <c r="D81" i="23" s="1"/>
  <c r="F81" i="23" s="1"/>
  <c r="L81" i="23"/>
  <c r="K81" i="23" l="1"/>
  <c r="M81" i="23" s="1"/>
  <c r="Y82" i="23"/>
  <c r="AA82" i="23" l="1"/>
  <c r="E82" i="23" s="1"/>
  <c r="Z82" i="23" l="1"/>
  <c r="D82" i="23" s="1"/>
  <c r="F82" i="23" s="1"/>
  <c r="L82" i="23"/>
  <c r="K82" i="23" l="1"/>
  <c r="M82" i="23" s="1"/>
  <c r="Y83" i="23"/>
  <c r="AA83" i="23" l="1"/>
  <c r="E83" i="23" s="1"/>
  <c r="Z83" i="23" l="1"/>
  <c r="D83" i="23" s="1"/>
  <c r="F83" i="23" s="1"/>
  <c r="L83" i="23"/>
  <c r="K83" i="23" l="1"/>
  <c r="M83" i="23" s="1"/>
  <c r="Y84" i="23"/>
  <c r="AA84" i="23" l="1"/>
  <c r="E84" i="23" s="1"/>
  <c r="Z84" i="23" l="1"/>
  <c r="D84" i="23" s="1"/>
  <c r="F84" i="23" s="1"/>
  <c r="L84" i="23"/>
  <c r="K84" i="23" l="1"/>
  <c r="M84" i="23" s="1"/>
  <c r="Y85" i="23"/>
  <c r="AA85" i="23" l="1"/>
  <c r="E85" i="23" s="1"/>
  <c r="Z85" i="23" l="1"/>
  <c r="D85" i="23" s="1"/>
  <c r="F85" i="23" s="1"/>
  <c r="L85" i="23"/>
  <c r="K85" i="23" l="1"/>
  <c r="M85" i="23" s="1"/>
  <c r="Y86" i="23"/>
  <c r="AA86" i="23" l="1"/>
  <c r="E86" i="23" s="1"/>
  <c r="Z86" i="23" l="1"/>
  <c r="D86" i="23" s="1"/>
  <c r="F86" i="23" s="1"/>
  <c r="L86" i="23"/>
  <c r="K86" i="23" l="1"/>
  <c r="M86" i="23" s="1"/>
  <c r="Y87" i="23"/>
  <c r="AA87" i="23" l="1"/>
  <c r="E87" i="23" s="1"/>
  <c r="Z87" i="23" l="1"/>
  <c r="D87" i="23" s="1"/>
  <c r="F87" i="23" s="1"/>
  <c r="L87" i="23"/>
  <c r="K87" i="23" l="1"/>
  <c r="M87" i="23" s="1"/>
  <c r="Y88" i="23"/>
  <c r="AA88" i="23" l="1"/>
  <c r="E88" i="23" s="1"/>
  <c r="Z88" i="23" l="1"/>
  <c r="D88" i="23" s="1"/>
  <c r="F88" i="23" s="1"/>
  <c r="L88" i="23"/>
  <c r="K88" i="23" l="1"/>
  <c r="M88" i="23" s="1"/>
  <c r="Y89" i="23"/>
  <c r="AA89" i="23" l="1"/>
  <c r="E89" i="23" s="1"/>
  <c r="Z89" i="23" l="1"/>
  <c r="D89" i="23" s="1"/>
  <c r="F89" i="23" s="1"/>
  <c r="L89" i="23"/>
  <c r="K89" i="23" l="1"/>
  <c r="M89" i="23" s="1"/>
  <c r="Y90" i="23"/>
  <c r="AA90" i="23" l="1"/>
  <c r="E90" i="23" s="1"/>
  <c r="Z90" i="23" l="1"/>
  <c r="D90" i="23" s="1"/>
  <c r="F90" i="23" s="1"/>
  <c r="L90" i="23"/>
  <c r="K90" i="23" l="1"/>
  <c r="M90" i="23" s="1"/>
  <c r="Y91" i="23"/>
  <c r="AA91" i="23" l="1"/>
  <c r="E91" i="23" s="1"/>
  <c r="Z91" i="23" l="1"/>
  <c r="D91" i="23" s="1"/>
  <c r="F91" i="23" s="1"/>
  <c r="L91" i="23"/>
  <c r="K91" i="23" l="1"/>
  <c r="M91" i="23" s="1"/>
  <c r="Y92" i="23"/>
  <c r="AA92" i="23" l="1"/>
  <c r="E92" i="23" s="1"/>
  <c r="Z92" i="23" l="1"/>
  <c r="D92" i="23" s="1"/>
  <c r="F92" i="23" s="1"/>
  <c r="L92" i="23"/>
  <c r="K92" i="23" l="1"/>
  <c r="M92" i="23" s="1"/>
  <c r="Y93" i="23"/>
  <c r="AA93" i="23" l="1"/>
  <c r="E93" i="23" s="1"/>
  <c r="Z93" i="23" l="1"/>
  <c r="D93" i="23" s="1"/>
  <c r="F93" i="23" s="1"/>
  <c r="L93" i="23"/>
  <c r="K93" i="23" l="1"/>
  <c r="M93" i="23" s="1"/>
  <c r="Y94" i="23"/>
  <c r="AA94" i="23" l="1"/>
  <c r="E94" i="23" s="1"/>
  <c r="Z94" i="23" l="1"/>
  <c r="D94" i="23" s="1"/>
  <c r="F94" i="23" s="1"/>
  <c r="L94" i="23"/>
  <c r="K94" i="23" l="1"/>
  <c r="M94" i="23" s="1"/>
  <c r="Y95" i="23"/>
  <c r="AA95" i="23" l="1"/>
  <c r="E95" i="23" s="1"/>
  <c r="Z95" i="23" l="1"/>
  <c r="D95" i="23" s="1"/>
  <c r="F95" i="23" s="1"/>
  <c r="L95" i="23"/>
  <c r="K95" i="23" l="1"/>
  <c r="M95" i="23" s="1"/>
  <c r="Y96" i="23"/>
  <c r="AA96" i="23" l="1"/>
  <c r="E96" i="23" s="1"/>
  <c r="Z96" i="23" l="1"/>
  <c r="D96" i="23" s="1"/>
  <c r="F96" i="23" s="1"/>
  <c r="L96" i="23"/>
  <c r="K96" i="23" l="1"/>
  <c r="M96" i="23" s="1"/>
  <c r="Y97" i="23"/>
  <c r="AA97" i="23" l="1"/>
  <c r="E97" i="23" s="1"/>
  <c r="Z97" i="23" l="1"/>
  <c r="D97" i="23" s="1"/>
  <c r="F97" i="23" s="1"/>
  <c r="L97" i="23"/>
  <c r="K97" i="23" l="1"/>
  <c r="M97" i="23" s="1"/>
  <c r="Y98" i="23"/>
  <c r="AA98" i="23" l="1"/>
  <c r="E98" i="23" s="1"/>
  <c r="Z98" i="23" l="1"/>
  <c r="D98" i="23" s="1"/>
  <c r="F98" i="23" s="1"/>
  <c r="L98" i="23"/>
  <c r="K98" i="23" l="1"/>
  <c r="M98" i="23" s="1"/>
  <c r="Y99" i="23"/>
  <c r="AA99" i="23" l="1"/>
  <c r="E99" i="23" s="1"/>
  <c r="Z99" i="23" l="1"/>
  <c r="D99" i="23" s="1"/>
  <c r="F99" i="23" s="1"/>
  <c r="L99" i="23"/>
  <c r="K99" i="23" l="1"/>
  <c r="M99" i="23" s="1"/>
  <c r="Y100" i="23"/>
  <c r="AA100" i="23" l="1"/>
  <c r="E100" i="23" s="1"/>
  <c r="Z100" i="23" l="1"/>
  <c r="D100" i="23" s="1"/>
  <c r="F100" i="23" s="1"/>
  <c r="L100" i="23"/>
  <c r="K100" i="23" l="1"/>
  <c r="M100" i="23" s="1"/>
  <c r="Y101" i="23"/>
  <c r="AA101" i="23" l="1"/>
  <c r="E101" i="23" s="1"/>
  <c r="Z101" i="23" l="1"/>
  <c r="D101" i="23" s="1"/>
  <c r="F101" i="23" s="1"/>
  <c r="L101" i="23"/>
  <c r="K101" i="23" l="1"/>
  <c r="M101" i="23" s="1"/>
  <c r="Y102" i="23"/>
  <c r="AA102" i="23" l="1"/>
  <c r="E102" i="23" s="1"/>
  <c r="Z102" i="23" l="1"/>
  <c r="D102" i="23" s="1"/>
  <c r="F102" i="23" s="1"/>
  <c r="L102" i="23"/>
  <c r="K102" i="23" l="1"/>
  <c r="M102" i="23" s="1"/>
  <c r="Y103" i="23"/>
  <c r="AA103" i="23" l="1"/>
  <c r="E103" i="23" s="1"/>
  <c r="Z103" i="23" l="1"/>
  <c r="D103" i="23" s="1"/>
  <c r="F103" i="23" s="1"/>
  <c r="L103" i="23"/>
  <c r="K103" i="23" l="1"/>
  <c r="M103" i="23" s="1"/>
  <c r="Y104" i="23"/>
  <c r="AA104" i="23" l="1"/>
  <c r="E104" i="23" s="1"/>
  <c r="Z104" i="23" l="1"/>
  <c r="D104" i="23" s="1"/>
  <c r="F104" i="23" s="1"/>
  <c r="L104" i="23"/>
  <c r="K104" i="23" l="1"/>
  <c r="M104" i="23" s="1"/>
  <c r="Y105" i="23"/>
  <c r="AA105" i="23" l="1"/>
  <c r="E105" i="23" s="1"/>
  <c r="Z105" i="23" l="1"/>
  <c r="D105" i="23" s="1"/>
  <c r="F105" i="23" s="1"/>
  <c r="L105" i="23"/>
  <c r="K105" i="23" l="1"/>
  <c r="M105" i="23" s="1"/>
  <c r="Y106" i="23"/>
  <c r="AA106" i="23" l="1"/>
  <c r="E106" i="23" s="1"/>
  <c r="Z106" i="23" l="1"/>
  <c r="D106" i="23" s="1"/>
  <c r="F106" i="23" s="1"/>
  <c r="L106" i="23"/>
  <c r="K106" i="23" l="1"/>
  <c r="M106" i="23" s="1"/>
  <c r="Y107" i="23"/>
  <c r="AA107" i="23" l="1"/>
  <c r="E107" i="23" s="1"/>
  <c r="Z107" i="23" l="1"/>
  <c r="D107" i="23" s="1"/>
  <c r="F107" i="23" s="1"/>
  <c r="L107" i="23"/>
  <c r="K107" i="23" l="1"/>
  <c r="M107" i="23" s="1"/>
  <c r="Y108" i="23"/>
  <c r="AA108" i="23" l="1"/>
  <c r="E108" i="23" s="1"/>
  <c r="L108" i="23" l="1"/>
  <c r="Z108" i="23"/>
  <c r="D108" i="23" s="1"/>
  <c r="F108" i="23" s="1"/>
  <c r="K108" i="23" l="1"/>
  <c r="M108" i="23" s="1"/>
  <c r="Y109" i="23"/>
  <c r="AA109" i="23" l="1"/>
  <c r="E109" i="23" s="1"/>
  <c r="Z109" i="23" l="1"/>
  <c r="D109" i="23" s="1"/>
  <c r="F109" i="23" s="1"/>
  <c r="L109" i="23"/>
  <c r="K109" i="23" l="1"/>
  <c r="M109" i="23" s="1"/>
  <c r="Y110" i="23"/>
  <c r="AA110" i="23" l="1"/>
  <c r="E110" i="23" s="1"/>
  <c r="L110" i="23" l="1"/>
  <c r="Z110" i="23"/>
  <c r="D110" i="23" s="1"/>
  <c r="F110" i="23" s="1"/>
  <c r="K110" i="23" l="1"/>
  <c r="M110" i="23" s="1"/>
  <c r="Y111" i="23"/>
  <c r="AA111" i="23" l="1"/>
  <c r="E111" i="23" s="1"/>
  <c r="Z111" i="23" l="1"/>
  <c r="D111" i="23" s="1"/>
  <c r="F111" i="23" s="1"/>
  <c r="L111" i="23"/>
  <c r="K111" i="23" l="1"/>
  <c r="M111" i="23" s="1"/>
  <c r="Y112" i="23"/>
  <c r="AA112" i="23" l="1"/>
  <c r="E112" i="23" s="1"/>
  <c r="L112" i="23" l="1"/>
  <c r="Z112" i="23"/>
  <c r="D112" i="23" s="1"/>
  <c r="F112" i="23" s="1"/>
  <c r="K112" i="23" l="1"/>
  <c r="M112" i="23" s="1"/>
  <c r="Y113" i="23"/>
  <c r="AA113" i="23" l="1"/>
  <c r="E113" i="23" s="1"/>
  <c r="Z113" i="23" l="1"/>
  <c r="D113" i="23" s="1"/>
  <c r="F113" i="23" s="1"/>
  <c r="L113" i="23"/>
  <c r="K113" i="23" l="1"/>
  <c r="M113" i="23" s="1"/>
  <c r="Y114" i="23"/>
  <c r="AA114" i="23" l="1"/>
  <c r="E114" i="23" s="1"/>
  <c r="L114" i="23" l="1"/>
  <c r="Z114" i="23"/>
  <c r="D114" i="23" s="1"/>
  <c r="F114" i="23" s="1"/>
  <c r="K114" i="23" l="1"/>
  <c r="M114" i="23" s="1"/>
  <c r="Y115" i="23"/>
  <c r="AA115" i="23" l="1"/>
  <c r="E115" i="23" s="1"/>
  <c r="Z115" i="23" l="1"/>
  <c r="D115" i="23" s="1"/>
  <c r="F115" i="23" s="1"/>
  <c r="L115" i="23"/>
  <c r="K115" i="23" l="1"/>
  <c r="M115" i="23" s="1"/>
  <c r="Y116" i="23"/>
  <c r="AA116" i="23" l="1"/>
  <c r="E116" i="23" s="1"/>
  <c r="Z116" i="23" l="1"/>
  <c r="D116" i="23" s="1"/>
  <c r="F116" i="23" s="1"/>
  <c r="L116" i="23"/>
  <c r="K116" i="23" l="1"/>
  <c r="M116" i="23" s="1"/>
  <c r="Y117" i="23"/>
  <c r="AA117" i="23" l="1"/>
  <c r="E117" i="23" s="1"/>
  <c r="Z117" i="23" l="1"/>
  <c r="D117" i="23" s="1"/>
  <c r="F117" i="23" s="1"/>
  <c r="L117" i="23"/>
  <c r="K117" i="23" l="1"/>
  <c r="M117" i="23" s="1"/>
  <c r="Y118" i="23"/>
  <c r="AA118" i="23" l="1"/>
  <c r="E118" i="23" s="1"/>
  <c r="Z118" i="23" l="1"/>
  <c r="D118" i="23" s="1"/>
  <c r="F118" i="23" s="1"/>
  <c r="L118" i="23"/>
  <c r="K118" i="23" l="1"/>
  <c r="M118" i="23" s="1"/>
  <c r="Y119" i="23"/>
  <c r="AA119" i="23" l="1"/>
  <c r="E119" i="23" s="1"/>
  <c r="Z119" i="23" l="1"/>
  <c r="D119" i="23" s="1"/>
  <c r="F119" i="23" s="1"/>
  <c r="L119" i="23"/>
  <c r="K119" i="23" l="1"/>
  <c r="M119" i="23" s="1"/>
  <c r="Y120" i="23"/>
  <c r="AA120" i="23" l="1"/>
  <c r="E120" i="23" s="1"/>
  <c r="Z120" i="23" l="1"/>
  <c r="D120" i="23" s="1"/>
  <c r="F120" i="23" s="1"/>
  <c r="L120" i="23"/>
  <c r="K120" i="23" l="1"/>
  <c r="M120" i="23" s="1"/>
  <c r="Y121" i="23"/>
  <c r="AA121" i="23" l="1"/>
  <c r="E121" i="23" s="1"/>
  <c r="Z121" i="23" l="1"/>
  <c r="D121" i="23" s="1"/>
  <c r="F121" i="23" s="1"/>
  <c r="L121" i="23"/>
  <c r="K121" i="23" l="1"/>
  <c r="M121" i="23" s="1"/>
  <c r="Y122" i="23"/>
  <c r="AA122" i="23" l="1"/>
  <c r="E122" i="23" s="1"/>
  <c r="Z122" i="23" l="1"/>
  <c r="D122" i="23" s="1"/>
  <c r="F122" i="23" s="1"/>
  <c r="L122" i="23"/>
  <c r="K122" i="23" l="1"/>
  <c r="M122" i="23" s="1"/>
  <c r="Y123" i="23"/>
  <c r="AA123" i="23" l="1"/>
  <c r="E123" i="23" s="1"/>
  <c r="Z123" i="23" l="1"/>
  <c r="D123" i="23" s="1"/>
  <c r="F123" i="23" s="1"/>
  <c r="L123" i="23"/>
  <c r="K123" i="23" l="1"/>
  <c r="M123" i="23" s="1"/>
  <c r="Y124" i="23"/>
  <c r="AA124" i="23" l="1"/>
  <c r="E124" i="23" s="1"/>
  <c r="Z124" i="23" l="1"/>
  <c r="D124" i="23" s="1"/>
  <c r="F124" i="23" s="1"/>
  <c r="L124" i="23"/>
  <c r="K124" i="23" l="1"/>
  <c r="M124" i="23" s="1"/>
  <c r="Y125" i="23"/>
  <c r="AA125" i="23" l="1"/>
  <c r="E125" i="23" s="1"/>
  <c r="Z125" i="23" l="1"/>
  <c r="D125" i="23" s="1"/>
  <c r="F125" i="23" s="1"/>
  <c r="L125" i="23"/>
  <c r="K125" i="23" l="1"/>
  <c r="M125" i="23" s="1"/>
  <c r="Y126" i="23"/>
  <c r="AA126" i="23" l="1"/>
  <c r="E126" i="23" s="1"/>
  <c r="Z126" i="23" l="1"/>
  <c r="D126" i="23" s="1"/>
  <c r="F126" i="23" s="1"/>
  <c r="L126" i="23"/>
  <c r="K126" i="23" l="1"/>
  <c r="M126" i="23" s="1"/>
  <c r="Y127" i="23"/>
  <c r="AA127" i="23" l="1"/>
  <c r="E127" i="23" s="1"/>
  <c r="Z127" i="23" l="1"/>
  <c r="D127" i="23" s="1"/>
  <c r="L127" i="23"/>
  <c r="F127" i="23" l="1"/>
  <c r="K127" i="23"/>
  <c r="M127" i="23" l="1"/>
  <c r="J80" i="14" l="1"/>
  <c r="J96" i="14" s="1"/>
  <c r="T139" i="21" l="1"/>
  <c r="T140" i="21" s="1"/>
  <c r="U141" i="21" s="1"/>
  <c r="K83" i="15"/>
  <c r="P2" i="23"/>
  <c r="Q17" i="23"/>
  <c r="K73" i="15"/>
  <c r="M53" i="15" l="1"/>
  <c r="J97" i="14"/>
  <c r="U8" i="23"/>
  <c r="Y8" i="23"/>
  <c r="V8" i="23"/>
  <c r="Q20" i="23"/>
  <c r="Q24" i="23" s="1"/>
  <c r="P28" i="23" s="1"/>
  <c r="W8" i="23" l="1"/>
  <c r="W9" i="23" s="1"/>
  <c r="W10" i="23" s="1"/>
  <c r="W11" i="23" s="1"/>
  <c r="W12" i="23" s="1"/>
  <c r="W13" i="23" s="1"/>
  <c r="W14" i="23" s="1"/>
  <c r="W15" i="23" s="1"/>
  <c r="W16" i="23" s="1"/>
  <c r="W17" i="23" s="1"/>
  <c r="W18" i="23" s="1"/>
  <c r="W19" i="23" s="1"/>
  <c r="W20" i="23" s="1"/>
  <c r="W21" i="23" s="1"/>
  <c r="W22" i="23" s="1"/>
  <c r="W23" i="23" s="1"/>
  <c r="W24" i="23" s="1"/>
  <c r="W25" i="23" s="1"/>
  <c r="W26" i="23" s="1"/>
  <c r="W27" i="23" s="1"/>
  <c r="W28" i="23" s="1"/>
  <c r="W29" i="23" s="1"/>
  <c r="W30" i="23" s="1"/>
  <c r="W31" i="23" s="1"/>
  <c r="W32" i="23" s="1"/>
  <c r="W33" i="23" s="1"/>
  <c r="W34" i="23" s="1"/>
  <c r="W35" i="23" s="1"/>
  <c r="W36" i="23" s="1"/>
  <c r="W37" i="23" s="1"/>
  <c r="W38" i="23" s="1"/>
  <c r="W39" i="23" s="1"/>
  <c r="W40" i="23" s="1"/>
  <c r="W41" i="23" s="1"/>
  <c r="W42" i="23" s="1"/>
  <c r="W43" i="23" s="1"/>
  <c r="W44" i="23" s="1"/>
  <c r="W45" i="23" s="1"/>
  <c r="W46" i="23" s="1"/>
  <c r="W47" i="23" s="1"/>
  <c r="W48" i="23" s="1"/>
  <c r="W49" i="23" s="1"/>
  <c r="W50" i="23" s="1"/>
  <c r="W51" i="23" s="1"/>
  <c r="W52" i="23" s="1"/>
  <c r="W53" i="23" s="1"/>
  <c r="W54" i="23" s="1"/>
  <c r="W55" i="23" s="1"/>
  <c r="W56" i="23" s="1"/>
  <c r="W57" i="23" s="1"/>
  <c r="W58" i="23" s="1"/>
  <c r="W59" i="23" s="1"/>
  <c r="W60" i="23" s="1"/>
  <c r="W61" i="23" s="1"/>
  <c r="W62" i="23" s="1"/>
  <c r="W63" i="23" s="1"/>
  <c r="W64" i="23" s="1"/>
  <c r="W65" i="23" s="1"/>
  <c r="W66" i="23" s="1"/>
  <c r="W67" i="23" s="1"/>
  <c r="O28" i="23"/>
  <c r="S5" i="23"/>
  <c r="Q25" i="23"/>
  <c r="Q28" i="23"/>
  <c r="J8" i="23"/>
  <c r="V9" i="23"/>
  <c r="U9" i="23"/>
  <c r="C8" i="23"/>
  <c r="X8" i="23" l="1"/>
  <c r="T6" i="23" s="1"/>
  <c r="R28" i="23"/>
  <c r="T82" i="14"/>
  <c r="V10" i="23"/>
  <c r="X9" i="23"/>
  <c r="U10" i="23"/>
  <c r="W129" i="23"/>
  <c r="U11" i="23" l="1"/>
  <c r="V11" i="23"/>
  <c r="X10" i="23"/>
  <c r="S6" i="23"/>
  <c r="T83" i="14"/>
  <c r="AA8" i="23" l="1"/>
  <c r="E8" i="23" s="1"/>
  <c r="J85" i="14" s="1"/>
  <c r="K76" i="15" s="1"/>
  <c r="AB8" i="23"/>
  <c r="AA128" i="23"/>
  <c r="V12" i="23"/>
  <c r="X11" i="23"/>
  <c r="U12" i="23"/>
  <c r="AB66" i="23" l="1"/>
  <c r="AB67" i="23"/>
  <c r="AB56" i="23"/>
  <c r="AB41" i="23"/>
  <c r="AB45" i="23"/>
  <c r="AB62" i="23"/>
  <c r="AB46" i="23"/>
  <c r="AB42" i="23"/>
  <c r="AB63" i="23"/>
  <c r="AB52" i="23"/>
  <c r="AB37" i="23"/>
  <c r="AB53" i="23"/>
  <c r="AB58" i="23"/>
  <c r="AB39" i="23"/>
  <c r="AB49" i="23"/>
  <c r="AB48" i="23"/>
  <c r="AB33" i="23"/>
  <c r="AB61" i="23"/>
  <c r="AB54" i="23"/>
  <c r="AB35" i="23"/>
  <c r="AB57" i="23"/>
  <c r="AB65" i="23"/>
  <c r="AB60" i="23"/>
  <c r="AB44" i="23"/>
  <c r="AB38" i="23"/>
  <c r="AB50" i="23"/>
  <c r="AB34" i="23"/>
  <c r="AB51" i="23"/>
  <c r="AB43" i="23"/>
  <c r="AB47" i="23"/>
  <c r="AB36" i="23"/>
  <c r="AB59" i="23"/>
  <c r="AB40" i="23"/>
  <c r="AB55" i="23"/>
  <c r="AB64" i="23"/>
  <c r="AB32" i="23"/>
  <c r="U13" i="23"/>
  <c r="V13" i="23"/>
  <c r="X12" i="23"/>
  <c r="AB9" i="23"/>
  <c r="AB28" i="23"/>
  <c r="AB20" i="23"/>
  <c r="AB22" i="23"/>
  <c r="AB21" i="23"/>
  <c r="AB27" i="23"/>
  <c r="AB13" i="23"/>
  <c r="AB19" i="23"/>
  <c r="AB26" i="23"/>
  <c r="AB18" i="23"/>
  <c r="AB14" i="23"/>
  <c r="AB24" i="23"/>
  <c r="AB12" i="23"/>
  <c r="Z8" i="23"/>
  <c r="AB25" i="23"/>
  <c r="AB10" i="23"/>
  <c r="AB15" i="23"/>
  <c r="AB16" i="23"/>
  <c r="AB30" i="23"/>
  <c r="AB23" i="23"/>
  <c r="AB31" i="23"/>
  <c r="AB11" i="23"/>
  <c r="AB17" i="23"/>
  <c r="AB29" i="23"/>
  <c r="L8" i="23"/>
  <c r="U14" i="23" l="1"/>
  <c r="AB129" i="23"/>
  <c r="V14" i="23"/>
  <c r="X13" i="23"/>
  <c r="D8" i="23"/>
  <c r="K8" i="23"/>
  <c r="Y9" i="23"/>
  <c r="U15" i="23" l="1"/>
  <c r="J86" i="14"/>
  <c r="K77" i="15" s="1"/>
  <c r="F8" i="23"/>
  <c r="V15" i="23"/>
  <c r="X14" i="23"/>
  <c r="C9" i="23"/>
  <c r="J9" i="23"/>
  <c r="AA9" i="23"/>
  <c r="M8" i="23"/>
  <c r="U16" i="23" l="1"/>
  <c r="E9" i="23"/>
  <c r="L9" i="23"/>
  <c r="Z9" i="23"/>
  <c r="V16" i="23"/>
  <c r="U17" i="23" s="1"/>
  <c r="X15" i="23"/>
  <c r="D9" i="23" l="1"/>
  <c r="K9" i="23"/>
  <c r="Y10" i="23"/>
  <c r="V17" i="23"/>
  <c r="X16" i="23"/>
  <c r="V18" i="23" l="1"/>
  <c r="X17" i="23"/>
  <c r="M9" i="23"/>
  <c r="U18" i="23"/>
  <c r="F9" i="23"/>
  <c r="C10" i="23"/>
  <c r="J10" i="23"/>
  <c r="AA10" i="23"/>
  <c r="U19" i="23" l="1"/>
  <c r="E10" i="23"/>
  <c r="L10" i="23"/>
  <c r="Z10" i="23"/>
  <c r="V19" i="23"/>
  <c r="X18" i="23"/>
  <c r="V20" i="23" l="1"/>
  <c r="X19" i="23"/>
  <c r="D10" i="23"/>
  <c r="K10" i="23"/>
  <c r="Y11" i="23"/>
  <c r="U20" i="23"/>
  <c r="U21" i="23" l="1"/>
  <c r="M10" i="23"/>
  <c r="F10" i="23"/>
  <c r="C11" i="23"/>
  <c r="J11" i="23"/>
  <c r="AA11" i="23"/>
  <c r="V21" i="23"/>
  <c r="X20" i="23"/>
  <c r="V22" i="23" l="1"/>
  <c r="X21" i="23"/>
  <c r="E11" i="23"/>
  <c r="L11" i="23"/>
  <c r="Z11" i="23"/>
  <c r="U22" i="23"/>
  <c r="U23" i="23" l="1"/>
  <c r="D11" i="23"/>
  <c r="K11" i="23"/>
  <c r="Y12" i="23"/>
  <c r="V23" i="23"/>
  <c r="X22" i="23"/>
  <c r="F11" i="23" l="1"/>
  <c r="M11" i="23"/>
  <c r="V24" i="23"/>
  <c r="X23" i="23"/>
  <c r="C12" i="23"/>
  <c r="J12" i="23"/>
  <c r="AA12" i="23"/>
  <c r="U24" i="23"/>
  <c r="U25" i="23" l="1"/>
  <c r="E12" i="23"/>
  <c r="L12" i="23"/>
  <c r="Z12" i="23"/>
  <c r="V25" i="23"/>
  <c r="X24" i="23"/>
  <c r="D12" i="23" l="1"/>
  <c r="K12" i="23"/>
  <c r="Y13" i="23"/>
  <c r="V26" i="23"/>
  <c r="X25" i="23"/>
  <c r="U26" i="23"/>
  <c r="U27" i="23" l="1"/>
  <c r="C13" i="23"/>
  <c r="J13" i="23"/>
  <c r="AA13" i="23"/>
  <c r="M12" i="23"/>
  <c r="V27" i="23"/>
  <c r="X26" i="23"/>
  <c r="F12" i="23"/>
  <c r="E13" i="23" l="1"/>
  <c r="L13" i="23"/>
  <c r="Z13" i="23"/>
  <c r="V28" i="23"/>
  <c r="X27" i="23"/>
  <c r="U28" i="23"/>
  <c r="D13" i="23" l="1"/>
  <c r="F13" i="23" s="1"/>
  <c r="K13" i="23"/>
  <c r="M13" i="23" s="1"/>
  <c r="Y14" i="23"/>
  <c r="V29" i="23"/>
  <c r="X28" i="23"/>
  <c r="U29" i="23"/>
  <c r="V30" i="23" l="1"/>
  <c r="X29" i="23"/>
  <c r="C14" i="23"/>
  <c r="J14" i="23"/>
  <c r="AA14" i="23"/>
  <c r="U30" i="23"/>
  <c r="U31" i="23" l="1"/>
  <c r="E14" i="23"/>
  <c r="L14" i="23"/>
  <c r="Z14" i="23"/>
  <c r="V31" i="23"/>
  <c r="X30" i="23"/>
  <c r="D14" i="23" l="1"/>
  <c r="F14" i="23" s="1"/>
  <c r="K14" i="23"/>
  <c r="M14" i="23" s="1"/>
  <c r="Y15" i="23"/>
  <c r="V32" i="23"/>
  <c r="V33" i="23" s="1"/>
  <c r="X31" i="23"/>
  <c r="U32" i="23"/>
  <c r="V34" i="23" l="1"/>
  <c r="X33" i="23"/>
  <c r="X32" i="23"/>
  <c r="U33" i="23"/>
  <c r="C15" i="23"/>
  <c r="J15" i="23"/>
  <c r="AA15" i="23"/>
  <c r="V35" i="23" l="1"/>
  <c r="X34" i="23"/>
  <c r="E15" i="23"/>
  <c r="L15" i="23"/>
  <c r="Z15" i="23"/>
  <c r="U34" i="23"/>
  <c r="V36" i="23" l="1"/>
  <c r="X35" i="23"/>
  <c r="U35" i="23"/>
  <c r="D15" i="23"/>
  <c r="K15" i="23"/>
  <c r="M15" i="23" s="1"/>
  <c r="Y16" i="23"/>
  <c r="V37" i="23" l="1"/>
  <c r="X36" i="23"/>
  <c r="F15" i="23"/>
  <c r="C16" i="23"/>
  <c r="AA16" i="23"/>
  <c r="J16" i="23"/>
  <c r="U36" i="23"/>
  <c r="V38" i="23" l="1"/>
  <c r="X37" i="23"/>
  <c r="E16" i="23"/>
  <c r="L16" i="23"/>
  <c r="Z16" i="23"/>
  <c r="U37" i="23"/>
  <c r="V39" i="23" l="1"/>
  <c r="X38" i="23"/>
  <c r="U38" i="23"/>
  <c r="D16" i="23"/>
  <c r="K16" i="23"/>
  <c r="M16" i="23" s="1"/>
  <c r="Y17" i="23"/>
  <c r="V40" i="23" l="1"/>
  <c r="X39" i="23"/>
  <c r="F16" i="23"/>
  <c r="C17" i="23"/>
  <c r="AA17" i="23"/>
  <c r="J17" i="23"/>
  <c r="U39" i="23"/>
  <c r="V41" i="23" l="1"/>
  <c r="X40" i="23"/>
  <c r="E17" i="23"/>
  <c r="L17" i="23"/>
  <c r="Z17" i="23"/>
  <c r="U40" i="23"/>
  <c r="V42" i="23" l="1"/>
  <c r="X41" i="23"/>
  <c r="U41" i="23"/>
  <c r="D17" i="23"/>
  <c r="K17" i="23"/>
  <c r="M17" i="23" s="1"/>
  <c r="Y18" i="23"/>
  <c r="V43" i="23" l="1"/>
  <c r="X42" i="23"/>
  <c r="F17" i="23"/>
  <c r="C18" i="23"/>
  <c r="AA18" i="23"/>
  <c r="J18" i="23"/>
  <c r="U42" i="23"/>
  <c r="V44" i="23" l="1"/>
  <c r="X43" i="23"/>
  <c r="E18" i="23"/>
  <c r="L18" i="23"/>
  <c r="Z18" i="23"/>
  <c r="U43" i="23"/>
  <c r="V45" i="23" l="1"/>
  <c r="X44" i="23"/>
  <c r="D18" i="23"/>
  <c r="K18" i="23"/>
  <c r="M18" i="23" s="1"/>
  <c r="Y19" i="23"/>
  <c r="U44" i="23"/>
  <c r="V46" i="23" l="1"/>
  <c r="X45" i="23"/>
  <c r="U45" i="23"/>
  <c r="C19" i="23"/>
  <c r="J19" i="23"/>
  <c r="AA19" i="23"/>
  <c r="F18" i="23"/>
  <c r="V47" i="23" l="1"/>
  <c r="X46" i="23"/>
  <c r="E19" i="23"/>
  <c r="L19" i="23"/>
  <c r="Z19" i="23"/>
  <c r="U46" i="23"/>
  <c r="V48" i="23" l="1"/>
  <c r="X47" i="23"/>
  <c r="U47" i="23"/>
  <c r="D19" i="23"/>
  <c r="F19" i="23" s="1"/>
  <c r="K19" i="23"/>
  <c r="M19" i="23" s="1"/>
  <c r="Y20" i="23"/>
  <c r="V49" i="23" l="1"/>
  <c r="X48" i="23"/>
  <c r="U48" i="23"/>
  <c r="C20" i="23"/>
  <c r="J20" i="23"/>
  <c r="AA20" i="23"/>
  <c r="V50" i="23" l="1"/>
  <c r="X49" i="23"/>
  <c r="U49" i="23"/>
  <c r="E20" i="23"/>
  <c r="L20" i="23"/>
  <c r="Z20" i="23"/>
  <c r="V51" i="23" l="1"/>
  <c r="X50" i="23"/>
  <c r="D20" i="23"/>
  <c r="F20" i="23" s="1"/>
  <c r="K20" i="23"/>
  <c r="M20" i="23" s="1"/>
  <c r="Y21" i="23"/>
  <c r="U50" i="23"/>
  <c r="V52" i="23" l="1"/>
  <c r="X51" i="23"/>
  <c r="U51" i="23"/>
  <c r="C21" i="23"/>
  <c r="AA21" i="23"/>
  <c r="J21" i="23"/>
  <c r="V53" i="23" l="1"/>
  <c r="X52" i="23"/>
  <c r="E21" i="23"/>
  <c r="L21" i="23"/>
  <c r="Z21" i="23"/>
  <c r="U52" i="23"/>
  <c r="V54" i="23" l="1"/>
  <c r="X53" i="23"/>
  <c r="U53" i="23"/>
  <c r="D21" i="23"/>
  <c r="F21" i="23" s="1"/>
  <c r="K21" i="23"/>
  <c r="M21" i="23" s="1"/>
  <c r="Y22" i="23"/>
  <c r="V55" i="23" l="1"/>
  <c r="X54" i="23"/>
  <c r="C22" i="23"/>
  <c r="J22" i="23"/>
  <c r="AA22" i="23"/>
  <c r="U54" i="23"/>
  <c r="V56" i="23" l="1"/>
  <c r="X55" i="23"/>
  <c r="E22" i="23"/>
  <c r="L22" i="23"/>
  <c r="Z22" i="23"/>
  <c r="U55" i="23"/>
  <c r="V57" i="23" l="1"/>
  <c r="X56" i="23"/>
  <c r="U56" i="23"/>
  <c r="D22" i="23"/>
  <c r="F22" i="23" s="1"/>
  <c r="K22" i="23"/>
  <c r="M22" i="23" s="1"/>
  <c r="Y23" i="23"/>
  <c r="V58" i="23" l="1"/>
  <c r="X57" i="23"/>
  <c r="C23" i="23"/>
  <c r="AA23" i="23"/>
  <c r="J23" i="23"/>
  <c r="U57" i="23"/>
  <c r="V59" i="23" l="1"/>
  <c r="X58" i="23"/>
  <c r="E23" i="23"/>
  <c r="L23" i="23"/>
  <c r="Z23" i="23"/>
  <c r="U58" i="23"/>
  <c r="V60" i="23" l="1"/>
  <c r="X59" i="23"/>
  <c r="U59" i="23"/>
  <c r="D23" i="23"/>
  <c r="F23" i="23" s="1"/>
  <c r="K23" i="23"/>
  <c r="M23" i="23" s="1"/>
  <c r="Y24" i="23"/>
  <c r="V61" i="23" l="1"/>
  <c r="X60" i="23"/>
  <c r="C24" i="23"/>
  <c r="J24" i="23"/>
  <c r="AA24" i="23"/>
  <c r="U60" i="23"/>
  <c r="V62" i="23" l="1"/>
  <c r="X61" i="23"/>
  <c r="E24" i="23"/>
  <c r="L24" i="23"/>
  <c r="Z24" i="23"/>
  <c r="U61" i="23"/>
  <c r="V63" i="23" l="1"/>
  <c r="X62" i="23"/>
  <c r="U62" i="23"/>
  <c r="D24" i="23"/>
  <c r="F24" i="23" s="1"/>
  <c r="K24" i="23"/>
  <c r="M24" i="23" s="1"/>
  <c r="Y25" i="23"/>
  <c r="V64" i="23" l="1"/>
  <c r="X63" i="23"/>
  <c r="C25" i="23"/>
  <c r="J25" i="23"/>
  <c r="AA25" i="23"/>
  <c r="U63" i="23"/>
  <c r="V65" i="23" l="1"/>
  <c r="X64" i="23"/>
  <c r="U64" i="23"/>
  <c r="E25" i="23"/>
  <c r="L25" i="23"/>
  <c r="Z25" i="23"/>
  <c r="V66" i="23" l="1"/>
  <c r="X65" i="23"/>
  <c r="D25" i="23"/>
  <c r="F25" i="23" s="1"/>
  <c r="K25" i="23"/>
  <c r="M25" i="23" s="1"/>
  <c r="Y26" i="23"/>
  <c r="U65" i="23"/>
  <c r="V67" i="23" l="1"/>
  <c r="X66" i="23"/>
  <c r="U66" i="23"/>
  <c r="C26" i="23"/>
  <c r="J26" i="23"/>
  <c r="AA26" i="23"/>
  <c r="X67" i="23" l="1"/>
  <c r="V129" i="23"/>
  <c r="E26" i="23"/>
  <c r="L26" i="23"/>
  <c r="Z26" i="23"/>
  <c r="U67" i="23"/>
  <c r="U68" i="23" l="1"/>
  <c r="J68" i="23" s="1"/>
  <c r="D26" i="23"/>
  <c r="F26" i="23" s="1"/>
  <c r="K26" i="23"/>
  <c r="M26" i="23" s="1"/>
  <c r="Y27" i="23"/>
  <c r="C27" i="23" l="1"/>
  <c r="J27" i="23"/>
  <c r="AA27" i="23"/>
  <c r="U69" i="23"/>
  <c r="J69" i="23" s="1"/>
  <c r="C68" i="23"/>
  <c r="E27" i="23" l="1"/>
  <c r="L27" i="23"/>
  <c r="Z27" i="23"/>
  <c r="U70" i="23"/>
  <c r="J70" i="23" s="1"/>
  <c r="C69" i="23"/>
  <c r="U71" i="23" l="1"/>
  <c r="J71" i="23" s="1"/>
  <c r="C70" i="23"/>
  <c r="D27" i="23"/>
  <c r="F27" i="23" s="1"/>
  <c r="K27" i="23"/>
  <c r="M27" i="23" s="1"/>
  <c r="Y28" i="23"/>
  <c r="C28" i="23" l="1"/>
  <c r="J28" i="23"/>
  <c r="AA28" i="23"/>
  <c r="U72" i="23"/>
  <c r="J72" i="23" s="1"/>
  <c r="C71" i="23"/>
  <c r="E28" i="23" l="1"/>
  <c r="L28" i="23"/>
  <c r="Z28" i="23"/>
  <c r="U73" i="23"/>
  <c r="J73" i="23" s="1"/>
  <c r="C72" i="23"/>
  <c r="U74" i="23" l="1"/>
  <c r="J74" i="23" s="1"/>
  <c r="C73" i="23"/>
  <c r="D28" i="23"/>
  <c r="F28" i="23" s="1"/>
  <c r="K28" i="23"/>
  <c r="M28" i="23" s="1"/>
  <c r="Y29" i="23"/>
  <c r="C29" i="23" l="1"/>
  <c r="AA29" i="23"/>
  <c r="J29" i="23"/>
  <c r="U75" i="23"/>
  <c r="J75" i="23" s="1"/>
  <c r="C74" i="23"/>
  <c r="E29" i="23" l="1"/>
  <c r="L29" i="23"/>
  <c r="Z29" i="23"/>
  <c r="U76" i="23"/>
  <c r="J76" i="23" s="1"/>
  <c r="C75" i="23"/>
  <c r="U77" i="23" l="1"/>
  <c r="J77" i="23" s="1"/>
  <c r="C76" i="23"/>
  <c r="D29" i="23"/>
  <c r="F29" i="23" s="1"/>
  <c r="K29" i="23"/>
  <c r="M29" i="23" s="1"/>
  <c r="Y30" i="23"/>
  <c r="C30" i="23" l="1"/>
  <c r="AA30" i="23"/>
  <c r="J30" i="23"/>
  <c r="U78" i="23"/>
  <c r="J78" i="23" s="1"/>
  <c r="C77" i="23"/>
  <c r="E30" i="23" l="1"/>
  <c r="L30" i="23"/>
  <c r="Z30" i="23"/>
  <c r="U79" i="23"/>
  <c r="J79" i="23" s="1"/>
  <c r="C78" i="23"/>
  <c r="U80" i="23" l="1"/>
  <c r="J80" i="23" s="1"/>
  <c r="C79" i="23"/>
  <c r="D30" i="23"/>
  <c r="K30" i="23"/>
  <c r="M30" i="23" s="1"/>
  <c r="Y31" i="23"/>
  <c r="F30" i="23" l="1"/>
  <c r="C31" i="23"/>
  <c r="AA31" i="23"/>
  <c r="J31" i="23"/>
  <c r="U81" i="23"/>
  <c r="J81" i="23" s="1"/>
  <c r="C80" i="23"/>
  <c r="E31" i="23" l="1"/>
  <c r="L31" i="23"/>
  <c r="Z31" i="23"/>
  <c r="U82" i="23"/>
  <c r="J82" i="23" s="1"/>
  <c r="C81" i="23"/>
  <c r="D31" i="23" l="1"/>
  <c r="F31" i="23" s="1"/>
  <c r="Y32" i="23"/>
  <c r="C32" i="23" s="1"/>
  <c r="K31" i="23"/>
  <c r="U83" i="23"/>
  <c r="J83" i="23" s="1"/>
  <c r="C82" i="23"/>
  <c r="AA32" i="23" l="1"/>
  <c r="E32" i="23" s="1"/>
  <c r="J32" i="23"/>
  <c r="U84" i="23"/>
  <c r="J84" i="23" s="1"/>
  <c r="C83" i="23"/>
  <c r="M31" i="23"/>
  <c r="L32" i="23" l="1"/>
  <c r="Z32" i="23"/>
  <c r="D32" i="23" s="1"/>
  <c r="F32" i="23" s="1"/>
  <c r="U85" i="23"/>
  <c r="J85" i="23" s="1"/>
  <c r="C84" i="23"/>
  <c r="K32" i="23" l="1"/>
  <c r="M32" i="23" s="1"/>
  <c r="Y33" i="23"/>
  <c r="C33" i="23" s="1"/>
  <c r="U86" i="23"/>
  <c r="J86" i="23" s="1"/>
  <c r="C85" i="23"/>
  <c r="AA33" i="23" l="1"/>
  <c r="J33" i="23"/>
  <c r="U87" i="23"/>
  <c r="J87" i="23" s="1"/>
  <c r="C86" i="23"/>
  <c r="E33" i="23" l="1"/>
  <c r="L33" i="23"/>
  <c r="Z33" i="23"/>
  <c r="U88" i="23"/>
  <c r="J88" i="23" s="1"/>
  <c r="C87" i="23"/>
  <c r="D33" i="23" l="1"/>
  <c r="K33" i="23"/>
  <c r="Y34" i="23"/>
  <c r="C34" i="23" s="1"/>
  <c r="U89" i="23"/>
  <c r="J89" i="23" s="1"/>
  <c r="C88" i="23"/>
  <c r="AA34" i="23" l="1"/>
  <c r="J34" i="23"/>
  <c r="M33" i="23"/>
  <c r="F33" i="23"/>
  <c r="U90" i="23"/>
  <c r="J90" i="23" s="1"/>
  <c r="C89" i="23"/>
  <c r="E34" i="23" l="1"/>
  <c r="L34" i="23"/>
  <c r="Z34" i="23"/>
  <c r="U91" i="23"/>
  <c r="J91" i="23" s="1"/>
  <c r="C90" i="23"/>
  <c r="D34" i="23" l="1"/>
  <c r="K34" i="23"/>
  <c r="Y35" i="23"/>
  <c r="C35" i="23" s="1"/>
  <c r="U92" i="23"/>
  <c r="J92" i="23" s="1"/>
  <c r="C91" i="23"/>
  <c r="M34" i="23" l="1"/>
  <c r="F34" i="23"/>
  <c r="J35" i="23"/>
  <c r="AA35" i="23"/>
  <c r="U93" i="23"/>
  <c r="J93" i="23" s="1"/>
  <c r="C92" i="23"/>
  <c r="E35" i="23" l="1"/>
  <c r="L35" i="23"/>
  <c r="Z35" i="23"/>
  <c r="U94" i="23"/>
  <c r="J94" i="23" s="1"/>
  <c r="C93" i="23"/>
  <c r="D35" i="23" l="1"/>
  <c r="K35" i="23"/>
  <c r="Y36" i="23"/>
  <c r="C36" i="23" s="1"/>
  <c r="U95" i="23"/>
  <c r="J95" i="23" s="1"/>
  <c r="C94" i="23"/>
  <c r="J36" i="23" l="1"/>
  <c r="AA36" i="23"/>
  <c r="M35" i="23"/>
  <c r="F35" i="23"/>
  <c r="U96" i="23"/>
  <c r="J96" i="23" s="1"/>
  <c r="C95" i="23"/>
  <c r="E36" i="23" l="1"/>
  <c r="L36" i="23"/>
  <c r="Z36" i="23"/>
  <c r="U97" i="23"/>
  <c r="J97" i="23" s="1"/>
  <c r="C96" i="23"/>
  <c r="D36" i="23" l="1"/>
  <c r="K36" i="23"/>
  <c r="M36" i="23" s="1"/>
  <c r="Y37" i="23"/>
  <c r="C37" i="23" s="1"/>
  <c r="U98" i="23"/>
  <c r="J98" i="23" s="1"/>
  <c r="C97" i="23"/>
  <c r="AA37" i="23" l="1"/>
  <c r="J37" i="23"/>
  <c r="F36" i="23"/>
  <c r="U99" i="23"/>
  <c r="J99" i="23" s="1"/>
  <c r="C98" i="23"/>
  <c r="E37" i="23" l="1"/>
  <c r="L37" i="23"/>
  <c r="Z37" i="23"/>
  <c r="U100" i="23"/>
  <c r="J100" i="23" s="1"/>
  <c r="C99" i="23"/>
  <c r="D37" i="23" l="1"/>
  <c r="F37" i="23" s="1"/>
  <c r="K37" i="23"/>
  <c r="M37" i="23" s="1"/>
  <c r="Y38" i="23"/>
  <c r="C38" i="23" s="1"/>
  <c r="U101" i="23"/>
  <c r="J101" i="23" s="1"/>
  <c r="C100" i="23"/>
  <c r="J38" i="23" l="1"/>
  <c r="AA38" i="23"/>
  <c r="U102" i="23"/>
  <c r="J102" i="23" s="1"/>
  <c r="C101" i="23"/>
  <c r="E38" i="23" l="1"/>
  <c r="L38" i="23"/>
  <c r="Z38" i="23"/>
  <c r="U103" i="23"/>
  <c r="J103" i="23" s="1"/>
  <c r="C102" i="23"/>
  <c r="D38" i="23" l="1"/>
  <c r="F38" i="23" s="1"/>
  <c r="K38" i="23"/>
  <c r="M38" i="23" s="1"/>
  <c r="Y39" i="23"/>
  <c r="C39" i="23" s="1"/>
  <c r="U104" i="23"/>
  <c r="J104" i="23" s="1"/>
  <c r="C103" i="23"/>
  <c r="J39" i="23" l="1"/>
  <c r="AA39" i="23"/>
  <c r="U105" i="23"/>
  <c r="J105" i="23" s="1"/>
  <c r="C104" i="23"/>
  <c r="E39" i="23" l="1"/>
  <c r="L39" i="23"/>
  <c r="Z39" i="23"/>
  <c r="U106" i="23"/>
  <c r="J106" i="23" s="1"/>
  <c r="C105" i="23"/>
  <c r="D39" i="23" l="1"/>
  <c r="F39" i="23" s="1"/>
  <c r="K39" i="23"/>
  <c r="M39" i="23" s="1"/>
  <c r="Y40" i="23"/>
  <c r="C40" i="23" s="1"/>
  <c r="U107" i="23"/>
  <c r="J107" i="23" s="1"/>
  <c r="C106" i="23"/>
  <c r="AA40" i="23" l="1"/>
  <c r="J40" i="23"/>
  <c r="U108" i="23"/>
  <c r="J108" i="23" s="1"/>
  <c r="C107" i="23"/>
  <c r="E40" i="23" l="1"/>
  <c r="L40" i="23"/>
  <c r="Z40" i="23"/>
  <c r="U109" i="23"/>
  <c r="J109" i="23" s="1"/>
  <c r="C108" i="23"/>
  <c r="D40" i="23" l="1"/>
  <c r="F40" i="23" s="1"/>
  <c r="K40" i="23"/>
  <c r="M40" i="23" s="1"/>
  <c r="Y41" i="23"/>
  <c r="C41" i="23" s="1"/>
  <c r="U110" i="23"/>
  <c r="J110" i="23" s="1"/>
  <c r="C109" i="23"/>
  <c r="AA41" i="23" l="1"/>
  <c r="J41" i="23"/>
  <c r="U111" i="23"/>
  <c r="J111" i="23" s="1"/>
  <c r="C110" i="23"/>
  <c r="E41" i="23" l="1"/>
  <c r="L41" i="23"/>
  <c r="Z41" i="23"/>
  <c r="U112" i="23"/>
  <c r="J112" i="23" s="1"/>
  <c r="C111" i="23"/>
  <c r="D41" i="23" l="1"/>
  <c r="F41" i="23" s="1"/>
  <c r="K41" i="23"/>
  <c r="M41" i="23" s="1"/>
  <c r="Y42" i="23"/>
  <c r="C42" i="23" s="1"/>
  <c r="U113" i="23"/>
  <c r="J113" i="23" s="1"/>
  <c r="C112" i="23"/>
  <c r="J42" i="23" l="1"/>
  <c r="AA42" i="23"/>
  <c r="U114" i="23"/>
  <c r="J114" i="23" s="1"/>
  <c r="C113" i="23"/>
  <c r="E42" i="23" l="1"/>
  <c r="L42" i="23"/>
  <c r="Z42" i="23"/>
  <c r="U115" i="23"/>
  <c r="J115" i="23" s="1"/>
  <c r="C114" i="23"/>
  <c r="D42" i="23" l="1"/>
  <c r="F42" i="23" s="1"/>
  <c r="K42" i="23"/>
  <c r="M42" i="23" s="1"/>
  <c r="Y43" i="23"/>
  <c r="C43" i="23" s="1"/>
  <c r="U116" i="23"/>
  <c r="J116" i="23" s="1"/>
  <c r="C115" i="23"/>
  <c r="AA43" i="23" l="1"/>
  <c r="J43" i="23"/>
  <c r="U117" i="23"/>
  <c r="J117" i="23" s="1"/>
  <c r="C116" i="23"/>
  <c r="E43" i="23" l="1"/>
  <c r="L43" i="23"/>
  <c r="Z43" i="23"/>
  <c r="U118" i="23"/>
  <c r="J118" i="23" s="1"/>
  <c r="C117" i="23"/>
  <c r="D43" i="23" l="1"/>
  <c r="F43" i="23" s="1"/>
  <c r="Q43" i="23" s="1"/>
  <c r="K43" i="23"/>
  <c r="M43" i="23" s="1"/>
  <c r="Y44" i="23"/>
  <c r="C44" i="23" s="1"/>
  <c r="U119" i="23"/>
  <c r="J119" i="23" s="1"/>
  <c r="C118" i="23"/>
  <c r="AA44" i="23" l="1"/>
  <c r="J44" i="23"/>
  <c r="U120" i="23"/>
  <c r="J120" i="23" s="1"/>
  <c r="C119" i="23"/>
  <c r="E44" i="23" l="1"/>
  <c r="L44" i="23"/>
  <c r="Z44" i="23"/>
  <c r="U121" i="23"/>
  <c r="J121" i="23" s="1"/>
  <c r="C120" i="23"/>
  <c r="D44" i="23" l="1"/>
  <c r="F44" i="23" s="1"/>
  <c r="K44" i="23"/>
  <c r="M44" i="23" s="1"/>
  <c r="Y45" i="23"/>
  <c r="C45" i="23" s="1"/>
  <c r="U122" i="23"/>
  <c r="J122" i="23" s="1"/>
  <c r="C121" i="23"/>
  <c r="J45" i="23" l="1"/>
  <c r="AA45" i="23"/>
  <c r="U123" i="23"/>
  <c r="J123" i="23" s="1"/>
  <c r="C122" i="23"/>
  <c r="E45" i="23" l="1"/>
  <c r="L45" i="23"/>
  <c r="Z45" i="23"/>
  <c r="U124" i="23"/>
  <c r="J124" i="23" s="1"/>
  <c r="C123" i="23"/>
  <c r="D45" i="23" l="1"/>
  <c r="F45" i="23" s="1"/>
  <c r="K45" i="23"/>
  <c r="M45" i="23" s="1"/>
  <c r="Y46" i="23"/>
  <c r="C46" i="23" s="1"/>
  <c r="U125" i="23"/>
  <c r="J125" i="23" s="1"/>
  <c r="C124" i="23"/>
  <c r="AA46" i="23" l="1"/>
  <c r="J46" i="23"/>
  <c r="U126" i="23"/>
  <c r="J126" i="23" s="1"/>
  <c r="C125" i="23"/>
  <c r="E46" i="23" l="1"/>
  <c r="L46" i="23"/>
  <c r="Z46" i="23"/>
  <c r="U127" i="23"/>
  <c r="C126" i="23"/>
  <c r="C127" i="23" l="1"/>
  <c r="J127" i="23"/>
  <c r="D46" i="23"/>
  <c r="F46" i="23" s="1"/>
  <c r="K46" i="23"/>
  <c r="M46" i="23" s="1"/>
  <c r="Y47" i="23"/>
  <c r="C47" i="23" s="1"/>
  <c r="AA47" i="23" l="1"/>
  <c r="J47" i="23"/>
  <c r="E47" i="23" l="1"/>
  <c r="L47" i="23"/>
  <c r="Z47" i="23"/>
  <c r="D47" i="23" l="1"/>
  <c r="F47" i="23" s="1"/>
  <c r="K47" i="23"/>
  <c r="M47" i="23" s="1"/>
  <c r="Y48" i="23"/>
  <c r="C48" i="23" s="1"/>
  <c r="AA48" i="23" l="1"/>
  <c r="J48" i="23"/>
  <c r="E48" i="23" l="1"/>
  <c r="L48" i="23"/>
  <c r="Z48" i="23"/>
  <c r="D48" i="23" l="1"/>
  <c r="F48" i="23" s="1"/>
  <c r="K48" i="23"/>
  <c r="M48" i="23" s="1"/>
  <c r="Y49" i="23"/>
  <c r="C49" i="23" s="1"/>
  <c r="AA49" i="23" l="1"/>
  <c r="J49" i="23"/>
  <c r="E49" i="23" l="1"/>
  <c r="L49" i="23"/>
  <c r="Z49" i="23"/>
  <c r="D49" i="23" l="1"/>
  <c r="F49" i="23" s="1"/>
  <c r="K49" i="23"/>
  <c r="M49" i="23" s="1"/>
  <c r="Y50" i="23"/>
  <c r="C50" i="23" s="1"/>
  <c r="J50" i="23" l="1"/>
  <c r="AA50" i="23"/>
  <c r="E50" i="23" l="1"/>
  <c r="L50" i="23"/>
  <c r="Z50" i="23"/>
  <c r="D50" i="23" l="1"/>
  <c r="F50" i="23" s="1"/>
  <c r="K50" i="23"/>
  <c r="M50" i="23" s="1"/>
  <c r="Y51" i="23"/>
  <c r="C51" i="23" s="1"/>
  <c r="AA51" i="23" l="1"/>
  <c r="J51" i="23"/>
  <c r="E51" i="23" l="1"/>
  <c r="L51" i="23"/>
  <c r="Z51" i="23"/>
  <c r="D51" i="23" l="1"/>
  <c r="F51" i="23" s="1"/>
  <c r="K51" i="23"/>
  <c r="M51" i="23" s="1"/>
  <c r="Y52" i="23"/>
  <c r="C52" i="23" s="1"/>
  <c r="AA52" i="23" l="1"/>
  <c r="J52" i="23"/>
  <c r="E52" i="23" l="1"/>
  <c r="L52" i="23"/>
  <c r="Z52" i="23"/>
  <c r="D52" i="23" l="1"/>
  <c r="F52" i="23" s="1"/>
  <c r="K52" i="23"/>
  <c r="M52" i="23" s="1"/>
  <c r="Y53" i="23"/>
  <c r="C53" i="23" s="1"/>
  <c r="AA53" i="23" l="1"/>
  <c r="J53" i="23"/>
  <c r="E53" i="23" l="1"/>
  <c r="L53" i="23"/>
  <c r="Z53" i="23"/>
  <c r="D53" i="23" l="1"/>
  <c r="F53" i="23" s="1"/>
  <c r="K53" i="23"/>
  <c r="M53" i="23" s="1"/>
  <c r="Y54" i="23"/>
  <c r="C54" i="23" s="1"/>
  <c r="J54" i="23" l="1"/>
  <c r="AA54" i="23"/>
  <c r="E54" i="23" l="1"/>
  <c r="L54" i="23"/>
  <c r="Z54" i="23"/>
  <c r="D54" i="23" l="1"/>
  <c r="F54" i="23" s="1"/>
  <c r="K54" i="23"/>
  <c r="M54" i="23" s="1"/>
  <c r="Y55" i="23"/>
  <c r="C55" i="23" s="1"/>
  <c r="AA55" i="23" l="1"/>
  <c r="J55" i="23"/>
  <c r="E55" i="23" l="1"/>
  <c r="L55" i="23"/>
  <c r="Z55" i="23"/>
  <c r="D55" i="23" l="1"/>
  <c r="F55" i="23" s="1"/>
  <c r="K55" i="23"/>
  <c r="M55" i="23" s="1"/>
  <c r="Y56" i="23"/>
  <c r="C56" i="23" s="1"/>
  <c r="AA56" i="23" l="1"/>
  <c r="J56" i="23"/>
  <c r="E56" i="23" l="1"/>
  <c r="L56" i="23"/>
  <c r="Z56" i="23"/>
  <c r="D56" i="23" l="1"/>
  <c r="F56" i="23" s="1"/>
  <c r="K56" i="23"/>
  <c r="M56" i="23" s="1"/>
  <c r="Y57" i="23"/>
  <c r="C57" i="23" s="1"/>
  <c r="AA57" i="23" l="1"/>
  <c r="J57" i="23"/>
  <c r="E57" i="23" l="1"/>
  <c r="L57" i="23"/>
  <c r="Z57" i="23"/>
  <c r="D57" i="23" l="1"/>
  <c r="F57" i="23" s="1"/>
  <c r="K57" i="23"/>
  <c r="M57" i="23" s="1"/>
  <c r="Y58" i="23"/>
  <c r="C58" i="23" s="1"/>
  <c r="J58" i="23" l="1"/>
  <c r="AA58" i="23"/>
  <c r="E58" i="23" l="1"/>
  <c r="L58" i="23"/>
  <c r="Z58" i="23"/>
  <c r="D58" i="23" l="1"/>
  <c r="F58" i="23" s="1"/>
  <c r="K58" i="23"/>
  <c r="M58" i="23" s="1"/>
  <c r="Y59" i="23"/>
  <c r="C59" i="23" s="1"/>
  <c r="AA59" i="23" l="1"/>
  <c r="J59" i="23"/>
  <c r="E59" i="23" l="1"/>
  <c r="L59" i="23"/>
  <c r="Z59" i="23"/>
  <c r="D59" i="23" l="1"/>
  <c r="F59" i="23" s="1"/>
  <c r="K59" i="23"/>
  <c r="M59" i="23" s="1"/>
  <c r="Y60" i="23"/>
  <c r="C60" i="23" s="1"/>
  <c r="AA60" i="23" l="1"/>
  <c r="J60" i="23"/>
  <c r="E60" i="23" l="1"/>
  <c r="L60" i="23"/>
  <c r="Z60" i="23"/>
  <c r="D60" i="23" l="1"/>
  <c r="F60" i="23" s="1"/>
  <c r="K60" i="23"/>
  <c r="M60" i="23" s="1"/>
  <c r="Y61" i="23"/>
  <c r="C61" i="23" s="1"/>
  <c r="AA61" i="23" l="1"/>
  <c r="J61" i="23"/>
  <c r="E61" i="23" l="1"/>
  <c r="L61" i="23"/>
  <c r="Z61" i="23"/>
  <c r="D61" i="23" l="1"/>
  <c r="F61" i="23" s="1"/>
  <c r="K61" i="23"/>
  <c r="M61" i="23" s="1"/>
  <c r="Y62" i="23"/>
  <c r="C62" i="23" s="1"/>
  <c r="J62" i="23" l="1"/>
  <c r="AA62" i="23"/>
  <c r="E62" i="23" l="1"/>
  <c r="L62" i="23"/>
  <c r="Z62" i="23"/>
  <c r="D62" i="23" l="1"/>
  <c r="F62" i="23" s="1"/>
  <c r="K62" i="23"/>
  <c r="M62" i="23" s="1"/>
  <c r="Y63" i="23"/>
  <c r="C63" i="23" s="1"/>
  <c r="AA63" i="23" l="1"/>
  <c r="J63" i="23"/>
  <c r="E63" i="23" l="1"/>
  <c r="L63" i="23"/>
  <c r="Z63" i="23"/>
  <c r="D63" i="23" l="1"/>
  <c r="F63" i="23" s="1"/>
  <c r="K63" i="23"/>
  <c r="M63" i="23" s="1"/>
  <c r="Y64" i="23"/>
  <c r="C64" i="23" s="1"/>
  <c r="AA64" i="23" l="1"/>
  <c r="J64" i="23"/>
  <c r="E64" i="23" l="1"/>
  <c r="L64" i="23"/>
  <c r="Z64" i="23"/>
  <c r="D64" i="23" l="1"/>
  <c r="F64" i="23" s="1"/>
  <c r="K64" i="23"/>
  <c r="M64" i="23" s="1"/>
  <c r="Y65" i="23"/>
  <c r="C65" i="23" s="1"/>
  <c r="AA65" i="23" l="1"/>
  <c r="J65" i="23"/>
  <c r="E65" i="23" l="1"/>
  <c r="L65" i="23"/>
  <c r="Z65" i="23"/>
  <c r="D65" i="23" l="1"/>
  <c r="F65" i="23" s="1"/>
  <c r="K65" i="23"/>
  <c r="M65" i="23" s="1"/>
  <c r="Y66" i="23"/>
  <c r="C66" i="23" s="1"/>
  <c r="AA66" i="23" l="1"/>
  <c r="J66" i="23"/>
  <c r="E66" i="23" l="1"/>
  <c r="L66" i="23"/>
  <c r="Z66" i="23"/>
  <c r="D66" i="23" l="1"/>
  <c r="F66" i="23" s="1"/>
  <c r="K66" i="23"/>
  <c r="M66" i="23" s="1"/>
  <c r="Y67" i="23"/>
  <c r="C67" i="23" s="1"/>
  <c r="J67" i="23" l="1"/>
  <c r="AA67" i="23"/>
  <c r="E67" i="23" l="1"/>
  <c r="E129" i="23" s="1"/>
  <c r="L67" i="23"/>
  <c r="L129" i="23" s="1"/>
  <c r="Z67" i="23"/>
  <c r="AA129" i="23"/>
  <c r="AA131" i="23" l="1"/>
  <c r="J83" i="14"/>
  <c r="D67" i="23"/>
  <c r="K67" i="23"/>
  <c r="Z129" i="23"/>
  <c r="J84" i="14" l="1"/>
  <c r="K74" i="15"/>
  <c r="M67" i="23"/>
  <c r="M129" i="23" s="1"/>
  <c r="K129" i="23"/>
  <c r="F67" i="23"/>
  <c r="F129" i="23" s="1"/>
  <c r="D129" i="23"/>
  <c r="J87" i="14" l="1"/>
  <c r="K75" i="15"/>
  <c r="AA88" i="14" l="1"/>
  <c r="J88" i="14"/>
  <c r="K78" i="15"/>
  <c r="Q72" i="14"/>
  <c r="K79" i="15" l="1"/>
  <c r="J89" i="14"/>
  <c r="J90" i="14" s="1"/>
  <c r="J91" i="14" s="1"/>
  <c r="J92" i="14" s="1"/>
  <c r="R72" i="14"/>
  <c r="T119" i="21"/>
  <c r="T122" i="21"/>
  <c r="AE93" i="14"/>
  <c r="AE94" i="14" s="1"/>
  <c r="AF98" i="14" s="1"/>
  <c r="AB93" i="14"/>
  <c r="AB94" i="14" s="1"/>
  <c r="AF95" i="14" s="1"/>
  <c r="AC93" i="14"/>
  <c r="AC94" i="14" s="1"/>
  <c r="AF96" i="14" s="1"/>
  <c r="B105" i="14"/>
  <c r="AD93" i="14"/>
  <c r="AD94" i="14" s="1"/>
  <c r="AF97" i="14" s="1"/>
  <c r="U123" i="21" l="1"/>
  <c r="U154" i="21" s="1"/>
  <c r="U156" i="21" s="1"/>
  <c r="B102" i="14" s="1"/>
  <c r="AA105" i="14"/>
  <c r="AB105" i="14" s="1"/>
  <c r="AC105" i="14" s="1"/>
  <c r="AD105" i="14" s="1"/>
  <c r="AA32" i="14"/>
  <c r="E105" i="14"/>
  <c r="M50" i="15" s="1"/>
  <c r="E102" i="14" l="1"/>
  <c r="J101" i="14" s="1"/>
  <c r="T117" i="21"/>
  <c r="G102" i="14"/>
  <c r="AC34" i="14"/>
  <c r="AA38" i="14" s="1"/>
  <c r="AC36" i="14"/>
  <c r="AC35" i="14"/>
  <c r="T120" i="21" l="1"/>
  <c r="AD45" i="14"/>
  <c r="V117" i="21"/>
  <c r="M59" i="15"/>
</calcChain>
</file>

<file path=xl/comments1.xml><?xml version="1.0" encoding="utf-8"?>
<comments xmlns="http://schemas.openxmlformats.org/spreadsheetml/2006/main">
  <authors>
    <author>Kepala SKAI</author>
  </authors>
  <commentList>
    <comment ref="G3" authorId="0" shapeId="0">
      <text>
        <r>
          <rPr>
            <sz val="9"/>
            <color indexed="81"/>
            <rFont val="Tahoma"/>
            <family val="2"/>
          </rPr>
          <t>Nomor Registrasi Memo/MUP/BPRS/Nama Kantor Cabang/Bulan dibuat dlm angka romawi/Tahun dibuat dlm angka romawi. Contoh: 001/MUP/BPRS/LUWUK/IX/2021</t>
        </r>
      </text>
    </comment>
  </commentList>
</comments>
</file>

<file path=xl/sharedStrings.xml><?xml version="1.0" encoding="utf-8"?>
<sst xmlns="http://schemas.openxmlformats.org/spreadsheetml/2006/main" count="2251" uniqueCount="1206">
  <si>
    <t>:</t>
  </si>
  <si>
    <t>Nama</t>
  </si>
  <si>
    <t>Jenis Usaha</t>
  </si>
  <si>
    <t>Jangka Waktu</t>
  </si>
  <si>
    <t>Bulan</t>
  </si>
  <si>
    <t>Lain-lain</t>
  </si>
  <si>
    <t>Total</t>
  </si>
  <si>
    <t>Kredit</t>
  </si>
  <si>
    <t>-</t>
  </si>
  <si>
    <t>Laba Kotor</t>
  </si>
  <si>
    <t>No</t>
  </si>
  <si>
    <t>Saldo</t>
  </si>
  <si>
    <t>%</t>
  </si>
  <si>
    <t>Penjualan</t>
  </si>
  <si>
    <t>hari</t>
  </si>
  <si>
    <t>PENJUALAN</t>
  </si>
  <si>
    <t>Piutang</t>
  </si>
  <si>
    <t>Persediaan</t>
  </si>
  <si>
    <t>Hutang Dagang</t>
  </si>
  <si>
    <t>Biaya Lain-lain</t>
  </si>
  <si>
    <t>Taksiran Pajak</t>
  </si>
  <si>
    <t>(-)</t>
  </si>
  <si>
    <t>=</t>
  </si>
  <si>
    <t>PERPUTARAN MODAL KERJA</t>
  </si>
  <si>
    <t>Perputaran Kas</t>
  </si>
  <si>
    <t>Δ</t>
  </si>
  <si>
    <t>kali</t>
  </si>
  <si>
    <t>Kas</t>
  </si>
  <si>
    <t>HARI</t>
  </si>
  <si>
    <t>Perputaran Piutang</t>
  </si>
  <si>
    <t>Perputaran Persediaan</t>
  </si>
  <si>
    <t>HPP</t>
  </si>
  <si>
    <t>Proyeksi Kas</t>
  </si>
  <si>
    <t>X</t>
  </si>
  <si>
    <t>Proyeksi Piutang</t>
  </si>
  <si>
    <t>Proyeksi Persediaan</t>
  </si>
  <si>
    <t>Jumlah Proyeksi Modal kerja</t>
  </si>
  <si>
    <t>Modal Kerja Bersih</t>
  </si>
  <si>
    <t>Kebutuhan Kredit</t>
  </si>
  <si>
    <t>Hutang Bank</t>
  </si>
  <si>
    <t>(+)</t>
  </si>
  <si>
    <t>Total Kebutuhan Kredit</t>
  </si>
  <si>
    <t>◊</t>
  </si>
  <si>
    <t>TOTAL</t>
  </si>
  <si>
    <t>NO</t>
  </si>
  <si>
    <t>BULAN</t>
  </si>
  <si>
    <t>Biaya Operasional</t>
  </si>
  <si>
    <t>1. KAS DAN BANK</t>
  </si>
  <si>
    <t>Keterangan :</t>
  </si>
  <si>
    <t>5. HUBUNGAN BANK</t>
  </si>
  <si>
    <t>Pasangan</t>
  </si>
  <si>
    <t>ASPEK NON KEUANGAN</t>
  </si>
  <si>
    <t>ASPEK MANAJEMEN</t>
  </si>
  <si>
    <t>a.</t>
  </si>
  <si>
    <t>b.</t>
  </si>
  <si>
    <t>Lokasi Usaha</t>
  </si>
  <si>
    <t>c.</t>
  </si>
  <si>
    <t>d.</t>
  </si>
  <si>
    <t>e.</t>
  </si>
  <si>
    <t>f.</t>
  </si>
  <si>
    <t>ASPEK PEMASARAN</t>
  </si>
  <si>
    <t>Daerah Pemasaran</t>
  </si>
  <si>
    <t>Jenis Agunan</t>
  </si>
  <si>
    <t>Rp.</t>
  </si>
  <si>
    <t>Pengikatan</t>
  </si>
  <si>
    <t>Nilai Pasar</t>
  </si>
  <si>
    <t>Nilai HT</t>
  </si>
  <si>
    <t>Nilai</t>
  </si>
  <si>
    <t>ANALISA KEUANGAN</t>
  </si>
  <si>
    <t>Biaya Tenaga Kerja</t>
  </si>
  <si>
    <t>Biaya Rumah Tangga</t>
  </si>
  <si>
    <t>SMP</t>
  </si>
  <si>
    <t>SMA</t>
  </si>
  <si>
    <t>D-3/Diploma</t>
  </si>
  <si>
    <t>1. INFORMASI POKOK</t>
  </si>
  <si>
    <t>S1</t>
  </si>
  <si>
    <t>S-2 / S-3</t>
  </si>
  <si>
    <t>Tanggal Lahir  :</t>
  </si>
  <si>
    <t>Sta Tmp Tinggal</t>
  </si>
  <si>
    <t>Sewa / Kontrak</t>
  </si>
  <si>
    <t>Orang Tua / Saudara</t>
  </si>
  <si>
    <t>Milik Sendiri</t>
  </si>
  <si>
    <t>Kecamatan :</t>
  </si>
  <si>
    <t>Kab./Kotamadya :</t>
  </si>
  <si>
    <t>Kode Pos :</t>
  </si>
  <si>
    <t>Pertanian</t>
  </si>
  <si>
    <t>Telpon Rumah</t>
  </si>
  <si>
    <t>Industri</t>
  </si>
  <si>
    <t>Jasa</t>
  </si>
  <si>
    <t>Perdagangan</t>
  </si>
  <si>
    <t>Jumlah Tanggungan</t>
  </si>
  <si>
    <t>Lainnya (sebutkan):</t>
  </si>
  <si>
    <t>Sistem Penj</t>
  </si>
  <si>
    <t>Konsinyasi / Bagi Hasil</t>
  </si>
  <si>
    <t xml:space="preserve">Nama Saudara Kandung Yang Dapat </t>
  </si>
  <si>
    <t>Kredit &amp; Tunai</t>
  </si>
  <si>
    <t>Tunai</t>
  </si>
  <si>
    <t>Sewa</t>
  </si>
  <si>
    <t>2. INFORMASI TEMPAT TINGGAL</t>
  </si>
  <si>
    <t>Menetap/Permanen</t>
  </si>
  <si>
    <t>Mangkal / Non-Permanen</t>
  </si>
  <si>
    <t>Berpindah-pindah</t>
  </si>
  <si>
    <t xml:space="preserve">3. INFORMASI USAHA </t>
  </si>
  <si>
    <t>Sekitar Lokasi Usaha</t>
  </si>
  <si>
    <t>Kelurahan / Kecamatan</t>
  </si>
  <si>
    <t>Kabupaten / Kotamadya</t>
  </si>
  <si>
    <t>Nasional</t>
  </si>
  <si>
    <t>Ekspor</t>
  </si>
  <si>
    <t>Kepemilikan Tempat Usaha</t>
  </si>
  <si>
    <t>Cabang</t>
  </si>
  <si>
    <t>Tidak</t>
  </si>
  <si>
    <t>Ada</t>
  </si>
  <si>
    <t>Pengelolaan Keuangan</t>
  </si>
  <si>
    <t>Tidak ada pencatatan maupun pemisahan pengelolaan keuangan</t>
  </si>
  <si>
    <t>Terdapat pemisahan pengelolaan keuangan namun tidak terdapat pencatatan atau sebaliknya</t>
  </si>
  <si>
    <t>Modal Kerja</t>
  </si>
  <si>
    <t>12</t>
  </si>
  <si>
    <t>13</t>
  </si>
  <si>
    <t>14</t>
  </si>
  <si>
    <t>Besar Permohonan</t>
  </si>
  <si>
    <t>15</t>
  </si>
  <si>
    <t>18</t>
  </si>
  <si>
    <t>19</t>
  </si>
  <si>
    <t>24</t>
  </si>
  <si>
    <t>36</t>
  </si>
  <si>
    <t>48</t>
  </si>
  <si>
    <t>50</t>
  </si>
  <si>
    <t>52</t>
  </si>
  <si>
    <t>Nama Pemohon</t>
  </si>
  <si>
    <t>PERMOHONAN YANG DIAJUKAN</t>
  </si>
  <si>
    <t>Flat</t>
  </si>
  <si>
    <t>Agsuran Perbulan</t>
  </si>
  <si>
    <t>Penjualan Perbulan</t>
  </si>
  <si>
    <t>Laba Bersih Usaha</t>
  </si>
  <si>
    <t>Laba Sebelum Pajak</t>
  </si>
  <si>
    <t>Repayment Capacity (RPC)</t>
  </si>
  <si>
    <t>Kebutuhan Modal Usaha Saat Ini</t>
  </si>
  <si>
    <t>Menikah</t>
  </si>
  <si>
    <t>KEPUTUSAN KREDIT</t>
  </si>
  <si>
    <t>No.        /Luwuk-KK/XI/2018</t>
  </si>
  <si>
    <t>A.</t>
  </si>
  <si>
    <t>DATA DEBITUR</t>
  </si>
  <si>
    <t>Nama Debitur</t>
  </si>
  <si>
    <t>Alamat Debitur</t>
  </si>
  <si>
    <t>Pekerjaan</t>
  </si>
  <si>
    <t>B.</t>
  </si>
  <si>
    <t>FASILITAS KREDIT</t>
  </si>
  <si>
    <t>Gol Debitur</t>
  </si>
  <si>
    <t>Sifat kredit</t>
  </si>
  <si>
    <t>Jenis Penggunaan</t>
  </si>
  <si>
    <t>Sektor Ekonomi</t>
  </si>
  <si>
    <t>Hub. dengan Bank</t>
  </si>
  <si>
    <t>Tanggal</t>
  </si>
  <si>
    <t>C.</t>
  </si>
  <si>
    <t>JAMINAN</t>
  </si>
  <si>
    <t>Agunan Kendaraan BPKB No. K-06931274 saling mengikat dengan fasilitas KUB dengan No. Rek Fasilitas 101-001-3693 dengan Plafond Rp. 180.000.000 dan baki debet per tanggal 5 november 2018 sebesar Rp 112.500.000.</t>
  </si>
  <si>
    <t>D.</t>
  </si>
  <si>
    <t>PENGIKATAN</t>
  </si>
  <si>
    <t>Pengikatan Kredit diikat Secara</t>
  </si>
  <si>
    <t>Daftar Asuransi Jiwa</t>
  </si>
  <si>
    <t>Tanah pekarangan yang di atasnya berdiri bangunan permanen yang dengan SHM 1698 / Simpong an. Lampani dengan luas 233  bangunan luas 200 m</t>
  </si>
  <si>
    <t>BPKB Mobil deng No E.9296445 S Merek toyota avanza Warna hitam metalik tahun 2007 dengan no polisi DN 418 cc an. Danny wibowo (telah dibeli debitur terlampir kwitansi pembelian )</t>
  </si>
  <si>
    <t>BPKB Mobil deng No K-06931274 Merek Honda city Warna  abu -abu hitam metalik tahun 2007 dengan no polisi DN 123 CY an. Sherly lianto (telah dibeli debitur terlampir kwitansi pembelian )</t>
  </si>
  <si>
    <t>Akmal Syam</t>
  </si>
  <si>
    <t>Wiraswasta</t>
  </si>
  <si>
    <t>Pemutus Kredit Non Limit</t>
  </si>
  <si>
    <t>Area Manager</t>
  </si>
  <si>
    <t>Direktur Operasional</t>
  </si>
  <si>
    <t>Andarias Sam G. Danga</t>
  </si>
  <si>
    <t>Direktur Utama</t>
  </si>
  <si>
    <t>Noldi Walelang</t>
  </si>
  <si>
    <t>Demikian, Keputusan Komite Kredit ini dibuat sebagai pedoman keputusan pemberian kredit.</t>
  </si>
  <si>
    <t>02</t>
  </si>
  <si>
    <t>Pemutus Kredit Pemegang Limit</t>
  </si>
  <si>
    <t>Agunan Kendaraan</t>
  </si>
  <si>
    <t>Notaril</t>
  </si>
  <si>
    <t>Didaftarkan</t>
  </si>
  <si>
    <t>Diasuransikan (minimal TLO)</t>
  </si>
  <si>
    <t xml:space="preserve">Kebutuhan Modal Kerja </t>
  </si>
  <si>
    <t>Kebutuhan Modal Kerja Berdasakan Perputaran Usaha</t>
  </si>
  <si>
    <t>Tranding Asset</t>
  </si>
  <si>
    <t xml:space="preserve">Perputaran Persediaan </t>
  </si>
  <si>
    <t>SF</t>
  </si>
  <si>
    <t>Kebutuhan Modal</t>
  </si>
  <si>
    <t>Perputaran Utang</t>
  </si>
  <si>
    <t>PM 15%</t>
  </si>
  <si>
    <t>NTC</t>
  </si>
  <si>
    <t>Kebutuhan Modal Kerja Netto</t>
  </si>
  <si>
    <t>JENIS</t>
  </si>
  <si>
    <t>NO.</t>
  </si>
  <si>
    <t>BERLAKU S/D</t>
  </si>
  <si>
    <t>ATAS NAMA</t>
  </si>
  <si>
    <t>Lainnya</t>
  </si>
  <si>
    <t>URAIAN  AKTIVITAS USAHA DEBITUR/CALON DEBITUR</t>
  </si>
  <si>
    <t>TINGKAT PERMINTAAN</t>
  </si>
  <si>
    <t>Performance Indicator</t>
  </si>
  <si>
    <t>Uraian Singkat</t>
  </si>
  <si>
    <t>Ukuran target pasar (market size)</t>
  </si>
  <si>
    <t>Tingkat konsumsi tinggi, daya beli tinggi</t>
  </si>
  <si>
    <t>Luas area geografis target pasar.</t>
  </si>
  <si>
    <t xml:space="preserve">Regional </t>
  </si>
  <si>
    <t>Pola/sifat  permintaan target pasar</t>
  </si>
  <si>
    <t>stabil</t>
  </si>
  <si>
    <t>Pertumbuhan permintaan target pasar</t>
  </si>
  <si>
    <t>Diperkirakan 0% s/d 5%</t>
  </si>
  <si>
    <t>Pangsa Pasar Perusahaan</t>
  </si>
  <si>
    <t>Diperkirakan 20 besar</t>
  </si>
  <si>
    <t>Diversifikasi segmen pasar perusahaan</t>
  </si>
  <si>
    <t>5 segmen atau lebih</t>
  </si>
  <si>
    <t>Realisasi penjualan dibanding target</t>
  </si>
  <si>
    <t>Penjualan kurang dari 50% target</t>
  </si>
  <si>
    <t>KUALITAS PRODUK ATAU JASA</t>
  </si>
  <si>
    <t>Kualitas produk/jasa</t>
  </si>
  <si>
    <t>Jaminan Kepastian</t>
  </si>
  <si>
    <t xml:space="preserve">Produk yang ditawarkan cukup dikenal oleh masyarakat, dan tetap digunakan di setiap waktu. </t>
  </si>
  <si>
    <t>Empati</t>
  </si>
  <si>
    <t>Kebutuhan pelanggan terhadap produk tsb tetap dipertahankan. Apabila pelanggan mengeluh, pemohon mengantisipasi dengan cepat. Hal ini terlihat banyaknya pelanggan pemohon.</t>
  </si>
  <si>
    <t>Responsif</t>
  </si>
  <si>
    <t>Pemohon mampu memberikan pelayanan dan pengiriman yang cepat kepada pelanggannya. Hal ini terlihat dari jumlah alat transportasi yang digunakan oleh pemohon.</t>
  </si>
  <si>
    <t>Tingkat harga produk/jasa</t>
  </si>
  <si>
    <t>Di bawah harga pasar.</t>
  </si>
  <si>
    <t>Rentang jenis produk (diversifikasi produk)</t>
  </si>
  <si>
    <t>Kekuatan merk (brand image)</t>
  </si>
  <si>
    <t>Untuk produk yang ditawarkan oleh pemohon beberapa produk telah cukup dikenal oleh para pelanggannya. Hal ini terlihat dari jumlah penjualan setiap harinya.</t>
  </si>
  <si>
    <t>Inovasi produk/jasa</t>
  </si>
  <si>
    <t>Jaringan distribusi</t>
  </si>
  <si>
    <t>Di atas 15  cabang/ outlet/agen/sales forces</t>
  </si>
  <si>
    <t>Syarat-syarat penjualan</t>
  </si>
  <si>
    <t>Syarat-syarat penjualan yang dilakukan pemohon antara lain:</t>
  </si>
  <si>
    <t xml:space="preserve">Pemohon lebih mengutamakan pembayaran tunai </t>
  </si>
  <si>
    <t xml:space="preserve">Untuk pembayaran kredit diperbolehkan dengan  masa 1-2 hari </t>
  </si>
  <si>
    <t>Penjualan ditargetkan sebanyak +/-50%</t>
  </si>
  <si>
    <t>KONSENTRASI PELANGGAN</t>
  </si>
  <si>
    <t>Proporsi  penjualan per pelanggan</t>
  </si>
  <si>
    <t>4 pelanggan  menguasai 15% penjualan atau lebih</t>
  </si>
  <si>
    <t>Kualitas hubungan dengan pelanggan</t>
  </si>
  <si>
    <t>Hubungan antara pemohon dengan para pelanggannya telah terjalin baik hal ini terlihat antara lain:</t>
  </si>
  <si>
    <t>Lamanya hubungan dengan pelanggan</t>
  </si>
  <si>
    <t>Track record penyelesaian hak-kewajiban pelanggan</t>
  </si>
  <si>
    <t>Untuk di wilayah tsb pemohon telah dikenal baik oleh para pelanggannya</t>
  </si>
  <si>
    <t>Daya tawar pelanggan</t>
  </si>
  <si>
    <t>Tawar menawar antara pelanggan dengan pemohon cukup baik. Hal ini terlihat dari beberapa faktor antara lain:</t>
  </si>
  <si>
    <t xml:space="preserve">Planggan mengutamakan harga yang murah, hingga pelanggan </t>
  </si>
  <si>
    <t>TINGKAT PERSAINGAN</t>
  </si>
  <si>
    <t>Kondisi persaingan</t>
  </si>
  <si>
    <t>+/-    20%</t>
  </si>
  <si>
    <t>Daya saing produk substitusi</t>
  </si>
  <si>
    <t>Daya saing produk pengganti dari produk pemohon antara lain:</t>
  </si>
  <si>
    <t xml:space="preserve">Kecenderungan harga  </t>
  </si>
  <si>
    <t>Kualitas nya sangat bagus</t>
  </si>
  <si>
    <t>Kekuatan penghalang masuk/keluar</t>
  </si>
  <si>
    <t>Penghalang masuk rendah &amp; penghalang keluar tinggi</t>
  </si>
  <si>
    <t>Strategi persaingan</t>
  </si>
  <si>
    <t>Strategi persaingan usaha pemohon antara lain:</t>
  </si>
  <si>
    <t>Kejelasan strategi yang digunakan</t>
  </si>
  <si>
    <t>Kesesuaian strategi dengan kondisi (kekuatan-kelemahan) internal perusahaan.</t>
  </si>
  <si>
    <t>Kesesuaian strategi dengan kondisi (peluang-ancaman) eksternal perusahaan.</t>
  </si>
  <si>
    <t>Tingkat integrasi</t>
  </si>
  <si>
    <t>Mempunyai lebih dari satu aktivitas usaha yang tidak berkaitan.</t>
  </si>
  <si>
    <t>Hak patent atau lisensi</t>
  </si>
  <si>
    <t>Untuk usaha yang dijalankan, pemohon telah memiliki izin-izin dari pemerintahan setempat. Antara lain SIUP dan TDP.</t>
  </si>
  <si>
    <t>ASPEK TEKNIS/PRODUKSI</t>
  </si>
  <si>
    <t>E.</t>
  </si>
  <si>
    <t>KONDISI LOKASI USAHA</t>
  </si>
  <si>
    <t xml:space="preserve">Kondisi  lokasi usaha </t>
  </si>
  <si>
    <t>Kondisi lokasi usaha pemohon cukup baik, hal ini terlihat dari beberapa faktor, antara lain:</t>
  </si>
  <si>
    <t>Sekitar lokasi usaha tidak terdapat usaha yang sejenis.</t>
  </si>
  <si>
    <t>Lokasi usaha cukup dekat dengan para pelanggannya. Hal ini</t>
  </si>
  <si>
    <t>yang cukup memudahkan pemohon untuk menjalankan usaha.</t>
  </si>
  <si>
    <t>Kelayakan lahan usaha</t>
  </si>
  <si>
    <t xml:space="preserve">Ijin lokasi usaha </t>
  </si>
  <si>
    <t>Pemohon telah memiliki perijinan dari pemerintahan setempat.</t>
  </si>
  <si>
    <t>Ketaatan perijinan lokasi usaha.</t>
  </si>
  <si>
    <t>Ketaatan pengelolaan lingkungan</t>
  </si>
  <si>
    <t>Status kepemilikan lokasi usaha</t>
  </si>
  <si>
    <t>Hak pakai / guna usaha</t>
  </si>
  <si>
    <t>F.</t>
  </si>
  <si>
    <t>KONDISI PERALATAN</t>
  </si>
  <si>
    <t>Kapasitas terpasang (size) dibanding dengan pesaing terdekat</t>
  </si>
  <si>
    <t xml:space="preserve">Jauh di atas rata-rata </t>
  </si>
  <si>
    <t>Kapasitas terpakai (utilitas)</t>
  </si>
  <si>
    <t>61-80%</t>
  </si>
  <si>
    <t>Teknologi yang digunakan</t>
  </si>
  <si>
    <t>Modern</t>
  </si>
  <si>
    <t>Bio-teknologi</t>
  </si>
  <si>
    <t>Kondisi peralatan</t>
  </si>
  <si>
    <t>Kondisi sangat baik dan sangat terawat</t>
  </si>
  <si>
    <t>Dukungan vendor/supplier peralatan</t>
  </si>
  <si>
    <t>Pelayanan purna jual</t>
  </si>
  <si>
    <t>Tingkat kooperatif}</t>
  </si>
  <si>
    <t>G.</t>
  </si>
  <si>
    <t>PENILAIAN SUPPLY</t>
  </si>
  <si>
    <t>Tingkat konsentrasi supplier</t>
  </si>
  <si>
    <t>1 supplier  menguasai 50 % pembelian atau lebih</t>
  </si>
  <si>
    <t>Kualitas hubungan dengan supplier</t>
  </si>
  <si>
    <t>Hubungan pemohon dengan supplier telah terjalin lama dan baik. Hal ini terlihat dari beberapa faktor antara lain</t>
  </si>
  <si>
    <t>Lamanya hubungan dengan supplier</t>
  </si>
  <si>
    <t>Daya tawar supplier</t>
  </si>
  <si>
    <t>Daya tawar dari supplier terlihat dari beberapa faktor antara lain:</t>
  </si>
  <si>
    <t>Persediaan barang terpenuhi dan tetap jalan.</t>
  </si>
  <si>
    <t>Produk supplier merupakan bahan input yang penting bagi perusahaan.</t>
  </si>
  <si>
    <t>Supplier telah banyak menjalin kerjasama dengan para pihak</t>
  </si>
  <si>
    <t xml:space="preserve">penyediaan barang. Sehingga persediaan barang di tempat </t>
  </si>
  <si>
    <t>tidak pernah habis</t>
  </si>
  <si>
    <t>Kandungan bahan baku import</t>
  </si>
  <si>
    <t>Impor lebih dari 70%</t>
  </si>
  <si>
    <t>Ketersediaan bahan baku</t>
  </si>
  <si>
    <t>Kuantitas bahan baku</t>
  </si>
  <si>
    <t>Kualitas bahan baku</t>
  </si>
  <si>
    <t>Kontinuitas ketersediaan</t>
  </si>
  <si>
    <t>Efektivitas manajemen persediaan</t>
  </si>
  <si>
    <t>Demi menjaga kerjasama dengan para pelanggan.</t>
  </si>
  <si>
    <t>Persediaan dalam rangka antisipasi permintaan</t>
  </si>
  <si>
    <t>Sifat barang persediaan</t>
  </si>
  <si>
    <t>Administrasi dan kontrol persediaan</t>
  </si>
  <si>
    <t>Cara dan syarat pembelian</t>
  </si>
  <si>
    <t>Cara dan syarat pembelian yang dilakukan oleh supplier antara lain:</t>
  </si>
  <si>
    <t>Pembelian cash dengan sistem "one bill system"</t>
  </si>
  <si>
    <t>Melakukan perjanjian kerjasama pembelian produk</t>
  </si>
  <si>
    <t>H.</t>
  </si>
  <si>
    <t>PENGALAMAN</t>
  </si>
  <si>
    <t>Tingkat kompetensi</t>
  </si>
  <si>
    <t>Tingkat pendidikan yang dimiliki pemohon hanyalah tamat SLTA. Namun pemohon sanggup menjalankan usaha tsb dikarenakan:</t>
  </si>
  <si>
    <t>Pemohon merupakan pekerja keras dan ingin terus berkembang.</t>
  </si>
  <si>
    <t>Lamanya pengalaman</t>
  </si>
  <si>
    <t>Lebih dari 8 th</t>
  </si>
  <si>
    <t>Perencanaan usaha &amp; pengendalian keuangan</t>
  </si>
  <si>
    <t>Rencana usaha dan pengendalian keuangan yang dijalankan cukup bagus antara lain:</t>
  </si>
  <si>
    <t>Kejelasan rencana usaha dan pengendalian keuangan</t>
  </si>
  <si>
    <t>Kesesuaian rencana usaha dengan kondisi ekternal dan internal</t>
  </si>
  <si>
    <t>perusahaan.</t>
  </si>
  <si>
    <t>Kemampuan mengambil keputusan</t>
  </si>
  <si>
    <t>Banyak keputusan yang ditempuh oleh pemohon dalam rangka mempertahankan usahanya antara lain:</t>
  </si>
  <si>
    <t>Rasional dalam mempertimbangkannya.</t>
  </si>
  <si>
    <t>Melakukan banyak kerjasama dengan para supplier.</t>
  </si>
  <si>
    <t xml:space="preserve">Bernegosiasi secara tepat. </t>
  </si>
  <si>
    <t>Tegas, jelas, dan terkomunikasikan dengan baik ke seluruh manajemen (termasuk karyawan) perusahaan.</t>
  </si>
  <si>
    <t>Kemampuan pengelolaan risiko</t>
  </si>
  <si>
    <t>Resiko-resiko sering dialami oleh pemohon dalam menjalankan usaha, untuk mengantisipasinya banyak langkah yang dilakukannya misalnya:</t>
  </si>
  <si>
    <t>Identifikasi jenis-jenis risiko yang ada</t>
  </si>
  <si>
    <t>Pembayaran lebih banyak dilakukan tunai</t>
  </si>
  <si>
    <t>Solusi yang diambil dalam rangka mengurangi kerugian akibat risiko yang timbul.</t>
  </si>
  <si>
    <t>I.</t>
  </si>
  <si>
    <t>TINGKAT PENDIDIKAN</t>
  </si>
  <si>
    <t>Pendidikan formal Key Person</t>
  </si>
  <si>
    <t>SLTA</t>
  </si>
  <si>
    <t xml:space="preserve">Pendidikan formal mayoritas karyawan </t>
  </si>
  <si>
    <t>SLTP</t>
  </si>
  <si>
    <t>Pendidikan informal</t>
  </si>
  <si>
    <t>para karyawan yang ada di perusahaan tsb telah cukup lama bekerja dan cukup berpengalaman</t>
  </si>
  <si>
    <t>J.</t>
  </si>
  <si>
    <t>INTEGRASI/REPUTASI</t>
  </si>
  <si>
    <t>Kondisi manajemen dari perusahaan tersebut antara lain:</t>
  </si>
  <si>
    <t xml:space="preserve">Pemohon termasuk ulet dan pekerja keras. Selain itu ada kemauan besar pemohon untuk </t>
  </si>
  <si>
    <t>mengembangkan usahanya.</t>
  </si>
  <si>
    <t>K.</t>
  </si>
  <si>
    <t>STRUKTUR/SISTEM</t>
  </si>
  <si>
    <t>Sistem manajemen pada usaha pemohon antara lain:</t>
  </si>
  <si>
    <t>Sistem upah kepada karyawan diberikan cukup adil.</t>
  </si>
  <si>
    <t>Untuk pembukuan dan masalah keuangan dikelola sepenuhnya oleh istri pemohon, dikarenakan pemohon menilai istri pemohon lebih rapi dalam mengatur keuangan.</t>
  </si>
  <si>
    <t xml:space="preserve">Untuk tugas dan fungsi setiap bagian tenaga kerja telah diatur dengan baik. </t>
  </si>
  <si>
    <t>L.</t>
  </si>
  <si>
    <t>KADERISASI</t>
  </si>
  <si>
    <t>M.</t>
  </si>
  <si>
    <t>KUALITAS INFORMASI KEUANGAN</t>
  </si>
  <si>
    <t>Ketepatan waktu</t>
  </si>
  <si>
    <t>Diserahkan 1 bulan setelah periode pelaporan</t>
  </si>
  <si>
    <t>Kualitas informasi keuangan</t>
  </si>
  <si>
    <t xml:space="preserve">Home statement, valid dan konsisten  </t>
  </si>
  <si>
    <t xml:space="preserve">Kualitas teknologi informasi </t>
  </si>
  <si>
    <t>Untuk pencatatan masih dilakukan manual beruka pembukuan yang sering ditulis setiap hari, alat bantu lainnya hanya berupa kalkulator.</t>
  </si>
  <si>
    <t>N.</t>
  </si>
  <si>
    <t>KUALITAS HUBUNGAN DENGAN BANK</t>
  </si>
  <si>
    <t>Lamanya menjadi nasabah kredit</t>
  </si>
  <si>
    <t>5 thn atau lebih</t>
  </si>
  <si>
    <t>Lamanya menjadi nasabah dana</t>
  </si>
  <si>
    <t>4 thn atau lebih</t>
  </si>
  <si>
    <t>Sikap dan kerjasama dengan Bank</t>
  </si>
  <si>
    <t>Pemohon bersikap baik dan kooperatif terhadap lembaga keuangan, hal ini terlihat dari:</t>
  </si>
  <si>
    <t>Pemenuhan syarat-syarat kredit yang telah diperjanjikan.</t>
  </si>
  <si>
    <t xml:space="preserve">Penyampaian informasi keuangan perusahaan </t>
  </si>
  <si>
    <t>Keterbukaan dalam bernegosiasi dengan Bank</t>
  </si>
  <si>
    <t>Pemohon memperhitungkan dengan masalah bunga bank.</t>
  </si>
  <si>
    <t>Banyaknya utilitas/pemakaian produk Bank</t>
  </si>
  <si>
    <t>Tingkat utilitas / Pemakaian produk bank dari pemohon antara lain:</t>
  </si>
  <si>
    <t>Banyaknya jenis produk Bank (Bank Jabar) yang digunakan.</t>
  </si>
  <si>
    <t>Banyaknya nilai/volume transaksi yang disalurkan melalui Bank (Bank bjb)</t>
  </si>
  <si>
    <t>Prosentase pemakaian kredit terhadap maksimum kredit.</t>
  </si>
  <si>
    <t xml:space="preserve">Track-Record pemenuhan kewajiban </t>
  </si>
  <si>
    <t>Hubungan dengan Bank / kreditur lainnya</t>
  </si>
  <si>
    <t>Kesesuaian penggunaan kredit</t>
  </si>
  <si>
    <t>KESIMPULAN ANALISA</t>
  </si>
  <si>
    <t>1.</t>
  </si>
  <si>
    <t>Bapak Deden Wahyudin merupakan pengusaha distributor pul pasir yang jujur dan pekerja keras. Usaha ini dijalani selama 15 tahun. Awalnya pemohon merupakan karyawan pada salah satu supplier. Namun karena kemauan besar dan bertekad ingin maju pemohon pun membuka usaha distributor pul pasir. Usaha ini dikelola sepenuhnya oleh pemohon yang diperbantukan oleh 4 orang karyawan, sedangkan keuangan dikelola sepenuhnya oleh istrinya dengan baik.</t>
  </si>
  <si>
    <t>2.</t>
  </si>
  <si>
    <t>Pemohon merupakan nasabah kredit di perbankan. Pemohon telah melakukan pinjaman kepada pihak perbankan dengan tujuan menambah modal kerja usahanya. Pembayaran kepada pihak perbankan juga tergolong lancar dan bertanggung jawab.</t>
  </si>
  <si>
    <t>3.</t>
  </si>
  <si>
    <t xml:space="preserve">Kelemahan dari usaha pemohon ini adalah pemohon terlalu fokus kepada penjualan. Pemohon jarang sekali atau bahkan tidak terpikirkan untuk menambah stok barang jenis lainnya. </t>
  </si>
  <si>
    <t>Reliabilitas/Keandalan</t>
  </si>
  <si>
    <t>Pelayanan</t>
  </si>
  <si>
    <t>BULAN KE I</t>
  </si>
  <si>
    <t>BULAN KE II</t>
  </si>
  <si>
    <t>BULAN KE III</t>
  </si>
  <si>
    <t>Pendapatan Lain-lain</t>
  </si>
  <si>
    <t>Proyeksi Perputaran</t>
  </si>
  <si>
    <t>Perputaran Hutang</t>
  </si>
  <si>
    <t>Menyetujui</t>
  </si>
  <si>
    <t>Merekomendasikan</t>
  </si>
  <si>
    <t>Tidak Merekomendasikan</t>
  </si>
  <si>
    <t>Tidak Menyetujui</t>
  </si>
  <si>
    <t>(......................................)</t>
  </si>
  <si>
    <r>
      <rPr>
        <b/>
        <sz val="20"/>
        <rFont val="Arial"/>
        <family val="2"/>
      </rPr>
      <t>PARAMETER KREDIT SCORING</t>
    </r>
    <r>
      <rPr>
        <b/>
        <sz val="16"/>
        <rFont val="Arial"/>
        <family val="2"/>
      </rPr>
      <t xml:space="preserve"> 
KCR</t>
    </r>
  </si>
  <si>
    <t>EXISTING</t>
  </si>
  <si>
    <t>&lt;=50juta</t>
  </si>
  <si>
    <t>BBT  (a)</t>
  </si>
  <si>
    <t>% Fktr  (b)</t>
  </si>
  <si>
    <t>% Var  ©</t>
  </si>
  <si>
    <t>Nilai =    a x b x c</t>
  </si>
  <si>
    <t xml:space="preserve">STEP 1 - INFORMASI DASAR </t>
  </si>
  <si>
    <t>(a)</t>
  </si>
  <si>
    <t>Usia Calon Nasabah</t>
  </si>
  <si>
    <t>21 - 30 tahun</t>
  </si>
  <si>
    <t>31 - 40 tahun</t>
  </si>
  <si>
    <t>41 - 55 tahun</t>
  </si>
  <si>
    <t>56 - 60 tahun</t>
  </si>
  <si>
    <t>(b)</t>
  </si>
  <si>
    <t>Status Perkawinan</t>
  </si>
  <si>
    <t>Lajang</t>
  </si>
  <si>
    <t>(c)</t>
  </si>
  <si>
    <t>Tidak Mempunyai Tanggungan</t>
  </si>
  <si>
    <t>(d)</t>
  </si>
  <si>
    <t>Tingkat Pendidikan</t>
  </si>
  <si>
    <t>Sekolah Dasar/Sekolah Menengah Pertama</t>
  </si>
  <si>
    <t>Sekolah Menengah Umum</t>
  </si>
  <si>
    <t>Akademi</t>
  </si>
  <si>
    <t>Universitas</t>
  </si>
  <si>
    <t xml:space="preserve">STEP 2 - INFORMASI TEMPAT TINGGAL </t>
  </si>
  <si>
    <t>Kepemilikan tempat tinggal</t>
  </si>
  <si>
    <t>Lain-lain (Menumpang)</t>
  </si>
  <si>
    <t>Milik sendiri</t>
  </si>
  <si>
    <t>Lama menetap</t>
  </si>
  <si>
    <t>0 - 2 tahun</t>
  </si>
  <si>
    <t>&gt; 2 - 5 tahun</t>
  </si>
  <si>
    <t>&gt; 5 - 8 tahun</t>
  </si>
  <si>
    <t>&gt; 8 tahun</t>
  </si>
  <si>
    <t>Tidak dikenal</t>
  </si>
  <si>
    <t>Dikenal namum kurang bersosialisasi</t>
  </si>
  <si>
    <t xml:space="preserve">STEP 3 - INFORMASI USAHA </t>
  </si>
  <si>
    <t>Lama berusaha di bidang yang sama</t>
  </si>
  <si>
    <t>=1 tahun</t>
  </si>
  <si>
    <t>&gt;1 - 5 tahun</t>
  </si>
  <si>
    <t>&gt;5 - 10 tahun</t>
  </si>
  <si>
    <t>&gt;10 tahun</t>
  </si>
  <si>
    <t>Cara Transaksi Usaha</t>
  </si>
  <si>
    <t>Konsinyasi &amp; Bagi Hasil</t>
  </si>
  <si>
    <t>(e)</t>
  </si>
  <si>
    <t>(f)</t>
  </si>
  <si>
    <t>Berpindah</t>
  </si>
  <si>
    <t>Mangkal/Non Permanen</t>
  </si>
  <si>
    <t>Kabupaten/Kotamadya</t>
  </si>
  <si>
    <t>Kelurahan/Kecamatan</t>
  </si>
  <si>
    <t>Regional/Provinsi</t>
  </si>
  <si>
    <t>(i)</t>
  </si>
  <si>
    <t>(j)</t>
  </si>
  <si>
    <t>Pengelolaan Keuangan Usaha</t>
  </si>
  <si>
    <t>Tidak terdapat pencatatan dan pemisahan pengelolaan keuangan usaha</t>
  </si>
  <si>
    <t>Terdapat pemisahan dan pencatatan keuangan dilakukan sederhana namun belum memiliki laporan keuangan sendiri</t>
  </si>
  <si>
    <t>Terdapat pemisahan dan memiliki pencatatan yang baik serta mampu membuat laporan keuangan sendiri</t>
  </si>
  <si>
    <t>(k)</t>
  </si>
  <si>
    <t>STEP 4 - HUBUNGAN DENGAN PERBANKAN</t>
  </si>
  <si>
    <t>Belum Pernah</t>
  </si>
  <si>
    <t>Nasabah/debitur bank &lt; 1 tahun</t>
  </si>
  <si>
    <t>Nasabah/debitur bank 1 - 3 tahun</t>
  </si>
  <si>
    <t>Nasabah/debitur bank &gt; 3 tahun</t>
  </si>
  <si>
    <t xml:space="preserve">Saldo rekening rata-rata per-bulan </t>
  </si>
  <si>
    <t>Tidak ada</t>
  </si>
  <si>
    <t>&lt; 5 Juta</t>
  </si>
  <si>
    <t>5 - 10 juta</t>
  </si>
  <si>
    <t>&gt; 10 juta</t>
  </si>
  <si>
    <t>Frekuensi Mutasi Rekening</t>
  </si>
  <si>
    <t>Pasif atau kurang dari 3 kali perbulan</t>
  </si>
  <si>
    <t>Mutasi 3 - 8 kali perbulan</t>
  </si>
  <si>
    <t>Lebih dari 8 Kali perbulan</t>
  </si>
  <si>
    <t>&gt; 3 tahun</t>
  </si>
  <si>
    <t>&gt;2 s.d. 3 tahun</t>
  </si>
  <si>
    <t>&gt;1 s.d.  2 tahun</t>
  </si>
  <si>
    <t>&lt;= 1 tahun</t>
  </si>
  <si>
    <t xml:space="preserve">STEP 6 - JAMINAN </t>
  </si>
  <si>
    <t>Agunan</t>
  </si>
  <si>
    <t>Penyesuaian</t>
  </si>
  <si>
    <t>Tujuan Penggunaan Pinjaman</t>
  </si>
  <si>
    <t>Investasi</t>
  </si>
  <si>
    <t>Jenis Kelamin</t>
  </si>
  <si>
    <t>Laki-laki</t>
  </si>
  <si>
    <t>Perempuan</t>
  </si>
  <si>
    <t>Pendidikan</t>
  </si>
  <si>
    <t>Pedagang</t>
  </si>
  <si>
    <t>Petani</t>
  </si>
  <si>
    <t>Swasta</t>
  </si>
  <si>
    <t>Lajang (termasuk janda/duda)</t>
  </si>
  <si>
    <t>Pekerjaan Suami/Istri</t>
  </si>
  <si>
    <t>01 Bulan</t>
  </si>
  <si>
    <t>02 Bulan</t>
  </si>
  <si>
    <t>03 Bulan</t>
  </si>
  <si>
    <t>04 Bulan</t>
  </si>
  <si>
    <t>05 Bulan</t>
  </si>
  <si>
    <t>06 Bulan</t>
  </si>
  <si>
    <t>10 Bulan</t>
  </si>
  <si>
    <t>12 Bulan</t>
  </si>
  <si>
    <t>13 Bulan</t>
  </si>
  <si>
    <t>14 Bulan</t>
  </si>
  <si>
    <t>15 Bulan</t>
  </si>
  <si>
    <t>16 Bulan</t>
  </si>
  <si>
    <t>17 Bulan</t>
  </si>
  <si>
    <t>18 Bulan</t>
  </si>
  <si>
    <t>19 Bulan</t>
  </si>
  <si>
    <t>20 Bulan</t>
  </si>
  <si>
    <t>24 Bulan</t>
  </si>
  <si>
    <t>36 Bulan</t>
  </si>
  <si>
    <t>48 Bulan</t>
  </si>
  <si>
    <t>50 Bulan</t>
  </si>
  <si>
    <t>52 Bulan</t>
  </si>
  <si>
    <t>60 Bulan</t>
  </si>
  <si>
    <t>Periode</t>
  </si>
  <si>
    <t>Harian</t>
  </si>
  <si>
    <t>Mingguan</t>
  </si>
  <si>
    <t>Bulanan</t>
  </si>
  <si>
    <t>Sistem Perhitungan Bunga</t>
  </si>
  <si>
    <t>Efektif</t>
  </si>
  <si>
    <t>RPC</t>
  </si>
  <si>
    <t>RPC &gt; 5</t>
  </si>
  <si>
    <t>lajang</t>
  </si>
  <si>
    <t>Tering</t>
  </si>
  <si>
    <t>Cerai</t>
  </si>
  <si>
    <t>&gt; 5 Orang</t>
  </si>
  <si>
    <t>3 - 5 Orang</t>
  </si>
  <si>
    <t xml:space="preserve"> 1 - 2 Orang</t>
  </si>
  <si>
    <t>&lt;= 2 Orang</t>
  </si>
  <si>
    <t>&gt; 10 Orang</t>
  </si>
  <si>
    <t>4. HUBUNGAN DENGAN PERBANKAN</t>
  </si>
  <si>
    <t>HIGH</t>
  </si>
  <si>
    <t>LOW</t>
  </si>
  <si>
    <t>TINGKAT RATING</t>
  </si>
  <si>
    <t>PD</t>
  </si>
  <si>
    <t>PENJELASAN DARI RATING</t>
  </si>
  <si>
    <t>AAA</t>
  </si>
  <si>
    <t>Outstanding</t>
  </si>
  <si>
    <t>Ini adalah rating tertinggi dan terbaik yang diberikan kepada debitur. Kapasitas debitur untuk memenuhi komitmen keuangannya pada pinjaman bank dipandang tidak diragukan.</t>
  </si>
  <si>
    <t>AA+</t>
  </si>
  <si>
    <t>Strong</t>
  </si>
  <si>
    <t>Debitur yang diberikan rating ‘AA’ hanya berbeda sedikit dari debitur yang diberikan rating tertinggi (AAA). Kapasitas debitur untuk memenuhi komitmen keuangannya pada pinjamannya sangat baik.</t>
  </si>
  <si>
    <t>AA</t>
  </si>
  <si>
    <t>AA-</t>
  </si>
  <si>
    <t>A+</t>
  </si>
  <si>
    <t>Good</t>
  </si>
  <si>
    <t>Debitur yang diberikan rating ‘A’ agak lebih rentan terhadap keadaan dan kondisi ekonomi yang memburuk dari pada debitur pada rating yang lebih tinggi. Meskipun demikian kapasitas debitur untuk memenuhi komitmen keuangannya pada obligasi masih kuat.</t>
  </si>
  <si>
    <t>A</t>
  </si>
  <si>
    <t>A-</t>
  </si>
  <si>
    <t>BBB+</t>
  </si>
  <si>
    <t>Average</t>
  </si>
  <si>
    <t>Debitur yang mendapat rating ‘BBB’ memperlihatkan kondisi yang memadai. Meskipun demikian kondisi ekonomi yang memburuk kemungkinan besar akan memperlemah kapasitas debitur untuk memenuhi komitmen keuangannya pada pinjamannya.</t>
  </si>
  <si>
    <t>BBB</t>
  </si>
  <si>
    <t>BBB-</t>
  </si>
  <si>
    <t>BB+</t>
  </si>
  <si>
    <t>Acceptable</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</si>
  <si>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</si>
  <si>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BB</t>
  </si>
  <si>
    <t>BB-</t>
  </si>
  <si>
    <t>High Risk</t>
  </si>
  <si>
    <t>B+</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</si>
  <si>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</si>
  <si>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B</t>
  </si>
  <si>
    <t>Watch List</t>
  </si>
  <si>
    <t>B-</t>
  </si>
  <si>
    <t>CCC+</t>
  </si>
  <si>
    <t>Special Mention</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</si>
  <si>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</si>
  <si>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CCC</t>
  </si>
  <si>
    <t>CCC-</t>
  </si>
  <si>
    <t>Substandard</t>
  </si>
  <si>
    <t>D</t>
  </si>
  <si>
    <t>Doubtful</t>
  </si>
  <si>
    <t xml:space="preserve">Tidak prospektif. Rating ini diberikan kepada debitur yang diperkirakan akan menjadi kredit macet. </t>
  </si>
  <si>
    <t>Unrated</t>
  </si>
  <si>
    <t>SCORE</t>
  </si>
  <si>
    <t>RATING</t>
  </si>
  <si>
    <t>STATUS</t>
  </si>
  <si>
    <t>IDR</t>
  </si>
  <si>
    <t>Mutasi Debet</t>
  </si>
  <si>
    <t>Mutasi Kredit</t>
  </si>
  <si>
    <t>Debet</t>
  </si>
  <si>
    <t>Saldo Akhir</t>
  </si>
  <si>
    <t>Rata-rata</t>
  </si>
  <si>
    <t>FQ</t>
  </si>
  <si>
    <t>Rata2 Transaksi</t>
  </si>
  <si>
    <t>DEBET</t>
  </si>
  <si>
    <t xml:space="preserve">RATA2 </t>
  </si>
  <si>
    <t>SALDO AKHIR</t>
  </si>
  <si>
    <t>*</t>
  </si>
  <si>
    <t>Fidusia</t>
  </si>
  <si>
    <t>Nilai Bank</t>
  </si>
  <si>
    <t>RATA-RATA</t>
  </si>
  <si>
    <t>Pelunasan Hutang Dagang &amp; Bank</t>
  </si>
  <si>
    <t>Ya</t>
  </si>
  <si>
    <t>PETUGAS VERIFIKASI</t>
  </si>
  <si>
    <t>CATATAN</t>
  </si>
  <si>
    <t>Jabatan</t>
  </si>
  <si>
    <t>Tanda tangan</t>
  </si>
  <si>
    <t>Kepala Cabang</t>
  </si>
  <si>
    <t>flat</t>
  </si>
  <si>
    <t>Terdapat Kol 2 di 12 bulan terakhir</t>
  </si>
  <si>
    <t>Terdapat Kol 3,4 dan 5 di 12 bulan terakhir</t>
  </si>
  <si>
    <t>Tidak pernah terlambat 12 bulan terakhir</t>
  </si>
  <si>
    <t>AGUNAN</t>
  </si>
  <si>
    <t>a. Kepemilikan Tempat Tinggal</t>
  </si>
  <si>
    <t>b. Lama Menetap</t>
  </si>
  <si>
    <t>c. Reputasi di Lingkungan Tempat Tinggal</t>
  </si>
  <si>
    <t>b. Saldo Rekening Rata-rata per Bulan</t>
  </si>
  <si>
    <t>c. Mutasi Rekening Rata-rata per Bulan</t>
  </si>
  <si>
    <t xml:space="preserve">INFORMASI DASAR </t>
  </si>
  <si>
    <t>C</t>
  </si>
  <si>
    <t>TEMPAT TINGGAL NASABAH</t>
  </si>
  <si>
    <t>INFORMASI USAHA</t>
  </si>
  <si>
    <t>HUBUNGAN DENGAN BANK</t>
  </si>
  <si>
    <t>F</t>
  </si>
  <si>
    <t>KAPASITAS MEMBAYAR PINJAMAN</t>
  </si>
  <si>
    <t>G</t>
  </si>
  <si>
    <t>b. Repayment Capacity (RPC)</t>
  </si>
  <si>
    <t>Pembiayaan Investasi</t>
  </si>
  <si>
    <t>Pembiayaan Usaha Banggai</t>
  </si>
  <si>
    <t>Kebutuhan Pembiayaan</t>
  </si>
  <si>
    <t>Angsuran Perbulan</t>
  </si>
  <si>
    <t>Harga Pokok Pembelian (HPP)</t>
  </si>
  <si>
    <t>Tanggal Usulan</t>
  </si>
  <si>
    <t>Dari</t>
  </si>
  <si>
    <t>Account Officer</t>
  </si>
  <si>
    <t>Kepada</t>
  </si>
  <si>
    <t>Komite Pemutus Pembiayaan (KMPP)</t>
  </si>
  <si>
    <t>Perihal</t>
  </si>
  <si>
    <t>MEMO KEPUTUSAN PEMBIAYAAN</t>
  </si>
  <si>
    <t xml:space="preserve">Jangka Waktu </t>
  </si>
  <si>
    <t>5. PERMOHONAN PEMBIAYAAN</t>
  </si>
  <si>
    <t>d. Riwayat Pembiayaan Bank (SLIK)</t>
  </si>
  <si>
    <t>a. Jangka Waktu Pembiayaan</t>
  </si>
  <si>
    <t>USULAN PEMBIAYAAN</t>
  </si>
  <si>
    <t>Non Tunai</t>
  </si>
  <si>
    <t>Non Tunai &amp; Tunai</t>
  </si>
  <si>
    <t>Lebih besar dari Pembiayaan yang dimohon</t>
  </si>
  <si>
    <t xml:space="preserve">STEP 5 - JANGKA WAKTU </t>
  </si>
  <si>
    <t xml:space="preserve">Jangka waktu </t>
  </si>
  <si>
    <t>Belum memiliki kredit/Pembiayaan</t>
  </si>
  <si>
    <t>MMQ</t>
  </si>
  <si>
    <t>Murabahah</t>
  </si>
  <si>
    <t>Istishna</t>
  </si>
  <si>
    <t>Salam</t>
  </si>
  <si>
    <t>Ijarah</t>
  </si>
  <si>
    <t>IMBT</t>
  </si>
  <si>
    <t>Ijarah Multijasa</t>
  </si>
  <si>
    <t>Musyarakah</t>
  </si>
  <si>
    <t>Mudharabah</t>
  </si>
  <si>
    <t>Qardh Haji</t>
  </si>
  <si>
    <t xml:space="preserve">Qardh  </t>
  </si>
  <si>
    <t>Akad Pembiayaan</t>
  </si>
  <si>
    <t>1 Modal Kerja</t>
  </si>
  <si>
    <t>2 Investasi</t>
  </si>
  <si>
    <t>3 Konsumtif</t>
  </si>
  <si>
    <t>Perizinan yang dimiliki</t>
  </si>
  <si>
    <t>Debitur yang diberikan rating ‘AA+’ hanya berbeda sedikit dari debitur yang diberikan rating tertinggi (AAA). Kapasitas debitur untuk memenuhi komitmen keuangannya pada pinjamannya sangat baik.</t>
  </si>
  <si>
    <t>Debitur yang diberikan rating ‘AA-’ hanya berbeda sedikit dari debitur yang diberikan rating tertinggi (AAA). Kapasitas debitur untuk memenuhi komitmen keuangannya pada pinjamannya sangat baik.</t>
  </si>
  <si>
    <t>Debitur yang diberikan rating ‘A+’ agak lebih rentan terhadap keadaan dan kondisi ekonomi yang memburuk dari pada debitur pada rating yang lebih tinggi. Meskipun demikian kapasitas debitur untuk memenuhi komitmen keuangannya pada obligasi masih kuat.</t>
  </si>
  <si>
    <t>Debitur yang diberikan rating ‘A-’ agak lebih rentan terhadap keadaan dan kondisi ekonomi yang memburuk dari pada debitur pada rating yang lebih tinggi. Meskipun demikian kapasitas debitur untuk memenuhi komitmen keuangannya pada obligasi masih kuat.</t>
  </si>
  <si>
    <t>Debitur yang mendapat rating ‘BBB+’ memperlihatkan kondisi yang memadai. Meskipun demikian kondisi ekonomi yang memburuk kemungkinan besar akan memperlemah kapasitas debitur untuk memenuhi komitmen keuangannya pada pinjamannya.</t>
  </si>
  <si>
    <t>Debitur yang mendapat rating ‘BBB-’ memperlihatkan kondisi yang memadai. Meskipun demikian kondisi ekonomi yang memburuk kemungkinan besar akan memperlemah kapasitas debitur untuk memenuhi komitmen keuangannya pada pinjamannya.</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</si>
  <si>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</si>
  <si>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</si>
  <si>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</si>
  <si>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</si>
  <si>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</si>
  <si>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</si>
  <si>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Margin</t>
  </si>
  <si>
    <t>Harga Jual</t>
  </si>
  <si>
    <t>Expected Return/Bulan</t>
  </si>
  <si>
    <t>Angsuran/Bulan I</t>
  </si>
  <si>
    <t>Angsuran/Bulan II</t>
  </si>
  <si>
    <t>Plafond Maksimal</t>
  </si>
  <si>
    <t>Plafond yang Diajukan</t>
  </si>
  <si>
    <t>RPC &gt;3 s.d 5</t>
  </si>
  <si>
    <t>Harga Pokok</t>
  </si>
  <si>
    <t>4.</t>
  </si>
  <si>
    <t>5.</t>
  </si>
  <si>
    <t>6.</t>
  </si>
  <si>
    <t>7.</t>
  </si>
  <si>
    <t>8.</t>
  </si>
  <si>
    <t>Pengusul,</t>
  </si>
  <si>
    <t>MANAJEMEN RISIKO</t>
  </si>
  <si>
    <t>- Usaha (Pengusaha): Moral Hazar, Omset Usaha Menurun dll</t>
  </si>
  <si>
    <t>- Pekerjaan (Karyawan): Moral Hazar, PHK, Perusahaan Gulung Tikar, dll</t>
  </si>
  <si>
    <t>- Lembaga Pendidikan: Moral Hazar Pengurus, Konflik Pengurus, Jumlah Siswa/Santri/Mahasiswa Menurun</t>
  </si>
  <si>
    <t>Risiko Hukum</t>
  </si>
  <si>
    <t>Risiko Kematian</t>
  </si>
  <si>
    <t xml:space="preserve"> Kantor</t>
  </si>
  <si>
    <t>Nama Account Officer</t>
  </si>
  <si>
    <t>ANALISA PLAFOND</t>
  </si>
  <si>
    <t>VERIFIKASI</t>
  </si>
  <si>
    <t xml:space="preserve"> No. MUP</t>
  </si>
  <si>
    <t>Surplus Cashflow</t>
  </si>
  <si>
    <t>Desa/Kelurahan :</t>
  </si>
  <si>
    <t>Pefindo</t>
  </si>
  <si>
    <t>SD</t>
  </si>
  <si>
    <t>Dip./S1-S3</t>
  </si>
  <si>
    <t>Zaenal Abidin</t>
  </si>
  <si>
    <t>Taufik Rizki Rulandi</t>
  </si>
  <si>
    <t>Sobirin</t>
  </si>
  <si>
    <t>Futuh Ihsan Salsabil</t>
  </si>
  <si>
    <t>Rifal Andriana</t>
  </si>
  <si>
    <t>Fery Andika</t>
  </si>
  <si>
    <t>Fajrul Islamy</t>
  </si>
  <si>
    <t>Sudarlam</t>
  </si>
  <si>
    <t>Miftah Al Maragi</t>
  </si>
  <si>
    <t>Muhamad Rahmat</t>
  </si>
  <si>
    <t>Asep Ridwan</t>
  </si>
  <si>
    <t>Mohammad Husen</t>
  </si>
  <si>
    <t>RPC &lt;1.25</t>
  </si>
  <si>
    <t>RPC 1.25 s.d 3</t>
  </si>
  <si>
    <t xml:space="preserve">STEP 8 - PENYESUAIAN / ADJUSTMENT </t>
  </si>
  <si>
    <t>Tidak Diasuransikan</t>
  </si>
  <si>
    <t>Pengikatan Notaril</t>
  </si>
  <si>
    <t>Tidak Pengikatan Notaril</t>
  </si>
  <si>
    <t>kdprd</t>
  </si>
  <si>
    <t>prd</t>
  </si>
  <si>
    <t>PKE</t>
  </si>
  <si>
    <t>Harga Pokok Sewa</t>
  </si>
  <si>
    <t>Ujroh</t>
  </si>
  <si>
    <t>Harga Jual Sewa</t>
  </si>
  <si>
    <t>Angsuran</t>
  </si>
  <si>
    <t>Mengetahui,</t>
  </si>
  <si>
    <t>KREDIT</t>
  </si>
  <si>
    <t>&gt;2 sd. 5 Orang</t>
  </si>
  <si>
    <t>&gt;5 sd. 10 Orang</t>
  </si>
  <si>
    <t>Asuransi Jiwa Syariah</t>
  </si>
  <si>
    <t>Pengikatan Agunan</t>
  </si>
  <si>
    <t>Asuransi Agunan</t>
  </si>
  <si>
    <t>Asuransi Jiwa PYD</t>
  </si>
  <si>
    <t>3. PERSEDIAAN</t>
  </si>
  <si>
    <t xml:space="preserve">H </t>
  </si>
  <si>
    <t>ASURANSI</t>
  </si>
  <si>
    <t>a. Asuransi Jiwa</t>
  </si>
  <si>
    <t>b. Asuransi Agunan</t>
  </si>
  <si>
    <t>HASIL SKORING</t>
  </si>
  <si>
    <t>Repayment Capacity</t>
  </si>
  <si>
    <t>Tidak baik</t>
  </si>
  <si>
    <t>Dikenal memiliki reputasi baik</t>
  </si>
  <si>
    <t>Sampai dengan 50 % dari Pembiayaan yang dimohon</t>
  </si>
  <si>
    <t>Sampai dengan 25 % dari Pembiayaan yang dimohon</t>
  </si>
  <si>
    <t>Tidak ada/sebagian kecil dari Pembiayaan yang dimohon</t>
  </si>
  <si>
    <t>Usia :</t>
  </si>
  <si>
    <t>Terdapat pencatatan usaha namun tidak ada pemisahan dengan keuangan lainnya</t>
  </si>
  <si>
    <t>Presentase Agunan terhadap Pembiayaan</t>
  </si>
  <si>
    <t>Surplus/Minus Cashflow</t>
  </si>
  <si>
    <t>a. Hubungan Dengan Perbankan</t>
  </si>
  <si>
    <t>KEPUTUSAN PEMBIAYAAN</t>
  </si>
  <si>
    <t>Pokok</t>
  </si>
  <si>
    <t/>
  </si>
  <si>
    <t>APHT</t>
  </si>
  <si>
    <t>jw</t>
  </si>
  <si>
    <t>Total Angsuran</t>
  </si>
  <si>
    <t>efektif</t>
  </si>
  <si>
    <t>margin</t>
  </si>
  <si>
    <t>total</t>
  </si>
  <si>
    <t>No.</t>
  </si>
  <si>
    <t>Nasabah,</t>
  </si>
  <si>
    <t>Suami/Istri</t>
  </si>
  <si>
    <t>SKMHT</t>
  </si>
  <si>
    <t>Di Bawah Tangan</t>
  </si>
  <si>
    <t>Legalisasi</t>
  </si>
  <si>
    <t>Kebutuhan Pembiayaan Modal Kerja, Investasi&amp;Konsumtif- RPC</t>
  </si>
  <si>
    <t>Maksimal Pembiayaan (RPC)</t>
  </si>
  <si>
    <t>Maksimal Pembiayaan (Perputaran)</t>
  </si>
  <si>
    <t>Harga Pokok Barang</t>
  </si>
  <si>
    <t>Urbun/Uang Muka I</t>
  </si>
  <si>
    <t>Urbun/Uang Muka II</t>
  </si>
  <si>
    <t>9.</t>
  </si>
  <si>
    <t>10.</t>
  </si>
  <si>
    <t>11.</t>
  </si>
  <si>
    <t>Risiko Usaha</t>
  </si>
  <si>
    <t>Risiko Agunan</t>
  </si>
  <si>
    <t>Asuransi Kerugian Syariah</t>
  </si>
  <si>
    <t>I</t>
  </si>
  <si>
    <t>Risiko Sangat Tinggi</t>
  </si>
  <si>
    <t>Risiko Tinggi</t>
  </si>
  <si>
    <t>Risiko Sedang</t>
  </si>
  <si>
    <t>Risiko Rendah</t>
  </si>
  <si>
    <t>Risiko Sangat Rendah</t>
  </si>
  <si>
    <t>&lt;70</t>
  </si>
  <si>
    <t>&gt;=70 sd &lt;80</t>
  </si>
  <si>
    <t>&gt;=80 sd &lt;90</t>
  </si>
  <si>
    <t>&gt;=90</t>
  </si>
  <si>
    <t>Pembiayaan ke-</t>
  </si>
  <si>
    <t>1-2</t>
  </si>
  <si>
    <t>3-4</t>
  </si>
  <si>
    <t>&gt;=5</t>
  </si>
  <si>
    <t>RANK</t>
  </si>
  <si>
    <t>c. Permohonan Pembiayaan Ke-</t>
  </si>
  <si>
    <t>RISIKO NASABAH</t>
  </si>
  <si>
    <t>HASIL SCORING DEBITUR</t>
  </si>
  <si>
    <t>Nama (M)</t>
  </si>
  <si>
    <t>Tempat Lahir (M)</t>
  </si>
  <si>
    <t>NIK (M)</t>
  </si>
  <si>
    <t>Alamat (M)</t>
  </si>
  <si>
    <t>HP (M)</t>
  </si>
  <si>
    <t>Status (PG)</t>
  </si>
  <si>
    <t>Jumlah Tanggungan (PG)</t>
  </si>
  <si>
    <t>Pendidikan Terakhir (PG)</t>
  </si>
  <si>
    <t>No. KTP/SIM/Paspor (M)</t>
  </si>
  <si>
    <t>Indikator Reputasi di Tempat Tinggal dan Usaha (M)</t>
  </si>
  <si>
    <t>Lama Menetap (PG)</t>
  </si>
  <si>
    <t>Sektor Ekonomi (PG)</t>
  </si>
  <si>
    <t>Jenis Penggunaan (PG)</t>
  </si>
  <si>
    <t>Nama Gadis Ibu Kandung (M)</t>
  </si>
  <si>
    <t>Nama Pasangan (Suami-Istri) (M)</t>
  </si>
  <si>
    <t>Tempat/Tanggal Lahir (M)</t>
  </si>
  <si>
    <t>Pekerjaan Pasangan (Suami-Istri) (M)</t>
  </si>
  <si>
    <t>Dihubungi dan Tidak Serumah (M)</t>
  </si>
  <si>
    <t>Kantor (PG)</t>
  </si>
  <si>
    <t>Tanggal Analisa (M)</t>
  </si>
  <si>
    <t>Status Tempat Tinggal (PG)</t>
  </si>
  <si>
    <t>Reputasi di  Tempat Tinggal dan Usaha (PG)</t>
  </si>
  <si>
    <t>Lama Berusaha (PG)</t>
  </si>
  <si>
    <t>Sistem Penjualan (PG)</t>
  </si>
  <si>
    <t>Kepemilikan Tempat Usaha (PG)</t>
  </si>
  <si>
    <t>Lokasi Usaha (PG)</t>
  </si>
  <si>
    <t>Daerah Pemasaran (PG)</t>
  </si>
  <si>
    <t>Pengelolaan Keuangan (PG)</t>
  </si>
  <si>
    <t>Jumlah Tenaga Kerja (PG)</t>
  </si>
  <si>
    <t>Kewajiban / Hutang Dagang (PG)</t>
  </si>
  <si>
    <t>Hubungan dengan perbankan (PG)</t>
  </si>
  <si>
    <r>
      <t xml:space="preserve">Riwayat Kredit/Pemb di </t>
    </r>
    <r>
      <rPr>
        <sz val="9"/>
        <rFont val="Courier New"/>
        <family val="3"/>
      </rPr>
      <t>bank (SLIK)</t>
    </r>
    <r>
      <rPr>
        <b/>
        <sz val="9"/>
        <rFont val="Courier New"/>
        <family val="3"/>
      </rPr>
      <t xml:space="preserve"> (PG)</t>
    </r>
  </si>
  <si>
    <t>Permohonan Pembiayaan Ke- (PG)</t>
  </si>
  <si>
    <t>Tanggal Permohonan (M)</t>
  </si>
  <si>
    <t>Lokasi Usaha (M)</t>
  </si>
  <si>
    <t>Gambaran Daerah Sekitar Lokasi Usaha (M)</t>
  </si>
  <si>
    <t>Sarana &amp; Prasarana yang dimiliki (M)</t>
  </si>
  <si>
    <t>Perolehan / Ketersedian Bahan Baku (M)</t>
  </si>
  <si>
    <t>Hubungan dengan Suplier (M)</t>
  </si>
  <si>
    <t>Gambaran Singkat Proses Produksi (M)</t>
  </si>
  <si>
    <t>Sistem Penjualan (M)</t>
  </si>
  <si>
    <t>Daerah Pemasaran (M)</t>
  </si>
  <si>
    <t>Saluran Distribusi (M)</t>
  </si>
  <si>
    <t>Bentuk Usaha (M)</t>
  </si>
  <si>
    <t>Risiko: Tunggakan pembayaran angsuran pembiayaan</t>
  </si>
  <si>
    <t>Perhatian:</t>
  </si>
  <si>
    <t>Kotak Warna Putih Diisi Manual</t>
  </si>
  <si>
    <t>DATA</t>
  </si>
  <si>
    <t>Jenis Margin</t>
  </si>
  <si>
    <t>Plafond</t>
  </si>
  <si>
    <t>%Margin/bulan</t>
  </si>
  <si>
    <t>KONVERSI</t>
  </si>
  <si>
    <t>FLAT</t>
  </si>
  <si>
    <t>EFEKTIF</t>
  </si>
  <si>
    <t>OS. Pokok</t>
  </si>
  <si>
    <t>tot angsur</t>
  </si>
  <si>
    <t>os pokok</t>
  </si>
  <si>
    <t>o</t>
  </si>
  <si>
    <t>Tahun:</t>
  </si>
  <si>
    <t>II</t>
  </si>
  <si>
    <t>III</t>
  </si>
  <si>
    <t>IV</t>
  </si>
  <si>
    <t>V</t>
  </si>
  <si>
    <t>VI</t>
  </si>
  <si>
    <t>VII</t>
  </si>
  <si>
    <t>VIII</t>
  </si>
  <si>
    <t>IX</t>
  </si>
  <si>
    <t>XI</t>
  </si>
  <si>
    <t>XII</t>
  </si>
  <si>
    <t>ASSET YANG DIMILIKI</t>
  </si>
  <si>
    <t>Saldo Bank</t>
  </si>
  <si>
    <t>Tingkat Risiko Nasabah</t>
  </si>
  <si>
    <t>Konsumtif</t>
  </si>
  <si>
    <t>Atas Nama</t>
  </si>
  <si>
    <t>min</t>
  </si>
  <si>
    <t>mid</t>
  </si>
  <si>
    <t>RPC &gt;4.50 sd. 6.50</t>
  </si>
  <si>
    <t>RPC &gt;6.50</t>
  </si>
  <si>
    <t>RPC 1.25 sd. 3</t>
  </si>
  <si>
    <t>RPC &gt;3 sd. 5</t>
  </si>
  <si>
    <t>RPC &gt;5</t>
  </si>
  <si>
    <t>RPC &lt;1.33</t>
  </si>
  <si>
    <t>RPC 1.33 sd. 3.25</t>
  </si>
  <si>
    <t>RPC &gt;3.25 sd. 6.25</t>
  </si>
  <si>
    <t>RPC &gt;6.25</t>
  </si>
  <si>
    <t>RPC &lt;1.43</t>
  </si>
  <si>
    <t>RPC 1.43 sd. 4.50</t>
  </si>
  <si>
    <t/>
  </si>
  <si>
    <t>Fariz Fajar Ryadi</t>
  </si>
  <si>
    <t>- Usaha (Pengusaha): Moral Hazar, Omset Usaha Menurun, Usaha Bangkrut, dll</t>
  </si>
  <si>
    <t>Risiko Nasabah Wanprestasi</t>
  </si>
  <si>
    <t>- Nasabah Meninggal Dunia</t>
  </si>
  <si>
    <t>Pokok (Hishah)</t>
  </si>
  <si>
    <t>Proyeksi Bagi Hasil</t>
  </si>
  <si>
    <t>6. PENJUALAN</t>
  </si>
  <si>
    <t>7. BIAYA TENAGA KERJA</t>
  </si>
  <si>
    <t>8. BIAYA USAHA</t>
  </si>
  <si>
    <t>9. BIAYA RUMAH TANGGA</t>
  </si>
  <si>
    <t>10. BIAYA &amp; PENDAPATAN LAINNYA</t>
  </si>
  <si>
    <t>Peralatan</t>
  </si>
  <si>
    <t>Tanah&amp;Bangunan</t>
  </si>
  <si>
    <t>Kendaraan</t>
  </si>
  <si>
    <t>Maksimal Pembiayaan</t>
  </si>
  <si>
    <t>Maks. Pembiayaan Berdasarkan Modal</t>
  </si>
  <si>
    <t>ASSET PRIBADI</t>
  </si>
  <si>
    <t>---∞∞∞∞∞¶¶¶¶¶∞∞∞∞∞---</t>
  </si>
  <si>
    <t>Pembiayaan Bank</t>
  </si>
  <si>
    <t>Angsuran Margin/Bulan</t>
  </si>
  <si>
    <t>Angsuran Pokok/Bulan</t>
  </si>
  <si>
    <t>Total Angsuran/Bulan</t>
  </si>
  <si>
    <t>Angsuran Pokok</t>
  </si>
  <si>
    <t>Harga Pokok sewa</t>
  </si>
  <si>
    <t>Ujroh Sewa/Bulan</t>
  </si>
  <si>
    <t>Ujroh Sewa (Setara)/Bulan</t>
  </si>
  <si>
    <t>Angsuran Pokok Sewa/Bulan</t>
  </si>
  <si>
    <t>Total Angsuran Sewa/Bln</t>
  </si>
  <si>
    <t>Harga Pasar Aset</t>
  </si>
  <si>
    <t>Harga Aset yang Dibeli Bank dari Nas.</t>
  </si>
  <si>
    <t>Harga Aset yang Disewa Nasabah</t>
  </si>
  <si>
    <t>Nilai Proyek</t>
  </si>
  <si>
    <t>Modal Nasabah</t>
  </si>
  <si>
    <t>Modal Bank</t>
  </si>
  <si>
    <t>Bagi Hasil Atas Sewa</t>
  </si>
  <si>
    <t>Kepemilikan Aset Bank (Hishah)</t>
  </si>
  <si>
    <t>Kepemilikan Aset Nasabah (Hishah)</t>
  </si>
  <si>
    <t>Penebusan Aset/Hishah Oleh Nas.</t>
  </si>
  <si>
    <t>12.</t>
  </si>
  <si>
    <t>13.</t>
  </si>
  <si>
    <t>14.</t>
  </si>
  <si>
    <t>Nasabah Wanprestasi/Melakukan Gugatan Hukum/Penyalahgunaan Agunan</t>
  </si>
  <si>
    <t>(TLO/All-Risk/Kebakaran)</t>
  </si>
  <si>
    <t>Pick-Up Angsuran/Adanya Agunan</t>
  </si>
  <si>
    <t>NIB</t>
  </si>
  <si>
    <r>
      <t>LT</t>
    </r>
    <r>
      <rPr>
        <b/>
        <vertAlign val="superscript"/>
        <sz val="11"/>
        <rFont val="Calibri"/>
        <family val="2"/>
      </rPr>
      <t>2</t>
    </r>
  </si>
  <si>
    <r>
      <t>LB</t>
    </r>
    <r>
      <rPr>
        <b/>
        <vertAlign val="superscript"/>
        <sz val="11"/>
        <rFont val="Calibri"/>
        <family val="2"/>
      </rPr>
      <t>2</t>
    </r>
  </si>
  <si>
    <t xml:space="preserve">Os. Pokok </t>
  </si>
  <si>
    <t>KJPP/Internal</t>
  </si>
  <si>
    <t>Sertipikat Hak Milik</t>
  </si>
  <si>
    <t>Sertipikat Hak Guna Bangunan</t>
  </si>
  <si>
    <t>- Agunan Tanah/Bangunan</t>
  </si>
  <si>
    <t>ASPEK LEGALITAS USAHA</t>
  </si>
  <si>
    <t>Sertipikat Rusun/Apartemen</t>
  </si>
  <si>
    <t>Sertipikat Hak Guna Usaha</t>
  </si>
  <si>
    <t>Akta Jual Beli</t>
  </si>
  <si>
    <t>Akta Hibah</t>
  </si>
  <si>
    <t>SIPTB</t>
  </si>
  <si>
    <t>SKMHT&amp;APHT</t>
  </si>
  <si>
    <t>Warmeking</t>
  </si>
  <si>
    <t>Peng-ikatan</t>
  </si>
  <si>
    <t>BPKB-Merek</t>
  </si>
  <si>
    <t>Type</t>
  </si>
  <si>
    <t>Thn</t>
  </si>
  <si>
    <t>No. BPKB</t>
  </si>
  <si>
    <t>Nopol</t>
  </si>
  <si>
    <t>Os. Pokok</t>
  </si>
  <si>
    <t>- Surat Berharga/Logam Mulia</t>
  </si>
  <si>
    <t>Bukti Pengguanaan Dana Pembiayaan Sebelumnya (PG)</t>
  </si>
  <si>
    <t>Manajer Bisnis</t>
  </si>
  <si>
    <t>(Sudah diserahkan kepada penjual, bukti pembayaran/ kwitansi terlampir)</t>
  </si>
  <si>
    <t>Mitigasi Risiko (PG)</t>
  </si>
  <si>
    <t xml:space="preserve">Mitigasi Risiko </t>
  </si>
  <si>
    <t>Remedial (Surat Panggilan-Surat Peringatan/Somasi)/Eksekusi Agunan</t>
  </si>
  <si>
    <t>Non Litigasi (Musyawarah/Mediasi)</t>
  </si>
  <si>
    <t>Litigasi, Gugatan Melalui: (PA/KPKNL/Kepolisian)</t>
  </si>
  <si>
    <t>- Agunan rumah/bangunan kebakaran</t>
  </si>
  <si>
    <t>- Agunan kendaraan hilang/rusak</t>
  </si>
  <si>
    <t>Jenis Kategori Nasabah (PG)</t>
  </si>
  <si>
    <t>&gt;8 Tahun</t>
  </si>
  <si>
    <t>7 - 8 Tahun</t>
  </si>
  <si>
    <t>5 - 6 Tahun</t>
  </si>
  <si>
    <t>3 - 4 Tahun</t>
  </si>
  <si>
    <t>1 - 2 Tahun</t>
  </si>
  <si>
    <t>Qardh</t>
  </si>
  <si>
    <t>MMQ RS</t>
  </si>
  <si>
    <t>IMBT RS</t>
  </si>
  <si>
    <t>Proyeksi Bagi Hasil/Bulan</t>
  </si>
  <si>
    <t>Proyeksi Angsuran Pokok&amp;Bagas/Bln</t>
  </si>
  <si>
    <t>Proyeksi Surplus/Minus Cashflow</t>
  </si>
  <si>
    <t>Proyeksi Angsuran Pokok/Bulan</t>
  </si>
  <si>
    <t>Nama AO (M)</t>
  </si>
  <si>
    <t>Jenis Surat/Dokumen (PG)</t>
  </si>
  <si>
    <t>Nilai Bank (O)</t>
  </si>
  <si>
    <t>Total (O)</t>
  </si>
  <si>
    <t>Paripasu (M)</t>
  </si>
  <si>
    <t>Agunan % (M)</t>
  </si>
  <si>
    <t>Jenis Asset (M)</t>
  </si>
  <si>
    <t>Nama Bank (O)</t>
  </si>
  <si>
    <t>Tahun Perolehan (M)</t>
  </si>
  <si>
    <t>Nilai Taksasi Bank (M)</t>
  </si>
  <si>
    <t>Kas (M)</t>
  </si>
  <si>
    <t>KETERANGAN: LAMA PIUTANG &lt;=12 Bulan</t>
  </si>
  <si>
    <t>NAMA (M)</t>
  </si>
  <si>
    <t>JUMLAH (M)</t>
  </si>
  <si>
    <t>HARGA (M)</t>
  </si>
  <si>
    <t>TOTAL (O)</t>
  </si>
  <si>
    <t>NAMA BARANG (M)</t>
  </si>
  <si>
    <t>SATUAN (M)</t>
  </si>
  <si>
    <t>NAMA BANK (M)</t>
  </si>
  <si>
    <t>PLAFOND (M)</t>
  </si>
  <si>
    <t>BAKI DEBET (O)</t>
  </si>
  <si>
    <t>MARGIN/TH (M)</t>
  </si>
  <si>
    <t>TGL MULAI (M)</t>
  </si>
  <si>
    <t>TGL AKHIR (M)</t>
  </si>
  <si>
    <t>% (PG)</t>
  </si>
  <si>
    <t>DILUNASI (PG)</t>
  </si>
  <si>
    <t>PANGSA (M)</t>
  </si>
  <si>
    <t>KOL (M)</t>
  </si>
  <si>
    <t>Baki Debet (O)</t>
  </si>
  <si>
    <t>Nama Barang (M)</t>
  </si>
  <si>
    <t>HARI (M)</t>
  </si>
  <si>
    <t>Omzet/Hari (M)</t>
  </si>
  <si>
    <t>Omzet/Bulan (O)</t>
  </si>
  <si>
    <t>Nama Barang (O)</t>
  </si>
  <si>
    <t>HARI (O)</t>
  </si>
  <si>
    <t>Omzet/Hari (O)</t>
  </si>
  <si>
    <t>Nominal (O)</t>
  </si>
  <si>
    <t>% (M)</t>
  </si>
  <si>
    <t>Rata-rata penjualan selama 3 bulan terakhir (O)</t>
  </si>
  <si>
    <t>Penjualan Non Tunai/Konsinyasi (O)</t>
  </si>
  <si>
    <t>Penjualan Tunai (O)</t>
  </si>
  <si>
    <t>Jumlah Tenaga Kerja Yang Digaji Harian (M)</t>
  </si>
  <si>
    <t>Besarnya Upah Per Hari Per Orang (M)</t>
  </si>
  <si>
    <t>Jumlah Tenaga Kerja Yang Digaji Mingguan (M)</t>
  </si>
  <si>
    <t>Besarnya Upah Per Minggu Per Orang (M)</t>
  </si>
  <si>
    <t>Jumlah Tenaga Kerja Yang Digaji Bulanan (M)</t>
  </si>
  <si>
    <t>Besarnya Upah Per Bulan Per Orang (M)</t>
  </si>
  <si>
    <t>TOTAL BIAYA TENAGA KERJA (O)</t>
  </si>
  <si>
    <t>TOTAL BIAYA USAHA (O)</t>
  </si>
  <si>
    <t>Belanja Keperluan Rumah Tangga (M)</t>
  </si>
  <si>
    <t>Biaya Pendidikan &amp; Uang Saku Anak (M)</t>
  </si>
  <si>
    <t>Biaya Listrik &amp; Air - RUMAH (M)</t>
  </si>
  <si>
    <t>Biaya Hp - RUMAH (M)</t>
  </si>
  <si>
    <t>TOTAL BIAYA RUMAH TANGGA (O)</t>
  </si>
  <si>
    <t>JENIS BIAYA (M)</t>
  </si>
  <si>
    <t>NOMINAL PER BULAN (M)</t>
  </si>
  <si>
    <t>TOTAL BIAYA LAIN-LAIN (O)</t>
  </si>
  <si>
    <t>JENIS PENDAPATAN (M)</t>
  </si>
  <si>
    <t>TOTAL PENDAPATAN LAIN-LAIN (O)</t>
  </si>
  <si>
    <t>O: Otomatis</t>
  </si>
  <si>
    <t>M: Manual</t>
  </si>
  <si>
    <t>PG: Pilihan Ganda</t>
  </si>
  <si>
    <t>Jangka Waktu/Bulan (M)</t>
  </si>
  <si>
    <t>Total Asset (O)</t>
  </si>
  <si>
    <t>BANK (M):</t>
  </si>
  <si>
    <t>Nomor Rekening (M):</t>
  </si>
  <si>
    <t>Atas Nama (M):</t>
  </si>
  <si>
    <t>Currency (M):</t>
  </si>
  <si>
    <t>Saldo Awal (M):</t>
  </si>
  <si>
    <t>Total Kas dan Bank (O)</t>
  </si>
  <si>
    <t/>
  </si>
  <si>
    <t>Jumlah Permohonan (M)</t>
  </si>
  <si>
    <t>Tujuan Penggunaan Dana (M)</t>
  </si>
  <si>
    <t>Akad Pembiayaan (PG)</t>
  </si>
  <si>
    <t>ASPEK TEKNIS USAHA</t>
  </si>
  <si>
    <t>Faktor Persaingan (M)</t>
  </si>
  <si>
    <t>TOTAL HARGA (O)</t>
  </si>
  <si>
    <t>4. HUTANG USAHA</t>
  </si>
  <si>
    <t>KETERANGAN</t>
  </si>
  <si>
    <t>- Agunan Kendaraan Bermotor</t>
  </si>
  <si>
    <t>ASPEK LEGALITAS AGUNAN</t>
  </si>
  <si>
    <t>2. PIUTANG USAHA</t>
  </si>
  <si>
    <t>Biaya Lain-Lain (M)</t>
  </si>
  <si>
    <t>Latar Belakang Nasabah (M)</t>
  </si>
  <si>
    <t>Pengalaman Usaha Nasabah (M)</t>
  </si>
  <si>
    <t>Jenis Kelamin (M)</t>
  </si>
  <si>
    <t>Porsi Penjualan Non Tunai (M)</t>
  </si>
  <si>
    <t>Peng-ikatan (PG)</t>
  </si>
  <si>
    <t>Jenis (M)</t>
  </si>
  <si>
    <t>Nomor (M)</t>
  </si>
  <si>
    <t>Atas Nama (M)</t>
  </si>
  <si>
    <t>Nominal (M)</t>
  </si>
  <si>
    <t>Nilai Agunan % (M)</t>
  </si>
  <si>
    <t>Laporan Keuangan</t>
  </si>
  <si>
    <t>Proforma</t>
  </si>
  <si>
    <t>Inhouse &amp; Proforma</t>
  </si>
  <si>
    <t>Inhouse</t>
  </si>
  <si>
    <t>Audit &amp; Inhouse</t>
  </si>
  <si>
    <t>Audit</t>
  </si>
  <si>
    <t>Jenis Laporan Keuangan (PG)</t>
  </si>
  <si>
    <t>ANGSURAN/BLN (O)</t>
  </si>
  <si>
    <t>Calon Nasabah</t>
  </si>
  <si>
    <t>ANGSURAN/BLN  (O)</t>
  </si>
  <si>
    <t>Lokasi Agunan (M)</t>
  </si>
  <si>
    <t>KJPP/Internal (M)</t>
  </si>
  <si>
    <t>a. Jenis Kategori Nasabah</t>
  </si>
  <si>
    <t>b. Jenis Kelamin</t>
  </si>
  <si>
    <t>c. Usia</t>
  </si>
  <si>
    <t>d. Status Perkawinan</t>
  </si>
  <si>
    <t>e. Jumlah Tanggungan</t>
  </si>
  <si>
    <t>f. Tingkat Pendidikan</t>
  </si>
  <si>
    <t>Biaya  Usaha</t>
  </si>
  <si>
    <t>Jumlah Permohonan</t>
  </si>
  <si>
    <t>a. Jenis Laporan Keuangan</t>
  </si>
  <si>
    <t>b. Lama Berusaha di Bidang yang Sama</t>
  </si>
  <si>
    <t>c. Sektor Ekonomi</t>
  </si>
  <si>
    <t>d. Tujuan Penggunaan Dana</t>
  </si>
  <si>
    <t>e. Cara Transaksi Usaha</t>
  </si>
  <si>
    <t>f. Kepemilikan Tempat Usaha</t>
  </si>
  <si>
    <t>g. Lokasi Usaha</t>
  </si>
  <si>
    <t>h. Daerah Pemasaran</t>
  </si>
  <si>
    <t>i. Jumlah Tenaga Kerja</t>
  </si>
  <si>
    <t>j. Pengelolaan Keuangan Usaha</t>
  </si>
  <si>
    <t>k. Kewajiban/Utang kepada Pihak Lain</t>
  </si>
  <si>
    <t>a. Persentase Agunan</t>
  </si>
  <si>
    <t>100% s.d 125%</t>
  </si>
  <si>
    <t>&gt;125% s.d 150%</t>
  </si>
  <si>
    <t>&gt;150%</t>
  </si>
  <si>
    <t>&lt;100%</t>
  </si>
  <si>
    <t>b. Pengikatan Agunan</t>
  </si>
  <si>
    <t>(SKMHT/APHT/Fidusia/Di Bawah Tangan)</t>
  </si>
  <si>
    <t>max</t>
  </si>
  <si>
    <t>%Repayment Capacity (RPC-NPM)</t>
  </si>
  <si>
    <t>Angsuran BANK</t>
  </si>
  <si>
    <t>Potensi Besarnya Angsuran</t>
  </si>
  <si>
    <t>Pendapatan Lain-Biaya Lain</t>
  </si>
  <si>
    <t>SALDO BANK LAIN</t>
  </si>
  <si>
    <t>Nama BANK</t>
  </si>
  <si>
    <t>No. Rekening</t>
  </si>
  <si>
    <t xml:space="preserve">B </t>
  </si>
  <si>
    <t>E</t>
  </si>
  <si>
    <t xml:space="preserve">    Total Nilai Agunan (O):</t>
  </si>
  <si>
    <t/>
  </si>
  <si>
    <t>PELUNASAN BANK</t>
  </si>
  <si>
    <t>TOTAL PELUNASAN (O)</t>
  </si>
  <si>
    <t/>
  </si>
  <si>
    <t/>
  </si>
  <si>
    <t/>
  </si>
  <si>
    <t/>
  </si>
  <si>
    <t/>
  </si>
  <si>
    <t>Deposito</t>
  </si>
  <si>
    <t/>
  </si>
  <si>
    <t/>
  </si>
  <si>
    <t/>
  </si>
  <si>
    <t/>
  </si>
  <si>
    <t/>
  </si>
  <si>
    <t/>
  </si>
  <si>
    <t/>
  </si>
  <si>
    <t/>
  </si>
  <si>
    <t/>
  </si>
  <si>
    <t/>
  </si>
  <si>
    <t/>
  </si>
  <si>
    <t/>
  </si>
  <si>
    <t/>
  </si>
  <si>
    <t/>
  </si>
  <si>
    <t/>
  </si>
  <si>
    <t/>
  </si>
  <si>
    <t/>
  </si>
  <si>
    <t/>
  </si>
  <si>
    <t/>
  </si>
  <si>
    <t/>
  </si>
  <si>
    <t/>
  </si>
  <si>
    <t/>
  </si>
  <si>
    <t/>
  </si>
  <si>
    <t/>
  </si>
  <si>
    <t/>
  </si>
  <si>
    <t/>
  </si>
  <si>
    <t/>
  </si>
  <si>
    <t/>
  </si>
  <si>
    <t/>
  </si>
  <si>
    <t>Sertifikat Halal</t>
  </si>
  <si>
    <t/>
  </si>
  <si>
    <t/>
  </si>
  <si>
    <t/>
  </si>
  <si>
    <t/>
  </si>
  <si>
    <t/>
  </si>
  <si>
    <t/>
  </si>
  <si>
    <t/>
  </si>
  <si>
    <t/>
  </si>
  <si>
    <t/>
  </si>
  <si>
    <t/>
  </si>
  <si>
    <t/>
  </si>
  <si>
    <t/>
  </si>
  <si>
    <t/>
  </si>
  <si>
    <t/>
  </si>
  <si>
    <t/>
  </si>
  <si>
    <t/>
  </si>
  <si>
    <t/>
  </si>
  <si>
    <t xml:space="preserve"> </t>
  </si>
  <si>
    <t/>
  </si>
  <si>
    <t/>
  </si>
  <si>
    <t/>
  </si>
  <si>
    <t>Nomor Proposal (M)</t>
  </si>
  <si>
    <t/>
  </si>
  <si>
    <t>SKU</t>
  </si>
  <si>
    <t>Kotak Warna Abu Jangan Diisi Manual (Otomatis)</t>
  </si>
  <si>
    <t>Nomor Register (M)</t>
  </si>
  <si>
    <t>Koordinator</t>
  </si>
  <si>
    <t>PROPOSAL PEMBIAYAAN</t>
  </si>
  <si>
    <t>Nomor Proposal</t>
  </si>
  <si>
    <t>PROPOSAL USULAN PEMBIAYAAN</t>
  </si>
  <si>
    <t>Bismillahhirahmannirrahim</t>
  </si>
  <si>
    <t>Biaya Administrasi</t>
  </si>
  <si>
    <t>Biaya Asuransi</t>
  </si>
  <si>
    <t>Biaya Notaris</t>
  </si>
  <si>
    <t>Tabungan Blokir</t>
  </si>
  <si>
    <t>15.</t>
  </si>
  <si>
    <t>16.</t>
  </si>
  <si>
    <t>17.</t>
  </si>
  <si>
    <t>18.</t>
  </si>
  <si>
    <t>19.</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</si>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</sst>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0_);_(* \(#,##0\);_(* &quot;-&quot;_);_(@_)"/>
    <numFmt numFmtId="43" formatCode="_(* #,##0.00_);_(* \(#,##0.00\);_(* &quot;-&quot;??_);_(@_)"/>
    <numFmt numFmtId="164" formatCode="_(&quot;Rp&quot;* #,##0_);_(&quot;Rp&quot;* \(#,##0\);_(&quot;Rp&quot;* &quot;-&quot;_);_(@_)"/>
    <numFmt numFmtId="165" formatCode="_(* #,##0_);_(* \(#,##0\);_(* &quot;-&quot;??_);_(@_)"/>
    <numFmt numFmtId="166" formatCode="#,##0.000_);\(#,##0.000\)"/>
    <numFmt numFmtId="167" formatCode="[$-409]dd\-mmm\-yy;@"/>
    <numFmt numFmtId="168" formatCode="[$-421]dd\ mmmm\ yyyy;@"/>
    <numFmt numFmtId="169" formatCode="dd/mmm/yyyy"/>
    <numFmt numFmtId="170" formatCode="_(* #,##0.00_);_(* \(#,##0.00\);_(* &quot;-&quot;_);_(@_)"/>
    <numFmt numFmtId="171" formatCode="0.0%"/>
    <numFmt numFmtId="172" formatCode="[$-409]d\-mmm\-yy;@"/>
    <numFmt numFmtId="173" formatCode="#,##0.0000"/>
    <numFmt numFmtId="174" formatCode="#,##0.00;[Red]#,##0.00"/>
    <numFmt numFmtId="175" formatCode="[$-409]mmm\-yy;@"/>
    <numFmt numFmtId="176" formatCode="0.00_)"/>
    <numFmt numFmtId="177" formatCode="0.0000_)"/>
    <numFmt numFmtId="178" formatCode="0.0_)"/>
    <numFmt numFmtId="179" formatCode="#,##0.000"/>
    <numFmt numFmtId="180" formatCode="0.0000000%"/>
    <numFmt numFmtId="181" formatCode="_(&quot;Rp.&quot;* #,##0_);_(&quot;Rp.&quot;* \(#,##0\);_(&quot;Rp.&quot;* &quot;-&quot;??_);_(@_)"/>
    <numFmt numFmtId="182" formatCode="_(* #,##0.000_);_(* \(#,##0.000\);_(* &quot;-&quot;_);_(@_)"/>
    <numFmt numFmtId="183" formatCode="[$-409]d\-mmm\-yyyy;@"/>
    <numFmt numFmtId="184" formatCode="_([$Rp-421]* #,##0_);_([$Rp-421]* \(#,##0\);_([$Rp-421]* &quot;-&quot;_);_(@_)"/>
    <numFmt numFmtId="185" formatCode="[$Rp-421]#,##0"/>
    <numFmt numFmtId="186" formatCode="[$Rp-421]#,##0_);\([$Rp-421]#,##0\)"/>
    <numFmt numFmtId="187" formatCode="0.000"/>
    <numFmt numFmtId="188" formatCode="@\ * &quot;:&quot;"/>
    <numFmt numFmtId="189" formatCode="[$Rp-421]#,##0;\-[$Rp-421]#,##0"/>
  </numFmts>
  <fonts count="123">
    <font>
      <sz val="11"/>
      <name val="Calibri"/>
    </font>
    <font>
      <sz val="11"/>
      <color theme="1"/>
      <name val="Calibri"/>
      <family val="2"/>
      <scheme val="minor"/>
    </font>
    <font>
      <sz val="11"/>
      <color theme="1"/>
      <name val="Calibri"/>
      <family val="2"/>
      <scheme val="minor"/>
    </font>
    <font>
      <sz val="11"/>
      <color theme="1"/>
      <name val="Calibri"/>
      <family val="2"/>
      <scheme val="minor"/>
    </font>
    <font>
      <b/>
      <sz val="12"/>
      <name val="Calibri"/>
      <family val="2"/>
    </font>
    <font>
      <b/>
      <sz val="10"/>
      <name val="Arial"/>
      <family val="2"/>
    </font>
    <font>
      <sz val="11"/>
      <color rgb="FF000000"/>
      <name val="Calibri"/>
      <family val="2"/>
    </font>
    <font>
      <b/>
      <sz val="11"/>
      <color rgb="FF000000"/>
      <name val="Calibri"/>
      <family val="2"/>
    </font>
    <font>
      <sz val="11"/>
      <color rgb="FF000000"/>
      <name val="Calibri"/>
      <family val="2"/>
    </font>
    <font>
      <sz val="11"/>
      <name val="Calibri"/>
      <family val="2"/>
    </font>
    <font>
      <sz val="11"/>
      <name val="Calibri"/>
      <family val="2"/>
      <charset val="1"/>
      <scheme val="minor"/>
    </font>
    <font>
      <b/>
      <sz val="14"/>
      <name val="Calibri"/>
      <family val="2"/>
      <scheme val="minor"/>
    </font>
    <font>
      <b/>
      <sz val="11"/>
      <name val="Calibri"/>
      <family val="2"/>
      <scheme val="minor"/>
    </font>
    <font>
      <b/>
      <sz val="11"/>
      <name val="Calibri"/>
      <family val="2"/>
      <charset val="1"/>
      <scheme val="minor"/>
    </font>
    <font>
      <sz val="11"/>
      <name val="Calibri"/>
      <family val="2"/>
      <scheme val="minor"/>
    </font>
    <font>
      <sz val="10"/>
      <name val="Calibri"/>
      <family val="2"/>
      <charset val="1"/>
      <scheme val="minor"/>
    </font>
    <font>
      <sz val="10"/>
      <name val="Arial"/>
      <family val="2"/>
    </font>
    <font>
      <sz val="9"/>
      <name val="Arial"/>
      <family val="2"/>
    </font>
    <font>
      <b/>
      <sz val="11"/>
      <name val="Calibri"/>
      <family val="2"/>
    </font>
    <font>
      <sz val="11"/>
      <name val="Calibri"/>
      <family val="2"/>
    </font>
    <font>
      <b/>
      <sz val="11"/>
      <color theme="1"/>
      <name val="Calibri"/>
      <family val="2"/>
      <scheme val="minor"/>
    </font>
    <font>
      <sz val="10"/>
      <name val="Calibri"/>
      <family val="2"/>
    </font>
    <font>
      <b/>
      <sz val="10"/>
      <name val="Calibri"/>
      <family val="2"/>
    </font>
    <font>
      <sz val="11"/>
      <color theme="1"/>
      <name val="Calibri"/>
      <family val="2"/>
      <scheme val="minor"/>
    </font>
    <font>
      <sz val="12"/>
      <name val="Calibri"/>
      <family val="2"/>
      <scheme val="minor"/>
    </font>
    <font>
      <b/>
      <u/>
      <sz val="11"/>
      <name val="Calibri"/>
      <family val="2"/>
    </font>
    <font>
      <sz val="14"/>
      <color theme="1"/>
      <name val="Calibri"/>
      <family val="2"/>
      <charset val="1"/>
      <scheme val="minor"/>
    </font>
    <font>
      <b/>
      <sz val="16"/>
      <name val="Arial"/>
      <family val="2"/>
    </font>
    <font>
      <b/>
      <sz val="20"/>
      <name val="Arial"/>
      <family val="2"/>
    </font>
    <font>
      <b/>
      <sz val="8"/>
      <name val="Arial"/>
      <family val="2"/>
    </font>
    <font>
      <sz val="9"/>
      <name val="Courier New"/>
      <family val="3"/>
    </font>
    <font>
      <b/>
      <sz val="10"/>
      <name val="Courier New"/>
      <family val="3"/>
    </font>
    <font>
      <sz val="10"/>
      <name val="Courier New"/>
      <family val="3"/>
    </font>
    <font>
      <b/>
      <sz val="9"/>
      <name val="Courier New"/>
      <family val="3"/>
    </font>
    <font>
      <sz val="10"/>
      <name val="Arial Narrow"/>
      <family val="2"/>
    </font>
    <font>
      <i/>
      <sz val="9"/>
      <name val="Courier New"/>
      <family val="3"/>
    </font>
    <font>
      <sz val="9"/>
      <color rgb="FFFF0000"/>
      <name val="Courier New"/>
      <family val="3"/>
    </font>
    <font>
      <b/>
      <sz val="9"/>
      <name val="Times New Roman"/>
      <family val="1"/>
    </font>
    <font>
      <sz val="9"/>
      <name val="Times New Roman"/>
      <family val="1"/>
    </font>
    <font>
      <sz val="10"/>
      <color indexed="10"/>
      <name val="Arial"/>
      <family val="2"/>
    </font>
    <font>
      <b/>
      <i/>
      <sz val="16"/>
      <name val="Helv"/>
    </font>
    <font>
      <sz val="9"/>
      <color indexed="81"/>
      <name val="Tahoma"/>
      <family val="2"/>
    </font>
    <font>
      <sz val="12"/>
      <color theme="1"/>
      <name val="Calibri"/>
      <family val="2"/>
      <charset val="1"/>
      <scheme val="minor"/>
    </font>
    <font>
      <i/>
      <sz val="11"/>
      <name val="Calibri"/>
      <family val="2"/>
    </font>
    <font>
      <sz val="12"/>
      <name val="Bahnschrift Light Condensed"/>
      <family val="2"/>
    </font>
    <font>
      <b/>
      <sz val="12"/>
      <name val="Bahnschrift Light Condensed"/>
      <family val="2"/>
    </font>
    <font>
      <b/>
      <sz val="12"/>
      <color theme="1"/>
      <name val="Bahnschrift Light Condensed"/>
      <family val="2"/>
    </font>
    <font>
      <i/>
      <sz val="12"/>
      <name val="Calibri"/>
      <family val="2"/>
      <scheme val="minor"/>
    </font>
    <font>
      <b/>
      <sz val="12"/>
      <name val="Calibri"/>
      <family val="2"/>
      <scheme val="minor"/>
    </font>
    <font>
      <sz val="12"/>
      <name val="Bahnschrift Light Condensed"/>
      <family val="2"/>
    </font>
    <font>
      <b/>
      <sz val="12"/>
      <name val="Bahnschrift Light Condensed"/>
      <family val="2"/>
    </font>
    <font>
      <sz val="12"/>
      <name val="Calibri"/>
      <family val="2"/>
    </font>
    <font>
      <sz val="12"/>
      <color rgb="FF000000"/>
      <name val="Calibri"/>
      <family val="2"/>
      <scheme val="minor"/>
    </font>
    <font>
      <u val="singleAccounting"/>
      <sz val="12"/>
      <name val="Calibri"/>
      <family val="2"/>
      <scheme val="minor"/>
    </font>
    <font>
      <b/>
      <sz val="11"/>
      <color theme="0"/>
      <name val="Calibri"/>
      <family val="2"/>
    </font>
    <font>
      <sz val="11"/>
      <color theme="0"/>
      <name val="Calibri"/>
      <family val="2"/>
    </font>
    <font>
      <b/>
      <sz val="16"/>
      <name val="Calibri"/>
      <family val="2"/>
    </font>
    <font>
      <b/>
      <sz val="11"/>
      <color rgb="FF0070C0"/>
      <name val="Calibri"/>
      <family val="2"/>
    </font>
    <font>
      <b/>
      <sz val="11"/>
      <color rgb="FF002060"/>
      <name val="Calibri"/>
      <family val="2"/>
    </font>
    <font>
      <sz val="11"/>
      <color rgb="FF0070C0"/>
      <name val="Calibri"/>
      <family val="2"/>
    </font>
    <font>
      <sz val="11"/>
      <color rgb="FF002060"/>
      <name val="Calibri"/>
      <family val="2"/>
    </font>
    <font>
      <b/>
      <sz val="12"/>
      <color theme="0"/>
      <name val="Calibri"/>
      <family val="2"/>
    </font>
    <font>
      <b/>
      <sz val="16"/>
      <color rgb="FF002060"/>
      <name val="Calibri"/>
      <family val="2"/>
    </font>
    <font>
      <b/>
      <sz val="9"/>
      <color theme="1"/>
      <name val="Courier New"/>
      <family val="3"/>
    </font>
    <font>
      <sz val="9"/>
      <color theme="1"/>
      <name val="Courier New"/>
      <family val="3"/>
    </font>
    <font>
      <sz val="10"/>
      <color theme="0"/>
      <name val="Arial"/>
      <family val="2"/>
    </font>
    <font>
      <b/>
      <sz val="14"/>
      <color theme="0"/>
      <name val="Calibri"/>
      <family val="2"/>
    </font>
    <font>
      <b/>
      <sz val="12"/>
      <color theme="0"/>
      <name val="Times New Roman"/>
      <family val="1"/>
    </font>
    <font>
      <sz val="11"/>
      <color theme="1"/>
      <name val="Calibri"/>
      <family val="2"/>
    </font>
    <font>
      <b/>
      <sz val="11"/>
      <color theme="1"/>
      <name val="Calibri"/>
      <family val="2"/>
    </font>
    <font>
      <sz val="9"/>
      <color theme="0"/>
      <name val="Courier New"/>
      <family val="3"/>
    </font>
    <font>
      <sz val="9"/>
      <name val="Calibri"/>
      <family val="2"/>
    </font>
    <font>
      <sz val="9"/>
      <name val="Calibri"/>
      <family val="2"/>
      <scheme val="minor"/>
    </font>
    <font>
      <b/>
      <sz val="12"/>
      <name val="Tahoma"/>
      <family val="2"/>
    </font>
    <font>
      <sz val="11"/>
      <name val="Tahoma"/>
      <family val="2"/>
    </font>
    <font>
      <b/>
      <sz val="11"/>
      <color rgb="FF444444"/>
      <name val="Droid Serif"/>
    </font>
    <font>
      <b/>
      <sz val="11"/>
      <name val="Tahoma"/>
      <family val="2"/>
    </font>
    <font>
      <b/>
      <sz val="11"/>
      <color theme="0"/>
      <name val="Tahoma"/>
      <family val="2"/>
    </font>
    <font>
      <sz val="11"/>
      <name val="Times New Roman"/>
      <family val="1"/>
    </font>
    <font>
      <b/>
      <u/>
      <sz val="11"/>
      <name val="Tahoma"/>
      <family val="2"/>
    </font>
    <font>
      <b/>
      <sz val="14"/>
      <name val="Calibri"/>
      <family val="2"/>
    </font>
    <font>
      <sz val="9"/>
      <color rgb="FFC00000"/>
      <name val="Courier New"/>
      <family val="3"/>
    </font>
    <font>
      <b/>
      <sz val="12"/>
      <color theme="1"/>
      <name val="Calibri"/>
      <family val="2"/>
      <scheme val="minor"/>
    </font>
    <font>
      <b/>
      <sz val="10"/>
      <color theme="1"/>
      <name val="Arial"/>
      <family val="2"/>
    </font>
    <font>
      <sz val="16"/>
      <color rgb="FFFF0000"/>
      <name val="Calibri"/>
      <family val="2"/>
    </font>
    <font>
      <sz val="14"/>
      <color rgb="FFFF0000"/>
      <name val="Calibri"/>
      <family val="2"/>
    </font>
    <font>
      <sz val="11"/>
      <color rgb="FFFF0000"/>
      <name val="Calibri"/>
      <family val="2"/>
      <scheme val="minor"/>
    </font>
    <font>
      <u val="singleAccounting"/>
      <sz val="11"/>
      <color rgb="FFFF0000"/>
      <name val="Calibri"/>
      <family val="2"/>
      <scheme val="minor"/>
    </font>
    <font>
      <i/>
      <sz val="10"/>
      <name val="Calibri"/>
      <family val="2"/>
    </font>
    <font>
      <sz val="10"/>
      <name val="Arial"/>
      <family val="2"/>
      <charset val="178"/>
    </font>
    <font>
      <b/>
      <i/>
      <sz val="11"/>
      <name val="Tahoma"/>
      <family val="2"/>
    </font>
    <font>
      <b/>
      <i/>
      <sz val="12"/>
      <color rgb="FFFF0000"/>
      <name val="Calibri"/>
      <family val="2"/>
      <scheme val="minor"/>
    </font>
    <font>
      <b/>
      <sz val="10"/>
      <color theme="1"/>
      <name val="Arial Narrow"/>
      <family val="2"/>
    </font>
    <font>
      <i/>
      <sz val="10"/>
      <name val="Tahoma"/>
      <family val="2"/>
    </font>
    <font>
      <b/>
      <sz val="11"/>
      <name val="Arial"/>
      <family val="2"/>
    </font>
    <font>
      <sz val="11"/>
      <name val="Arial"/>
      <family val="2"/>
    </font>
    <font>
      <b/>
      <i/>
      <sz val="11"/>
      <name val="Calibri"/>
      <family val="2"/>
    </font>
    <font>
      <u val="singleAccounting"/>
      <sz val="11"/>
      <name val="Calibri"/>
      <family val="2"/>
    </font>
    <font>
      <b/>
      <sz val="12"/>
      <name val="Cambria"/>
      <family val="1"/>
      <scheme val="major"/>
    </font>
    <font>
      <b/>
      <i/>
      <sz val="11"/>
      <color rgb="FFFF0000"/>
      <name val="Calibri"/>
      <family val="2"/>
      <scheme val="minor"/>
    </font>
    <font>
      <b/>
      <sz val="14"/>
      <color theme="0"/>
      <name val="Arial Black"/>
      <family val="2"/>
    </font>
    <font>
      <b/>
      <vertAlign val="superscript"/>
      <sz val="11"/>
      <name val="Calibri"/>
      <family val="2"/>
    </font>
    <font>
      <sz val="11"/>
      <name val="Arial Narrow"/>
      <family val="2"/>
    </font>
    <font>
      <sz val="9"/>
      <name val="Arial Narrow"/>
      <family val="2"/>
    </font>
    <font>
      <b/>
      <sz val="11"/>
      <name val="Arial Narrow"/>
      <family val="2"/>
    </font>
    <font>
      <b/>
      <sz val="11"/>
      <color rgb="FF7030A0"/>
      <name val="Arial Black"/>
      <family val="2"/>
    </font>
    <font>
      <b/>
      <sz val="10"/>
      <color rgb="FF002060"/>
      <name val="Calibri"/>
      <family val="2"/>
    </font>
    <font>
      <b/>
      <sz val="12"/>
      <color theme="1"/>
      <name val="Calibri"/>
      <family val="2"/>
    </font>
    <font>
      <b/>
      <sz val="14"/>
      <color theme="1"/>
      <name val="Calibri"/>
      <family val="2"/>
      <scheme val="minor"/>
    </font>
    <font>
      <b/>
      <sz val="16"/>
      <color theme="1"/>
      <name val="Calibri"/>
      <family val="2"/>
    </font>
    <font>
      <b/>
      <sz val="14"/>
      <color theme="1"/>
      <name val="Calibri"/>
      <family val="2"/>
    </font>
    <font>
      <b/>
      <sz val="12"/>
      <name val="Calibri (Body)"/>
    </font>
    <font>
      <b/>
      <sz val="12"/>
      <color theme="1"/>
      <name val="Calibri (Body)"/>
    </font>
    <font>
      <sz val="12"/>
      <name val="Calibri (Body)"/>
    </font>
    <font>
      <b/>
      <i/>
      <sz val="12"/>
      <name val="Calibri"/>
      <family val="2"/>
      <scheme val="minor"/>
    </font>
    <font>
      <sz val="12"/>
      <color theme="1"/>
      <name val="Calibri"/>
      <family val="2"/>
      <scheme val="minor"/>
    </font>
    <font>
      <b/>
      <sz val="12"/>
      <color rgb="FF002060"/>
      <name val="Calibri"/>
      <family val="2"/>
      <scheme val="minor"/>
    </font>
    <font>
      <u val="singleAccounting"/>
      <sz val="12"/>
      <color rgb="FFFF0000"/>
      <name val="Calibri"/>
      <family val="2"/>
      <scheme val="minor"/>
    </font>
    <font>
      <sz val="12"/>
      <color rgb="FFFF0000"/>
      <name val="Calibri"/>
      <family val="2"/>
      <scheme val="minor"/>
    </font>
    <font>
      <b/>
      <sz val="14"/>
      <color rgb="FF002060"/>
      <name val="Cambria"/>
      <family val="1"/>
      <scheme val="major"/>
    </font>
    <font>
      <b/>
      <sz val="12"/>
      <color theme="1"/>
      <name val="Arial"/>
      <family val="2"/>
    </font>
    <font>
      <b/>
      <sz val="10.5"/>
      <name val="Calibri"/>
      <family val="2"/>
    </font>
    <font>
      <sz val="12"/>
      <name val="Arial Black"/>
      <family val="2"/>
    </font>
  </fonts>
  <fills count="2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
      <patternFill patternType="solid">
        <fgColor indexed="22"/>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CCFFCC"/>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009900"/>
        <bgColor indexed="64"/>
      </patternFill>
    </fill>
  </fills>
  <borders count="8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medium">
        <color theme="0"/>
      </right>
      <top style="medium">
        <color indexed="64"/>
      </top>
      <bottom style="medium">
        <color theme="0"/>
      </bottom>
      <diagonal/>
    </border>
    <border>
      <left style="medium">
        <color theme="0"/>
      </left>
      <right style="medium">
        <color theme="0"/>
      </right>
      <top style="medium">
        <color indexed="64"/>
      </top>
      <bottom style="medium">
        <color theme="0"/>
      </bottom>
      <diagonal/>
    </border>
    <border>
      <left style="medium">
        <color theme="0"/>
      </left>
      <right/>
      <top style="medium">
        <color indexed="64"/>
      </top>
      <bottom style="medium">
        <color theme="0"/>
      </bottom>
      <diagonal/>
    </border>
    <border>
      <left style="medium">
        <color indexed="64"/>
      </left>
      <right style="medium">
        <color theme="0"/>
      </right>
      <top style="medium">
        <color theme="0"/>
      </top>
      <bottom/>
      <diagonal/>
    </border>
    <border>
      <left style="medium">
        <color theme="0"/>
      </left>
      <right style="medium">
        <color theme="0"/>
      </right>
      <top style="medium">
        <color theme="0"/>
      </top>
      <bottom style="medium">
        <color indexed="64"/>
      </bottom>
      <diagonal/>
    </border>
    <border>
      <left style="medium">
        <color theme="0"/>
      </left>
      <right/>
      <top style="medium">
        <color theme="0"/>
      </top>
      <bottom style="medium">
        <color indexed="64"/>
      </bottom>
      <diagonal/>
    </border>
    <border>
      <left style="medium">
        <color indexed="64"/>
      </left>
      <right style="medium">
        <color theme="0"/>
      </right>
      <top/>
      <bottom/>
      <diagonal/>
    </border>
    <border>
      <left style="medium">
        <color theme="0"/>
      </left>
      <right style="medium">
        <color theme="0"/>
      </right>
      <top/>
      <bottom/>
      <diagonal/>
    </border>
    <border>
      <left style="medium">
        <color theme="0"/>
      </left>
      <right/>
      <top/>
      <bottom/>
      <diagonal/>
    </border>
    <border>
      <left style="medium">
        <color indexed="64"/>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s>
  <cellStyleXfs count="25">
    <xf numFmtId="0" fontId="0" fillId="0" borderId="0">
      <alignment vertical="center"/>
    </xf>
    <xf numFmtId="43" fontId="8" fillId="0" borderId="0">
      <alignment vertical="top"/>
      <protection locked="0"/>
    </xf>
    <xf numFmtId="9" fontId="9" fillId="0" borderId="0" applyFont="0" applyFill="0" applyBorder="0" applyAlignment="0" applyProtection="0"/>
    <xf numFmtId="41" fontId="19" fillId="0" borderId="0" applyFont="0" applyFill="0" applyBorder="0" applyAlignment="0" applyProtection="0"/>
    <xf numFmtId="0" fontId="16" fillId="0" borderId="0"/>
    <xf numFmtId="0" fontId="16" fillId="0" borderId="0"/>
    <xf numFmtId="9" fontId="34" fillId="0" borderId="0" applyFont="0" applyFill="0" applyBorder="0" applyAlignment="0" applyProtection="0"/>
    <xf numFmtId="0" fontId="16" fillId="0" borderId="0"/>
    <xf numFmtId="0" fontId="16" fillId="0" borderId="0"/>
    <xf numFmtId="41" fontId="16" fillId="0" borderId="0" applyFont="0" applyFill="0" applyBorder="0" applyAlignment="0" applyProtection="0"/>
    <xf numFmtId="178" fontId="16" fillId="0" borderId="0" applyFont="0" applyFill="0" applyBorder="0" applyAlignment="0" applyProtection="0"/>
    <xf numFmtId="180" fontId="16" fillId="0" borderId="0" applyFont="0" applyFill="0" applyBorder="0" applyAlignment="0" applyProtection="0"/>
    <xf numFmtId="176" fontId="40" fillId="0" borderId="0"/>
    <xf numFmtId="0" fontId="16" fillId="0" borderId="0"/>
    <xf numFmtId="177" fontId="16" fillId="0" borderId="0" applyFont="0" applyFill="0" applyBorder="0" applyAlignment="0" applyProtection="0"/>
    <xf numFmtId="179" fontId="16"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0" fontId="3" fillId="0" borderId="0"/>
    <xf numFmtId="0" fontId="2" fillId="0" borderId="0"/>
    <xf numFmtId="0" fontId="1" fillId="0" borderId="0"/>
    <xf numFmtId="0" fontId="16" fillId="0" borderId="0"/>
    <xf numFmtId="43" fontId="89" fillId="0" borderId="0" applyFont="0" applyFill="0" applyBorder="0" applyAlignment="0" applyProtection="0"/>
    <xf numFmtId="0" fontId="9" fillId="0" borderId="0">
      <alignment vertical="center"/>
    </xf>
  </cellStyleXfs>
  <cellXfs count="1973">
    <xf numFmtId="0" fontId="0" fillId="0" borderId="0" xfId="0">
      <alignment vertical="center"/>
    </xf>
    <xf numFmtId="0" fontId="10" fillId="2" borderId="11" xfId="0" applyFont="1" applyFill="1" applyBorder="1" applyAlignment="1" applyProtection="1">
      <protection hidden="1"/>
    </xf>
    <xf numFmtId="0" fontId="10" fillId="2" borderId="27" xfId="0" applyFont="1" applyFill="1" applyBorder="1" applyAlignment="1" applyProtection="1">
      <protection hidden="1"/>
    </xf>
    <xf numFmtId="0" fontId="10" fillId="2" borderId="0" xfId="0" applyFont="1" applyFill="1" applyAlignment="1" applyProtection="1">
      <protection hidden="1"/>
    </xf>
    <xf numFmtId="0" fontId="10" fillId="2" borderId="28" xfId="0" applyFont="1" applyFill="1" applyBorder="1" applyAlignment="1" applyProtection="1">
      <protection hidden="1"/>
    </xf>
    <xf numFmtId="0" fontId="10" fillId="2" borderId="5" xfId="0" applyFont="1" applyFill="1" applyBorder="1" applyAlignment="1" applyProtection="1">
      <protection hidden="1"/>
    </xf>
    <xf numFmtId="0" fontId="10" fillId="2" borderId="30" xfId="0" applyFont="1" applyFill="1" applyBorder="1" applyAlignment="1" applyProtection="1">
      <protection hidden="1"/>
    </xf>
    <xf numFmtId="0" fontId="10" fillId="2" borderId="29" xfId="0" applyFont="1" applyFill="1" applyBorder="1" applyAlignment="1" applyProtection="1">
      <protection hidden="1"/>
    </xf>
    <xf numFmtId="0" fontId="12" fillId="2" borderId="0" xfId="0" applyFont="1" applyFill="1" applyAlignment="1" applyProtection="1">
      <protection hidden="1"/>
    </xf>
    <xf numFmtId="0" fontId="10" fillId="2" borderId="31" xfId="0" applyFont="1" applyFill="1" applyBorder="1" applyAlignment="1" applyProtection="1">
      <protection hidden="1"/>
    </xf>
    <xf numFmtId="0" fontId="10" fillId="2" borderId="16" xfId="0" applyFont="1" applyFill="1" applyBorder="1" applyAlignment="1" applyProtection="1">
      <protection hidden="1"/>
    </xf>
    <xf numFmtId="0" fontId="0" fillId="2" borderId="0" xfId="0" applyFill="1" applyAlignment="1" applyProtection="1">
      <protection hidden="1"/>
    </xf>
    <xf numFmtId="0" fontId="12" fillId="2" borderId="31" xfId="0" applyFont="1" applyFill="1" applyBorder="1" applyAlignment="1" applyProtection="1">
      <protection hidden="1"/>
    </xf>
    <xf numFmtId="0" fontId="10" fillId="2" borderId="0" xfId="0" applyFont="1" applyFill="1" applyAlignment="1" applyProtection="1">
      <alignment horizontal="right"/>
      <protection hidden="1"/>
    </xf>
    <xf numFmtId="0" fontId="12" fillId="2" borderId="16" xfId="0" applyFont="1" applyFill="1" applyBorder="1" applyAlignment="1" applyProtection="1">
      <protection hidden="1"/>
    </xf>
    <xf numFmtId="0" fontId="12" fillId="2" borderId="28" xfId="0" applyFont="1" applyFill="1" applyBorder="1" applyAlignment="1" applyProtection="1">
      <protection hidden="1"/>
    </xf>
    <xf numFmtId="0" fontId="12" fillId="2" borderId="5" xfId="0" applyFont="1" applyFill="1" applyBorder="1" applyAlignment="1" applyProtection="1">
      <protection hidden="1"/>
    </xf>
    <xf numFmtId="0" fontId="12" fillId="2" borderId="30" xfId="0" applyFont="1" applyFill="1" applyBorder="1" applyAlignment="1" applyProtection="1">
      <protection hidden="1"/>
    </xf>
    <xf numFmtId="0" fontId="16" fillId="0" borderId="0" xfId="0" applyFont="1" applyAlignment="1"/>
    <xf numFmtId="0" fontId="0" fillId="0" borderId="0" xfId="0" applyAlignment="1"/>
    <xf numFmtId="0" fontId="9" fillId="0" borderId="0" xfId="0" applyFont="1">
      <alignment vertical="center"/>
    </xf>
    <xf numFmtId="0" fontId="18" fillId="0" borderId="17" xfId="0" applyFont="1" applyBorder="1">
      <alignment vertical="center"/>
    </xf>
    <xf numFmtId="0" fontId="18" fillId="0" borderId="0" xfId="0" applyFont="1">
      <alignment vertical="center"/>
    </xf>
    <xf numFmtId="0" fontId="0" fillId="0" borderId="5" xfId="0" applyBorder="1">
      <alignment vertical="center"/>
    </xf>
    <xf numFmtId="0" fontId="0" fillId="0" borderId="39" xfId="0" applyBorder="1" applyAlignment="1">
      <alignment horizontal="center" vertical="center"/>
    </xf>
    <xf numFmtId="43" fontId="14" fillId="0" borderId="0" xfId="1" applyFont="1" applyAlignment="1" applyProtection="1">
      <alignment vertical="center"/>
    </xf>
    <xf numFmtId="0" fontId="18" fillId="0" borderId="17" xfId="0" applyFont="1" applyBorder="1" applyAlignment="1">
      <alignment horizontal="center" vertical="center"/>
    </xf>
    <xf numFmtId="0" fontId="18" fillId="0" borderId="39" xfId="0" applyFont="1" applyBorder="1" applyAlignment="1">
      <alignment horizontal="center" vertical="center"/>
    </xf>
    <xf numFmtId="0" fontId="0" fillId="0" borderId="0" xfId="0" applyAlignment="1">
      <alignment horizontal="center" vertical="center"/>
    </xf>
    <xf numFmtId="0" fontId="10" fillId="2" borderId="0" xfId="0" applyFont="1" applyFill="1" applyAlignment="1" applyProtection="1">
      <alignment horizontal="center"/>
      <protection hidden="1"/>
    </xf>
    <xf numFmtId="41" fontId="0" fillId="0" borderId="0" xfId="0" applyNumberFormat="1">
      <alignment vertical="center"/>
    </xf>
    <xf numFmtId="9" fontId="0" fillId="0" borderId="17" xfId="0" applyNumberFormat="1" applyBorder="1">
      <alignment vertical="center"/>
    </xf>
    <xf numFmtId="41" fontId="0" fillId="0" borderId="0" xfId="3" applyFont="1" applyAlignment="1">
      <alignment vertical="center"/>
    </xf>
    <xf numFmtId="0" fontId="0" fillId="0" borderId="30" xfId="0" applyBorder="1">
      <alignment vertical="center"/>
    </xf>
    <xf numFmtId="0" fontId="25" fillId="0" borderId="0" xfId="0" applyFont="1">
      <alignment vertical="center"/>
    </xf>
    <xf numFmtId="0" fontId="9" fillId="0" borderId="0" xfId="0" quotePrefix="1" applyFont="1">
      <alignment vertical="center"/>
    </xf>
    <xf numFmtId="43" fontId="9" fillId="0" borderId="0" xfId="0" applyNumberFormat="1" applyFont="1">
      <alignment vertical="center"/>
    </xf>
    <xf numFmtId="43" fontId="0" fillId="0" borderId="0" xfId="0" applyNumberFormat="1">
      <alignment vertical="center"/>
    </xf>
    <xf numFmtId="0" fontId="9" fillId="0" borderId="0" xfId="0" applyFont="1" applyAlignment="1">
      <alignment horizontal="center" vertical="center"/>
    </xf>
    <xf numFmtId="0" fontId="0" fillId="0" borderId="31" xfId="0" applyBorder="1">
      <alignment vertical="center"/>
    </xf>
    <xf numFmtId="0" fontId="18" fillId="0" borderId="16" xfId="0" applyFont="1" applyBorder="1">
      <alignment vertical="center"/>
    </xf>
    <xf numFmtId="0" fontId="18" fillId="0" borderId="28" xfId="0" applyFont="1" applyBorder="1">
      <alignment vertical="center"/>
    </xf>
    <xf numFmtId="0" fontId="9" fillId="0" borderId="0" xfId="0" quotePrefix="1" applyFont="1" applyAlignment="1">
      <alignment horizontal="center" vertical="center"/>
    </xf>
    <xf numFmtId="2" fontId="0" fillId="0" borderId="0" xfId="0" applyNumberFormat="1">
      <alignment vertical="center"/>
    </xf>
    <xf numFmtId="0" fontId="9" fillId="2" borderId="11" xfId="0" applyFont="1" applyFill="1" applyBorder="1" applyAlignment="1" applyProtection="1">
      <alignment horizontal="center"/>
      <protection hidden="1"/>
    </xf>
    <xf numFmtId="0" fontId="16" fillId="0" borderId="17" xfId="0" applyFont="1" applyBorder="1" applyAlignment="1"/>
    <xf numFmtId="41" fontId="0" fillId="0" borderId="17" xfId="0" applyNumberFormat="1" applyBorder="1" applyAlignment="1"/>
    <xf numFmtId="170" fontId="0" fillId="0" borderId="17" xfId="0" applyNumberFormat="1" applyBorder="1" applyAlignment="1"/>
    <xf numFmtId="43" fontId="0" fillId="0" borderId="17" xfId="0" applyNumberFormat="1" applyBorder="1" applyAlignment="1"/>
    <xf numFmtId="0" fontId="5" fillId="3" borderId="17" xfId="0" applyFont="1" applyFill="1" applyBorder="1" applyAlignment="1"/>
    <xf numFmtId="41" fontId="5" fillId="3" borderId="17" xfId="0" applyNumberFormat="1" applyFont="1" applyFill="1" applyBorder="1" applyAlignment="1"/>
    <xf numFmtId="41" fontId="5" fillId="3" borderId="17" xfId="3" applyFont="1" applyFill="1" applyBorder="1"/>
    <xf numFmtId="9" fontId="0" fillId="0" borderId="0" xfId="0" applyNumberFormat="1">
      <alignment vertical="center"/>
    </xf>
    <xf numFmtId="0" fontId="9" fillId="2" borderId="3" xfId="0" applyFont="1" applyFill="1" applyBorder="1" applyAlignment="1">
      <alignment horizontal="center" vertical="center"/>
    </xf>
    <xf numFmtId="0" fontId="0" fillId="2" borderId="0" xfId="0" applyFill="1" applyAlignment="1">
      <alignment horizontal="center" vertical="center"/>
    </xf>
    <xf numFmtId="0" fontId="0" fillId="2" borderId="0" xfId="0" applyFill="1">
      <alignment vertical="center"/>
    </xf>
    <xf numFmtId="0" fontId="9" fillId="2" borderId="0" xfId="0" applyFont="1" applyFill="1">
      <alignment vertical="center"/>
    </xf>
    <xf numFmtId="0" fontId="10" fillId="2" borderId="0" xfId="0" applyFont="1" applyFill="1" applyAlignment="1" applyProtection="1">
      <protection locked="0"/>
    </xf>
    <xf numFmtId="0" fontId="10" fillId="2" borderId="0" xfId="0" applyFont="1" applyFill="1" applyAlignment="1" applyProtection="1">
      <alignment horizontal="center"/>
      <protection locked="0"/>
    </xf>
    <xf numFmtId="0" fontId="0" fillId="0" borderId="29" xfId="0" applyBorder="1" applyAlignment="1" applyProtection="1">
      <protection hidden="1"/>
    </xf>
    <xf numFmtId="0" fontId="0" fillId="0" borderId="11" xfId="0" applyBorder="1" applyAlignment="1" applyProtection="1">
      <protection hidden="1"/>
    </xf>
    <xf numFmtId="0" fontId="0" fillId="0" borderId="27" xfId="0" applyBorder="1" applyAlignment="1" applyProtection="1">
      <protection hidden="1"/>
    </xf>
    <xf numFmtId="0" fontId="20" fillId="0" borderId="16" xfId="0" applyFont="1" applyBorder="1" applyAlignment="1" applyProtection="1">
      <alignment horizontal="center"/>
      <protection hidden="1"/>
    </xf>
    <xf numFmtId="0" fontId="20" fillId="0" borderId="0" xfId="0" applyFont="1" applyAlignment="1" applyProtection="1">
      <protection hidden="1"/>
    </xf>
    <xf numFmtId="0" fontId="0" fillId="0" borderId="0" xfId="0" applyAlignment="1" applyProtection="1">
      <protection hidden="1"/>
    </xf>
    <xf numFmtId="0" fontId="0" fillId="0" borderId="28" xfId="0" applyBorder="1" applyAlignment="1" applyProtection="1">
      <protection hidden="1"/>
    </xf>
    <xf numFmtId="0" fontId="0" fillId="0" borderId="16" xfId="0" applyBorder="1" applyAlignment="1" applyProtection="1">
      <protection hidden="1"/>
    </xf>
    <xf numFmtId="0" fontId="12" fillId="0" borderId="29" xfId="0" applyFont="1" applyBorder="1" applyAlignment="1" applyProtection="1">
      <alignment horizontal="center" vertical="top"/>
      <protection hidden="1"/>
    </xf>
    <xf numFmtId="0" fontId="0" fillId="0" borderId="31" xfId="0" applyBorder="1" applyAlignment="1" applyProtection="1">
      <protection hidden="1"/>
    </xf>
    <xf numFmtId="0" fontId="14" fillId="0" borderId="16" xfId="0" applyFont="1" applyBorder="1" applyAlignment="1" applyProtection="1">
      <alignment horizontal="justify" vertical="top"/>
      <protection hidden="1"/>
    </xf>
    <xf numFmtId="0" fontId="14" fillId="0" borderId="31" xfId="0" applyFont="1" applyBorder="1" applyAlignment="1" applyProtection="1">
      <alignment horizontal="justify" vertical="top"/>
      <protection hidden="1"/>
    </xf>
    <xf numFmtId="0" fontId="0" fillId="0" borderId="5" xfId="0" applyBorder="1" applyAlignment="1" applyProtection="1">
      <protection hidden="1"/>
    </xf>
    <xf numFmtId="0" fontId="0" fillId="0" borderId="30" xfId="0" applyBorder="1" applyAlignment="1" applyProtection="1">
      <protection hidden="1"/>
    </xf>
    <xf numFmtId="0" fontId="10" fillId="0" borderId="5" xfId="0" applyFont="1" applyBorder="1" applyAlignment="1" applyProtection="1">
      <protection locked="0"/>
    </xf>
    <xf numFmtId="0" fontId="10" fillId="0" borderId="30" xfId="0" applyFont="1" applyBorder="1" applyAlignment="1" applyProtection="1">
      <protection locked="0"/>
    </xf>
    <xf numFmtId="0" fontId="14" fillId="8" borderId="16" xfId="0" applyFont="1" applyFill="1" applyBorder="1" applyAlignment="1" applyProtection="1">
      <alignment horizontal="justify" vertical="top"/>
      <protection locked="0"/>
    </xf>
    <xf numFmtId="0" fontId="14" fillId="8" borderId="0" xfId="0" applyFont="1" applyFill="1" applyAlignment="1" applyProtection="1">
      <alignment horizontal="center" vertical="top"/>
      <protection locked="0"/>
    </xf>
    <xf numFmtId="0" fontId="14" fillId="8" borderId="31" xfId="0" applyFont="1" applyFill="1" applyBorder="1" applyAlignment="1" applyProtection="1">
      <alignment horizontal="justify" vertical="top"/>
      <protection locked="0"/>
    </xf>
    <xf numFmtId="0" fontId="14" fillId="8" borderId="5" xfId="0" applyFont="1" applyFill="1" applyBorder="1" applyAlignment="1" applyProtection="1">
      <alignment horizontal="center" vertical="top"/>
      <protection locked="0"/>
    </xf>
    <xf numFmtId="0" fontId="0" fillId="0" borderId="0" xfId="0" applyAlignment="1" applyProtection="1">
      <alignment vertical="top"/>
      <protection hidden="1"/>
    </xf>
    <xf numFmtId="0" fontId="10" fillId="0" borderId="0" xfId="0" applyFont="1" applyAlignment="1" applyProtection="1">
      <alignment horizontal="justify" vertical="top"/>
      <protection locked="0"/>
    </xf>
    <xf numFmtId="0" fontId="10" fillId="0" borderId="0" xfId="0" applyFont="1" applyAlignment="1" applyProtection="1">
      <alignment horizontal="center" vertical="top"/>
      <protection locked="0"/>
    </xf>
    <xf numFmtId="0" fontId="10" fillId="8" borderId="0" xfId="0" applyFont="1" applyFill="1" applyAlignment="1" applyProtection="1">
      <alignment horizontal="justify" vertical="top"/>
      <protection locked="0"/>
    </xf>
    <xf numFmtId="0" fontId="10" fillId="8" borderId="0" xfId="0" applyFont="1" applyFill="1" applyAlignment="1" applyProtection="1">
      <alignment horizontal="center" vertical="top"/>
      <protection locked="0"/>
    </xf>
    <xf numFmtId="0" fontId="10" fillId="8" borderId="5" xfId="0" applyFont="1" applyFill="1" applyBorder="1" applyAlignment="1" applyProtection="1">
      <alignment horizontal="justify" vertical="top"/>
      <protection locked="0"/>
    </xf>
    <xf numFmtId="0" fontId="10" fillId="8" borderId="5" xfId="0" applyFont="1" applyFill="1" applyBorder="1" applyAlignment="1" applyProtection="1">
      <alignment horizontal="center" vertical="top"/>
      <protection locked="0"/>
    </xf>
    <xf numFmtId="0" fontId="0" fillId="0" borderId="0" xfId="0" applyAlignment="1" applyProtection="1">
      <alignment horizontal="justify" vertical="center"/>
      <protection hidden="1"/>
    </xf>
    <xf numFmtId="0" fontId="10" fillId="0" borderId="0" xfId="0" applyFont="1" applyAlignment="1" applyProtection="1">
      <alignment horizontal="justify" vertical="center"/>
      <protection locked="0"/>
    </xf>
    <xf numFmtId="0" fontId="14" fillId="8" borderId="16" xfId="4" applyFont="1" applyFill="1" applyBorder="1" applyAlignment="1" applyProtection="1">
      <alignment horizontal="justify" vertical="top"/>
      <protection locked="0"/>
    </xf>
    <xf numFmtId="0" fontId="14" fillId="8" borderId="0" xfId="4" applyFont="1" applyFill="1" applyAlignment="1" applyProtection="1">
      <alignment horizontal="center" vertical="top"/>
      <protection locked="0"/>
    </xf>
    <xf numFmtId="0" fontId="14" fillId="8" borderId="31" xfId="4" applyFont="1" applyFill="1" applyBorder="1" applyAlignment="1" applyProtection="1">
      <alignment horizontal="justify" vertical="top"/>
      <protection locked="0"/>
    </xf>
    <xf numFmtId="0" fontId="14" fillId="8" borderId="5" xfId="4" applyFont="1" applyFill="1" applyBorder="1" applyAlignment="1" applyProtection="1">
      <alignment horizontal="center" vertical="top"/>
      <protection locked="0"/>
    </xf>
    <xf numFmtId="0" fontId="14" fillId="8" borderId="5" xfId="4" applyFont="1" applyFill="1" applyBorder="1" applyAlignment="1" applyProtection="1">
      <alignment horizontal="justify" vertical="top"/>
      <protection locked="0"/>
    </xf>
    <xf numFmtId="0" fontId="0" fillId="0" borderId="0" xfId="0" applyAlignment="1" applyProtection="1">
      <alignment horizontal="justify" vertical="top"/>
      <protection hidden="1"/>
    </xf>
    <xf numFmtId="0" fontId="14" fillId="0" borderId="0" xfId="4" applyFont="1" applyAlignment="1" applyProtection="1">
      <alignment horizontal="justify" vertical="top"/>
      <protection locked="0"/>
    </xf>
    <xf numFmtId="0" fontId="14" fillId="0" borderId="0" xfId="4" applyFont="1" applyAlignment="1" applyProtection="1">
      <alignment horizontal="center" vertical="top"/>
      <protection locked="0"/>
    </xf>
    <xf numFmtId="0" fontId="0" fillId="8" borderId="0" xfId="0" applyFill="1" applyAlignment="1" applyProtection="1">
      <protection hidden="1"/>
    </xf>
    <xf numFmtId="171" fontId="0" fillId="0" borderId="0" xfId="2" applyNumberFormat="1" applyFont="1" applyAlignment="1">
      <alignment vertical="center"/>
    </xf>
    <xf numFmtId="0" fontId="20" fillId="2" borderId="0" xfId="0" applyFont="1" applyFill="1" applyAlignment="1" applyProtection="1">
      <alignment horizontal="center"/>
      <protection hidden="1"/>
    </xf>
    <xf numFmtId="0" fontId="0" fillId="2" borderId="4" xfId="0" applyFill="1" applyBorder="1" applyAlignment="1">
      <alignment horizontal="center" vertical="center"/>
    </xf>
    <xf numFmtId="0" fontId="0" fillId="2" borderId="3" xfId="0" applyFill="1" applyBorder="1">
      <alignment vertical="center"/>
    </xf>
    <xf numFmtId="0" fontId="0" fillId="2" borderId="4" xfId="0" applyFill="1" applyBorder="1">
      <alignment vertical="center"/>
    </xf>
    <xf numFmtId="0" fontId="18" fillId="2" borderId="3" xfId="0" applyFont="1" applyFill="1" applyBorder="1" applyAlignment="1">
      <alignment horizontal="center" vertical="center"/>
    </xf>
    <xf numFmtId="0" fontId="18" fillId="2" borderId="0" xfId="0" applyFont="1" applyFill="1">
      <alignment vertical="center"/>
    </xf>
    <xf numFmtId="0" fontId="0" fillId="2" borderId="3" xfId="0" applyFill="1" applyBorder="1" applyAlignment="1">
      <alignment horizontal="center" vertical="center"/>
    </xf>
    <xf numFmtId="0" fontId="0" fillId="2" borderId="18" xfId="0" applyFill="1" applyBorder="1">
      <alignment vertical="center"/>
    </xf>
    <xf numFmtId="0" fontId="0" fillId="2" borderId="20" xfId="0" applyFill="1" applyBorder="1">
      <alignment vertical="center"/>
    </xf>
    <xf numFmtId="0" fontId="0" fillId="2" borderId="16" xfId="0" applyFill="1" applyBorder="1" applyAlignment="1" applyProtection="1">
      <protection hidden="1"/>
    </xf>
    <xf numFmtId="0" fontId="0" fillId="2" borderId="28" xfId="0" applyFill="1" applyBorder="1" applyAlignment="1" applyProtection="1">
      <protection hidden="1"/>
    </xf>
    <xf numFmtId="0" fontId="0" fillId="2" borderId="0" xfId="0" applyFill="1" applyAlignment="1" applyProtection="1">
      <alignment horizontal="center"/>
      <protection hidden="1"/>
    </xf>
    <xf numFmtId="0" fontId="0" fillId="2" borderId="31" xfId="0" applyFill="1" applyBorder="1" applyAlignment="1" applyProtection="1">
      <protection hidden="1"/>
    </xf>
    <xf numFmtId="0" fontId="0" fillId="2" borderId="5" xfId="0" applyFill="1" applyBorder="1" applyAlignment="1" applyProtection="1">
      <protection hidden="1"/>
    </xf>
    <xf numFmtId="0" fontId="0" fillId="2" borderId="30" xfId="0" applyFill="1" applyBorder="1" applyAlignment="1" applyProtection="1">
      <protection hidden="1"/>
    </xf>
    <xf numFmtId="0" fontId="0" fillId="2" borderId="29" xfId="0" applyFill="1" applyBorder="1" applyAlignment="1" applyProtection="1">
      <protection hidden="1"/>
    </xf>
    <xf numFmtId="0" fontId="0" fillId="2" borderId="27" xfId="0" applyFill="1" applyBorder="1" applyAlignment="1" applyProtection="1">
      <protection hidden="1"/>
    </xf>
    <xf numFmtId="0" fontId="20" fillId="2" borderId="0" xfId="0" applyFont="1" applyFill="1" applyAlignment="1" applyProtection="1">
      <protection hidden="1"/>
    </xf>
    <xf numFmtId="0" fontId="18" fillId="2" borderId="0" xfId="0" applyFont="1" applyFill="1" applyAlignment="1">
      <alignment horizontal="center" vertical="center"/>
    </xf>
    <xf numFmtId="0" fontId="9" fillId="2" borderId="0" xfId="0" applyFont="1" applyFill="1" applyAlignment="1" applyProtection="1">
      <protection hidden="1"/>
    </xf>
    <xf numFmtId="0" fontId="9" fillId="2" borderId="0" xfId="0" applyFont="1" applyFill="1" applyAlignment="1">
      <alignment horizontal="center" vertical="center"/>
    </xf>
    <xf numFmtId="40" fontId="16" fillId="0" borderId="0" xfId="0" applyNumberFormat="1" applyFont="1" applyAlignment="1"/>
    <xf numFmtId="39" fontId="38" fillId="0" borderId="0" xfId="3" applyNumberFormat="1" applyFont="1"/>
    <xf numFmtId="167" fontId="5" fillId="0" borderId="21" xfId="0" applyNumberFormat="1" applyFont="1" applyBorder="1" applyAlignment="1">
      <alignment horizontal="center"/>
    </xf>
    <xf numFmtId="167" fontId="5" fillId="0" borderId="33" xfId="0" applyNumberFormat="1" applyFont="1" applyBorder="1" applyAlignment="1">
      <alignment horizontal="center"/>
    </xf>
    <xf numFmtId="167" fontId="5" fillId="0" borderId="22" xfId="0" applyNumberFormat="1" applyFont="1" applyBorder="1" applyAlignment="1">
      <alignment horizontal="center"/>
    </xf>
    <xf numFmtId="39" fontId="5" fillId="0" borderId="21" xfId="3" applyNumberFormat="1" applyFont="1" applyBorder="1" applyAlignment="1">
      <alignment horizontal="center"/>
    </xf>
    <xf numFmtId="39" fontId="5" fillId="0" borderId="33" xfId="3" applyNumberFormat="1" applyFont="1" applyBorder="1" applyAlignment="1">
      <alignment horizontal="center"/>
    </xf>
    <xf numFmtId="167" fontId="5" fillId="0" borderId="23" xfId="0" applyNumberFormat="1" applyFont="1" applyBorder="1" applyAlignment="1">
      <alignment horizontal="center"/>
    </xf>
    <xf numFmtId="39" fontId="5" fillId="0" borderId="23" xfId="3" applyNumberFormat="1" applyFont="1" applyBorder="1" applyAlignment="1">
      <alignment horizontal="center"/>
    </xf>
    <xf numFmtId="40" fontId="16" fillId="0" borderId="0" xfId="3" applyNumberFormat="1" applyFont="1" applyBorder="1"/>
    <xf numFmtId="167" fontId="38" fillId="0" borderId="0" xfId="0" applyNumberFormat="1" applyFont="1" applyAlignment="1"/>
    <xf numFmtId="172" fontId="37" fillId="0" borderId="0" xfId="0" applyNumberFormat="1" applyFont="1" applyAlignment="1"/>
    <xf numFmtId="174" fontId="37" fillId="0" borderId="0" xfId="0" applyNumberFormat="1" applyFont="1" applyAlignment="1"/>
    <xf numFmtId="43" fontId="37" fillId="0" borderId="0" xfId="1" applyFont="1" applyAlignment="1" applyProtection="1"/>
    <xf numFmtId="4" fontId="37" fillId="0" borderId="0" xfId="0" applyNumberFormat="1" applyFont="1" applyAlignment="1"/>
    <xf numFmtId="39" fontId="5" fillId="0" borderId="0" xfId="3" applyNumberFormat="1" applyFont="1" applyBorder="1" applyAlignment="1">
      <alignment horizontal="center"/>
    </xf>
    <xf numFmtId="49" fontId="17" fillId="15" borderId="17" xfId="9" applyNumberFormat="1" applyFont="1" applyFill="1" applyBorder="1" applyAlignment="1">
      <alignment horizontal="center"/>
    </xf>
    <xf numFmtId="1" fontId="17" fillId="15" borderId="17" xfId="9" applyNumberFormat="1" applyFont="1" applyFill="1" applyBorder="1" applyAlignment="1">
      <alignment horizontal="center"/>
    </xf>
    <xf numFmtId="41" fontId="18" fillId="2" borderId="0" xfId="0" applyNumberFormat="1" applyFont="1" applyFill="1" applyAlignment="1">
      <alignment horizontal="center" vertical="center"/>
    </xf>
    <xf numFmtId="0" fontId="18" fillId="2" borderId="4" xfId="0" applyFont="1" applyFill="1" applyBorder="1">
      <alignment vertical="center"/>
    </xf>
    <xf numFmtId="0" fontId="9" fillId="2" borderId="4" xfId="0" applyFont="1" applyFill="1" applyBorder="1">
      <alignment vertical="center"/>
    </xf>
    <xf numFmtId="9" fontId="10" fillId="2" borderId="0" xfId="0" applyNumberFormat="1" applyFont="1" applyFill="1" applyAlignment="1" applyProtection="1">
      <alignment horizontal="center"/>
      <protection locked="0"/>
    </xf>
    <xf numFmtId="37" fontId="11" fillId="2" borderId="0" xfId="0" applyNumberFormat="1" applyFont="1" applyFill="1" applyProtection="1">
      <alignment vertical="center"/>
      <protection locked="0"/>
    </xf>
    <xf numFmtId="0" fontId="0" fillId="2" borderId="28" xfId="0" applyFill="1" applyBorder="1">
      <alignment vertical="center"/>
    </xf>
    <xf numFmtId="0" fontId="0" fillId="2" borderId="16" xfId="0" applyFill="1" applyBorder="1">
      <alignment vertical="center"/>
    </xf>
    <xf numFmtId="0" fontId="0" fillId="2" borderId="11" xfId="0" applyFill="1" applyBorder="1" applyAlignment="1" applyProtection="1">
      <protection hidden="1"/>
    </xf>
    <xf numFmtId="0" fontId="20" fillId="2" borderId="4" xfId="0" applyFont="1" applyFill="1" applyBorder="1" applyAlignment="1" applyProtection="1">
      <protection hidden="1"/>
    </xf>
    <xf numFmtId="0" fontId="0" fillId="2" borderId="4" xfId="0" applyFill="1" applyBorder="1" applyAlignment="1" applyProtection="1">
      <protection hidden="1"/>
    </xf>
    <xf numFmtId="0" fontId="0" fillId="2" borderId="19" xfId="0" applyFill="1" applyBorder="1">
      <alignment vertical="center"/>
    </xf>
    <xf numFmtId="0" fontId="0" fillId="2" borderId="29" xfId="0" applyFill="1" applyBorder="1">
      <alignment vertical="center"/>
    </xf>
    <xf numFmtId="0" fontId="0" fillId="2" borderId="27" xfId="0" applyFill="1" applyBorder="1">
      <alignment vertical="center"/>
    </xf>
    <xf numFmtId="0" fontId="30" fillId="2" borderId="0" xfId="5" applyFont="1" applyFill="1" applyProtection="1">
      <protection locked="0"/>
    </xf>
    <xf numFmtId="0" fontId="0" fillId="2" borderId="0" xfId="0" applyFill="1" applyProtection="1">
      <alignment vertical="center"/>
      <protection locked="0"/>
    </xf>
    <xf numFmtId="40" fontId="16" fillId="0" borderId="11" xfId="3" applyNumberFormat="1" applyFont="1" applyBorder="1"/>
    <xf numFmtId="0" fontId="18" fillId="2" borderId="0" xfId="0" applyFont="1" applyFill="1" applyAlignment="1">
      <alignment horizontal="left" vertical="center"/>
    </xf>
    <xf numFmtId="0" fontId="0" fillId="0" borderId="0" xfId="0" applyProtection="1">
      <alignment vertical="center"/>
      <protection locked="0"/>
    </xf>
    <xf numFmtId="0" fontId="0" fillId="2" borderId="11" xfId="0" applyFill="1" applyBorder="1" applyProtection="1">
      <alignment vertical="center"/>
      <protection locked="0"/>
    </xf>
    <xf numFmtId="0" fontId="18" fillId="16" borderId="0" xfId="0" applyFont="1" applyFill="1" applyAlignment="1">
      <alignment horizontal="center" vertical="center"/>
    </xf>
    <xf numFmtId="41" fontId="18" fillId="16" borderId="0" xfId="0" applyNumberFormat="1" applyFont="1" applyFill="1" applyAlignment="1">
      <alignment horizontal="center" vertical="center"/>
    </xf>
    <xf numFmtId="0" fontId="18" fillId="16" borderId="0" xfId="0" applyFont="1" applyFill="1">
      <alignment vertical="center"/>
    </xf>
    <xf numFmtId="0" fontId="18" fillId="16" borderId="4" xfId="0" applyFont="1" applyFill="1" applyBorder="1">
      <alignment vertical="center"/>
    </xf>
    <xf numFmtId="0" fontId="18" fillId="16" borderId="3" xfId="0" quotePrefix="1" applyFont="1" applyFill="1" applyBorder="1" applyAlignment="1">
      <alignment horizontal="center" vertical="center"/>
    </xf>
    <xf numFmtId="0" fontId="0" fillId="0" borderId="0" xfId="0" quotePrefix="1" applyAlignment="1"/>
    <xf numFmtId="175" fontId="16" fillId="0" borderId="3" xfId="0" applyNumberFormat="1" applyFont="1" applyBorder="1" applyAlignment="1"/>
    <xf numFmtId="9" fontId="9" fillId="2" borderId="17" xfId="2" applyFont="1" applyFill="1" applyBorder="1" applyAlignment="1" applyProtection="1">
      <alignment vertical="center"/>
      <protection locked="0"/>
    </xf>
    <xf numFmtId="0" fontId="65" fillId="0" borderId="0" xfId="0" applyFont="1" applyAlignment="1"/>
    <xf numFmtId="40" fontId="16" fillId="2" borderId="36" xfId="0" applyNumberFormat="1" applyFont="1" applyFill="1" applyBorder="1" applyAlignment="1"/>
    <xf numFmtId="40" fontId="16" fillId="2" borderId="17" xfId="0" applyNumberFormat="1" applyFont="1" applyFill="1" applyBorder="1" applyAlignment="1"/>
    <xf numFmtId="40" fontId="16" fillId="2" borderId="35" xfId="0" applyNumberFormat="1" applyFont="1" applyFill="1" applyBorder="1" applyAlignment="1"/>
    <xf numFmtId="40" fontId="39" fillId="2" borderId="17" xfId="0" applyNumberFormat="1" applyFont="1" applyFill="1" applyBorder="1" applyAlignment="1"/>
    <xf numFmtId="40" fontId="16" fillId="2" borderId="34" xfId="0" applyNumberFormat="1" applyFont="1" applyFill="1" applyBorder="1" applyAlignment="1"/>
    <xf numFmtId="0" fontId="18" fillId="2" borderId="3" xfId="0" quotePrefix="1" applyFont="1" applyFill="1" applyBorder="1" applyAlignment="1">
      <alignment horizontal="center" vertical="center"/>
    </xf>
    <xf numFmtId="0" fontId="9" fillId="2" borderId="0" xfId="0" applyFont="1" applyFill="1" applyAlignment="1" applyProtection="1">
      <alignment horizontal="left" vertical="center"/>
      <protection locked="0"/>
    </xf>
    <xf numFmtId="0" fontId="9" fillId="2" borderId="0" xfId="0" applyFont="1" applyFill="1" applyProtection="1">
      <alignment vertical="center"/>
      <protection locked="0"/>
    </xf>
    <xf numFmtId="0" fontId="0" fillId="2" borderId="39" xfId="0" applyFill="1" applyBorder="1" applyAlignment="1" applyProtection="1">
      <alignment horizontal="center" vertical="center"/>
      <protection locked="0"/>
    </xf>
    <xf numFmtId="37" fontId="10" fillId="2" borderId="35" xfId="0" applyNumberFormat="1" applyFont="1" applyFill="1" applyBorder="1" applyAlignment="1" applyProtection="1">
      <protection locked="0"/>
    </xf>
    <xf numFmtId="0" fontId="44" fillId="2" borderId="3" xfId="0" applyFont="1" applyFill="1" applyBorder="1" applyProtection="1">
      <alignment vertical="center"/>
      <protection locked="0"/>
    </xf>
    <xf numFmtId="0" fontId="49" fillId="2" borderId="0" xfId="0" applyFont="1" applyFill="1" applyAlignment="1" applyProtection="1">
      <alignment horizontal="left" vertical="center"/>
      <protection locked="0"/>
    </xf>
    <xf numFmtId="0" fontId="49" fillId="2" borderId="0" xfId="0" applyFont="1" applyFill="1" applyProtection="1">
      <alignment vertical="center"/>
      <protection locked="0"/>
    </xf>
    <xf numFmtId="0" fontId="49" fillId="2" borderId="4" xfId="0" applyFont="1" applyFill="1" applyBorder="1" applyProtection="1">
      <alignment vertical="center"/>
      <protection locked="0"/>
    </xf>
    <xf numFmtId="0" fontId="49" fillId="2" borderId="0" xfId="0" applyFont="1" applyFill="1" applyAlignment="1" applyProtection="1">
      <alignment vertical="top"/>
      <protection locked="0"/>
    </xf>
    <xf numFmtId="0" fontId="49" fillId="2" borderId="4" xfId="0" applyFont="1" applyFill="1" applyBorder="1" applyAlignment="1" applyProtection="1">
      <alignment vertical="top"/>
      <protection locked="0"/>
    </xf>
    <xf numFmtId="0" fontId="44" fillId="2" borderId="4" xfId="0" applyFont="1" applyFill="1" applyBorder="1" applyProtection="1">
      <alignment vertical="center"/>
      <protection locked="0"/>
    </xf>
    <xf numFmtId="0" fontId="50" fillId="2" borderId="3" xfId="0" applyFont="1" applyFill="1" applyBorder="1" applyProtection="1">
      <alignment vertical="center"/>
      <protection locked="0"/>
    </xf>
    <xf numFmtId="0" fontId="46" fillId="2" borderId="0" xfId="0" applyFont="1" applyFill="1" applyAlignment="1" applyProtection="1">
      <alignment horizontal="left"/>
      <protection locked="0"/>
    </xf>
    <xf numFmtId="0" fontId="44" fillId="2" borderId="0" xfId="0" applyFont="1" applyFill="1" applyProtection="1">
      <alignment vertical="center"/>
      <protection locked="0"/>
    </xf>
    <xf numFmtId="0" fontId="44" fillId="2" borderId="19" xfId="0" applyFont="1" applyFill="1" applyBorder="1" applyProtection="1">
      <alignment vertical="center"/>
      <protection locked="0"/>
    </xf>
    <xf numFmtId="0" fontId="44" fillId="2" borderId="18" xfId="0" applyFont="1" applyFill="1" applyBorder="1" applyAlignment="1" applyProtection="1">
      <alignment vertical="top"/>
      <protection locked="0"/>
    </xf>
    <xf numFmtId="0" fontId="44" fillId="2" borderId="20" xfId="0" applyFont="1" applyFill="1" applyBorder="1" applyAlignment="1" applyProtection="1">
      <alignment vertical="top"/>
      <protection locked="0"/>
    </xf>
    <xf numFmtId="41" fontId="0" fillId="2" borderId="0" xfId="3" applyFont="1" applyFill="1" applyBorder="1" applyAlignment="1" applyProtection="1">
      <alignment vertical="center"/>
      <protection locked="0"/>
    </xf>
    <xf numFmtId="4" fontId="74" fillId="0" borderId="0" xfId="0" applyNumberFormat="1" applyFont="1" applyAlignment="1"/>
    <xf numFmtId="3" fontId="74" fillId="0" borderId="0" xfId="0" applyNumberFormat="1" applyFont="1" applyAlignment="1"/>
    <xf numFmtId="0" fontId="75" fillId="0" borderId="0" xfId="0" applyFont="1">
      <alignment vertical="center"/>
    </xf>
    <xf numFmtId="3" fontId="76" fillId="0" borderId="0" xfId="0" applyNumberFormat="1" applyFont="1" applyAlignment="1"/>
    <xf numFmtId="4" fontId="76" fillId="0" borderId="0" xfId="0" applyNumberFormat="1" applyFont="1" applyAlignment="1">
      <alignment horizontal="center"/>
    </xf>
    <xf numFmtId="1" fontId="77" fillId="0" borderId="0" xfId="0" applyNumberFormat="1" applyFont="1" applyAlignment="1">
      <alignment horizontal="center"/>
    </xf>
    <xf numFmtId="3" fontId="76" fillId="0" borderId="0" xfId="0" applyNumberFormat="1" applyFont="1" applyAlignment="1">
      <alignment horizontal="center"/>
    </xf>
    <xf numFmtId="4" fontId="76" fillId="0" borderId="0" xfId="0" applyNumberFormat="1" applyFont="1" applyAlignment="1"/>
    <xf numFmtId="3" fontId="76" fillId="0" borderId="68" xfId="0" applyNumberFormat="1" applyFont="1" applyBorder="1" applyAlignment="1">
      <alignment horizontal="center"/>
    </xf>
    <xf numFmtId="175" fontId="76" fillId="0" borderId="66" xfId="17" applyNumberFormat="1" applyFont="1" applyBorder="1" applyAlignment="1">
      <alignment horizontal="center"/>
    </xf>
    <xf numFmtId="3" fontId="76" fillId="0" borderId="34" xfId="18" applyNumberFormat="1" applyFont="1" applyBorder="1" applyAlignment="1">
      <alignment horizontal="center"/>
    </xf>
    <xf numFmtId="3" fontId="76" fillId="0" borderId="34" xfId="0" applyNumberFormat="1" applyFont="1" applyBorder="1" applyAlignment="1">
      <alignment horizontal="center" vertical="center"/>
    </xf>
    <xf numFmtId="3" fontId="74" fillId="0" borderId="39" xfId="0" applyNumberFormat="1" applyFont="1" applyBorder="1" applyAlignment="1">
      <alignment horizontal="center"/>
    </xf>
    <xf numFmtId="3" fontId="74" fillId="2" borderId="0" xfId="17" applyNumberFormat="1" applyFont="1" applyFill="1" applyBorder="1"/>
    <xf numFmtId="3" fontId="74" fillId="2" borderId="0" xfId="17" applyNumberFormat="1" applyFont="1" applyFill="1" applyBorder="1" applyAlignment="1">
      <alignment horizontal="right"/>
    </xf>
    <xf numFmtId="4" fontId="74" fillId="2" borderId="0" xfId="0" applyNumberFormat="1" applyFont="1" applyFill="1" applyAlignment="1"/>
    <xf numFmtId="175" fontId="74" fillId="0" borderId="0" xfId="0" applyNumberFormat="1" applyFont="1" applyAlignment="1"/>
    <xf numFmtId="3" fontId="74" fillId="0" borderId="0" xfId="0" applyNumberFormat="1" applyFont="1" applyAlignment="1">
      <alignment horizontal="right"/>
    </xf>
    <xf numFmtId="4" fontId="74" fillId="0" borderId="17" xfId="0" applyNumberFormat="1" applyFont="1" applyBorder="1" applyAlignment="1"/>
    <xf numFmtId="4" fontId="76" fillId="0" borderId="17" xfId="0" applyNumberFormat="1" applyFont="1" applyBorder="1" applyAlignment="1"/>
    <xf numFmtId="183" fontId="78" fillId="2" borderId="17" xfId="0" applyNumberFormat="1" applyFont="1" applyFill="1" applyBorder="1" applyAlignment="1">
      <alignment horizontal="center"/>
    </xf>
    <xf numFmtId="0" fontId="9" fillId="2" borderId="0" xfId="0" applyFont="1" applyFill="1" applyAlignment="1" applyProtection="1">
      <alignment horizontal="center" vertical="center"/>
      <protection locked="0"/>
    </xf>
    <xf numFmtId="0" fontId="0" fillId="0" borderId="0" xfId="0" applyAlignment="1" applyProtection="1">
      <protection locked="0"/>
    </xf>
    <xf numFmtId="0" fontId="0" fillId="2" borderId="4" xfId="0" applyFill="1" applyBorder="1" applyProtection="1">
      <alignment vertical="center"/>
      <protection locked="0"/>
    </xf>
    <xf numFmtId="0" fontId="0" fillId="2" borderId="3" xfId="0" applyFill="1" applyBorder="1" applyAlignment="1" applyProtection="1">
      <alignment horizontal="center" vertical="center"/>
      <protection locked="0"/>
    </xf>
    <xf numFmtId="0" fontId="0" fillId="2" borderId="0" xfId="0" applyFill="1" applyAlignment="1" applyProtection="1">
      <protection locked="0"/>
    </xf>
    <xf numFmtId="0" fontId="9" fillId="2" borderId="0" xfId="0" applyFont="1" applyFill="1" applyAlignment="1" applyProtection="1">
      <protection locked="0"/>
    </xf>
    <xf numFmtId="0" fontId="26" fillId="2" borderId="0" xfId="0" applyFont="1" applyFill="1" applyProtection="1">
      <alignment vertical="center"/>
      <protection locked="0"/>
    </xf>
    <xf numFmtId="0" fontId="0" fillId="2" borderId="16" xfId="0" applyFill="1" applyBorder="1" applyProtection="1">
      <alignment vertical="center"/>
      <protection locked="0"/>
    </xf>
    <xf numFmtId="0" fontId="0" fillId="2" borderId="24" xfId="0" applyFill="1" applyBorder="1" applyProtection="1">
      <alignment vertical="center"/>
      <protection locked="0"/>
    </xf>
    <xf numFmtId="0" fontId="0" fillId="2" borderId="25" xfId="0" applyFill="1" applyBorder="1" applyProtection="1">
      <alignment vertical="center"/>
      <protection locked="0"/>
    </xf>
    <xf numFmtId="0" fontId="0" fillId="2" borderId="44" xfId="0" applyFill="1" applyBorder="1" applyProtection="1">
      <alignment vertical="center"/>
      <protection locked="0"/>
    </xf>
    <xf numFmtId="0" fontId="0" fillId="2" borderId="25" xfId="0" applyFill="1" applyBorder="1" applyAlignment="1" applyProtection="1">
      <alignment horizontal="center" vertical="center"/>
      <protection locked="0"/>
    </xf>
    <xf numFmtId="0" fontId="0" fillId="2" borderId="26" xfId="0" applyFill="1" applyBorder="1" applyProtection="1">
      <alignment vertical="center"/>
      <protection locked="0"/>
    </xf>
    <xf numFmtId="0" fontId="0" fillId="2" borderId="33" xfId="0" applyFill="1" applyBorder="1" applyProtection="1">
      <alignment vertical="center"/>
      <protection locked="0"/>
    </xf>
    <xf numFmtId="0" fontId="0" fillId="2" borderId="3" xfId="0" applyFill="1" applyBorder="1" applyProtection="1">
      <alignment vertical="center"/>
      <protection locked="0"/>
    </xf>
    <xf numFmtId="0" fontId="0" fillId="2" borderId="31" xfId="0" applyFill="1" applyBorder="1" applyProtection="1">
      <alignment vertical="center"/>
      <protection locked="0"/>
    </xf>
    <xf numFmtId="0" fontId="0" fillId="2" borderId="5" xfId="0" applyFill="1" applyBorder="1" applyProtection="1">
      <alignment vertical="center"/>
      <protection locked="0"/>
    </xf>
    <xf numFmtId="0" fontId="0" fillId="2" borderId="6" xfId="0" applyFill="1" applyBorder="1" applyProtection="1">
      <alignment vertical="center"/>
      <protection locked="0"/>
    </xf>
    <xf numFmtId="0" fontId="0" fillId="2" borderId="29" xfId="0" applyFill="1" applyBorder="1" applyProtection="1">
      <alignment vertical="center"/>
      <protection locked="0"/>
    </xf>
    <xf numFmtId="0" fontId="0" fillId="2" borderId="12" xfId="0" applyFill="1" applyBorder="1" applyProtection="1">
      <alignment vertical="center"/>
      <protection locked="0"/>
    </xf>
    <xf numFmtId="0" fontId="0" fillId="2" borderId="42" xfId="0" applyFill="1" applyBorder="1" applyProtection="1">
      <alignment vertical="center"/>
      <protection locked="0"/>
    </xf>
    <xf numFmtId="0" fontId="0" fillId="2" borderId="18" xfId="0" applyFill="1" applyBorder="1" applyProtection="1">
      <alignment vertical="center"/>
      <protection locked="0"/>
    </xf>
    <xf numFmtId="0" fontId="0" fillId="2" borderId="20" xfId="0" applyFill="1" applyBorder="1" applyProtection="1">
      <alignment vertical="center"/>
      <protection locked="0"/>
    </xf>
    <xf numFmtId="0" fontId="0" fillId="2" borderId="19"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43" fontId="0" fillId="0" borderId="0" xfId="0" applyNumberFormat="1" applyProtection="1">
      <alignment vertical="center"/>
      <protection locked="0"/>
    </xf>
    <xf numFmtId="0" fontId="0" fillId="2" borderId="0" xfId="0" applyFill="1" applyProtection="1">
      <alignment vertical="center"/>
      <protection hidden="1"/>
    </xf>
    <xf numFmtId="0" fontId="46" fillId="2" borderId="0" xfId="0" applyFont="1" applyFill="1" applyAlignment="1" applyProtection="1">
      <alignment horizontal="left" vertical="top"/>
      <protection locked="0"/>
    </xf>
    <xf numFmtId="0" fontId="44" fillId="2" borderId="0" xfId="0" applyFont="1" applyFill="1" applyAlignment="1" applyProtection="1">
      <alignment horizontal="left" vertical="top"/>
      <protection locked="0"/>
    </xf>
    <xf numFmtId="0" fontId="44" fillId="2" borderId="0" xfId="0" applyFont="1" applyFill="1" applyAlignment="1" applyProtection="1">
      <alignment horizontal="left" vertical="center"/>
      <protection locked="0"/>
    </xf>
    <xf numFmtId="0" fontId="20" fillId="2" borderId="0" xfId="0" applyFont="1" applyFill="1" applyAlignment="1" applyProtection="1">
      <alignment horizontal="left"/>
      <protection locked="0"/>
    </xf>
    <xf numFmtId="0" fontId="0" fillId="0" borderId="0" xfId="0" applyAlignment="1" applyProtection="1">
      <alignment horizontal="left" vertical="center"/>
      <protection locked="0"/>
    </xf>
    <xf numFmtId="0" fontId="0" fillId="2" borderId="4" xfId="0" applyFill="1" applyBorder="1" applyProtection="1">
      <alignment vertical="center"/>
      <protection hidden="1"/>
    </xf>
    <xf numFmtId="0" fontId="9" fillId="0" borderId="0" xfId="0" applyFont="1" applyProtection="1">
      <alignment vertical="center"/>
      <protection locked="0"/>
    </xf>
    <xf numFmtId="0" fontId="0" fillId="0" borderId="0" xfId="0" applyAlignment="1" applyProtection="1">
      <alignment horizontal="left" vertical="top" wrapText="1"/>
      <protection hidden="1"/>
    </xf>
    <xf numFmtId="10" fontId="23" fillId="0" borderId="0" xfId="2" applyNumberFormat="1" applyFont="1" applyAlignment="1" applyProtection="1">
      <alignment horizontal="center" vertical="top" wrapText="1"/>
      <protection hidden="1"/>
    </xf>
    <xf numFmtId="0" fontId="0" fillId="0" borderId="33" xfId="0" applyBorder="1" applyAlignment="1" applyProtection="1">
      <alignment horizontal="left" vertical="top" wrapText="1"/>
      <protection hidden="1"/>
    </xf>
    <xf numFmtId="0" fontId="0" fillId="3" borderId="33" xfId="0" applyFill="1" applyBorder="1" applyAlignment="1" applyProtection="1">
      <alignment horizontal="left" vertical="top" wrapText="1"/>
      <protection hidden="1"/>
    </xf>
    <xf numFmtId="10" fontId="23" fillId="0" borderId="33" xfId="2" applyNumberFormat="1" applyFont="1" applyBorder="1" applyAlignment="1" applyProtection="1">
      <alignment horizontal="center" vertical="top" wrapText="1"/>
      <protection hidden="1"/>
    </xf>
    <xf numFmtId="0" fontId="9" fillId="0" borderId="33" xfId="0" applyFont="1" applyBorder="1" applyAlignment="1" applyProtection="1">
      <alignment horizontal="left" vertical="top" wrapText="1"/>
      <protection hidden="1"/>
    </xf>
    <xf numFmtId="0" fontId="9" fillId="0" borderId="32" xfId="0" applyFont="1" applyBorder="1" applyAlignment="1" applyProtection="1">
      <alignment vertical="top" wrapText="1"/>
      <protection hidden="1"/>
    </xf>
    <xf numFmtId="0" fontId="0" fillId="0" borderId="32" xfId="0" applyBorder="1" applyAlignment="1" applyProtection="1">
      <alignment vertical="top" wrapText="1"/>
      <protection hidden="1"/>
    </xf>
    <xf numFmtId="0" fontId="0" fillId="9" borderId="33" xfId="0" applyFill="1" applyBorder="1" applyAlignment="1" applyProtection="1">
      <alignment horizontal="left" vertical="top" wrapText="1"/>
      <protection hidden="1"/>
    </xf>
    <xf numFmtId="0" fontId="0" fillId="14" borderId="33" xfId="0" applyFill="1" applyBorder="1" applyAlignment="1" applyProtection="1">
      <alignment horizontal="left" vertical="top" wrapText="1"/>
      <protection hidden="1"/>
    </xf>
    <xf numFmtId="0" fontId="0" fillId="0" borderId="17" xfId="0" applyBorder="1" applyAlignment="1" applyProtection="1">
      <alignment horizontal="left" vertical="top" wrapText="1"/>
      <protection hidden="1"/>
    </xf>
    <xf numFmtId="10" fontId="23" fillId="0" borderId="0" xfId="2" applyNumberFormat="1" applyFont="1" applyAlignment="1" applyProtection="1">
      <alignment horizontal="left" vertical="top" wrapText="1"/>
      <protection hidden="1"/>
    </xf>
    <xf numFmtId="0" fontId="18" fillId="0" borderId="0" xfId="0" applyFont="1" applyAlignment="1">
      <alignment horizontal="center" vertical="center"/>
    </xf>
    <xf numFmtId="0" fontId="80" fillId="2" borderId="0" xfId="0" applyFont="1" applyFill="1" applyAlignment="1" applyProtection="1">
      <alignment horizontal="center" vertical="center"/>
      <protection locked="0"/>
    </xf>
    <xf numFmtId="0" fontId="4" fillId="2" borderId="0" xfId="0" applyFont="1" applyFill="1" applyProtection="1">
      <alignment vertical="center"/>
      <protection locked="0"/>
    </xf>
    <xf numFmtId="0" fontId="9" fillId="2" borderId="0" xfId="0" quotePrefix="1" applyFont="1" applyFill="1" applyAlignment="1">
      <alignment horizontal="left" vertical="center"/>
    </xf>
    <xf numFmtId="3" fontId="74" fillId="3" borderId="17" xfId="17" applyNumberFormat="1" applyFont="1" applyFill="1" applyBorder="1"/>
    <xf numFmtId="3" fontId="74" fillId="3" borderId="17" xfId="17" applyNumberFormat="1" applyFont="1" applyFill="1" applyBorder="1" applyAlignment="1">
      <alignment horizontal="right"/>
    </xf>
    <xf numFmtId="3" fontId="74" fillId="3" borderId="36" xfId="17" applyNumberFormat="1" applyFont="1" applyFill="1" applyBorder="1" applyAlignment="1">
      <alignment horizontal="right"/>
    </xf>
    <xf numFmtId="183" fontId="78" fillId="3" borderId="17" xfId="0" applyNumberFormat="1" applyFont="1" applyFill="1" applyBorder="1" applyAlignment="1">
      <alignment horizontal="center"/>
    </xf>
    <xf numFmtId="0" fontId="82" fillId="3" borderId="0" xfId="0" applyFont="1" applyFill="1" applyAlignment="1" applyProtection="1">
      <alignment horizontal="left" vertical="top" wrapText="1"/>
      <protection hidden="1"/>
    </xf>
    <xf numFmtId="0" fontId="82" fillId="3" borderId="33" xfId="0" applyFont="1" applyFill="1" applyBorder="1" applyAlignment="1" applyProtection="1">
      <alignment horizontal="center" vertical="top" wrapText="1"/>
      <protection hidden="1"/>
    </xf>
    <xf numFmtId="10" fontId="82" fillId="3" borderId="33" xfId="2" applyNumberFormat="1" applyFont="1" applyFill="1" applyBorder="1" applyAlignment="1" applyProtection="1">
      <alignment horizontal="center" vertical="top" wrapText="1"/>
      <protection hidden="1"/>
    </xf>
    <xf numFmtId="37" fontId="10" fillId="2" borderId="8" xfId="0" applyNumberFormat="1" applyFont="1" applyFill="1" applyBorder="1" applyAlignment="1" applyProtection="1">
      <protection locked="0"/>
    </xf>
    <xf numFmtId="0" fontId="30" fillId="2" borderId="0" xfId="5" applyFont="1" applyFill="1" applyProtection="1">
      <protection hidden="1"/>
    </xf>
    <xf numFmtId="0" fontId="30" fillId="5" borderId="0" xfId="5" applyFont="1" applyFill="1" applyProtection="1">
      <protection hidden="1"/>
    </xf>
    <xf numFmtId="173" fontId="29" fillId="0" borderId="16" xfId="5" applyNumberFormat="1" applyFont="1" applyBorder="1" applyAlignment="1" applyProtection="1">
      <alignment vertical="center" wrapText="1"/>
      <protection hidden="1"/>
    </xf>
    <xf numFmtId="173" fontId="29" fillId="0" borderId="0" xfId="5" applyNumberFormat="1" applyFont="1" applyAlignment="1" applyProtection="1">
      <alignment vertical="center" wrapText="1"/>
      <protection hidden="1"/>
    </xf>
    <xf numFmtId="173" fontId="29" fillId="0" borderId="28" xfId="5" applyNumberFormat="1" applyFont="1" applyBorder="1" applyAlignment="1" applyProtection="1">
      <alignment vertical="center" wrapText="1"/>
      <protection hidden="1"/>
    </xf>
    <xf numFmtId="173" fontId="29" fillId="0" borderId="42" xfId="5" applyNumberFormat="1" applyFont="1" applyBorder="1" applyAlignment="1" applyProtection="1">
      <alignment vertical="center" wrapText="1"/>
      <protection hidden="1"/>
    </xf>
    <xf numFmtId="173" fontId="29" fillId="0" borderId="18" xfId="5" applyNumberFormat="1" applyFont="1" applyBorder="1" applyAlignment="1" applyProtection="1">
      <alignment vertical="center" wrapText="1"/>
      <protection hidden="1"/>
    </xf>
    <xf numFmtId="173" fontId="29" fillId="0" borderId="41" xfId="5" applyNumberFormat="1" applyFont="1" applyBorder="1" applyAlignment="1" applyProtection="1">
      <alignment vertical="center" wrapText="1"/>
      <protection hidden="1"/>
    </xf>
    <xf numFmtId="2" fontId="31" fillId="2" borderId="22" xfId="5" applyNumberFormat="1" applyFont="1" applyFill="1" applyBorder="1" applyProtection="1">
      <protection hidden="1"/>
    </xf>
    <xf numFmtId="0" fontId="31" fillId="2" borderId="22" xfId="5" applyFont="1" applyFill="1" applyBorder="1" applyProtection="1">
      <protection hidden="1"/>
    </xf>
    <xf numFmtId="0" fontId="32" fillId="2" borderId="22" xfId="5" applyFont="1" applyFill="1" applyBorder="1" applyProtection="1">
      <protection hidden="1"/>
    </xf>
    <xf numFmtId="0" fontId="32" fillId="2" borderId="22" xfId="5" applyFont="1" applyFill="1" applyBorder="1" applyAlignment="1" applyProtection="1">
      <alignment horizontal="center"/>
      <protection hidden="1"/>
    </xf>
    <xf numFmtId="9" fontId="32" fillId="2" borderId="22" xfId="5" applyNumberFormat="1" applyFont="1" applyFill="1" applyBorder="1" applyProtection="1">
      <protection hidden="1"/>
    </xf>
    <xf numFmtId="0" fontId="16" fillId="0" borderId="45" xfId="5" applyBorder="1" applyAlignment="1" applyProtection="1">
      <alignment horizontal="center" vertical="center" wrapText="1"/>
      <protection hidden="1"/>
    </xf>
    <xf numFmtId="0" fontId="16" fillId="0" borderId="22" xfId="5" applyBorder="1" applyAlignment="1" applyProtection="1">
      <alignment horizontal="center" vertical="center" wrapText="1"/>
      <protection hidden="1"/>
    </xf>
    <xf numFmtId="4" fontId="5" fillId="0" borderId="46" xfId="5" applyNumberFormat="1" applyFont="1" applyBorder="1" applyAlignment="1" applyProtection="1">
      <alignment horizontal="center" vertical="center" wrapText="1"/>
      <protection hidden="1"/>
    </xf>
    <xf numFmtId="0" fontId="32" fillId="2" borderId="0" xfId="5" applyFont="1" applyFill="1" applyProtection="1">
      <protection hidden="1"/>
    </xf>
    <xf numFmtId="0" fontId="32" fillId="5" borderId="0" xfId="5" applyFont="1" applyFill="1" applyProtection="1">
      <protection hidden="1"/>
    </xf>
    <xf numFmtId="0" fontId="33" fillId="2" borderId="0" xfId="5" applyFont="1" applyFill="1" applyAlignment="1" applyProtection="1">
      <alignment horizontal="center"/>
      <protection hidden="1"/>
    </xf>
    <xf numFmtId="0" fontId="33" fillId="2" borderId="0" xfId="5" applyFont="1" applyFill="1" applyAlignment="1" applyProtection="1">
      <alignment horizontal="left"/>
      <protection hidden="1"/>
    </xf>
    <xf numFmtId="0" fontId="30" fillId="2" borderId="0" xfId="5" applyFont="1" applyFill="1" applyAlignment="1" applyProtection="1">
      <alignment horizontal="center"/>
      <protection hidden="1"/>
    </xf>
    <xf numFmtId="9" fontId="30" fillId="2" borderId="0" xfId="5" applyNumberFormat="1" applyFont="1" applyFill="1" applyProtection="1">
      <protection hidden="1"/>
    </xf>
    <xf numFmtId="0" fontId="16" fillId="0" borderId="16" xfId="5" applyBorder="1" applyAlignment="1" applyProtection="1">
      <alignment horizontal="center" vertical="center" wrapText="1"/>
      <protection hidden="1"/>
    </xf>
    <xf numFmtId="0" fontId="16" fillId="0" borderId="0" xfId="5" applyAlignment="1" applyProtection="1">
      <alignment horizontal="center" vertical="center" wrapText="1"/>
      <protection hidden="1"/>
    </xf>
    <xf numFmtId="4" fontId="29" fillId="0" borderId="28" xfId="5" applyNumberFormat="1" applyFont="1" applyBorder="1" applyAlignment="1" applyProtection="1">
      <alignment horizontal="center" vertical="center" wrapText="1"/>
      <protection hidden="1"/>
    </xf>
    <xf numFmtId="9" fontId="30" fillId="2" borderId="0" xfId="6" applyFont="1" applyFill="1" applyBorder="1" applyAlignment="1" applyProtection="1">
      <protection hidden="1"/>
    </xf>
    <xf numFmtId="0" fontId="35" fillId="2" borderId="0" xfId="5" applyFont="1" applyFill="1" applyProtection="1">
      <protection hidden="1"/>
    </xf>
    <xf numFmtId="0" fontId="30" fillId="2" borderId="16" xfId="5" applyFont="1" applyFill="1" applyBorder="1" applyAlignment="1" applyProtection="1">
      <alignment horizontal="center"/>
      <protection hidden="1"/>
    </xf>
    <xf numFmtId="4" fontId="30" fillId="2" borderId="28" xfId="5" applyNumberFormat="1" applyFont="1" applyFill="1" applyBorder="1" applyProtection="1">
      <protection hidden="1"/>
    </xf>
    <xf numFmtId="4" fontId="30" fillId="2" borderId="0" xfId="5" applyNumberFormat="1" applyFont="1" applyFill="1" applyProtection="1">
      <protection hidden="1"/>
    </xf>
    <xf numFmtId="1" fontId="30" fillId="2" borderId="0" xfId="5" applyNumberFormat="1" applyFont="1" applyFill="1" applyProtection="1">
      <protection hidden="1"/>
    </xf>
    <xf numFmtId="0" fontId="33" fillId="2" borderId="0" xfId="5" applyFont="1" applyFill="1" applyProtection="1">
      <protection hidden="1"/>
    </xf>
    <xf numFmtId="2" fontId="30" fillId="5" borderId="0" xfId="5" applyNumberFormat="1" applyFont="1" applyFill="1" applyProtection="1">
      <protection hidden="1"/>
    </xf>
    <xf numFmtId="0" fontId="30" fillId="11" borderId="16" xfId="5" applyFont="1" applyFill="1" applyBorder="1" applyAlignment="1" applyProtection="1">
      <alignment horizontal="center"/>
      <protection hidden="1"/>
    </xf>
    <xf numFmtId="9" fontId="30" fillId="11" borderId="0" xfId="5" applyNumberFormat="1" applyFont="1" applyFill="1" applyProtection="1">
      <protection hidden="1"/>
    </xf>
    <xf numFmtId="4" fontId="30" fillId="11" borderId="28" xfId="5" applyNumberFormat="1" applyFont="1" applyFill="1" applyBorder="1" applyProtection="1">
      <protection hidden="1"/>
    </xf>
    <xf numFmtId="0" fontId="30" fillId="2" borderId="18" xfId="5" applyFont="1" applyFill="1" applyBorder="1" applyProtection="1">
      <protection hidden="1"/>
    </xf>
    <xf numFmtId="0" fontId="30" fillId="2" borderId="18" xfId="5" applyFont="1" applyFill="1" applyBorder="1" applyAlignment="1" applyProtection="1">
      <alignment horizontal="center"/>
      <protection hidden="1"/>
    </xf>
    <xf numFmtId="0" fontId="30" fillId="2" borderId="42" xfId="5" applyFont="1" applyFill="1" applyBorder="1" applyAlignment="1" applyProtection="1">
      <alignment horizontal="center"/>
      <protection hidden="1"/>
    </xf>
    <xf numFmtId="9" fontId="30" fillId="2" borderId="18" xfId="5" applyNumberFormat="1" applyFont="1" applyFill="1" applyBorder="1" applyProtection="1">
      <protection hidden="1"/>
    </xf>
    <xf numFmtId="4" fontId="30" fillId="2" borderId="41" xfId="5" applyNumberFormat="1" applyFont="1" applyFill="1" applyBorder="1" applyProtection="1">
      <protection hidden="1"/>
    </xf>
    <xf numFmtId="9" fontId="30" fillId="2" borderId="0" xfId="6" applyFont="1" applyFill="1" applyBorder="1" applyAlignment="1" applyProtection="1">
      <alignment horizontal="center"/>
      <protection hidden="1"/>
    </xf>
    <xf numFmtId="0" fontId="30" fillId="10" borderId="16" xfId="5" applyFont="1" applyFill="1" applyBorder="1" applyAlignment="1" applyProtection="1">
      <alignment horizontal="center"/>
      <protection hidden="1"/>
    </xf>
    <xf numFmtId="9" fontId="30" fillId="10" borderId="0" xfId="5" applyNumberFormat="1" applyFont="1" applyFill="1" applyProtection="1">
      <protection hidden="1"/>
    </xf>
    <xf numFmtId="4" fontId="30" fillId="10" borderId="28" xfId="5" applyNumberFormat="1" applyFont="1" applyFill="1" applyBorder="1" applyProtection="1">
      <protection hidden="1"/>
    </xf>
    <xf numFmtId="9" fontId="30" fillId="2" borderId="0" xfId="5" applyNumberFormat="1" applyFont="1" applyFill="1" applyAlignment="1" applyProtection="1">
      <alignment horizontal="center"/>
      <protection hidden="1"/>
    </xf>
    <xf numFmtId="0" fontId="30" fillId="2" borderId="0" xfId="5" quotePrefix="1" applyFont="1" applyFill="1" applyProtection="1">
      <protection hidden="1"/>
    </xf>
    <xf numFmtId="9" fontId="30" fillId="2" borderId="0" xfId="5" applyNumberFormat="1" applyFont="1" applyFill="1" applyAlignment="1" applyProtection="1">
      <alignment horizontal="right"/>
      <protection hidden="1"/>
    </xf>
    <xf numFmtId="0" fontId="30" fillId="0" borderId="0" xfId="5" quotePrefix="1" applyFont="1" applyProtection="1">
      <protection hidden="1"/>
    </xf>
    <xf numFmtId="0" fontId="30" fillId="13" borderId="16" xfId="5" applyFont="1" applyFill="1" applyBorder="1" applyAlignment="1" applyProtection="1">
      <alignment horizontal="center"/>
      <protection hidden="1"/>
    </xf>
    <xf numFmtId="4" fontId="81" fillId="2" borderId="0" xfId="5" applyNumberFormat="1" applyFont="1" applyFill="1" applyProtection="1">
      <protection hidden="1"/>
    </xf>
    <xf numFmtId="171" fontId="30" fillId="2" borderId="0" xfId="5" applyNumberFormat="1" applyFont="1" applyFill="1" applyAlignment="1" applyProtection="1">
      <alignment horizontal="center"/>
      <protection hidden="1"/>
    </xf>
    <xf numFmtId="171" fontId="33" fillId="2" borderId="0" xfId="5" applyNumberFormat="1" applyFont="1" applyFill="1" applyAlignment="1" applyProtection="1">
      <alignment horizontal="center"/>
      <protection hidden="1"/>
    </xf>
    <xf numFmtId="0" fontId="36" fillId="2" borderId="0" xfId="5" applyFont="1" applyFill="1" applyProtection="1">
      <protection hidden="1"/>
    </xf>
    <xf numFmtId="0" fontId="63" fillId="2" borderId="0" xfId="5" applyFont="1" applyFill="1" applyProtection="1">
      <protection hidden="1"/>
    </xf>
    <xf numFmtId="0" fontId="64" fillId="2" borderId="0" xfId="5" applyFont="1" applyFill="1" applyProtection="1">
      <protection hidden="1"/>
    </xf>
    <xf numFmtId="0" fontId="36" fillId="2" borderId="16" xfId="5" applyFont="1" applyFill="1" applyBorder="1" applyAlignment="1" applyProtection="1">
      <alignment horizontal="center"/>
      <protection hidden="1"/>
    </xf>
    <xf numFmtId="4" fontId="36" fillId="2" borderId="28" xfId="5" applyNumberFormat="1" applyFont="1" applyFill="1" applyBorder="1" applyProtection="1">
      <protection hidden="1"/>
    </xf>
    <xf numFmtId="0" fontId="36" fillId="5" borderId="0" xfId="5" applyFont="1" applyFill="1" applyProtection="1">
      <protection hidden="1"/>
    </xf>
    <xf numFmtId="0" fontId="64" fillId="2" borderId="0" xfId="5" applyFont="1" applyFill="1" applyAlignment="1" applyProtection="1">
      <alignment horizontal="center"/>
      <protection hidden="1"/>
    </xf>
    <xf numFmtId="0" fontId="33" fillId="2" borderId="0" xfId="5" quotePrefix="1" applyFont="1" applyFill="1" applyAlignment="1" applyProtection="1">
      <alignment horizontal="left"/>
      <protection hidden="1"/>
    </xf>
    <xf numFmtId="0" fontId="30" fillId="2" borderId="0" xfId="5" applyFont="1" applyFill="1" applyAlignment="1" applyProtection="1">
      <alignment horizontal="center" vertical="top"/>
      <protection hidden="1"/>
    </xf>
    <xf numFmtId="0" fontId="30" fillId="2" borderId="0" xfId="5" applyFont="1" applyFill="1" applyAlignment="1" applyProtection="1">
      <alignment vertical="top"/>
      <protection hidden="1"/>
    </xf>
    <xf numFmtId="0" fontId="30" fillId="2" borderId="0" xfId="5" applyFont="1" applyFill="1" applyAlignment="1" applyProtection="1">
      <alignment vertical="top" wrapText="1"/>
      <protection hidden="1"/>
    </xf>
    <xf numFmtId="0" fontId="30" fillId="2" borderId="16" xfId="5" applyFont="1" applyFill="1" applyBorder="1" applyAlignment="1" applyProtection="1">
      <alignment horizontal="center" vertical="top"/>
      <protection hidden="1"/>
    </xf>
    <xf numFmtId="9" fontId="30" fillId="2" borderId="0" xfId="5" applyNumberFormat="1" applyFont="1" applyFill="1" applyAlignment="1" applyProtection="1">
      <alignment vertical="top"/>
      <protection hidden="1"/>
    </xf>
    <xf numFmtId="4" fontId="30" fillId="2" borderId="28" xfId="5" applyNumberFormat="1" applyFont="1" applyFill="1" applyBorder="1" applyAlignment="1" applyProtection="1">
      <alignment vertical="top"/>
      <protection hidden="1"/>
    </xf>
    <xf numFmtId="0" fontId="30" fillId="11" borderId="16" xfId="5" applyFont="1" applyFill="1" applyBorder="1" applyAlignment="1" applyProtection="1">
      <alignment horizontal="center" vertical="top"/>
      <protection hidden="1"/>
    </xf>
    <xf numFmtId="9" fontId="30" fillId="11" borderId="0" xfId="5" applyNumberFormat="1" applyFont="1" applyFill="1" applyAlignment="1" applyProtection="1">
      <alignment vertical="top"/>
      <protection hidden="1"/>
    </xf>
    <xf numFmtId="4" fontId="30" fillId="11" borderId="28" xfId="5" applyNumberFormat="1" applyFont="1" applyFill="1" applyBorder="1" applyAlignment="1" applyProtection="1">
      <alignment vertical="top"/>
      <protection hidden="1"/>
    </xf>
    <xf numFmtId="9" fontId="33" fillId="2" borderId="0" xfId="5" quotePrefix="1" applyNumberFormat="1" applyFont="1" applyFill="1" applyAlignment="1" applyProtection="1">
      <alignment horizontal="left"/>
      <protection hidden="1"/>
    </xf>
    <xf numFmtId="0" fontId="33" fillId="2" borderId="18" xfId="5" quotePrefix="1" applyFont="1" applyFill="1" applyBorder="1" applyAlignment="1" applyProtection="1">
      <alignment horizontal="left"/>
      <protection hidden="1"/>
    </xf>
    <xf numFmtId="9" fontId="30" fillId="2" borderId="0" xfId="6" applyFont="1" applyFill="1" applyBorder="1" applyAlignment="1" applyProtection="1">
      <alignment horizontal="right"/>
      <protection hidden="1"/>
    </xf>
    <xf numFmtId="9" fontId="30" fillId="13" borderId="0" xfId="5" applyNumberFormat="1" applyFont="1" applyFill="1" applyProtection="1">
      <protection hidden="1"/>
    </xf>
    <xf numFmtId="4" fontId="30" fillId="13" borderId="28" xfId="5" applyNumberFormat="1" applyFont="1" applyFill="1" applyBorder="1" applyProtection="1">
      <protection hidden="1"/>
    </xf>
    <xf numFmtId="9" fontId="33" fillId="2" borderId="0" xfId="5" applyNumberFormat="1" applyFont="1" applyFill="1" applyAlignment="1" applyProtection="1">
      <alignment horizontal="center"/>
      <protection hidden="1"/>
    </xf>
    <xf numFmtId="0" fontId="33" fillId="0" borderId="0" xfId="5" applyFont="1" applyProtection="1">
      <protection hidden="1"/>
    </xf>
    <xf numFmtId="0" fontId="30" fillId="0" borderId="0" xfId="5" applyFont="1" applyProtection="1">
      <protection hidden="1"/>
    </xf>
    <xf numFmtId="0" fontId="30" fillId="0" borderId="0" xfId="5" applyFont="1" applyAlignment="1" applyProtection="1">
      <alignment horizontal="center"/>
      <protection hidden="1"/>
    </xf>
    <xf numFmtId="0" fontId="33" fillId="2" borderId="18" xfId="5" applyFont="1" applyFill="1" applyBorder="1" applyAlignment="1" applyProtection="1">
      <alignment horizontal="center"/>
      <protection hidden="1"/>
    </xf>
    <xf numFmtId="187" fontId="30" fillId="2" borderId="0" xfId="5" applyNumberFormat="1" applyFont="1" applyFill="1" applyProtection="1">
      <protection hidden="1"/>
    </xf>
    <xf numFmtId="0" fontId="60" fillId="2" borderId="0" xfId="0" applyFont="1" applyFill="1" applyProtection="1">
      <alignment vertical="center"/>
      <protection hidden="1"/>
    </xf>
    <xf numFmtId="0" fontId="0" fillId="0" borderId="0" xfId="0" applyProtection="1">
      <alignment vertical="center"/>
      <protection hidden="1"/>
    </xf>
    <xf numFmtId="4" fontId="30" fillId="5" borderId="0" xfId="5" applyNumberFormat="1" applyFont="1" applyFill="1" applyProtection="1">
      <protection hidden="1"/>
    </xf>
    <xf numFmtId="0" fontId="30" fillId="2" borderId="0" xfId="5" applyFont="1" applyFill="1" applyAlignment="1" applyProtection="1">
      <alignment horizontal="left"/>
      <protection hidden="1"/>
    </xf>
    <xf numFmtId="49" fontId="30" fillId="2" borderId="0" xfId="5" applyNumberFormat="1" applyFont="1" applyFill="1" applyAlignment="1" applyProtection="1">
      <alignment horizontal="left"/>
      <protection hidden="1"/>
    </xf>
    <xf numFmtId="1" fontId="30" fillId="2" borderId="16" xfId="5" applyNumberFormat="1" applyFont="1" applyFill="1" applyBorder="1" applyAlignment="1" applyProtection="1">
      <alignment horizontal="center"/>
      <protection hidden="1"/>
    </xf>
    <xf numFmtId="0" fontId="33" fillId="2" borderId="18" xfId="5" applyFont="1" applyFill="1" applyBorder="1" applyProtection="1">
      <protection hidden="1"/>
    </xf>
    <xf numFmtId="2" fontId="31" fillId="3" borderId="0" xfId="5" applyNumberFormat="1" applyFont="1" applyFill="1" applyProtection="1">
      <protection hidden="1"/>
    </xf>
    <xf numFmtId="2" fontId="32" fillId="2" borderId="0" xfId="5" applyNumberFormat="1" applyFont="1" applyFill="1" applyProtection="1">
      <protection hidden="1"/>
    </xf>
    <xf numFmtId="0" fontId="30" fillId="3" borderId="0" xfId="5" applyFont="1" applyFill="1" applyProtection="1">
      <protection hidden="1"/>
    </xf>
    <xf numFmtId="0" fontId="30" fillId="2" borderId="31" xfId="5" applyFont="1" applyFill="1" applyBorder="1" applyAlignment="1" applyProtection="1">
      <alignment horizontal="center" vertical="top"/>
      <protection hidden="1"/>
    </xf>
    <xf numFmtId="9" fontId="30" fillId="2" borderId="5" xfId="5" applyNumberFormat="1" applyFont="1" applyFill="1" applyBorder="1" applyAlignment="1" applyProtection="1">
      <alignment vertical="top"/>
      <protection hidden="1"/>
    </xf>
    <xf numFmtId="4" fontId="30" fillId="2" borderId="30" xfId="5" applyNumberFormat="1" applyFont="1" applyFill="1" applyBorder="1" applyAlignment="1" applyProtection="1">
      <alignment vertical="top"/>
      <protection hidden="1"/>
    </xf>
    <xf numFmtId="0" fontId="30" fillId="2" borderId="0" xfId="7" applyFont="1" applyFill="1" applyProtection="1">
      <protection hidden="1"/>
    </xf>
    <xf numFmtId="1" fontId="67" fillId="17" borderId="14" xfId="0" applyNumberFormat="1" applyFont="1" applyFill="1" applyBorder="1" applyAlignment="1" applyProtection="1">
      <alignment horizontal="right" vertical="center"/>
      <protection hidden="1"/>
    </xf>
    <xf numFmtId="1" fontId="67" fillId="13" borderId="17" xfId="0" applyNumberFormat="1" applyFont="1" applyFill="1" applyBorder="1" applyAlignment="1" applyProtection="1">
      <alignment horizontal="right" vertical="center"/>
      <protection hidden="1"/>
    </xf>
    <xf numFmtId="0" fontId="70" fillId="13" borderId="17" xfId="5" applyFont="1" applyFill="1" applyBorder="1" applyProtection="1">
      <protection hidden="1"/>
    </xf>
    <xf numFmtId="1" fontId="67" fillId="13" borderId="17" xfId="5" applyNumberFormat="1" applyFont="1" applyFill="1" applyBorder="1" applyProtection="1">
      <protection hidden="1"/>
    </xf>
    <xf numFmtId="0" fontId="67" fillId="13" borderId="17" xfId="5" applyFont="1" applyFill="1" applyBorder="1" applyProtection="1">
      <protection hidden="1"/>
    </xf>
    <xf numFmtId="41" fontId="67" fillId="13" borderId="17" xfId="5" applyNumberFormat="1" applyFont="1" applyFill="1" applyBorder="1" applyProtection="1">
      <protection hidden="1"/>
    </xf>
    <xf numFmtId="183" fontId="71" fillId="13" borderId="17" xfId="5" applyNumberFormat="1" applyFont="1" applyFill="1" applyBorder="1" applyProtection="1">
      <protection hidden="1"/>
    </xf>
    <xf numFmtId="183" fontId="72" fillId="13" borderId="17" xfId="0" applyNumberFormat="1" applyFont="1" applyFill="1" applyBorder="1" applyAlignment="1" applyProtection="1">
      <alignment horizontal="right"/>
      <protection hidden="1"/>
    </xf>
    <xf numFmtId="165" fontId="30" fillId="13" borderId="17" xfId="5" applyNumberFormat="1" applyFont="1" applyFill="1" applyBorder="1" applyAlignment="1" applyProtection="1">
      <alignment horizontal="right"/>
      <protection hidden="1"/>
    </xf>
    <xf numFmtId="0" fontId="0" fillId="2" borderId="0" xfId="0" applyFill="1" applyAlignment="1">
      <alignment horizontal="right" vertical="center"/>
    </xf>
    <xf numFmtId="37" fontId="10" fillId="2" borderId="9" xfId="0" applyNumberFormat="1" applyFont="1" applyFill="1" applyBorder="1" applyAlignment="1" applyProtection="1">
      <protection locked="0"/>
    </xf>
    <xf numFmtId="43" fontId="86" fillId="0" borderId="0" xfId="1" applyFont="1" applyAlignment="1" applyProtection="1">
      <alignment vertical="center"/>
    </xf>
    <xf numFmtId="3" fontId="74" fillId="0" borderId="0" xfId="0" applyNumberFormat="1" applyFont="1" applyAlignment="1">
      <alignment horizontal="center"/>
    </xf>
    <xf numFmtId="4" fontId="73" fillId="0" borderId="0" xfId="0" applyNumberFormat="1" applyFont="1" applyAlignment="1">
      <alignment horizontal="center" vertical="center"/>
    </xf>
    <xf numFmtId="10" fontId="76" fillId="0" borderId="0" xfId="0" applyNumberFormat="1" applyFont="1" applyAlignment="1"/>
    <xf numFmtId="175" fontId="76" fillId="0" borderId="16" xfId="17" applyNumberFormat="1" applyFont="1" applyBorder="1" applyAlignment="1">
      <alignment horizontal="center"/>
    </xf>
    <xf numFmtId="183" fontId="77" fillId="0" borderId="0" xfId="0" applyNumberFormat="1" applyFont="1" applyAlignment="1">
      <alignment horizontal="center"/>
    </xf>
    <xf numFmtId="3" fontId="76" fillId="0" borderId="0" xfId="0" applyNumberFormat="1" applyFont="1" applyAlignment="1">
      <alignment horizontal="center" vertical="center"/>
    </xf>
    <xf numFmtId="3" fontId="76" fillId="0" borderId="16" xfId="0" applyNumberFormat="1" applyFont="1" applyBorder="1" applyAlignment="1">
      <alignment horizontal="center" vertical="center"/>
    </xf>
    <xf numFmtId="3" fontId="74" fillId="0" borderId="0" xfId="17" applyNumberFormat="1" applyFont="1" applyFill="1" applyBorder="1" applyAlignment="1">
      <alignment horizontal="right"/>
    </xf>
    <xf numFmtId="40" fontId="91" fillId="2" borderId="15" xfId="17" applyNumberFormat="1" applyFont="1" applyFill="1" applyBorder="1"/>
    <xf numFmtId="3" fontId="76" fillId="0" borderId="0" xfId="17" applyNumberFormat="1" applyFont="1" applyFill="1" applyBorder="1"/>
    <xf numFmtId="3" fontId="74" fillId="0" borderId="17" xfId="17" applyNumberFormat="1" applyFont="1" applyFill="1" applyBorder="1"/>
    <xf numFmtId="3" fontId="74" fillId="0" borderId="36" xfId="17" applyNumberFormat="1" applyFont="1" applyFill="1" applyBorder="1" applyAlignment="1">
      <alignment horizontal="right"/>
    </xf>
    <xf numFmtId="3" fontId="74" fillId="3" borderId="39" xfId="0" applyNumberFormat="1" applyFont="1" applyFill="1" applyBorder="1" applyAlignment="1">
      <alignment horizontal="center"/>
    </xf>
    <xf numFmtId="3" fontId="74" fillId="3" borderId="65" xfId="0" applyNumberFormat="1" applyFont="1" applyFill="1" applyBorder="1" applyAlignment="1">
      <alignment horizontal="center"/>
    </xf>
    <xf numFmtId="3" fontId="76" fillId="18" borderId="15" xfId="0" applyNumberFormat="1" applyFont="1" applyFill="1" applyBorder="1" applyAlignment="1">
      <alignment horizontal="center"/>
    </xf>
    <xf numFmtId="3" fontId="76" fillId="18" borderId="17" xfId="17" applyNumberFormat="1" applyFont="1" applyFill="1" applyBorder="1"/>
    <xf numFmtId="0" fontId="61" fillId="0" borderId="0" xfId="0" applyFont="1">
      <alignment vertical="center"/>
    </xf>
    <xf numFmtId="0" fontId="61" fillId="2" borderId="25" xfId="0" applyFont="1" applyFill="1" applyBorder="1" applyAlignment="1">
      <alignment horizontal="center" vertical="center"/>
    </xf>
    <xf numFmtId="0" fontId="61" fillId="2" borderId="0" xfId="0" applyFont="1" applyFill="1" applyAlignment="1">
      <alignment horizontal="center" vertical="center"/>
    </xf>
    <xf numFmtId="0" fontId="61" fillId="0" borderId="0" xfId="0" applyFont="1" applyAlignment="1">
      <alignment horizontal="center" vertical="center"/>
    </xf>
    <xf numFmtId="0" fontId="9" fillId="2" borderId="0" xfId="0" quotePrefix="1" applyFont="1" applyFill="1">
      <alignment vertical="center"/>
    </xf>
    <xf numFmtId="185" fontId="9" fillId="2" borderId="0" xfId="0" applyNumberFormat="1" applyFont="1" applyFill="1" applyAlignment="1">
      <alignment horizontal="left" vertical="center"/>
    </xf>
    <xf numFmtId="185" fontId="18" fillId="2" borderId="0" xfId="0" applyNumberFormat="1" applyFont="1" applyFill="1" applyAlignment="1">
      <alignment horizontal="left" vertical="center"/>
    </xf>
    <xf numFmtId="185" fontId="18" fillId="2" borderId="0" xfId="0" quotePrefix="1" applyNumberFormat="1" applyFont="1" applyFill="1" applyAlignment="1">
      <alignment horizontal="center" vertical="center"/>
    </xf>
    <xf numFmtId="40" fontId="16" fillId="0" borderId="35" xfId="3" applyNumberFormat="1" applyFont="1" applyBorder="1"/>
    <xf numFmtId="175" fontId="16" fillId="0" borderId="34" xfId="0" applyNumberFormat="1" applyFont="1" applyBorder="1" applyAlignment="1"/>
    <xf numFmtId="175" fontId="16" fillId="0" borderId="35" xfId="0" applyNumberFormat="1" applyFont="1" applyBorder="1" applyAlignment="1"/>
    <xf numFmtId="0" fontId="51" fillId="2" borderId="60" xfId="0" applyFont="1" applyFill="1" applyBorder="1">
      <alignment vertical="center"/>
    </xf>
    <xf numFmtId="0" fontId="51" fillId="2" borderId="9" xfId="0" applyFont="1" applyFill="1" applyBorder="1" applyAlignment="1">
      <alignment horizontal="left" vertical="center"/>
    </xf>
    <xf numFmtId="185" fontId="51" fillId="2" borderId="0" xfId="0" applyNumberFormat="1" applyFont="1" applyFill="1">
      <alignment vertical="center"/>
    </xf>
    <xf numFmtId="185" fontId="51" fillId="3" borderId="9" xfId="0" applyNumberFormat="1" applyFont="1" applyFill="1" applyBorder="1">
      <alignment vertical="center"/>
    </xf>
    <xf numFmtId="0" fontId="95" fillId="0" borderId="17" xfId="0" applyFont="1" applyBorder="1" applyAlignment="1">
      <alignment horizontal="center"/>
    </xf>
    <xf numFmtId="43" fontId="65" fillId="0" borderId="0" xfId="0" applyNumberFormat="1" applyFont="1" applyAlignment="1"/>
    <xf numFmtId="0" fontId="95" fillId="0" borderId="11" xfId="0" applyFont="1" applyBorder="1" applyAlignment="1"/>
    <xf numFmtId="2" fontId="96" fillId="2" borderId="0" xfId="0" applyNumberFormat="1" applyFont="1" applyFill="1" applyProtection="1">
      <alignment vertical="center"/>
      <protection locked="0"/>
    </xf>
    <xf numFmtId="2" fontId="96" fillId="2" borderId="5" xfId="0" applyNumberFormat="1" applyFont="1" applyFill="1" applyBorder="1" applyProtection="1">
      <alignment vertical="center"/>
      <protection locked="0"/>
    </xf>
    <xf numFmtId="187" fontId="18" fillId="2" borderId="0" xfId="0" applyNumberFormat="1" applyFont="1" applyFill="1" applyProtection="1">
      <alignment vertical="center"/>
      <protection locked="0"/>
    </xf>
    <xf numFmtId="49" fontId="0" fillId="2" borderId="0" xfId="0" applyNumberFormat="1" applyFill="1" applyAlignment="1" applyProtection="1">
      <alignment horizontal="left"/>
      <protection locked="0"/>
    </xf>
    <xf numFmtId="0" fontId="0" fillId="2" borderId="11" xfId="0" applyFill="1" applyBorder="1" applyAlignment="1" applyProtection="1">
      <alignment horizontal="left"/>
      <protection locked="0"/>
    </xf>
    <xf numFmtId="0" fontId="0" fillId="2" borderId="0" xfId="0" applyFill="1" applyAlignment="1" applyProtection="1">
      <alignment horizontal="left"/>
      <protection locked="0"/>
    </xf>
    <xf numFmtId="0" fontId="0" fillId="2" borderId="27" xfId="0" applyFill="1" applyBorder="1" applyAlignment="1" applyProtection="1">
      <alignment horizontal="left"/>
      <protection locked="0"/>
    </xf>
    <xf numFmtId="0" fontId="0" fillId="2" borderId="28" xfId="0" applyFill="1" applyBorder="1" applyAlignment="1" applyProtection="1">
      <alignment horizontal="left"/>
      <protection locked="0"/>
    </xf>
    <xf numFmtId="49" fontId="0" fillId="2" borderId="28" xfId="0" applyNumberFormat="1" applyFill="1" applyBorder="1" applyAlignment="1" applyProtection="1">
      <alignment horizontal="left"/>
      <protection locked="0"/>
    </xf>
    <xf numFmtId="0" fontId="0" fillId="2" borderId="0" xfId="0" applyFill="1" applyAlignment="1" applyProtection="1">
      <alignment horizontal="center" vertical="center"/>
      <protection locked="0"/>
    </xf>
    <xf numFmtId="0" fontId="54" fillId="0" borderId="0" xfId="0" applyFont="1">
      <alignment vertical="center"/>
    </xf>
    <xf numFmtId="0" fontId="54" fillId="2" borderId="0" xfId="0" applyFont="1" applyFill="1" applyAlignment="1">
      <alignment horizontal="center" vertical="center"/>
    </xf>
    <xf numFmtId="49" fontId="97" fillId="2" borderId="0" xfId="0" applyNumberFormat="1" applyFont="1" applyFill="1">
      <alignment vertical="center"/>
    </xf>
    <xf numFmtId="43" fontId="9" fillId="2" borderId="0" xfId="0" applyNumberFormat="1" applyFont="1" applyFill="1" applyProtection="1">
      <alignment vertical="center"/>
      <protection locked="0"/>
    </xf>
    <xf numFmtId="0" fontId="0" fillId="2" borderId="0" xfId="0" applyFill="1" applyAlignment="1" applyProtection="1">
      <alignment horizontal="right"/>
      <protection hidden="1"/>
    </xf>
    <xf numFmtId="0" fontId="0" fillId="2" borderId="29" xfId="0" applyFill="1" applyBorder="1" applyAlignment="1" applyProtection="1">
      <protection locked="0"/>
    </xf>
    <xf numFmtId="0" fontId="0" fillId="2" borderId="11" xfId="0" applyFill="1" applyBorder="1" applyAlignment="1" applyProtection="1">
      <protection locked="0"/>
    </xf>
    <xf numFmtId="0" fontId="0" fillId="2" borderId="27" xfId="0" applyFill="1" applyBorder="1" applyAlignment="1" applyProtection="1">
      <protection locked="0"/>
    </xf>
    <xf numFmtId="0" fontId="9" fillId="2" borderId="16" xfId="0" applyFont="1" applyFill="1" applyBorder="1" applyAlignment="1" applyProtection="1">
      <protection locked="0"/>
    </xf>
    <xf numFmtId="0" fontId="0" fillId="2" borderId="28" xfId="0" applyFill="1" applyBorder="1" applyAlignment="1" applyProtection="1">
      <protection locked="0"/>
    </xf>
    <xf numFmtId="49" fontId="0" fillId="2" borderId="16" xfId="0" applyNumberFormat="1" applyFill="1" applyBorder="1" applyAlignment="1" applyProtection="1">
      <alignment horizontal="left"/>
      <protection locked="0"/>
    </xf>
    <xf numFmtId="49" fontId="0" fillId="0" borderId="0" xfId="0" applyNumberFormat="1" applyAlignment="1" applyProtection="1">
      <alignment horizontal="left"/>
      <protection locked="0"/>
    </xf>
    <xf numFmtId="0" fontId="0" fillId="2" borderId="11" xfId="0" applyFill="1" applyBorder="1" applyAlignment="1" applyProtection="1">
      <alignment horizontal="right"/>
      <protection hidden="1"/>
    </xf>
    <xf numFmtId="0" fontId="0" fillId="2" borderId="29" xfId="0" applyFill="1" applyBorder="1" applyAlignment="1" applyProtection="1">
      <alignment horizontal="left"/>
      <protection locked="0"/>
    </xf>
    <xf numFmtId="0" fontId="0" fillId="0" borderId="0" xfId="0" applyAlignment="1" applyProtection="1">
      <alignment horizontal="left"/>
      <protection locked="0"/>
    </xf>
    <xf numFmtId="0" fontId="9" fillId="2" borderId="16" xfId="0" applyFont="1" applyFill="1" applyBorder="1" applyAlignment="1" applyProtection="1">
      <alignment horizontal="left"/>
      <protection locked="0"/>
    </xf>
    <xf numFmtId="0" fontId="0" fillId="0" borderId="17" xfId="0" applyBorder="1" applyProtection="1">
      <alignment vertical="center"/>
      <protection locked="0"/>
    </xf>
    <xf numFmtId="0" fontId="88" fillId="2" borderId="14" xfId="0" applyFont="1" applyFill="1" applyBorder="1" applyAlignment="1" applyProtection="1">
      <alignment horizontal="right" vertical="center"/>
      <protection locked="0"/>
    </xf>
    <xf numFmtId="0" fontId="0" fillId="2" borderId="17" xfId="0" applyFill="1" applyBorder="1" applyAlignment="1" applyProtection="1">
      <alignment horizontal="center" vertical="center"/>
      <protection locked="0"/>
    </xf>
    <xf numFmtId="185" fontId="9" fillId="0" borderId="0" xfId="0" applyNumberFormat="1" applyFont="1" applyAlignment="1">
      <alignment horizontal="left" vertical="center"/>
    </xf>
    <xf numFmtId="185" fontId="18" fillId="2" borderId="0" xfId="0" quotePrefix="1" applyNumberFormat="1" applyFont="1" applyFill="1" applyAlignment="1">
      <alignment horizontal="left" vertical="center"/>
    </xf>
    <xf numFmtId="0" fontId="0" fillId="2" borderId="15" xfId="0" applyFill="1" applyBorder="1" applyAlignment="1" applyProtection="1">
      <alignment horizontal="center" vertical="center"/>
      <protection locked="0"/>
    </xf>
    <xf numFmtId="41" fontId="0" fillId="2" borderId="17" xfId="3" applyFont="1" applyFill="1" applyBorder="1" applyAlignment="1" applyProtection="1">
      <alignment horizontal="center" vertical="center"/>
      <protection locked="0"/>
    </xf>
    <xf numFmtId="41" fontId="0" fillId="2" borderId="35" xfId="3" applyFont="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0" fillId="2" borderId="4" xfId="0" applyFill="1" applyBorder="1" applyAlignment="1" applyProtection="1">
      <alignment horizontal="center" vertical="center"/>
      <protection locked="0"/>
    </xf>
    <xf numFmtId="0" fontId="44" fillId="2" borderId="0" xfId="0" applyFont="1" applyFill="1" applyAlignment="1" applyProtection="1">
      <alignment horizontal="left" vertical="top" wrapText="1"/>
      <protection locked="0"/>
    </xf>
    <xf numFmtId="0" fontId="0" fillId="2" borderId="4" xfId="0" applyFill="1" applyBorder="1" applyAlignment="1" applyProtection="1">
      <alignment horizontal="center" vertical="center"/>
      <protection hidden="1"/>
    </xf>
    <xf numFmtId="0" fontId="24" fillId="2" borderId="0" xfId="0" applyFont="1" applyFill="1" applyProtection="1">
      <alignment vertical="center"/>
      <protection hidden="1"/>
    </xf>
    <xf numFmtId="0" fontId="0" fillId="2" borderId="5" xfId="0" applyFill="1" applyBorder="1" applyAlignment="1" applyProtection="1">
      <alignment horizontal="center" vertical="center"/>
      <protection hidden="1"/>
    </xf>
    <xf numFmtId="0" fontId="9" fillId="2" borderId="0" xfId="0" applyFont="1" applyFill="1" applyProtection="1">
      <alignment vertical="center"/>
      <protection hidden="1"/>
    </xf>
    <xf numFmtId="9" fontId="43" fillId="2" borderId="0" xfId="0" applyNumberFormat="1" applyFont="1" applyFill="1" applyProtection="1">
      <alignment vertical="center"/>
      <protection hidden="1"/>
    </xf>
    <xf numFmtId="0" fontId="0" fillId="2" borderId="3" xfId="0" applyFill="1" applyBorder="1" applyAlignment="1" applyProtection="1">
      <alignment horizontal="center" vertical="center"/>
      <protection hidden="1"/>
    </xf>
    <xf numFmtId="0" fontId="24" fillId="2" borderId="0" xfId="0" applyFont="1" applyFill="1" applyAlignment="1" applyProtection="1">
      <alignment horizontal="left" vertical="center"/>
      <protection hidden="1"/>
    </xf>
    <xf numFmtId="0" fontId="0" fillId="2" borderId="0" xfId="0" applyFill="1" applyAlignment="1" applyProtection="1">
      <alignment horizontal="center" vertical="center"/>
      <protection hidden="1"/>
    </xf>
    <xf numFmtId="0" fontId="9" fillId="0" borderId="0" xfId="0" applyFont="1" applyProtection="1">
      <alignment vertical="center"/>
      <protection hidden="1"/>
    </xf>
    <xf numFmtId="0" fontId="18" fillId="2" borderId="3" xfId="0" applyFont="1" applyFill="1" applyBorder="1" applyProtection="1">
      <alignment vertical="center"/>
      <protection hidden="1"/>
    </xf>
    <xf numFmtId="0" fontId="18" fillId="2" borderId="3" xfId="0" applyFont="1" applyFill="1" applyBorder="1" applyAlignment="1" applyProtection="1">
      <alignment horizontal="left" vertical="center"/>
      <protection hidden="1"/>
    </xf>
    <xf numFmtId="0" fontId="14" fillId="0" borderId="0" xfId="0" applyFont="1" applyProtection="1">
      <alignment vertical="center"/>
      <protection hidden="1"/>
    </xf>
    <xf numFmtId="0" fontId="60" fillId="2" borderId="0" xfId="0" applyFont="1" applyFill="1" applyAlignment="1" applyProtection="1">
      <alignment horizontal="center" vertical="center"/>
      <protection hidden="1"/>
    </xf>
    <xf numFmtId="0" fontId="59" fillId="2" borderId="0" xfId="0" applyFont="1" applyFill="1" applyAlignment="1" applyProtection="1">
      <alignment horizontal="center" vertical="center"/>
      <protection locked="0"/>
    </xf>
    <xf numFmtId="41" fontId="0" fillId="2" borderId="0" xfId="3" applyFont="1" applyFill="1" applyBorder="1" applyAlignment="1" applyProtection="1">
      <alignment horizontal="center" vertical="center"/>
      <protection locked="0"/>
    </xf>
    <xf numFmtId="0" fontId="9" fillId="2" borderId="0" xfId="0" applyFont="1" applyFill="1" applyAlignment="1">
      <alignment horizontal="left" vertical="center"/>
    </xf>
    <xf numFmtId="0" fontId="0" fillId="2" borderId="0" xfId="0" applyFill="1" applyAlignment="1">
      <alignment horizontal="left" vertical="center"/>
    </xf>
    <xf numFmtId="37" fontId="12" fillId="2" borderId="0" xfId="0" applyNumberFormat="1" applyFont="1" applyFill="1" applyAlignment="1" applyProtection="1">
      <protection hidden="1"/>
    </xf>
    <xf numFmtId="37" fontId="10" fillId="2" borderId="0" xfId="0" applyNumberFormat="1" applyFont="1" applyFill="1" applyAlignment="1" applyProtection="1">
      <protection locked="0"/>
    </xf>
    <xf numFmtId="0" fontId="61" fillId="2" borderId="0" xfId="0" applyFont="1" applyFill="1">
      <alignment vertical="center"/>
    </xf>
    <xf numFmtId="0" fontId="51" fillId="2" borderId="0" xfId="0" applyFont="1" applyFill="1">
      <alignment vertical="center"/>
    </xf>
    <xf numFmtId="185" fontId="9" fillId="2" borderId="0" xfId="0" applyNumberFormat="1" applyFont="1" applyFill="1">
      <alignment vertical="center"/>
    </xf>
    <xf numFmtId="184" fontId="4" fillId="3" borderId="53" xfId="0" applyNumberFormat="1" applyFont="1" applyFill="1" applyBorder="1">
      <alignment vertical="center"/>
    </xf>
    <xf numFmtId="185" fontId="4" fillId="2" borderId="20" xfId="0" applyNumberFormat="1" applyFont="1" applyFill="1" applyBorder="1" applyAlignment="1">
      <alignment horizontal="right" vertical="center"/>
    </xf>
    <xf numFmtId="185" fontId="4" fillId="2" borderId="53" xfId="0" applyNumberFormat="1" applyFont="1" applyFill="1" applyBorder="1" applyAlignment="1">
      <alignment horizontal="right" vertical="center"/>
    </xf>
    <xf numFmtId="188" fontId="51" fillId="2" borderId="0" xfId="0" quotePrefix="1" applyNumberFormat="1" applyFont="1" applyFill="1" applyAlignment="1">
      <alignment horizontal="center" vertical="center"/>
    </xf>
    <xf numFmtId="185" fontId="51" fillId="2" borderId="0" xfId="0" applyNumberFormat="1" applyFont="1" applyFill="1" applyAlignment="1">
      <alignment horizontal="left" vertical="center"/>
    </xf>
    <xf numFmtId="40" fontId="16" fillId="2" borderId="57" xfId="0" applyNumberFormat="1" applyFont="1" applyFill="1" applyBorder="1" applyAlignment="1"/>
    <xf numFmtId="0" fontId="9" fillId="2" borderId="5" xfId="0" applyFont="1" applyFill="1" applyBorder="1" applyAlignment="1" applyProtection="1">
      <alignment horizontal="right" vertical="center"/>
      <protection hidden="1"/>
    </xf>
    <xf numFmtId="0" fontId="9" fillId="2" borderId="8" xfId="0" applyFont="1" applyFill="1" applyBorder="1" applyAlignment="1" applyProtection="1">
      <alignment horizontal="right" vertical="center"/>
      <protection hidden="1"/>
    </xf>
    <xf numFmtId="0" fontId="0" fillId="2" borderId="8" xfId="0" applyFill="1" applyBorder="1" applyAlignment="1" applyProtection="1">
      <alignment horizontal="center" vertical="center"/>
      <protection hidden="1"/>
    </xf>
    <xf numFmtId="0" fontId="9" fillId="2" borderId="8" xfId="0" applyFont="1" applyFill="1" applyBorder="1" applyAlignment="1" applyProtection="1">
      <alignment horizontal="center" vertical="center"/>
      <protection hidden="1"/>
    </xf>
    <xf numFmtId="0" fontId="0" fillId="2" borderId="8" xfId="0" applyFill="1" applyBorder="1" applyProtection="1">
      <alignment vertical="center"/>
      <protection hidden="1"/>
    </xf>
    <xf numFmtId="0" fontId="0" fillId="16" borderId="0" xfId="0" applyFill="1" applyProtection="1">
      <alignment vertical="center"/>
      <protection hidden="1"/>
    </xf>
    <xf numFmtId="0" fontId="0" fillId="2" borderId="3" xfId="0" applyFill="1" applyBorder="1" applyProtection="1">
      <alignment vertical="center"/>
      <protection hidden="1"/>
    </xf>
    <xf numFmtId="0" fontId="0" fillId="2" borderId="3" xfId="0" applyFill="1" applyBorder="1" applyAlignment="1" applyProtection="1">
      <alignment horizontal="left" vertical="center"/>
      <protection hidden="1"/>
    </xf>
    <xf numFmtId="0" fontId="50" fillId="2" borderId="3" xfId="0" applyFont="1" applyFill="1" applyBorder="1" applyProtection="1">
      <alignment vertical="center"/>
      <protection hidden="1"/>
    </xf>
    <xf numFmtId="0" fontId="45" fillId="2" borderId="0" xfId="0" applyFont="1" applyFill="1" applyAlignment="1" applyProtection="1">
      <alignment horizontal="left" vertical="center"/>
      <protection hidden="1"/>
    </xf>
    <xf numFmtId="0" fontId="44" fillId="2" borderId="0" xfId="0" applyFont="1" applyFill="1" applyProtection="1">
      <alignment vertical="center"/>
      <protection hidden="1"/>
    </xf>
    <xf numFmtId="0" fontId="44" fillId="2" borderId="4" xfId="0" applyFont="1" applyFill="1" applyBorder="1" applyProtection="1">
      <alignment vertical="center"/>
      <protection hidden="1"/>
    </xf>
    <xf numFmtId="0" fontId="24" fillId="2" borderId="3" xfId="0" applyFont="1" applyFill="1" applyBorder="1" applyProtection="1">
      <alignment vertical="center"/>
      <protection hidden="1"/>
    </xf>
    <xf numFmtId="0" fontId="24" fillId="2" borderId="8" xfId="0" applyFont="1" applyFill="1" applyBorder="1" applyAlignment="1" applyProtection="1">
      <alignment horizontal="center" vertical="center"/>
      <protection hidden="1"/>
    </xf>
    <xf numFmtId="0" fontId="24" fillId="2" borderId="4" xfId="0" applyFont="1" applyFill="1" applyBorder="1" applyProtection="1">
      <alignment vertical="center"/>
      <protection hidden="1"/>
    </xf>
    <xf numFmtId="9" fontId="47" fillId="2" borderId="0" xfId="0" applyNumberFormat="1" applyFont="1" applyFill="1" applyProtection="1">
      <alignment vertical="center"/>
      <protection hidden="1"/>
    </xf>
    <xf numFmtId="0" fontId="9" fillId="2" borderId="3" xfId="0" quotePrefix="1" applyFont="1" applyFill="1" applyBorder="1" applyAlignment="1" applyProtection="1">
      <alignment wrapText="1"/>
      <protection hidden="1"/>
    </xf>
    <xf numFmtId="0" fontId="9" fillId="2" borderId="0" xfId="0" quotePrefix="1" applyFont="1" applyFill="1" applyAlignment="1" applyProtection="1">
      <alignment wrapText="1"/>
      <protection hidden="1"/>
    </xf>
    <xf numFmtId="0" fontId="24" fillId="2" borderId="4" xfId="0" applyFont="1" applyFill="1" applyBorder="1" applyAlignment="1" applyProtection="1">
      <alignment horizontal="left" vertical="center"/>
      <protection hidden="1"/>
    </xf>
    <xf numFmtId="9" fontId="24" fillId="2" borderId="0" xfId="0" applyNumberFormat="1" applyFont="1" applyFill="1" applyAlignment="1" applyProtection="1">
      <alignment horizontal="center" vertical="center"/>
      <protection hidden="1"/>
    </xf>
    <xf numFmtId="0" fontId="9" fillId="2" borderId="25" xfId="0" applyFont="1" applyFill="1" applyBorder="1" applyProtection="1">
      <alignment vertical="center"/>
      <protection locked="0"/>
    </xf>
    <xf numFmtId="0" fontId="0" fillId="2" borderId="18" xfId="0" applyFill="1" applyBorder="1" applyAlignment="1" applyProtection="1">
      <alignment horizontal="center" vertical="center"/>
      <protection locked="0"/>
    </xf>
    <xf numFmtId="0" fontId="9" fillId="2" borderId="3"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protection hidden="1"/>
    </xf>
    <xf numFmtId="0" fontId="9" fillId="2" borderId="3" xfId="0" applyFont="1" applyFill="1" applyBorder="1" applyAlignment="1" applyProtection="1">
      <alignment horizontal="center" vertical="center"/>
      <protection hidden="1"/>
    </xf>
    <xf numFmtId="0" fontId="14" fillId="2" borderId="11" xfId="0" applyFont="1" applyFill="1" applyBorder="1" applyAlignment="1" applyProtection="1">
      <alignment horizontal="center" vertical="center"/>
      <protection hidden="1"/>
    </xf>
    <xf numFmtId="0" fontId="47" fillId="2" borderId="0" xfId="0" applyFont="1" applyFill="1" applyProtection="1">
      <alignment vertical="center"/>
      <protection hidden="1"/>
    </xf>
    <xf numFmtId="0" fontId="14" fillId="2" borderId="0" xfId="0" applyFont="1" applyFill="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14" fillId="2" borderId="5" xfId="0" applyFont="1" applyFill="1" applyBorder="1" applyAlignment="1" applyProtection="1">
      <alignment horizontal="center" vertical="center"/>
      <protection hidden="1"/>
    </xf>
    <xf numFmtId="0" fontId="0" fillId="2" borderId="6" xfId="0" applyFill="1" applyBorder="1" applyAlignment="1" applyProtection="1">
      <alignment horizontal="center" vertical="center"/>
      <protection hidden="1"/>
    </xf>
    <xf numFmtId="0" fontId="9" fillId="2" borderId="0" xfId="0" applyFont="1" applyFill="1" applyAlignment="1" applyProtection="1">
      <alignment horizontal="right" vertical="center"/>
      <protection hidden="1"/>
    </xf>
    <xf numFmtId="43" fontId="24" fillId="2" borderId="0" xfId="1" applyFont="1" applyFill="1" applyAlignment="1" applyProtection="1">
      <alignment vertical="center"/>
      <protection hidden="1"/>
    </xf>
    <xf numFmtId="165" fontId="0" fillId="0" borderId="11" xfId="3" applyNumberFormat="1" applyFont="1" applyFill="1" applyBorder="1" applyAlignment="1" applyProtection="1">
      <alignment horizontal="center" vertical="center"/>
      <protection hidden="1"/>
    </xf>
    <xf numFmtId="41" fontId="0" fillId="0" borderId="0" xfId="0" applyNumberFormat="1" applyProtection="1">
      <alignment vertical="center"/>
      <protection hidden="1"/>
    </xf>
    <xf numFmtId="165" fontId="24" fillId="2" borderId="10" xfId="17" applyNumberFormat="1" applyFont="1" applyFill="1" applyBorder="1" applyAlignment="1" applyProtection="1">
      <alignment vertical="center"/>
      <protection hidden="1"/>
    </xf>
    <xf numFmtId="165" fontId="24" fillId="2" borderId="11" xfId="17" applyNumberFormat="1" applyFont="1" applyFill="1" applyBorder="1" applyAlignment="1" applyProtection="1">
      <alignment vertical="center"/>
      <protection hidden="1"/>
    </xf>
    <xf numFmtId="0" fontId="0" fillId="2" borderId="11" xfId="0" applyFill="1" applyBorder="1" applyProtection="1">
      <alignment vertical="center"/>
      <protection hidden="1"/>
    </xf>
    <xf numFmtId="43" fontId="24" fillId="2" borderId="11" xfId="17" applyFont="1" applyFill="1" applyBorder="1" applyAlignment="1" applyProtection="1">
      <alignment horizontal="center" vertical="center"/>
      <protection hidden="1"/>
    </xf>
    <xf numFmtId="165" fontId="24" fillId="2" borderId="11" xfId="17" applyNumberFormat="1" applyFont="1" applyFill="1" applyBorder="1" applyAlignment="1" applyProtection="1">
      <alignment horizontal="center" vertical="center"/>
      <protection hidden="1"/>
    </xf>
    <xf numFmtId="0" fontId="24" fillId="2" borderId="11" xfId="16" applyFont="1" applyFill="1" applyBorder="1" applyAlignment="1" applyProtection="1">
      <alignment horizontal="center" vertical="center"/>
      <protection hidden="1"/>
    </xf>
    <xf numFmtId="9" fontId="24" fillId="2" borderId="11" xfId="16" applyNumberFormat="1" applyFont="1" applyFill="1" applyBorder="1" applyAlignment="1" applyProtection="1">
      <alignment horizontal="center" vertical="center"/>
      <protection hidden="1"/>
    </xf>
    <xf numFmtId="0" fontId="0" fillId="2" borderId="11" xfId="0" applyFill="1" applyBorder="1" applyAlignment="1" applyProtection="1">
      <alignment horizontal="center" vertical="center" wrapText="1"/>
      <protection hidden="1"/>
    </xf>
    <xf numFmtId="0" fontId="0" fillId="2" borderId="0" xfId="0" applyFill="1" applyAlignment="1" applyProtection="1">
      <alignment horizontal="center" vertical="center" wrapText="1"/>
      <protection hidden="1"/>
    </xf>
    <xf numFmtId="0" fontId="0" fillId="2" borderId="4" xfId="0" applyFill="1" applyBorder="1" applyAlignment="1" applyProtection="1">
      <alignment horizontal="center" vertical="center" wrapText="1"/>
      <protection hidden="1"/>
    </xf>
    <xf numFmtId="165" fontId="48" fillId="2" borderId="3" xfId="17" applyNumberFormat="1" applyFont="1" applyFill="1" applyBorder="1" applyAlignment="1" applyProtection="1">
      <alignment vertical="center"/>
      <protection hidden="1"/>
    </xf>
    <xf numFmtId="0" fontId="24" fillId="2" borderId="0" xfId="0" applyFont="1" applyFill="1" applyAlignment="1" applyProtection="1">
      <alignment vertical="top" wrapText="1"/>
      <protection hidden="1"/>
    </xf>
    <xf numFmtId="165" fontId="24" fillId="2" borderId="3" xfId="17" applyNumberFormat="1" applyFont="1" applyFill="1" applyBorder="1" applyAlignment="1" applyProtection="1">
      <alignment vertical="center"/>
      <protection hidden="1"/>
    </xf>
    <xf numFmtId="0" fontId="48" fillId="2" borderId="0" xfId="0" applyFont="1" applyFill="1" applyAlignment="1" applyProtection="1">
      <alignment horizontal="center" vertical="center"/>
      <protection hidden="1"/>
    </xf>
    <xf numFmtId="0" fontId="24" fillId="2" borderId="0" xfId="0" applyFont="1" applyFill="1" applyAlignment="1" applyProtection="1">
      <alignment vertical="center" wrapText="1"/>
      <protection hidden="1"/>
    </xf>
    <xf numFmtId="0" fontId="9" fillId="2" borderId="0" xfId="0" applyFont="1" applyFill="1" applyAlignment="1" applyProtection="1">
      <alignment horizontal="left" vertical="top" wrapText="1"/>
      <protection hidden="1"/>
    </xf>
    <xf numFmtId="164" fontId="24" fillId="2" borderId="0" xfId="0" applyNumberFormat="1" applyFont="1" applyFill="1" applyAlignment="1" applyProtection="1">
      <alignment horizontal="left" vertical="center"/>
      <protection hidden="1"/>
    </xf>
    <xf numFmtId="9" fontId="24" fillId="2" borderId="0" xfId="18" applyFont="1" applyFill="1" applyBorder="1" applyAlignment="1" applyProtection="1">
      <alignment horizontal="center" vertical="center"/>
      <protection hidden="1"/>
    </xf>
    <xf numFmtId="0" fontId="24" fillId="0" borderId="0" xfId="0" applyFont="1" applyAlignment="1" applyProtection="1">
      <alignment horizontal="left" vertical="center"/>
      <protection hidden="1"/>
    </xf>
    <xf numFmtId="41" fontId="24" fillId="2" borderId="0" xfId="9" applyFont="1" applyFill="1" applyBorder="1" applyAlignment="1" applyProtection="1">
      <alignment horizontal="center" vertical="center"/>
      <protection hidden="1"/>
    </xf>
    <xf numFmtId="164" fontId="24" fillId="2" borderId="0" xfId="0" applyNumberFormat="1" applyFont="1" applyFill="1" applyAlignment="1" applyProtection="1">
      <alignment horizontal="center" vertical="center"/>
      <protection hidden="1"/>
    </xf>
    <xf numFmtId="9" fontId="18" fillId="2" borderId="0" xfId="2" applyFont="1" applyFill="1" applyBorder="1" applyAlignment="1" applyProtection="1">
      <alignment horizontal="center" vertical="top" wrapText="1"/>
      <protection hidden="1"/>
    </xf>
    <xf numFmtId="9" fontId="48" fillId="2" borderId="0" xfId="2" applyFont="1" applyFill="1" applyBorder="1" applyAlignment="1" applyProtection="1">
      <alignment horizontal="center" vertical="center"/>
      <protection hidden="1"/>
    </xf>
    <xf numFmtId="165" fontId="24" fillId="2" borderId="0" xfId="17" applyNumberFormat="1" applyFont="1" applyFill="1" applyBorder="1" applyAlignment="1" applyProtection="1">
      <alignment vertical="center"/>
      <protection hidden="1"/>
    </xf>
    <xf numFmtId="9" fontId="21" fillId="0" borderId="0" xfId="0" applyNumberFormat="1" applyFont="1" applyProtection="1">
      <alignment vertical="center"/>
      <protection hidden="1"/>
    </xf>
    <xf numFmtId="2" fontId="21" fillId="0" borderId="0" xfId="0" applyNumberFormat="1" applyFont="1" applyAlignment="1" applyProtection="1">
      <alignment horizontal="center" vertical="center"/>
      <protection hidden="1"/>
    </xf>
    <xf numFmtId="0" fontId="21" fillId="0" borderId="0" xfId="0" applyFont="1" applyProtection="1">
      <alignment vertical="center"/>
      <protection hidden="1"/>
    </xf>
    <xf numFmtId="2" fontId="21" fillId="0" borderId="0" xfId="0" applyNumberFormat="1" applyFont="1" applyProtection="1">
      <alignment vertical="center"/>
      <protection hidden="1"/>
    </xf>
    <xf numFmtId="9" fontId="21" fillId="3" borderId="0" xfId="0" applyNumberFormat="1" applyFont="1" applyFill="1" applyProtection="1">
      <alignment vertical="center"/>
      <protection hidden="1"/>
    </xf>
    <xf numFmtId="2" fontId="21" fillId="3" borderId="0" xfId="0" applyNumberFormat="1" applyFont="1" applyFill="1" applyProtection="1">
      <alignment vertical="center"/>
      <protection hidden="1"/>
    </xf>
    <xf numFmtId="4" fontId="0" fillId="3" borderId="0" xfId="0" applyNumberFormat="1" applyFill="1" applyProtection="1">
      <alignment vertical="center"/>
      <protection hidden="1"/>
    </xf>
    <xf numFmtId="9" fontId="0" fillId="0" borderId="0" xfId="0" applyNumberFormat="1" applyProtection="1">
      <alignment vertical="center"/>
      <protection hidden="1"/>
    </xf>
    <xf numFmtId="2" fontId="0" fillId="2" borderId="16" xfId="0" applyNumberFormat="1" applyFill="1" applyBorder="1" applyProtection="1">
      <alignment vertical="center"/>
      <protection hidden="1"/>
    </xf>
    <xf numFmtId="2" fontId="0" fillId="2" borderId="0" xfId="0" applyNumberFormat="1" applyFill="1" applyProtection="1">
      <alignment vertical="center"/>
      <protection hidden="1"/>
    </xf>
    <xf numFmtId="0" fontId="9" fillId="2" borderId="0" xfId="0" applyFont="1" applyFill="1" applyAlignment="1" applyProtection="1">
      <alignment horizontal="left" vertical="center" wrapText="1"/>
      <protection hidden="1"/>
    </xf>
    <xf numFmtId="41" fontId="0" fillId="2" borderId="0" xfId="3" applyFont="1" applyFill="1" applyBorder="1" applyAlignment="1" applyProtection="1">
      <alignment horizontal="center" vertical="center"/>
      <protection hidden="1"/>
    </xf>
    <xf numFmtId="0" fontId="18" fillId="0" borderId="17" xfId="0" applyFont="1" applyBorder="1" applyAlignment="1" applyProtection="1">
      <alignment horizontal="center" vertical="center" wrapText="1"/>
      <protection hidden="1"/>
    </xf>
    <xf numFmtId="0" fontId="68" fillId="2" borderId="0" xfId="0" applyFont="1" applyFill="1" applyAlignment="1" applyProtection="1">
      <alignment horizontal="center" vertical="center"/>
      <protection hidden="1"/>
    </xf>
    <xf numFmtId="41" fontId="9" fillId="2" borderId="0" xfId="3" applyFont="1" applyFill="1" applyBorder="1" applyAlignment="1" applyProtection="1">
      <alignment horizontal="center" vertical="center"/>
      <protection hidden="1"/>
    </xf>
    <xf numFmtId="41" fontId="0" fillId="0" borderId="0" xfId="3" applyFont="1" applyAlignment="1" applyProtection="1">
      <alignment vertical="center"/>
      <protection hidden="1"/>
    </xf>
    <xf numFmtId="0" fontId="18" fillId="0" borderId="35" xfId="0" applyFont="1" applyBorder="1" applyAlignment="1" applyProtection="1">
      <alignment horizontal="center" vertical="center" wrapText="1"/>
      <protection hidden="1"/>
    </xf>
    <xf numFmtId="182" fontId="0" fillId="0" borderId="0" xfId="0" applyNumberFormat="1" applyProtection="1">
      <alignment vertical="center"/>
      <protection hidden="1"/>
    </xf>
    <xf numFmtId="0" fontId="9" fillId="2" borderId="0" xfId="0" applyFont="1" applyFill="1" applyAlignment="1" applyProtection="1">
      <alignment horizontal="center" vertical="center" wrapText="1"/>
      <protection hidden="1"/>
    </xf>
    <xf numFmtId="41" fontId="9" fillId="2" borderId="0" xfId="3" applyFont="1" applyFill="1" applyBorder="1" applyAlignment="1" applyProtection="1">
      <alignment horizontal="center" vertical="center" wrapText="1"/>
      <protection hidden="1"/>
    </xf>
    <xf numFmtId="0" fontId="18" fillId="2" borderId="0" xfId="0" applyFont="1" applyFill="1" applyProtection="1">
      <alignment vertical="center"/>
      <protection hidden="1"/>
    </xf>
    <xf numFmtId="0" fontId="18" fillId="2" borderId="0" xfId="0" applyFont="1" applyFill="1" applyAlignment="1" applyProtection="1">
      <alignment horizontal="left" vertical="center"/>
      <protection hidden="1"/>
    </xf>
    <xf numFmtId="0" fontId="18" fillId="2" borderId="0" xfId="0" applyFont="1" applyFill="1" applyAlignment="1" applyProtection="1">
      <alignment horizontal="center" vertical="center"/>
      <protection hidden="1"/>
    </xf>
    <xf numFmtId="41" fontId="0" fillId="2" borderId="0" xfId="0" applyNumberFormat="1" applyFill="1" applyAlignment="1" applyProtection="1">
      <alignment horizontal="center" vertical="center"/>
      <protection hidden="1"/>
    </xf>
    <xf numFmtId="37" fontId="11" fillId="2" borderId="0" xfId="0" applyNumberFormat="1" applyFont="1" applyFill="1" applyAlignment="1" applyProtection="1">
      <alignment horizontal="center" vertical="center"/>
      <protection hidden="1"/>
    </xf>
    <xf numFmtId="0" fontId="20" fillId="2" borderId="0" xfId="0" applyFont="1" applyFill="1" applyProtection="1">
      <alignment vertical="center"/>
      <protection hidden="1"/>
    </xf>
    <xf numFmtId="0" fontId="9" fillId="2" borderId="3" xfId="0" quotePrefix="1" applyFont="1" applyFill="1" applyBorder="1" applyAlignment="1" applyProtection="1">
      <alignment horizontal="center" vertical="center"/>
      <protection hidden="1"/>
    </xf>
    <xf numFmtId="2" fontId="9" fillId="2" borderId="25" xfId="0" applyNumberFormat="1" applyFont="1" applyFill="1" applyBorder="1" applyAlignment="1" applyProtection="1">
      <protection hidden="1"/>
    </xf>
    <xf numFmtId="2" fontId="24" fillId="2" borderId="0" xfId="0" applyNumberFormat="1" applyFont="1" applyFill="1" applyProtection="1">
      <alignment vertical="center"/>
      <protection hidden="1"/>
    </xf>
    <xf numFmtId="1" fontId="24" fillId="2" borderId="0" xfId="0" applyNumberFormat="1" applyFont="1" applyFill="1" applyProtection="1">
      <alignment vertical="center"/>
      <protection hidden="1"/>
    </xf>
    <xf numFmtId="1" fontId="24" fillId="3" borderId="0" xfId="0" applyNumberFormat="1" applyFont="1" applyFill="1" applyProtection="1">
      <alignment vertical="center"/>
      <protection hidden="1"/>
    </xf>
    <xf numFmtId="2" fontId="48" fillId="2" borderId="0" xfId="0" applyNumberFormat="1" applyFont="1" applyFill="1" applyProtection="1">
      <alignment vertical="center"/>
      <protection hidden="1"/>
    </xf>
    <xf numFmtId="2" fontId="96" fillId="2" borderId="0" xfId="0" applyNumberFormat="1" applyFont="1" applyFill="1" applyProtection="1">
      <alignment vertical="center"/>
      <protection hidden="1"/>
    </xf>
    <xf numFmtId="0" fontId="33" fillId="3" borderId="0" xfId="5" applyFont="1" applyFill="1" applyProtection="1">
      <protection hidden="1"/>
    </xf>
    <xf numFmtId="0" fontId="0" fillId="2" borderId="5" xfId="0" applyFill="1" applyBorder="1" applyAlignment="1" applyProtection="1">
      <alignment horizontal="center"/>
      <protection hidden="1"/>
    </xf>
    <xf numFmtId="0" fontId="9" fillId="2" borderId="0" xfId="0" quotePrefix="1" applyFont="1" applyFill="1" applyAlignment="1" applyProtection="1">
      <alignment horizontal="center" vertical="center"/>
      <protection hidden="1"/>
    </xf>
    <xf numFmtId="0" fontId="0" fillId="2" borderId="11" xfId="0" applyFill="1" applyBorder="1" applyAlignment="1" applyProtection="1">
      <alignment horizontal="center"/>
      <protection hidden="1"/>
    </xf>
    <xf numFmtId="0" fontId="66" fillId="2" borderId="0" xfId="0" applyFont="1" applyFill="1" applyAlignment="1" applyProtection="1">
      <alignment horizontal="center" vertical="center"/>
      <protection hidden="1"/>
    </xf>
    <xf numFmtId="0" fontId="0" fillId="2" borderId="8" xfId="0" applyFill="1" applyBorder="1" applyAlignment="1" applyProtection="1">
      <alignment horizontal="center"/>
      <protection hidden="1"/>
    </xf>
    <xf numFmtId="179" fontId="80" fillId="2" borderId="0" xfId="0" applyNumberFormat="1" applyFont="1" applyFill="1" applyAlignment="1" applyProtection="1">
      <alignment horizontal="center" vertical="center"/>
      <protection hidden="1"/>
    </xf>
    <xf numFmtId="0" fontId="16" fillId="2" borderId="0" xfId="0" applyFont="1" applyFill="1" applyAlignment="1"/>
    <xf numFmtId="0" fontId="0" fillId="2" borderId="0" xfId="0" applyFill="1" applyAlignment="1"/>
    <xf numFmtId="0" fontId="54" fillId="2" borderId="0" xfId="0" applyFont="1" applyFill="1">
      <alignment vertical="center"/>
    </xf>
    <xf numFmtId="165" fontId="52" fillId="2" borderId="0" xfId="17" applyNumberFormat="1" applyFont="1" applyFill="1" applyAlignment="1" applyProtection="1">
      <alignment vertical="top"/>
      <protection hidden="1"/>
    </xf>
    <xf numFmtId="0" fontId="14" fillId="2" borderId="0" xfId="0" applyFont="1" applyFill="1" applyProtection="1">
      <alignment vertical="center"/>
      <protection hidden="1"/>
    </xf>
    <xf numFmtId="0" fontId="9" fillId="0" borderId="0" xfId="0" applyFont="1" applyAlignment="1" applyProtection="1">
      <protection hidden="1"/>
    </xf>
    <xf numFmtId="0" fontId="9" fillId="0" borderId="0" xfId="0" quotePrefix="1" applyFont="1" applyAlignment="1" applyProtection="1">
      <protection hidden="1"/>
    </xf>
    <xf numFmtId="185" fontId="0" fillId="3" borderId="0" xfId="0" applyNumberFormat="1" applyFill="1" applyProtection="1">
      <alignment vertical="center"/>
      <protection hidden="1"/>
    </xf>
    <xf numFmtId="0" fontId="0" fillId="0" borderId="0" xfId="0" quotePrefix="1" applyAlignment="1" applyProtection="1">
      <protection hidden="1"/>
    </xf>
    <xf numFmtId="41" fontId="9" fillId="2" borderId="0" xfId="0" applyNumberFormat="1" applyFont="1" applyFill="1" applyAlignment="1">
      <alignment horizontal="left" vertical="center"/>
    </xf>
    <xf numFmtId="0" fontId="0" fillId="2" borderId="0" xfId="0" applyFill="1" applyAlignment="1" applyProtection="1">
      <alignment horizontal="right" vertical="center"/>
      <protection locked="0"/>
    </xf>
    <xf numFmtId="0" fontId="102" fillId="2" borderId="17" xfId="0" applyFont="1" applyFill="1" applyBorder="1" applyProtection="1">
      <alignment vertical="center"/>
      <protection locked="0"/>
    </xf>
    <xf numFmtId="0" fontId="102" fillId="2" borderId="17" xfId="0" applyFont="1" applyFill="1" applyBorder="1" applyAlignment="1" applyProtection="1">
      <alignment horizontal="center" vertical="center"/>
      <protection locked="0"/>
    </xf>
    <xf numFmtId="3" fontId="102" fillId="2" borderId="15" xfId="0" applyNumberFormat="1" applyFont="1" applyFill="1" applyBorder="1" applyProtection="1">
      <alignment vertical="center"/>
      <protection locked="0"/>
    </xf>
    <xf numFmtId="9" fontId="102" fillId="2" borderId="15" xfId="0" applyNumberFormat="1" applyFont="1" applyFill="1" applyBorder="1" applyProtection="1">
      <alignment vertical="center"/>
      <protection locked="0"/>
    </xf>
    <xf numFmtId="9" fontId="102" fillId="2" borderId="17" xfId="0" applyNumberFormat="1" applyFont="1" applyFill="1" applyBorder="1" applyAlignment="1" applyProtection="1">
      <alignment horizontal="center" vertical="center"/>
      <protection locked="0"/>
    </xf>
    <xf numFmtId="0" fontId="18" fillId="2" borderId="0" xfId="0" applyFont="1" applyFill="1" applyProtection="1">
      <alignment vertical="center"/>
      <protection locked="0"/>
    </xf>
    <xf numFmtId="0" fontId="18" fillId="2" borderId="3" xfId="0" applyFont="1" applyFill="1" applyBorder="1" applyProtection="1">
      <alignment vertical="center"/>
      <protection locked="0"/>
    </xf>
    <xf numFmtId="0" fontId="102" fillId="2" borderId="3" xfId="0" applyFont="1" applyFill="1" applyBorder="1" applyProtection="1">
      <alignment vertical="center"/>
      <protection locked="0"/>
    </xf>
    <xf numFmtId="3" fontId="104" fillId="2" borderId="17" xfId="0" applyNumberFormat="1" applyFont="1" applyFill="1" applyBorder="1" applyProtection="1">
      <alignment vertical="center"/>
      <protection locked="0"/>
    </xf>
    <xf numFmtId="0" fontId="102" fillId="2" borderId="17" xfId="0" applyFont="1" applyFill="1" applyBorder="1" applyAlignment="1">
      <alignment horizontal="center" vertical="center"/>
    </xf>
    <xf numFmtId="0" fontId="57" fillId="2" borderId="3" xfId="0" applyFont="1" applyFill="1" applyBorder="1" applyAlignment="1" applyProtection="1">
      <alignment horizontal="center" vertical="center"/>
      <protection locked="0"/>
    </xf>
    <xf numFmtId="0" fontId="57" fillId="2" borderId="0" xfId="0" applyFont="1" applyFill="1" applyAlignment="1" applyProtection="1">
      <alignment horizontal="center" vertical="center"/>
      <protection locked="0"/>
    </xf>
    <xf numFmtId="0" fontId="59" fillId="2" borderId="4" xfId="0" applyFont="1" applyFill="1" applyBorder="1" applyAlignment="1" applyProtection="1">
      <alignment horizontal="center" vertical="center"/>
      <protection locked="0"/>
    </xf>
    <xf numFmtId="0" fontId="57" fillId="2" borderId="8" xfId="0" applyFont="1" applyFill="1" applyBorder="1" applyAlignment="1" applyProtection="1">
      <alignment horizontal="center" vertical="center"/>
      <protection locked="0"/>
    </xf>
    <xf numFmtId="41" fontId="57" fillId="2" borderId="8" xfId="3" applyFont="1" applyFill="1" applyBorder="1" applyAlignment="1" applyProtection="1">
      <alignment horizontal="center" vertical="center"/>
      <protection locked="0"/>
    </xf>
    <xf numFmtId="41" fontId="57" fillId="2" borderId="8" xfId="0" applyNumberFormat="1" applyFont="1" applyFill="1" applyBorder="1" applyAlignment="1" applyProtection="1">
      <alignment horizontal="center" vertical="center"/>
      <protection locked="0"/>
    </xf>
    <xf numFmtId="0" fontId="59" fillId="2" borderId="8" xfId="0" applyFont="1" applyFill="1" applyBorder="1" applyAlignment="1" applyProtection="1">
      <alignment horizontal="center" vertical="center"/>
      <protection locked="0"/>
    </xf>
    <xf numFmtId="0" fontId="59" fillId="2" borderId="5" xfId="0" applyFont="1" applyFill="1" applyBorder="1" applyAlignment="1" applyProtection="1">
      <alignment horizontal="center" vertical="center"/>
      <protection locked="0"/>
    </xf>
    <xf numFmtId="0" fontId="59" fillId="2" borderId="3" xfId="0" applyFont="1" applyFill="1" applyBorder="1" applyAlignment="1" applyProtection="1">
      <alignment horizontal="center" vertical="center"/>
      <protection locked="0"/>
    </xf>
    <xf numFmtId="0" fontId="0" fillId="2" borderId="66" xfId="0" applyFill="1" applyBorder="1" applyProtection="1">
      <alignment vertical="center"/>
      <protection locked="0"/>
    </xf>
    <xf numFmtId="43" fontId="87" fillId="0" borderId="52" xfId="1" applyFont="1" applyBorder="1" applyAlignment="1" applyProtection="1">
      <alignment vertical="center"/>
    </xf>
    <xf numFmtId="43" fontId="14" fillId="0" borderId="52" xfId="1" applyFont="1" applyBorder="1" applyAlignment="1" applyProtection="1">
      <alignment vertical="center"/>
    </xf>
    <xf numFmtId="3" fontId="0" fillId="0" borderId="0" xfId="0" applyNumberFormat="1" applyAlignment="1" applyProtection="1">
      <protection hidden="1"/>
    </xf>
    <xf numFmtId="0" fontId="18" fillId="2" borderId="0" xfId="0" applyFont="1" applyFill="1" applyAlignment="1" applyProtection="1">
      <alignment horizontal="left" vertical="center"/>
      <protection locked="0"/>
    </xf>
    <xf numFmtId="0" fontId="18" fillId="2" borderId="0" xfId="0" applyFont="1" applyFill="1" applyAlignment="1" applyProtection="1">
      <alignment horizontal="center" vertical="center"/>
      <protection locked="0"/>
    </xf>
    <xf numFmtId="0" fontId="30" fillId="12" borderId="0" xfId="5" applyFont="1" applyFill="1" applyAlignment="1" applyProtection="1">
      <alignment horizontal="center"/>
      <protection hidden="1"/>
    </xf>
    <xf numFmtId="0" fontId="0" fillId="2" borderId="11" xfId="0" applyFill="1" applyBorder="1">
      <alignment vertical="center"/>
    </xf>
    <xf numFmtId="0" fontId="0" fillId="2" borderId="28" xfId="0" applyFill="1" applyBorder="1" applyProtection="1">
      <alignment vertical="center"/>
      <protection locked="0"/>
    </xf>
    <xf numFmtId="0" fontId="30" fillId="21" borderId="0" xfId="5" applyFont="1" applyFill="1" applyProtection="1">
      <protection hidden="1"/>
    </xf>
    <xf numFmtId="43" fontId="43" fillId="2" borderId="0" xfId="0" applyNumberFormat="1" applyFont="1" applyFill="1" applyProtection="1">
      <alignment vertical="center"/>
      <protection hidden="1"/>
    </xf>
    <xf numFmtId="3" fontId="0" fillId="21" borderId="0" xfId="2" applyNumberFormat="1" applyFont="1" applyFill="1" applyAlignment="1" applyProtection="1">
      <alignment vertical="center"/>
      <protection hidden="1"/>
    </xf>
    <xf numFmtId="38" fontId="0" fillId="21" borderId="0" xfId="0" applyNumberFormat="1" applyFill="1" applyProtection="1">
      <alignment vertical="center"/>
      <protection hidden="1"/>
    </xf>
    <xf numFmtId="0" fontId="18" fillId="11" borderId="3" xfId="0" quotePrefix="1" applyFont="1" applyFill="1" applyBorder="1" applyProtection="1">
      <alignment vertical="center"/>
      <protection locked="0"/>
    </xf>
    <xf numFmtId="0" fontId="0" fillId="11" borderId="0" xfId="0" applyFill="1" applyProtection="1">
      <alignment vertical="center"/>
      <protection locked="0"/>
    </xf>
    <xf numFmtId="0" fontId="18" fillId="11" borderId="0" xfId="0" applyFont="1" applyFill="1" applyAlignment="1">
      <alignment horizontal="center" vertical="center"/>
    </xf>
    <xf numFmtId="0" fontId="105" fillId="22" borderId="0" xfId="0" quotePrefix="1" applyFont="1" applyFill="1" applyAlignment="1">
      <alignment horizontal="left" vertical="center"/>
    </xf>
    <xf numFmtId="0" fontId="105" fillId="22" borderId="0" xfId="0" applyFont="1" applyFill="1" applyAlignment="1">
      <alignment horizontal="center" vertical="center"/>
    </xf>
    <xf numFmtId="0" fontId="0" fillId="22" borderId="0" xfId="0" applyFill="1">
      <alignment vertical="center"/>
    </xf>
    <xf numFmtId="0" fontId="111" fillId="2" borderId="3" xfId="0" applyFont="1" applyFill="1" applyBorder="1" applyProtection="1">
      <alignment vertical="center"/>
      <protection hidden="1"/>
    </xf>
    <xf numFmtId="0" fontId="112" fillId="2" borderId="0" xfId="0" applyFont="1" applyFill="1" applyAlignment="1" applyProtection="1">
      <alignment horizontal="left" vertical="center"/>
      <protection hidden="1"/>
    </xf>
    <xf numFmtId="0" fontId="113" fillId="2" borderId="0" xfId="0" applyFont="1" applyFill="1" applyProtection="1">
      <alignment vertical="center"/>
      <protection hidden="1"/>
    </xf>
    <xf numFmtId="0" fontId="111" fillId="2" borderId="3" xfId="0" applyFont="1" applyFill="1" applyBorder="1" applyAlignment="1" applyProtection="1">
      <alignment horizontal="left" vertical="center"/>
      <protection hidden="1"/>
    </xf>
    <xf numFmtId="43" fontId="24" fillId="0" borderId="0" xfId="1" applyFont="1" applyAlignment="1" applyProtection="1">
      <alignment vertical="center"/>
    </xf>
    <xf numFmtId="43" fontId="24" fillId="2" borderId="0" xfId="1" applyFont="1" applyFill="1" applyAlignment="1" applyProtection="1">
      <alignment vertical="center"/>
    </xf>
    <xf numFmtId="41" fontId="24" fillId="0" borderId="0" xfId="1" applyNumberFormat="1" applyFont="1" applyAlignment="1" applyProtection="1">
      <alignment vertical="center"/>
    </xf>
    <xf numFmtId="165" fontId="24" fillId="3" borderId="0" xfId="1" applyNumberFormat="1" applyFont="1" applyFill="1" applyAlignment="1" applyProtection="1">
      <alignment vertical="center"/>
    </xf>
    <xf numFmtId="43" fontId="24" fillId="0" borderId="0" xfId="1" applyFont="1" applyAlignment="1">
      <alignment vertical="center"/>
      <protection locked="0"/>
    </xf>
    <xf numFmtId="43" fontId="24" fillId="3" borderId="0" xfId="1" applyFont="1" applyFill="1" applyAlignment="1" applyProtection="1">
      <alignment horizontal="center" vertical="center"/>
    </xf>
    <xf numFmtId="0" fontId="24" fillId="3" borderId="0" xfId="1" applyNumberFormat="1" applyFont="1" applyFill="1" applyAlignment="1" applyProtection="1">
      <alignment vertical="center"/>
    </xf>
    <xf numFmtId="43" fontId="24" fillId="2" borderId="29" xfId="1" applyFont="1" applyFill="1" applyBorder="1" applyAlignment="1">
      <alignment vertical="center"/>
      <protection locked="0"/>
    </xf>
    <xf numFmtId="43" fontId="24" fillId="2" borderId="11" xfId="1" applyFont="1" applyFill="1" applyBorder="1" applyAlignment="1">
      <alignment vertical="center"/>
      <protection locked="0"/>
    </xf>
    <xf numFmtId="43" fontId="24" fillId="3" borderId="0" xfId="1" applyFont="1" applyFill="1" applyAlignment="1" applyProtection="1">
      <alignment vertical="center"/>
    </xf>
    <xf numFmtId="43" fontId="48" fillId="2" borderId="8" xfId="1" applyFont="1" applyFill="1" applyBorder="1" applyAlignment="1" applyProtection="1">
      <alignment horizontal="center" vertical="center"/>
    </xf>
    <xf numFmtId="43" fontId="24" fillId="2" borderId="5" xfId="1" applyFont="1" applyFill="1" applyBorder="1" applyAlignment="1" applyProtection="1">
      <alignment vertical="center"/>
    </xf>
    <xf numFmtId="43" fontId="24" fillId="2" borderId="11" xfId="1" applyFont="1" applyFill="1" applyBorder="1" applyAlignment="1" applyProtection="1">
      <alignment horizontal="center" vertical="center"/>
    </xf>
    <xf numFmtId="49" fontId="24" fillId="3" borderId="0" xfId="1" applyNumberFormat="1" applyFont="1" applyFill="1" applyAlignment="1" applyProtection="1">
      <alignment vertical="center"/>
    </xf>
    <xf numFmtId="49" fontId="24" fillId="0" borderId="0" xfId="1" applyNumberFormat="1" applyFont="1" applyAlignment="1" applyProtection="1">
      <alignment vertical="center"/>
    </xf>
    <xf numFmtId="43" fontId="24" fillId="2" borderId="11" xfId="1" applyFont="1" applyFill="1" applyBorder="1" applyAlignment="1" applyProtection="1">
      <alignment vertical="center"/>
    </xf>
    <xf numFmtId="37" fontId="24" fillId="2" borderId="14" xfId="1" applyNumberFormat="1" applyFont="1" applyFill="1" applyBorder="1" applyAlignment="1" applyProtection="1">
      <alignment horizontal="center" vertical="center"/>
    </xf>
    <xf numFmtId="165" fontId="24" fillId="2" borderId="14" xfId="1" applyNumberFormat="1" applyFont="1" applyFill="1" applyBorder="1" applyAlignment="1">
      <alignment horizontal="center" vertical="center"/>
      <protection locked="0"/>
    </xf>
    <xf numFmtId="37" fontId="24" fillId="0" borderId="0" xfId="1" applyNumberFormat="1" applyFont="1" applyAlignment="1" applyProtection="1">
      <alignment horizontal="left" vertical="center"/>
    </xf>
    <xf numFmtId="165" fontId="24" fillId="0" borderId="0" xfId="1" applyNumberFormat="1" applyFont="1" applyAlignment="1" applyProtection="1">
      <alignment horizontal="center" vertical="center"/>
    </xf>
    <xf numFmtId="43" fontId="117" fillId="0" borderId="0" xfId="1" applyFont="1" applyAlignment="1" applyProtection="1">
      <alignment vertical="center"/>
    </xf>
    <xf numFmtId="43" fontId="118" fillId="0" borderId="0" xfId="1" applyFont="1" applyAlignment="1" applyProtection="1">
      <alignment vertical="center"/>
    </xf>
    <xf numFmtId="0" fontId="51" fillId="0" borderId="0" xfId="0" applyFont="1" applyAlignment="1"/>
    <xf numFmtId="0" fontId="51" fillId="0" borderId="0" xfId="0" applyFont="1" applyAlignment="1">
      <alignment horizontal="left"/>
    </xf>
    <xf numFmtId="0" fontId="9" fillId="2" borderId="0" xfId="0" quotePrefix="1" applyFont="1" applyFill="1" applyProtection="1">
      <alignment vertical="center"/>
      <protection hidden="1"/>
    </xf>
    <xf numFmtId="0" fontId="9" fillId="2" borderId="10" xfId="0" applyFont="1" applyFill="1" applyBorder="1" applyAlignment="1" applyProtection="1">
      <alignment horizontal="center" vertical="center"/>
      <protection hidden="1"/>
    </xf>
    <xf numFmtId="0" fontId="0" fillId="2" borderId="11" xfId="0" applyFill="1" applyBorder="1" applyAlignment="1" applyProtection="1">
      <alignment horizontal="center" vertical="center"/>
      <protection hidden="1"/>
    </xf>
    <xf numFmtId="0" fontId="0" fillId="2" borderId="12" xfId="0" applyFill="1" applyBorder="1" applyAlignment="1" applyProtection="1">
      <alignment horizontal="center" vertical="center"/>
      <protection hidden="1"/>
    </xf>
    <xf numFmtId="0" fontId="99" fillId="2" borderId="0" xfId="0" applyFont="1" applyFill="1" applyAlignment="1" applyProtection="1">
      <protection hidden="1"/>
    </xf>
    <xf numFmtId="0" fontId="4" fillId="2" borderId="0" xfId="0" applyFont="1" applyFill="1" applyProtection="1">
      <alignment vertical="center"/>
      <protection hidden="1"/>
    </xf>
    <xf numFmtId="41" fontId="0" fillId="2" borderId="0" xfId="3" applyFont="1" applyFill="1" applyBorder="1" applyAlignment="1" applyProtection="1">
      <alignment vertical="center"/>
      <protection hidden="1"/>
    </xf>
    <xf numFmtId="187" fontId="18" fillId="2" borderId="0" xfId="0" applyNumberFormat="1" applyFont="1" applyFill="1" applyProtection="1">
      <alignment vertical="center"/>
      <protection hidden="1"/>
    </xf>
    <xf numFmtId="0" fontId="0" fillId="2" borderId="14" xfId="0" applyFill="1" applyBorder="1" applyAlignment="1" applyProtection="1">
      <alignment horizontal="center" vertical="center"/>
      <protection hidden="1"/>
    </xf>
    <xf numFmtId="0" fontId="0" fillId="0" borderId="8" xfId="0" applyBorder="1" applyProtection="1">
      <alignment vertical="center"/>
      <protection hidden="1"/>
    </xf>
    <xf numFmtId="0" fontId="88" fillId="2" borderId="8" xfId="0" applyFont="1" applyFill="1" applyBorder="1" applyAlignment="1" applyProtection="1">
      <alignment horizontal="right" vertical="center"/>
      <protection hidden="1"/>
    </xf>
    <xf numFmtId="0" fontId="18" fillId="3" borderId="0" xfId="0" applyFont="1" applyFill="1" applyAlignment="1" applyProtection="1">
      <alignment horizontal="right" vertical="center"/>
      <protection hidden="1"/>
    </xf>
    <xf numFmtId="166" fontId="0" fillId="3" borderId="0" xfId="0" applyNumberFormat="1" applyFill="1" applyProtection="1">
      <alignment vertical="center"/>
      <protection hidden="1"/>
    </xf>
    <xf numFmtId="187" fontId="0" fillId="3" borderId="0" xfId="0" applyNumberFormat="1" applyFill="1" applyProtection="1">
      <alignment vertical="center"/>
      <protection hidden="1"/>
    </xf>
    <xf numFmtId="187" fontId="0" fillId="0" borderId="0" xfId="0" applyNumberFormat="1" applyProtection="1">
      <alignment vertical="center"/>
      <protection hidden="1"/>
    </xf>
    <xf numFmtId="9" fontId="0" fillId="0" borderId="0" xfId="0" applyNumberFormat="1" applyProtection="1">
      <alignment vertical="center"/>
      <protection locked="0"/>
    </xf>
    <xf numFmtId="0" fontId="60" fillId="2" borderId="0" xfId="0" applyFont="1" applyFill="1" applyProtection="1">
      <alignment vertical="center"/>
      <protection locked="0"/>
    </xf>
    <xf numFmtId="9" fontId="18" fillId="2" borderId="8" xfId="0" applyNumberFormat="1" applyFont="1" applyFill="1" applyBorder="1" applyAlignment="1" applyProtection="1">
      <alignment horizontal="center" vertical="center"/>
      <protection hidden="1"/>
    </xf>
    <xf numFmtId="0" fontId="18" fillId="2" borderId="8" xfId="0" applyFont="1" applyFill="1" applyBorder="1" applyAlignment="1" applyProtection="1">
      <alignment horizontal="center" vertical="center"/>
      <protection hidden="1"/>
    </xf>
    <xf numFmtId="41" fontId="9" fillId="2" borderId="35" xfId="3" applyFont="1" applyFill="1" applyBorder="1" applyAlignment="1" applyProtection="1">
      <alignment horizontal="center" vertical="center"/>
      <protection locked="0"/>
    </xf>
    <xf numFmtId="41" fontId="9" fillId="2" borderId="17" xfId="3" applyFont="1" applyFill="1" applyBorder="1" applyAlignment="1" applyProtection="1">
      <alignment horizontal="center" vertical="center"/>
      <protection locked="0"/>
    </xf>
    <xf numFmtId="0" fontId="18" fillId="2" borderId="15" xfId="0" applyFont="1" applyFill="1" applyBorder="1" applyAlignment="1" applyProtection="1">
      <alignment horizontal="center" vertical="center"/>
      <protection locked="0"/>
    </xf>
    <xf numFmtId="0" fontId="18" fillId="2" borderId="17" xfId="0" applyFont="1" applyFill="1" applyBorder="1" applyAlignment="1" applyProtection="1">
      <alignment horizontal="center" vertical="center"/>
      <protection locked="0"/>
    </xf>
    <xf numFmtId="41" fontId="24" fillId="2" borderId="11" xfId="9" applyFont="1" applyFill="1" applyBorder="1" applyAlignment="1" applyProtection="1">
      <alignment horizontal="center" vertical="center"/>
      <protection hidden="1"/>
    </xf>
    <xf numFmtId="0" fontId="56" fillId="2" borderId="0" xfId="0" applyFont="1" applyFill="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9" fillId="2" borderId="3" xfId="0" applyFont="1" applyFill="1" applyBorder="1" applyAlignment="1" applyProtection="1">
      <alignment horizontal="left" vertical="center"/>
      <protection locked="0"/>
    </xf>
    <xf numFmtId="165" fontId="8" fillId="2" borderId="0" xfId="1" applyNumberFormat="1" applyFill="1">
      <alignment vertical="top"/>
      <protection locked="0"/>
    </xf>
    <xf numFmtId="0" fontId="60" fillId="2" borderId="0" xfId="0" applyFont="1" applyFill="1" applyAlignment="1" applyProtection="1">
      <alignment horizontal="center" vertical="center"/>
      <protection locked="0"/>
    </xf>
    <xf numFmtId="41" fontId="0" fillId="2" borderId="0" xfId="3" applyFont="1" applyFill="1" applyAlignment="1" applyProtection="1">
      <alignment vertical="center"/>
      <protection locked="0"/>
    </xf>
    <xf numFmtId="0" fontId="9" fillId="2" borderId="0" xfId="0" applyFont="1" applyFill="1" applyAlignment="1" applyProtection="1">
      <alignment vertical="top"/>
      <protection locked="0"/>
    </xf>
    <xf numFmtId="0" fontId="9" fillId="2" borderId="4" xfId="0" applyFont="1" applyFill="1" applyBorder="1" applyAlignment="1" applyProtection="1">
      <alignment vertical="top"/>
      <protection locked="0"/>
    </xf>
    <xf numFmtId="0" fontId="9" fillId="2" borderId="0" xfId="0" applyFont="1" applyFill="1" applyAlignment="1" applyProtection="1">
      <alignment horizontal="left" vertical="top"/>
      <protection locked="0"/>
    </xf>
    <xf numFmtId="0" fontId="9" fillId="2" borderId="3" xfId="0" applyFont="1" applyFill="1" applyBorder="1" applyAlignment="1" applyProtection="1">
      <alignment vertical="top"/>
      <protection locked="0"/>
    </xf>
    <xf numFmtId="0" fontId="18" fillId="2" borderId="0" xfId="0" applyFont="1" applyFill="1" applyAlignment="1" applyProtection="1">
      <alignment vertical="center" wrapText="1"/>
      <protection locked="0"/>
    </xf>
    <xf numFmtId="0" fontId="18" fillId="2" borderId="4" xfId="0" applyFont="1" applyFill="1" applyBorder="1" applyProtection="1">
      <alignment vertical="center"/>
      <protection locked="0"/>
    </xf>
    <xf numFmtId="0" fontId="58" fillId="2" borderId="17" xfId="0" applyFont="1" applyFill="1" applyBorder="1" applyAlignment="1" applyProtection="1">
      <alignment horizontal="center" vertical="center"/>
      <protection locked="0"/>
    </xf>
    <xf numFmtId="0" fontId="61" fillId="2" borderId="0" xfId="0" applyFont="1" applyFill="1" applyAlignment="1" applyProtection="1">
      <alignment horizontal="center" vertical="center"/>
      <protection locked="0"/>
    </xf>
    <xf numFmtId="0" fontId="58" fillId="2" borderId="66" xfId="0" applyFont="1" applyFill="1" applyBorder="1" applyProtection="1">
      <alignment vertical="center"/>
      <protection locked="0"/>
    </xf>
    <xf numFmtId="0" fontId="58" fillId="2" borderId="0" xfId="0" applyFont="1" applyFill="1" applyAlignment="1" applyProtection="1">
      <alignment horizontal="center" vertical="center"/>
      <protection locked="0"/>
    </xf>
    <xf numFmtId="41" fontId="0" fillId="2" borderId="0" xfId="0" applyNumberFormat="1" applyFill="1" applyAlignment="1" applyProtection="1">
      <alignment horizontal="right" vertical="center"/>
      <protection locked="0"/>
    </xf>
    <xf numFmtId="0" fontId="60" fillId="2" borderId="66" xfId="0" applyFont="1" applyFill="1" applyBorder="1" applyProtection="1">
      <alignment vertical="center"/>
      <protection locked="0"/>
    </xf>
    <xf numFmtId="0" fontId="21" fillId="2" borderId="5" xfId="0" applyFont="1" applyFill="1" applyBorder="1" applyAlignment="1" applyProtection="1">
      <alignment horizontal="center" vertical="center" wrapText="1"/>
      <protection locked="0"/>
    </xf>
    <xf numFmtId="0" fontId="58" fillId="2" borderId="4" xfId="0" applyFont="1" applyFill="1" applyBorder="1" applyAlignment="1" applyProtection="1">
      <alignment horizontal="center" vertical="center"/>
      <protection locked="0"/>
    </xf>
    <xf numFmtId="0" fontId="9" fillId="2" borderId="0" xfId="0" applyFont="1" applyFill="1" applyAlignment="1" applyProtection="1">
      <alignment horizontal="right" vertical="center"/>
      <protection locked="0"/>
    </xf>
    <xf numFmtId="3" fontId="9" fillId="2" borderId="0" xfId="0" applyNumberFormat="1" applyFont="1" applyFill="1" applyProtection="1">
      <alignment vertical="center"/>
      <protection locked="0"/>
    </xf>
    <xf numFmtId="3" fontId="9" fillId="2" borderId="0" xfId="0" applyNumberFormat="1" applyFont="1" applyFill="1" applyAlignment="1" applyProtection="1">
      <alignment horizontal="center" vertical="center"/>
      <protection locked="0"/>
    </xf>
    <xf numFmtId="3" fontId="0" fillId="12" borderId="14" xfId="3" applyNumberFormat="1" applyFont="1" applyFill="1" applyBorder="1" applyAlignment="1" applyProtection="1">
      <alignment horizontal="right" vertical="center"/>
      <protection locked="0"/>
    </xf>
    <xf numFmtId="38" fontId="0" fillId="2" borderId="0" xfId="0" applyNumberFormat="1" applyFill="1" applyProtection="1">
      <alignment vertical="center"/>
      <protection locked="0"/>
    </xf>
    <xf numFmtId="38" fontId="0" fillId="3" borderId="0" xfId="0" applyNumberFormat="1" applyFill="1" applyProtection="1">
      <alignment vertical="center"/>
      <protection locked="0"/>
    </xf>
    <xf numFmtId="10" fontId="0" fillId="2" borderId="0" xfId="0" applyNumberFormat="1" applyFill="1" applyProtection="1">
      <alignment vertical="center"/>
      <protection locked="0"/>
    </xf>
    <xf numFmtId="38" fontId="0" fillId="2" borderId="0" xfId="0" applyNumberFormat="1" applyFill="1" applyAlignment="1" applyProtection="1">
      <alignment horizontal="right" vertical="center"/>
      <protection locked="0"/>
    </xf>
    <xf numFmtId="38" fontId="0" fillId="3" borderId="0" xfId="0" applyNumberFormat="1" applyFill="1" applyAlignment="1" applyProtection="1">
      <alignment horizontal="right" vertical="center"/>
      <protection locked="0"/>
    </xf>
    <xf numFmtId="165" fontId="0" fillId="12" borderId="17" xfId="3" applyNumberFormat="1" applyFont="1" applyFill="1" applyBorder="1" applyAlignment="1" applyProtection="1">
      <alignment horizontal="center" vertical="center"/>
      <protection locked="0"/>
    </xf>
    <xf numFmtId="3" fontId="18" fillId="2" borderId="0" xfId="0" applyNumberFormat="1" applyFont="1" applyFill="1" applyProtection="1">
      <alignment vertical="center"/>
      <protection locked="0"/>
    </xf>
    <xf numFmtId="41" fontId="58" fillId="12" borderId="14" xfId="0" applyNumberFormat="1" applyFont="1" applyFill="1" applyBorder="1" applyAlignment="1" applyProtection="1">
      <alignment horizontal="center" vertical="center"/>
      <protection locked="0"/>
    </xf>
    <xf numFmtId="41" fontId="58" fillId="12" borderId="17" xfId="0" applyNumberFormat="1" applyFont="1" applyFill="1" applyBorder="1" applyAlignment="1" applyProtection="1">
      <alignment horizontal="center" vertical="center"/>
      <protection locked="0"/>
    </xf>
    <xf numFmtId="0" fontId="18" fillId="2" borderId="4" xfId="0" applyFont="1" applyFill="1" applyBorder="1" applyAlignment="1" applyProtection="1">
      <alignment horizontal="center" vertical="center"/>
      <protection locked="0"/>
    </xf>
    <xf numFmtId="41" fontId="0" fillId="12" borderId="17" xfId="3" applyFont="1" applyFill="1" applyBorder="1" applyAlignment="1" applyProtection="1">
      <alignment vertical="center"/>
      <protection locked="0"/>
    </xf>
    <xf numFmtId="0" fontId="18" fillId="2" borderId="14" xfId="0" applyFont="1" applyFill="1" applyBorder="1" applyAlignment="1" applyProtection="1">
      <alignment horizontal="center" vertical="center"/>
      <protection locked="0"/>
    </xf>
    <xf numFmtId="41" fontId="18" fillId="12" borderId="14" xfId="0" applyNumberFormat="1" applyFont="1" applyFill="1" applyBorder="1" applyAlignment="1" applyProtection="1">
      <alignment horizontal="center" vertical="center"/>
      <protection locked="0"/>
    </xf>
    <xf numFmtId="41" fontId="18" fillId="12" borderId="17" xfId="0" applyNumberFormat="1" applyFont="1" applyFill="1" applyBorder="1" applyProtection="1">
      <alignment vertical="center"/>
      <protection locked="0"/>
    </xf>
    <xf numFmtId="0" fontId="18" fillId="2" borderId="3" xfId="0" applyFont="1" applyFill="1" applyBorder="1" applyAlignment="1" applyProtection="1">
      <alignment horizontal="center" vertical="center"/>
      <protection locked="0"/>
    </xf>
    <xf numFmtId="41" fontId="18" fillId="2" borderId="0" xfId="0" applyNumberFormat="1" applyFont="1" applyFill="1" applyAlignment="1" applyProtection="1">
      <alignment horizontal="center" vertical="center"/>
      <protection locked="0"/>
    </xf>
    <xf numFmtId="0" fontId="9" fillId="2" borderId="3" xfId="0" applyFont="1" applyFill="1" applyBorder="1" applyProtection="1">
      <alignment vertical="center"/>
      <protection locked="0"/>
    </xf>
    <xf numFmtId="0" fontId="9" fillId="2" borderId="4" xfId="0" applyFont="1" applyFill="1" applyBorder="1" applyProtection="1">
      <alignment vertical="center"/>
      <protection locked="0"/>
    </xf>
    <xf numFmtId="0" fontId="20" fillId="2" borderId="0" xfId="0" applyFont="1" applyFill="1" applyAlignment="1" applyProtection="1">
      <alignment horizontal="center"/>
      <protection locked="0"/>
    </xf>
    <xf numFmtId="37" fontId="12" fillId="2" borderId="0" xfId="0" applyNumberFormat="1" applyFont="1" applyFill="1" applyAlignment="1" applyProtection="1">
      <alignment horizontal="center"/>
      <protection locked="0"/>
    </xf>
    <xf numFmtId="37" fontId="12" fillId="2" borderId="5" xfId="0" applyNumberFormat="1" applyFont="1" applyFill="1" applyBorder="1" applyAlignment="1" applyProtection="1">
      <alignment horizontal="center"/>
      <protection locked="0"/>
    </xf>
    <xf numFmtId="0" fontId="9" fillId="2" borderId="0" xfId="0" applyFont="1" applyFill="1" applyAlignment="1" applyProtection="1">
      <alignment horizontal="right" vertical="center" wrapText="1"/>
      <protection locked="0"/>
    </xf>
    <xf numFmtId="0" fontId="9" fillId="2" borderId="0" xfId="0" applyFont="1" applyFill="1" applyAlignment="1" applyProtection="1">
      <alignment vertical="center" wrapText="1"/>
      <protection locked="0"/>
    </xf>
    <xf numFmtId="9" fontId="0" fillId="2" borderId="0" xfId="2" applyFont="1" applyFill="1" applyAlignment="1" applyProtection="1">
      <alignment horizontal="right" vertical="center"/>
      <protection locked="0"/>
    </xf>
    <xf numFmtId="41" fontId="18" fillId="2" borderId="0" xfId="3" applyFont="1" applyFill="1" applyBorder="1" applyAlignment="1" applyProtection="1">
      <alignment horizontal="center" vertical="center"/>
      <protection locked="0"/>
    </xf>
    <xf numFmtId="41" fontId="18" fillId="2" borderId="0" xfId="3" applyFont="1" applyFill="1" applyBorder="1" applyAlignment="1" applyProtection="1">
      <alignment horizontal="center" vertical="center" wrapText="1"/>
      <protection locked="0"/>
    </xf>
    <xf numFmtId="41" fontId="9" fillId="2" borderId="0" xfId="3" applyFont="1" applyFill="1" applyBorder="1" applyAlignment="1" applyProtection="1">
      <alignment horizontal="center" vertical="center"/>
      <protection locked="0"/>
    </xf>
    <xf numFmtId="41" fontId="9" fillId="2" borderId="0" xfId="3" applyFont="1" applyFill="1" applyBorder="1" applyAlignment="1" applyProtection="1">
      <alignment vertical="center"/>
      <protection locked="0"/>
    </xf>
    <xf numFmtId="41" fontId="0" fillId="2" borderId="4" xfId="3" applyFont="1" applyFill="1" applyBorder="1" applyAlignment="1" applyProtection="1">
      <alignment horizontal="center" vertical="center"/>
      <protection locked="0"/>
    </xf>
    <xf numFmtId="41" fontId="9" fillId="2" borderId="0" xfId="3" applyFont="1" applyFill="1" applyBorder="1" applyAlignment="1" applyProtection="1">
      <alignment vertical="center" wrapText="1"/>
      <protection locked="0"/>
    </xf>
    <xf numFmtId="37" fontId="12" fillId="2" borderId="0" xfId="0" applyNumberFormat="1" applyFont="1" applyFill="1" applyAlignment="1" applyProtection="1">
      <protection locked="0"/>
    </xf>
    <xf numFmtId="0" fontId="0" fillId="2" borderId="18" xfId="0" applyFill="1" applyBorder="1" applyAlignment="1" applyProtection="1">
      <protection locked="0"/>
    </xf>
    <xf numFmtId="37" fontId="12" fillId="2" borderId="18" xfId="0" applyNumberFormat="1" applyFont="1" applyFill="1" applyBorder="1" applyAlignment="1" applyProtection="1">
      <protection locked="0"/>
    </xf>
    <xf numFmtId="0" fontId="20" fillId="2" borderId="0" xfId="0" applyFont="1" applyFill="1" applyAlignment="1" applyProtection="1">
      <protection locked="0"/>
    </xf>
    <xf numFmtId="37" fontId="13" fillId="2" borderId="0" xfId="0" applyNumberFormat="1" applyFont="1" applyFill="1" applyAlignment="1" applyProtection="1">
      <protection locked="0"/>
    </xf>
    <xf numFmtId="0" fontId="0" fillId="2" borderId="0" xfId="0" applyFill="1" applyAlignment="1" applyProtection="1">
      <alignment horizontal="center"/>
      <protection locked="0"/>
    </xf>
    <xf numFmtId="186" fontId="10" fillId="2" borderId="0" xfId="0" applyNumberFormat="1" applyFont="1" applyFill="1" applyAlignment="1" applyProtection="1">
      <protection locked="0"/>
    </xf>
    <xf numFmtId="37" fontId="13" fillId="2" borderId="0" xfId="0" applyNumberFormat="1" applyFont="1" applyFill="1" applyAlignment="1" applyProtection="1">
      <alignment horizontal="center"/>
      <protection locked="0"/>
    </xf>
    <xf numFmtId="185" fontId="10" fillId="2" borderId="0" xfId="0" applyNumberFormat="1" applyFont="1" applyFill="1" applyAlignment="1" applyProtection="1">
      <alignment horizontal="right"/>
      <protection locked="0"/>
    </xf>
    <xf numFmtId="0" fontId="0" fillId="2" borderId="16" xfId="0" applyFill="1" applyBorder="1" applyAlignment="1" applyProtection="1">
      <protection locked="0"/>
    </xf>
    <xf numFmtId="0" fontId="0" fillId="2" borderId="31" xfId="0" applyFill="1" applyBorder="1" applyAlignment="1" applyProtection="1">
      <protection locked="0"/>
    </xf>
    <xf numFmtId="0" fontId="0" fillId="2" borderId="5" xfId="0" applyFill="1" applyBorder="1" applyAlignment="1" applyProtection="1">
      <protection locked="0"/>
    </xf>
    <xf numFmtId="0" fontId="0" fillId="2" borderId="30" xfId="0" applyFill="1" applyBorder="1" applyAlignment="1" applyProtection="1">
      <protection locked="0"/>
    </xf>
    <xf numFmtId="0" fontId="0" fillId="2" borderId="19" xfId="0" applyFill="1" applyBorder="1" applyProtection="1">
      <alignment vertical="center"/>
      <protection locked="0"/>
    </xf>
    <xf numFmtId="0" fontId="9" fillId="2" borderId="3" xfId="0" applyFont="1" applyFill="1" applyBorder="1" applyAlignment="1" applyProtection="1">
      <alignment horizontal="left" vertical="center"/>
      <protection hidden="1"/>
    </xf>
    <xf numFmtId="0" fontId="9" fillId="2" borderId="0" xfId="0" quotePrefix="1" applyFont="1" applyFill="1" applyAlignment="1" applyProtection="1">
      <alignment horizontal="right"/>
      <protection hidden="1"/>
    </xf>
    <xf numFmtId="0" fontId="0" fillId="2" borderId="0" xfId="0" applyFill="1" applyAlignment="1" applyProtection="1">
      <alignment horizontal="right" vertical="center"/>
      <protection hidden="1"/>
    </xf>
    <xf numFmtId="0" fontId="9" fillId="2" borderId="0" xfId="0" quotePrefix="1" applyFont="1" applyFill="1" applyAlignment="1" applyProtection="1">
      <alignment horizontal="right" vertical="center"/>
      <protection hidden="1"/>
    </xf>
    <xf numFmtId="0" fontId="55" fillId="2" borderId="0" xfId="0" applyFont="1" applyFill="1" applyProtection="1">
      <alignment vertical="center"/>
      <protection hidden="1"/>
    </xf>
    <xf numFmtId="165" fontId="8" fillId="0" borderId="0" xfId="1" applyNumberFormat="1" applyProtection="1">
      <alignment vertical="top"/>
      <protection hidden="1"/>
    </xf>
    <xf numFmtId="0" fontId="51" fillId="2" borderId="6" xfId="0" applyFont="1" applyFill="1" applyBorder="1">
      <alignment vertical="center"/>
    </xf>
    <xf numFmtId="0" fontId="51" fillId="2" borderId="4" xfId="0" applyFont="1" applyFill="1" applyBorder="1">
      <alignment vertical="center"/>
    </xf>
    <xf numFmtId="0" fontId="51" fillId="2" borderId="60" xfId="0" applyFont="1" applyFill="1" applyBorder="1" applyAlignment="1">
      <alignment horizontal="left" vertical="center"/>
    </xf>
    <xf numFmtId="185" fontId="4" fillId="2" borderId="12" xfId="0" applyNumberFormat="1" applyFont="1" applyFill="1" applyBorder="1" applyAlignment="1">
      <alignment horizontal="right" vertical="center"/>
    </xf>
    <xf numFmtId="0" fontId="5" fillId="2" borderId="0" xfId="0" applyFont="1" applyFill="1" applyAlignment="1"/>
    <xf numFmtId="0" fontId="5" fillId="2" borderId="37" xfId="0" applyFont="1" applyFill="1" applyBorder="1" applyAlignment="1">
      <alignment horizontal="center"/>
    </xf>
    <xf numFmtId="0" fontId="5" fillId="2" borderId="38" xfId="0" applyFont="1" applyFill="1" applyBorder="1" applyAlignment="1">
      <alignment horizontal="center"/>
    </xf>
    <xf numFmtId="0" fontId="5" fillId="2" borderId="59" xfId="0" applyFont="1" applyFill="1" applyBorder="1" applyAlignment="1">
      <alignment horizontal="center"/>
    </xf>
    <xf numFmtId="0" fontId="16" fillId="2" borderId="17" xfId="0" applyFont="1" applyFill="1" applyBorder="1" applyAlignment="1"/>
    <xf numFmtId="0" fontId="5" fillId="2" borderId="17" xfId="0" applyFont="1" applyFill="1" applyBorder="1" applyAlignment="1"/>
    <xf numFmtId="40" fontId="16" fillId="2" borderId="40" xfId="0" applyNumberFormat="1" applyFont="1" applyFill="1" applyBorder="1" applyAlignment="1"/>
    <xf numFmtId="0" fontId="9" fillId="2" borderId="11" xfId="0" applyFont="1" applyFill="1" applyBorder="1" applyAlignment="1" applyProtection="1">
      <alignment horizontal="left" vertical="top" wrapText="1"/>
      <protection hidden="1"/>
    </xf>
    <xf numFmtId="9" fontId="18" fillId="2" borderId="11" xfId="2" applyFont="1" applyFill="1" applyBorder="1" applyAlignment="1" applyProtection="1">
      <alignment vertical="top" wrapText="1"/>
      <protection hidden="1"/>
    </xf>
    <xf numFmtId="164" fontId="24" fillId="2" borderId="11" xfId="0" applyNumberFormat="1" applyFont="1" applyFill="1" applyBorder="1" applyAlignment="1" applyProtection="1">
      <alignment horizontal="center" vertical="center"/>
      <protection hidden="1"/>
    </xf>
    <xf numFmtId="0" fontId="0" fillId="0" borderId="3" xfId="0" applyBorder="1" applyProtection="1">
      <alignment vertical="center"/>
      <protection hidden="1"/>
    </xf>
    <xf numFmtId="171" fontId="24" fillId="2" borderId="14" xfId="1" applyNumberFormat="1" applyFont="1" applyFill="1" applyBorder="1" applyAlignment="1">
      <alignment horizontal="center" vertical="center"/>
      <protection locked="0"/>
    </xf>
    <xf numFmtId="0" fontId="102" fillId="2" borderId="17" xfId="0" quotePrefix="1" applyFont="1" applyFill="1" applyBorder="1" applyAlignment="1" applyProtection="1">
      <alignment horizontal="center" vertical="center"/>
      <protection locked="0"/>
    </xf>
    <xf numFmtId="43" fontId="24" fillId="2" borderId="8" xfId="1" applyFont="1" applyFill="1" applyBorder="1" applyAlignment="1">
      <alignment horizontal="left" vertical="center"/>
      <protection locked="0"/>
    </xf>
    <xf numFmtId="0" fontId="0" fillId="2" borderId="11"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165" fontId="114" fillId="2" borderId="0" xfId="1" applyNumberFormat="1" applyFont="1" applyFill="1" applyAlignment="1" applyProtection="1">
      <alignment horizontal="center" vertical="top"/>
    </xf>
    <xf numFmtId="165" fontId="114" fillId="2" borderId="28" xfId="1" applyNumberFormat="1" applyFont="1" applyFill="1" applyBorder="1" applyAlignment="1" applyProtection="1">
      <alignment horizontal="center" vertical="top"/>
    </xf>
    <xf numFmtId="41" fontId="24" fillId="7" borderId="17" xfId="3" applyFont="1" applyFill="1" applyBorder="1" applyAlignment="1" applyProtection="1">
      <alignment horizontal="center" vertical="center"/>
      <protection locked="0"/>
    </xf>
    <xf numFmtId="43" fontId="24" fillId="7" borderId="15" xfId="1" applyFont="1" applyFill="1" applyBorder="1" applyAlignment="1" applyProtection="1">
      <alignment horizontal="left" vertical="center"/>
    </xf>
    <xf numFmtId="43" fontId="47" fillId="7" borderId="15" xfId="1" applyFont="1" applyFill="1" applyBorder="1" applyAlignment="1" applyProtection="1">
      <alignment horizontal="left" vertical="center"/>
    </xf>
    <xf numFmtId="0" fontId="18" fillId="22" borderId="35" xfId="0" applyFont="1" applyFill="1" applyBorder="1" applyAlignment="1" applyProtection="1">
      <alignment horizontal="center" vertical="center"/>
      <protection locked="0"/>
    </xf>
    <xf numFmtId="0" fontId="18" fillId="22" borderId="36" xfId="0" applyFont="1" applyFill="1" applyBorder="1" applyAlignment="1" applyProtection="1">
      <alignment horizontal="center" vertical="center"/>
      <protection locked="0"/>
    </xf>
    <xf numFmtId="41" fontId="0" fillId="7" borderId="17" xfId="3" applyFont="1" applyFill="1" applyBorder="1" applyAlignment="1" applyProtection="1">
      <alignment horizontal="center" vertical="center"/>
      <protection locked="0"/>
    </xf>
    <xf numFmtId="0" fontId="9" fillId="16" borderId="39" xfId="0" applyFont="1" applyFill="1" applyBorder="1" applyAlignment="1" applyProtection="1">
      <alignment horizontal="center" vertical="center"/>
      <protection locked="0"/>
    </xf>
    <xf numFmtId="0" fontId="58" fillId="7" borderId="17" xfId="0" applyFont="1" applyFill="1" applyBorder="1" applyAlignment="1" applyProtection="1">
      <alignment horizontal="center" vertical="center"/>
      <protection locked="0"/>
    </xf>
    <xf numFmtId="0" fontId="43" fillId="7" borderId="17" xfId="0" applyFont="1" applyFill="1" applyBorder="1" applyAlignment="1" applyProtection="1">
      <alignment horizontal="center" vertical="center"/>
      <protection locked="0"/>
    </xf>
    <xf numFmtId="0" fontId="58" fillId="7" borderId="14" xfId="0" applyFont="1" applyFill="1" applyBorder="1" applyAlignment="1" applyProtection="1">
      <alignment horizontal="center" vertical="center"/>
      <protection locked="0"/>
    </xf>
    <xf numFmtId="0" fontId="9" fillId="7" borderId="17" xfId="0" applyFont="1" applyFill="1" applyBorder="1" applyAlignment="1" applyProtection="1">
      <alignment horizontal="center" vertical="center"/>
      <protection locked="0"/>
    </xf>
    <xf numFmtId="41" fontId="18" fillId="7" borderId="17" xfId="3" applyFont="1" applyFill="1" applyBorder="1" applyAlignment="1" applyProtection="1">
      <alignment vertical="center"/>
      <protection locked="0"/>
    </xf>
    <xf numFmtId="9" fontId="18" fillId="7" borderId="17" xfId="2" applyFont="1" applyFill="1" applyBorder="1" applyAlignment="1" applyProtection="1">
      <alignment vertical="center"/>
      <protection locked="0"/>
    </xf>
    <xf numFmtId="0" fontId="4" fillId="22" borderId="0" xfId="0" applyFont="1" applyFill="1" applyAlignment="1">
      <alignment horizontal="left" vertical="center"/>
    </xf>
    <xf numFmtId="40" fontId="16" fillId="2" borderId="48" xfId="0" applyNumberFormat="1" applyFont="1" applyFill="1" applyBorder="1" applyAlignment="1"/>
    <xf numFmtId="40" fontId="16" fillId="2" borderId="50" xfId="0" applyNumberFormat="1" applyFont="1" applyFill="1" applyBorder="1" applyAlignment="1"/>
    <xf numFmtId="40" fontId="16" fillId="2" borderId="38" xfId="0" applyNumberFormat="1" applyFont="1" applyFill="1" applyBorder="1" applyAlignment="1"/>
    <xf numFmtId="40" fontId="16" fillId="2" borderId="49" xfId="0" applyNumberFormat="1" applyFont="1" applyFill="1" applyBorder="1" applyAlignment="1"/>
    <xf numFmtId="175" fontId="5" fillId="2" borderId="1" xfId="0" applyNumberFormat="1" applyFont="1" applyFill="1" applyBorder="1" applyAlignment="1"/>
    <xf numFmtId="175" fontId="16" fillId="2" borderId="55" xfId="0" applyNumberFormat="1" applyFont="1" applyFill="1" applyBorder="1" applyAlignment="1"/>
    <xf numFmtId="175" fontId="16" fillId="2" borderId="56" xfId="0" applyNumberFormat="1" applyFont="1" applyFill="1" applyBorder="1" applyAlignment="1"/>
    <xf numFmtId="175" fontId="16" fillId="2" borderId="39" xfId="0" applyNumberFormat="1" applyFont="1" applyFill="1" applyBorder="1" applyAlignment="1"/>
    <xf numFmtId="40" fontId="5" fillId="7" borderId="51" xfId="3" applyNumberFormat="1" applyFont="1" applyFill="1" applyBorder="1"/>
    <xf numFmtId="40" fontId="16" fillId="7" borderId="31" xfId="3" applyNumberFormat="1" applyFont="1" applyFill="1" applyBorder="1"/>
    <xf numFmtId="40" fontId="16" fillId="7" borderId="14" xfId="3" applyNumberFormat="1" applyFont="1" applyFill="1" applyBorder="1"/>
    <xf numFmtId="40" fontId="16" fillId="7" borderId="29" xfId="3" applyNumberFormat="1" applyFont="1" applyFill="1" applyBorder="1"/>
    <xf numFmtId="175" fontId="48" fillId="2" borderId="1" xfId="0" applyNumberFormat="1" applyFont="1" applyFill="1" applyBorder="1" applyAlignment="1">
      <alignment horizontal="right"/>
    </xf>
    <xf numFmtId="175" fontId="16" fillId="2" borderId="36" xfId="0" applyNumberFormat="1" applyFont="1" applyFill="1" applyBorder="1" applyAlignment="1"/>
    <xf numFmtId="175" fontId="16" fillId="2" borderId="17" xfId="0" applyNumberFormat="1" applyFont="1" applyFill="1" applyBorder="1" applyAlignment="1"/>
    <xf numFmtId="40" fontId="5" fillId="7" borderId="47" xfId="3" applyNumberFormat="1" applyFont="1" applyFill="1" applyBorder="1"/>
    <xf numFmtId="40" fontId="5" fillId="7" borderId="59" xfId="3" applyNumberFormat="1" applyFont="1" applyFill="1" applyBorder="1"/>
    <xf numFmtId="40" fontId="16" fillId="7" borderId="43" xfId="3" applyNumberFormat="1" applyFont="1" applyFill="1" applyBorder="1"/>
    <xf numFmtId="40" fontId="16" fillId="7" borderId="40" xfId="3" applyNumberFormat="1" applyFont="1" applyFill="1" applyBorder="1"/>
    <xf numFmtId="40" fontId="16" fillId="7" borderId="17" xfId="3" applyNumberFormat="1" applyFont="1" applyFill="1" applyBorder="1"/>
    <xf numFmtId="167" fontId="5" fillId="7" borderId="37" xfId="0" applyNumberFormat="1" applyFont="1" applyFill="1" applyBorder="1" applyAlignment="1"/>
    <xf numFmtId="40" fontId="5" fillId="7" borderId="38" xfId="0" applyNumberFormat="1" applyFont="1" applyFill="1" applyBorder="1" applyAlignment="1"/>
    <xf numFmtId="40" fontId="16" fillId="7" borderId="38" xfId="0" applyNumberFormat="1" applyFont="1" applyFill="1" applyBorder="1" applyAlignment="1"/>
    <xf numFmtId="167" fontId="5" fillId="7" borderId="38" xfId="0" applyNumberFormat="1" applyFont="1" applyFill="1" applyBorder="1" applyAlignment="1"/>
    <xf numFmtId="40" fontId="16" fillId="7" borderId="38" xfId="3" applyNumberFormat="1" applyFont="1" applyFill="1" applyBorder="1"/>
    <xf numFmtId="40" fontId="16" fillId="7" borderId="59" xfId="3" applyNumberFormat="1" applyFont="1" applyFill="1" applyBorder="1"/>
    <xf numFmtId="167" fontId="5" fillId="7" borderId="39" xfId="0" applyNumberFormat="1" applyFont="1" applyFill="1" applyBorder="1" applyAlignment="1"/>
    <xf numFmtId="40" fontId="5" fillId="7" borderId="17" xfId="3" applyNumberFormat="1" applyFont="1" applyFill="1" applyBorder="1"/>
    <xf numFmtId="167" fontId="5" fillId="7" borderId="17" xfId="0" applyNumberFormat="1" applyFont="1" applyFill="1" applyBorder="1" applyAlignment="1"/>
    <xf numFmtId="40" fontId="16" fillId="7" borderId="40" xfId="0" applyNumberFormat="1" applyFont="1" applyFill="1" applyBorder="1" applyAlignment="1"/>
    <xf numFmtId="0" fontId="5" fillId="7" borderId="61" xfId="0" applyFont="1" applyFill="1" applyBorder="1" applyAlignment="1"/>
    <xf numFmtId="0" fontId="5" fillId="7" borderId="57" xfId="0" applyFont="1" applyFill="1" applyBorder="1" applyAlignment="1"/>
    <xf numFmtId="0" fontId="16" fillId="7" borderId="57" xfId="0" applyFont="1" applyFill="1" applyBorder="1" applyAlignment="1"/>
    <xf numFmtId="0" fontId="16" fillId="7" borderId="58" xfId="0" applyFont="1" applyFill="1" applyBorder="1" applyAlignment="1"/>
    <xf numFmtId="185" fontId="9" fillId="7" borderId="22" xfId="0" quotePrefix="1" applyNumberFormat="1" applyFont="1" applyFill="1" applyBorder="1" applyAlignment="1">
      <alignment horizontal="center" vertical="center"/>
    </xf>
    <xf numFmtId="185" fontId="18" fillId="7" borderId="23" xfId="0" applyNumberFormat="1" applyFont="1" applyFill="1" applyBorder="1" applyAlignment="1">
      <alignment horizontal="left" vertical="center"/>
    </xf>
    <xf numFmtId="175" fontId="48" fillId="2" borderId="38" xfId="0" applyNumberFormat="1" applyFont="1" applyFill="1" applyBorder="1" applyAlignment="1">
      <alignment horizontal="right"/>
    </xf>
    <xf numFmtId="17" fontId="16" fillId="7" borderId="17" xfId="8" applyNumberFormat="1" applyFill="1" applyBorder="1" applyAlignment="1">
      <alignment horizontal="center"/>
    </xf>
    <xf numFmtId="41" fontId="16" fillId="7" borderId="17" xfId="9" applyFont="1" applyFill="1" applyBorder="1"/>
    <xf numFmtId="181" fontId="17" fillId="7" borderId="17" xfId="9" applyNumberFormat="1" applyFont="1" applyFill="1" applyBorder="1"/>
    <xf numFmtId="0" fontId="17" fillId="7" borderId="17" xfId="9" applyNumberFormat="1" applyFont="1" applyFill="1" applyBorder="1" applyAlignment="1">
      <alignment horizontal="center"/>
    </xf>
    <xf numFmtId="49" fontId="17" fillId="7" borderId="17" xfId="9" applyNumberFormat="1" applyFont="1" applyFill="1" applyBorder="1" applyAlignment="1">
      <alignment horizontal="center"/>
    </xf>
    <xf numFmtId="1" fontId="17" fillId="7" borderId="17" xfId="9" applyNumberFormat="1" applyFont="1" applyFill="1" applyBorder="1" applyAlignment="1">
      <alignment horizontal="center"/>
    </xf>
    <xf numFmtId="1" fontId="17" fillId="7" borderId="17" xfId="9" applyNumberFormat="1" applyFont="1" applyFill="1" applyBorder="1"/>
    <xf numFmtId="40" fontId="5" fillId="7" borderId="58" xfId="0" applyNumberFormat="1" applyFont="1" applyFill="1" applyBorder="1" applyAlignment="1"/>
    <xf numFmtId="175" fontId="16" fillId="2" borderId="39" xfId="0" applyNumberFormat="1" applyFont="1" applyFill="1" applyBorder="1" applyAlignment="1">
      <alignment horizontal="center"/>
    </xf>
    <xf numFmtId="0" fontId="16" fillId="2" borderId="17" xfId="0" applyFont="1" applyFill="1" applyBorder="1" applyAlignment="1">
      <alignment horizontal="center"/>
    </xf>
    <xf numFmtId="0" fontId="18" fillId="7" borderId="22" xfId="0" applyFont="1" applyFill="1" applyBorder="1" applyProtection="1">
      <alignment vertical="center"/>
      <protection hidden="1"/>
    </xf>
    <xf numFmtId="0" fontId="18" fillId="7" borderId="23" xfId="0" applyFont="1" applyFill="1" applyBorder="1" applyProtection="1">
      <alignment vertical="center"/>
      <protection hidden="1"/>
    </xf>
    <xf numFmtId="0" fontId="18" fillId="7" borderId="21" xfId="0" applyFont="1" applyFill="1" applyBorder="1" applyProtection="1">
      <alignment vertical="center"/>
      <protection hidden="1"/>
    </xf>
    <xf numFmtId="3" fontId="76" fillId="22" borderId="55" xfId="0" applyNumberFormat="1" applyFont="1" applyFill="1" applyBorder="1" applyAlignment="1">
      <alignment horizontal="center"/>
    </xf>
    <xf numFmtId="0" fontId="76" fillId="22" borderId="67" xfId="0" applyFont="1" applyFill="1" applyBorder="1" applyAlignment="1"/>
    <xf numFmtId="3" fontId="76" fillId="22" borderId="54" xfId="0" applyNumberFormat="1" applyFont="1" applyFill="1" applyBorder="1" applyAlignment="1">
      <alignment horizontal="center" vertical="center"/>
    </xf>
    <xf numFmtId="3" fontId="76" fillId="22" borderId="68" xfId="0" applyNumberFormat="1" applyFont="1" applyFill="1" applyBorder="1" applyAlignment="1">
      <alignment horizontal="center"/>
    </xf>
    <xf numFmtId="0" fontId="76" fillId="22" borderId="28" xfId="0" applyFont="1" applyFill="1" applyBorder="1" applyAlignment="1">
      <alignment horizontal="center"/>
    </xf>
    <xf numFmtId="3" fontId="76" fillId="22" borderId="66" xfId="0" applyNumberFormat="1" applyFont="1" applyFill="1" applyBorder="1" applyAlignment="1">
      <alignment horizontal="center" vertical="center"/>
    </xf>
    <xf numFmtId="3" fontId="76" fillId="22" borderId="69" xfId="0" applyNumberFormat="1" applyFont="1" applyFill="1" applyBorder="1" applyAlignment="1">
      <alignment horizontal="center"/>
    </xf>
    <xf numFmtId="0" fontId="76" fillId="22" borderId="41" xfId="0" applyFont="1" applyFill="1" applyBorder="1" applyAlignment="1"/>
    <xf numFmtId="3" fontId="76" fillId="22" borderId="70" xfId="0" applyNumberFormat="1" applyFont="1" applyFill="1" applyBorder="1" applyAlignment="1">
      <alignment horizontal="center" vertical="center"/>
    </xf>
    <xf numFmtId="3" fontId="74" fillId="2" borderId="39" xfId="0" applyNumberFormat="1" applyFont="1" applyFill="1" applyBorder="1" applyAlignment="1">
      <alignment horizontal="center"/>
    </xf>
    <xf numFmtId="3" fontId="74" fillId="2" borderId="17" xfId="17" applyNumberFormat="1" applyFont="1" applyFill="1" applyBorder="1" applyAlignment="1">
      <alignment horizontal="right"/>
    </xf>
    <xf numFmtId="183" fontId="78" fillId="2" borderId="17" xfId="17" applyNumberFormat="1" applyFont="1" applyFill="1" applyBorder="1" applyAlignment="1">
      <alignment horizontal="center"/>
    </xf>
    <xf numFmtId="3" fontId="74" fillId="2" borderId="0" xfId="0" applyNumberFormat="1" applyFont="1" applyFill="1" applyAlignment="1"/>
    <xf numFmtId="3" fontId="48" fillId="2" borderId="0" xfId="0" applyNumberFormat="1" applyFont="1" applyFill="1" applyAlignment="1"/>
    <xf numFmtId="3" fontId="74" fillId="2" borderId="65" xfId="0" applyNumberFormat="1" applyFont="1" applyFill="1" applyBorder="1" applyAlignment="1">
      <alignment horizontal="center"/>
    </xf>
    <xf numFmtId="10" fontId="0" fillId="2" borderId="17" xfId="2" applyNumberFormat="1" applyFont="1" applyFill="1" applyBorder="1" applyProtection="1"/>
    <xf numFmtId="10" fontId="0" fillId="2" borderId="0" xfId="2" applyNumberFormat="1" applyFont="1" applyFill="1" applyBorder="1" applyProtection="1"/>
    <xf numFmtId="10" fontId="74" fillId="2" borderId="0" xfId="0" applyNumberFormat="1" applyFont="1" applyFill="1" applyAlignment="1"/>
    <xf numFmtId="0" fontId="92" fillId="2" borderId="17" xfId="0" applyFont="1" applyFill="1" applyBorder="1" applyAlignment="1" applyProtection="1">
      <alignment horizontal="center"/>
      <protection locked="0"/>
    </xf>
    <xf numFmtId="0" fontId="92" fillId="2" borderId="15" xfId="0" applyFont="1" applyFill="1" applyBorder="1" applyAlignment="1" applyProtection="1">
      <protection locked="0"/>
    </xf>
    <xf numFmtId="9" fontId="34" fillId="2" borderId="17" xfId="0" applyNumberFormat="1" applyFont="1" applyFill="1" applyBorder="1" applyAlignment="1" applyProtection="1">
      <protection locked="0"/>
    </xf>
    <xf numFmtId="3" fontId="93" fillId="2" borderId="0" xfId="0" applyNumberFormat="1" applyFont="1" applyFill="1" applyAlignment="1"/>
    <xf numFmtId="43" fontId="34" fillId="2" borderId="17" xfId="1" applyFont="1" applyFill="1" applyBorder="1" applyAlignment="1">
      <protection locked="0"/>
    </xf>
    <xf numFmtId="0" fontId="34" fillId="2" borderId="17" xfId="0" applyFont="1" applyFill="1" applyBorder="1" applyAlignment="1" applyProtection="1">
      <protection locked="0"/>
    </xf>
    <xf numFmtId="10" fontId="34" fillId="2" borderId="17" xfId="0" applyNumberFormat="1" applyFont="1" applyFill="1" applyBorder="1" applyAlignment="1" applyProtection="1">
      <protection locked="0"/>
    </xf>
    <xf numFmtId="43" fontId="34" fillId="2" borderId="17" xfId="1" applyFont="1" applyFill="1" applyBorder="1" applyAlignment="1" applyProtection="1"/>
    <xf numFmtId="0" fontId="34" fillId="2" borderId="0" xfId="0" applyFont="1" applyFill="1" applyAlignment="1" applyProtection="1">
      <protection locked="0"/>
    </xf>
    <xf numFmtId="0" fontId="34" fillId="2" borderId="17" xfId="0" applyFont="1" applyFill="1" applyBorder="1" applyAlignment="1"/>
    <xf numFmtId="10" fontId="34" fillId="2" borderId="17" xfId="2" applyNumberFormat="1" applyFont="1" applyFill="1" applyBorder="1" applyProtection="1"/>
    <xf numFmtId="0" fontId="92" fillId="2" borderId="15" xfId="0" applyFont="1" applyFill="1" applyBorder="1" applyAlignment="1" applyProtection="1">
      <alignment horizontal="center"/>
      <protection locked="0"/>
    </xf>
    <xf numFmtId="10" fontId="74" fillId="2" borderId="0" xfId="17" applyNumberFormat="1" applyFont="1" applyFill="1" applyBorder="1" applyAlignment="1">
      <alignment horizontal="right"/>
    </xf>
    <xf numFmtId="10" fontId="34" fillId="2" borderId="15" xfId="2" applyNumberFormat="1" applyFont="1" applyFill="1" applyBorder="1" applyProtection="1"/>
    <xf numFmtId="0" fontId="103" fillId="7" borderId="14" xfId="0" applyFont="1" applyFill="1" applyBorder="1" applyAlignment="1" applyProtection="1">
      <alignment horizontal="center" vertical="center" wrapText="1"/>
      <protection locked="0"/>
    </xf>
    <xf numFmtId="0" fontId="103" fillId="7" borderId="14" xfId="0" applyFont="1" applyFill="1" applyBorder="1" applyAlignment="1" applyProtection="1">
      <alignment horizontal="center" vertical="center"/>
      <protection locked="0"/>
    </xf>
    <xf numFmtId="0" fontId="102" fillId="7" borderId="14" xfId="0" applyFont="1" applyFill="1" applyBorder="1" applyProtection="1">
      <alignment vertical="center"/>
      <protection locked="0"/>
    </xf>
    <xf numFmtId="0" fontId="9" fillId="7" borderId="0" xfId="0" quotePrefix="1" applyFont="1" applyFill="1" applyProtection="1">
      <alignment vertical="center"/>
      <protection locked="0"/>
    </xf>
    <xf numFmtId="0" fontId="9" fillId="7" borderId="0" xfId="0" applyFont="1" applyFill="1" applyProtection="1">
      <alignment vertical="center"/>
      <protection locked="0"/>
    </xf>
    <xf numFmtId="0" fontId="9" fillId="7" borderId="0" xfId="0" quotePrefix="1" applyFont="1" applyFill="1" applyAlignment="1">
      <alignment horizontal="left" vertical="center"/>
    </xf>
    <xf numFmtId="0" fontId="18" fillId="7" borderId="0" xfId="0" applyFont="1" applyFill="1" applyAlignment="1">
      <alignment horizontal="center" vertical="center"/>
    </xf>
    <xf numFmtId="41" fontId="18" fillId="7" borderId="0" xfId="0" applyNumberFormat="1" applyFont="1" applyFill="1" applyAlignment="1">
      <alignment horizontal="center" vertical="center"/>
    </xf>
    <xf numFmtId="43" fontId="24" fillId="2" borderId="0" xfId="1" applyFont="1" applyFill="1" applyAlignment="1" applyProtection="1">
      <alignment horizontal="center" vertical="center"/>
    </xf>
    <xf numFmtId="43" fontId="24" fillId="2" borderId="0" xfId="1" applyFont="1" applyFill="1" applyAlignment="1">
      <alignment vertical="center"/>
      <protection locked="0"/>
    </xf>
    <xf numFmtId="43" fontId="48" fillId="2" borderId="0" xfId="1" applyFont="1" applyFill="1" applyAlignment="1" applyProtection="1">
      <alignment horizontal="center" vertical="center"/>
    </xf>
    <xf numFmtId="43" fontId="24" fillId="2" borderId="0" xfId="1" applyFont="1" applyFill="1" applyAlignment="1">
      <alignment horizontal="center" vertical="center"/>
      <protection locked="0"/>
    </xf>
    <xf numFmtId="43" fontId="24" fillId="7" borderId="0" xfId="1" applyFont="1" applyFill="1" applyAlignment="1" applyProtection="1">
      <alignment vertical="center"/>
    </xf>
    <xf numFmtId="165" fontId="48" fillId="2" borderId="0" xfId="1" quotePrefix="1" applyNumberFormat="1" applyFont="1" applyFill="1" applyAlignment="1" applyProtection="1">
      <alignment horizontal="left" vertical="center"/>
    </xf>
    <xf numFmtId="43" fontId="24" fillId="2" borderId="0" xfId="1" applyFont="1" applyFill="1" applyAlignment="1" applyProtection="1">
      <alignment horizontal="left" vertical="center"/>
    </xf>
    <xf numFmtId="165" fontId="24" fillId="2" borderId="0" xfId="1" applyNumberFormat="1" applyFont="1" applyFill="1" applyAlignment="1">
      <alignment horizontal="left" vertical="center"/>
      <protection locked="0"/>
    </xf>
    <xf numFmtId="183" fontId="24" fillId="2" borderId="0" xfId="1" applyNumberFormat="1" applyFont="1" applyFill="1" applyAlignment="1">
      <alignment horizontal="left" vertical="center"/>
      <protection locked="0"/>
    </xf>
    <xf numFmtId="183" fontId="24" fillId="2" borderId="0" xfId="1" applyNumberFormat="1" applyFont="1" applyFill="1" applyAlignment="1">
      <alignment horizontal="center" vertical="center"/>
      <protection locked="0"/>
    </xf>
    <xf numFmtId="165" fontId="24" fillId="2" borderId="0" xfId="1" applyNumberFormat="1" applyFont="1" applyFill="1" applyAlignment="1">
      <alignment horizontal="center" vertical="center"/>
      <protection locked="0"/>
    </xf>
    <xf numFmtId="165" fontId="114" fillId="2" borderId="16" xfId="1" applyNumberFormat="1" applyFont="1" applyFill="1" applyBorder="1" applyAlignment="1" applyProtection="1">
      <alignment horizontal="center" vertical="top"/>
    </xf>
    <xf numFmtId="43" fontId="24" fillId="2" borderId="28" xfId="1" applyFont="1" applyFill="1" applyBorder="1" applyAlignment="1" applyProtection="1">
      <alignment vertical="center"/>
    </xf>
    <xf numFmtId="165" fontId="24" fillId="2" borderId="16" xfId="1" applyNumberFormat="1" applyFont="1" applyFill="1" applyBorder="1" applyAlignment="1" applyProtection="1">
      <alignment horizontal="center" vertical="center"/>
    </xf>
    <xf numFmtId="165" fontId="48" fillId="2" borderId="16" xfId="1" applyNumberFormat="1" applyFont="1" applyFill="1" applyBorder="1" applyAlignment="1" applyProtection="1">
      <alignment horizontal="center" vertical="center"/>
    </xf>
    <xf numFmtId="43" fontId="24" fillId="2" borderId="28" xfId="1" applyFont="1" applyFill="1" applyBorder="1" applyAlignment="1">
      <alignment vertical="center"/>
      <protection locked="0"/>
    </xf>
    <xf numFmtId="43" fontId="48" fillId="2" borderId="28" xfId="1" applyFont="1" applyFill="1" applyBorder="1" applyAlignment="1" applyProtection="1">
      <alignment horizontal="center" vertical="center"/>
    </xf>
    <xf numFmtId="43" fontId="24" fillId="2" borderId="28" xfId="1" applyFont="1" applyFill="1" applyBorder="1" applyAlignment="1" applyProtection="1">
      <alignment horizontal="center" vertical="center"/>
    </xf>
    <xf numFmtId="165" fontId="24" fillId="2" borderId="31" xfId="1" applyNumberFormat="1" applyFont="1" applyFill="1" applyBorder="1" applyAlignment="1" applyProtection="1">
      <alignment horizontal="center" vertical="center"/>
    </xf>
    <xf numFmtId="43" fontId="24" fillId="2" borderId="30" xfId="1" applyFont="1" applyFill="1" applyBorder="1" applyAlignment="1" applyProtection="1">
      <alignment vertical="center"/>
    </xf>
    <xf numFmtId="165" fontId="48" fillId="2" borderId="29" xfId="1" applyNumberFormat="1" applyFont="1" applyFill="1" applyBorder="1" applyAlignment="1" applyProtection="1">
      <alignment horizontal="center" vertical="center"/>
    </xf>
    <xf numFmtId="43" fontId="48" fillId="2" borderId="11" xfId="1" applyFont="1" applyFill="1" applyBorder="1" applyAlignment="1" applyProtection="1">
      <alignment horizontal="center" vertical="center"/>
    </xf>
    <xf numFmtId="43" fontId="24" fillId="2" borderId="27" xfId="1" applyFont="1" applyFill="1" applyBorder="1" applyAlignment="1">
      <alignment vertical="center"/>
      <protection locked="0"/>
    </xf>
    <xf numFmtId="43" fontId="24" fillId="2" borderId="15" xfId="1" applyFont="1" applyFill="1" applyBorder="1" applyAlignment="1">
      <alignment horizontal="left" vertical="center"/>
      <protection locked="0"/>
    </xf>
    <xf numFmtId="165" fontId="24" fillId="2" borderId="29" xfId="1" applyNumberFormat="1" applyFont="1" applyFill="1" applyBorder="1" applyAlignment="1" applyProtection="1">
      <alignment horizontal="center" vertical="center"/>
    </xf>
    <xf numFmtId="43" fontId="24" fillId="2" borderId="5" xfId="1" applyFont="1" applyFill="1" applyBorder="1" applyAlignment="1" applyProtection="1">
      <alignment horizontal="center" vertical="center"/>
    </xf>
    <xf numFmtId="0" fontId="58" fillId="2" borderId="39" xfId="0" applyFont="1" applyFill="1" applyBorder="1" applyAlignment="1" applyProtection="1">
      <alignment horizontal="center" vertical="center"/>
      <protection locked="0"/>
    </xf>
    <xf numFmtId="0" fontId="5" fillId="0" borderId="72" xfId="0" applyFont="1" applyBorder="1" applyAlignment="1">
      <alignment horizontal="center"/>
    </xf>
    <xf numFmtId="0" fontId="5" fillId="0" borderId="73" xfId="0" applyFont="1" applyBorder="1" applyAlignment="1">
      <alignment horizontal="center"/>
    </xf>
    <xf numFmtId="40" fontId="5" fillId="0" borderId="74" xfId="0" applyNumberFormat="1" applyFont="1" applyBorder="1" applyAlignment="1"/>
    <xf numFmtId="0" fontId="5" fillId="0" borderId="75" xfId="0" applyFont="1" applyBorder="1" applyAlignment="1">
      <alignment horizontal="center"/>
    </xf>
    <xf numFmtId="0" fontId="5" fillId="0" borderId="76" xfId="0" applyFont="1" applyBorder="1" applyAlignment="1">
      <alignment horizontal="center"/>
    </xf>
    <xf numFmtId="40" fontId="5" fillId="0" borderId="77" xfId="0" applyNumberFormat="1" applyFont="1" applyBorder="1" applyAlignment="1"/>
    <xf numFmtId="0" fontId="5" fillId="0" borderId="78" xfId="0" applyFont="1" applyBorder="1" applyAlignment="1">
      <alignment horizontal="center"/>
    </xf>
    <xf numFmtId="0" fontId="5" fillId="0" borderId="79" xfId="0" applyFont="1" applyBorder="1" applyAlignment="1">
      <alignment horizontal="center"/>
    </xf>
    <xf numFmtId="40" fontId="5" fillId="0" borderId="80" xfId="0" applyNumberFormat="1" applyFont="1" applyBorder="1" applyAlignment="1"/>
    <xf numFmtId="0" fontId="5" fillId="0" borderId="81" xfId="0" applyFont="1" applyBorder="1" applyAlignment="1">
      <alignment horizontal="center"/>
    </xf>
    <xf numFmtId="0" fontId="5" fillId="0" borderId="82" xfId="0" applyFont="1" applyBorder="1" applyAlignment="1">
      <alignment horizontal="center"/>
    </xf>
    <xf numFmtId="40" fontId="5" fillId="0" borderId="82" xfId="0" applyNumberFormat="1" applyFont="1" applyBorder="1" applyAlignment="1"/>
    <xf numFmtId="165" fontId="24" fillId="2" borderId="36" xfId="1" applyNumberFormat="1" applyFont="1" applyFill="1" applyBorder="1" applyAlignment="1" applyProtection="1">
      <alignment horizontal="left" vertical="center"/>
    </xf>
    <xf numFmtId="43" fontId="24" fillId="2" borderId="36" xfId="1" applyFont="1" applyFill="1" applyBorder="1" applyAlignment="1" applyProtection="1">
      <alignment vertical="center"/>
    </xf>
    <xf numFmtId="165" fontId="24" fillId="2" borderId="17" xfId="1" applyNumberFormat="1" applyFont="1" applyFill="1" applyBorder="1" applyAlignment="1" applyProtection="1">
      <alignment horizontal="left" vertical="center"/>
    </xf>
    <xf numFmtId="43" fontId="24" fillId="2" borderId="17" xfId="1" applyFont="1" applyFill="1" applyBorder="1" applyAlignment="1" applyProtection="1">
      <alignment vertical="center"/>
    </xf>
    <xf numFmtId="43" fontId="24" fillId="2" borderId="14" xfId="1" applyFont="1" applyFill="1" applyBorder="1" applyAlignment="1" applyProtection="1">
      <alignment vertical="center"/>
    </xf>
    <xf numFmtId="43" fontId="24" fillId="2" borderId="8" xfId="1" applyFont="1" applyFill="1" applyBorder="1" applyAlignment="1" applyProtection="1">
      <alignment vertical="center"/>
    </xf>
    <xf numFmtId="43" fontId="24" fillId="2" borderId="28" xfId="1" applyFont="1" applyFill="1" applyBorder="1" applyAlignment="1" applyProtection="1">
      <alignment vertical="center" wrapText="1"/>
    </xf>
    <xf numFmtId="43" fontId="24" fillId="2" borderId="30" xfId="1" applyFont="1" applyFill="1" applyBorder="1" applyAlignment="1" applyProtection="1">
      <alignment vertical="center" wrapText="1"/>
    </xf>
    <xf numFmtId="165" fontId="24" fillId="2" borderId="17" xfId="1" applyNumberFormat="1" applyFont="1" applyFill="1" applyBorder="1" applyAlignment="1" applyProtection="1">
      <alignment horizontal="center" vertical="center"/>
    </xf>
    <xf numFmtId="43" fontId="24" fillId="2" borderId="17" xfId="1" applyFont="1" applyFill="1" applyBorder="1" applyAlignment="1" applyProtection="1">
      <alignment vertical="center" wrapText="1"/>
    </xf>
    <xf numFmtId="165" fontId="14" fillId="2" borderId="17" xfId="1" applyNumberFormat="1" applyFont="1" applyFill="1" applyBorder="1" applyAlignment="1" applyProtection="1">
      <alignment horizontal="center" vertical="center"/>
    </xf>
    <xf numFmtId="0" fontId="9" fillId="2" borderId="29" xfId="0" applyFont="1" applyFill="1" applyBorder="1" applyProtection="1">
      <alignment vertical="center"/>
      <protection locked="0"/>
    </xf>
    <xf numFmtId="0" fontId="9" fillId="2" borderId="11" xfId="0" applyFont="1" applyFill="1" applyBorder="1" applyProtection="1">
      <alignment vertical="center"/>
      <protection locked="0"/>
    </xf>
    <xf numFmtId="0" fontId="9" fillId="2" borderId="25" xfId="0" applyFont="1" applyFill="1" applyBorder="1">
      <alignment vertical="center"/>
    </xf>
    <xf numFmtId="0" fontId="9" fillId="2" borderId="17" xfId="0" applyFont="1" applyFill="1" applyBorder="1" applyAlignment="1">
      <alignment horizontal="center" vertical="center"/>
    </xf>
    <xf numFmtId="0" fontId="18" fillId="2" borderId="3" xfId="0" quotePrefix="1" applyFont="1" applyFill="1" applyBorder="1" applyProtection="1">
      <alignment vertical="center"/>
      <protection locked="0"/>
    </xf>
    <xf numFmtId="0" fontId="18" fillId="2" borderId="35" xfId="0" applyFont="1" applyFill="1" applyBorder="1" applyAlignment="1" applyProtection="1">
      <alignment horizontal="center" vertical="center"/>
      <protection locked="0"/>
    </xf>
    <xf numFmtId="0" fontId="18" fillId="2" borderId="29" xfId="0" applyFont="1" applyFill="1" applyBorder="1" applyAlignment="1" applyProtection="1">
      <alignment horizontal="center" vertical="center"/>
      <protection locked="0"/>
    </xf>
    <xf numFmtId="0" fontId="18" fillId="2" borderId="17" xfId="0" applyFont="1" applyFill="1" applyBorder="1" applyAlignment="1" applyProtection="1">
      <alignment horizontal="center" vertical="center" wrapText="1"/>
      <protection locked="0"/>
    </xf>
    <xf numFmtId="0" fontId="18" fillId="2" borderId="36" xfId="0" applyFont="1" applyFill="1" applyBorder="1" applyAlignment="1" applyProtection="1">
      <alignment horizontal="center" vertical="center"/>
      <protection locked="0"/>
    </xf>
    <xf numFmtId="0" fontId="94" fillId="2" borderId="17" xfId="0" applyFont="1" applyFill="1" applyBorder="1" applyAlignment="1">
      <alignment horizontal="left"/>
    </xf>
    <xf numFmtId="0" fontId="120" fillId="2" borderId="0" xfId="0" applyFont="1" applyFill="1" applyAlignment="1"/>
    <xf numFmtId="0" fontId="9" fillId="2" borderId="39" xfId="0" applyFont="1" applyFill="1" applyBorder="1" applyProtection="1">
      <alignment vertical="center"/>
      <protection hidden="1"/>
    </xf>
    <xf numFmtId="0" fontId="0" fillId="2" borderId="17" xfId="0" applyFill="1" applyBorder="1" applyProtection="1">
      <alignment vertical="center"/>
      <protection hidden="1"/>
    </xf>
    <xf numFmtId="0" fontId="9" fillId="23" borderId="17" xfId="0" applyFont="1" applyFill="1" applyBorder="1" applyAlignment="1" applyProtection="1">
      <alignment horizontal="left" vertical="center"/>
      <protection hidden="1"/>
    </xf>
    <xf numFmtId="165" fontId="8" fillId="23" borderId="17" xfId="1" applyNumberFormat="1" applyFill="1" applyBorder="1" applyProtection="1">
      <alignment vertical="top"/>
      <protection hidden="1"/>
    </xf>
    <xf numFmtId="0" fontId="18" fillId="23" borderId="17" xfId="0" applyFont="1" applyFill="1" applyBorder="1" applyAlignment="1" applyProtection="1">
      <alignment horizontal="left" vertical="center"/>
      <protection hidden="1"/>
    </xf>
    <xf numFmtId="165" fontId="7" fillId="23" borderId="17" xfId="1" applyNumberFormat="1" applyFont="1" applyFill="1" applyBorder="1" applyProtection="1">
      <alignment vertical="top"/>
      <protection hidden="1"/>
    </xf>
    <xf numFmtId="1" fontId="18" fillId="2" borderId="17" xfId="0" applyNumberFormat="1" applyFont="1" applyFill="1" applyBorder="1" applyAlignment="1" applyProtection="1">
      <alignment horizontal="center" vertical="center"/>
      <protection hidden="1"/>
    </xf>
    <xf numFmtId="0" fontId="9" fillId="2" borderId="4" xfId="0" applyFont="1" applyFill="1" applyBorder="1" applyProtection="1">
      <alignment vertical="center"/>
      <protection hidden="1"/>
    </xf>
    <xf numFmtId="0" fontId="121" fillId="2" borderId="0" xfId="0" applyFont="1" applyFill="1" applyProtection="1">
      <alignment vertical="center"/>
      <protection hidden="1"/>
    </xf>
    <xf numFmtId="0" fontId="18" fillId="2" borderId="39" xfId="0" applyFont="1" applyFill="1" applyBorder="1" applyProtection="1">
      <alignment vertical="center"/>
      <protection locked="0"/>
    </xf>
    <xf numFmtId="0" fontId="43" fillId="2" borderId="3" xfId="0" applyFont="1" applyFill="1" applyBorder="1" applyAlignment="1" applyProtection="1">
      <alignment vertical="top"/>
      <protection locked="0"/>
    </xf>
    <xf numFmtId="0" fontId="58" fillId="2" borderId="39" xfId="0" applyFont="1" applyFill="1" applyBorder="1" applyProtection="1">
      <alignment vertical="center"/>
      <protection locked="0"/>
    </xf>
    <xf numFmtId="0" fontId="58" fillId="2" borderId="17" xfId="0" applyFont="1" applyFill="1" applyBorder="1" applyAlignment="1" applyProtection="1">
      <alignment vertical="center" wrapText="1"/>
      <protection locked="0"/>
    </xf>
    <xf numFmtId="0" fontId="20" fillId="2" borderId="14" xfId="0" applyFont="1" applyFill="1" applyBorder="1" applyAlignment="1" applyProtection="1">
      <protection locked="0"/>
    </xf>
    <xf numFmtId="0" fontId="20" fillId="2" borderId="8" xfId="0" applyFont="1" applyFill="1" applyBorder="1" applyAlignment="1" applyProtection="1">
      <protection locked="0"/>
    </xf>
    <xf numFmtId="0" fontId="20" fillId="2" borderId="9" xfId="0" applyFont="1" applyFill="1" applyBorder="1" applyAlignment="1" applyProtection="1">
      <protection locked="0"/>
    </xf>
    <xf numFmtId="41" fontId="18" fillId="2" borderId="17" xfId="3" applyFont="1" applyFill="1" applyBorder="1" applyAlignment="1" applyProtection="1">
      <alignment vertical="center"/>
      <protection locked="0"/>
    </xf>
    <xf numFmtId="41" fontId="18" fillId="2" borderId="17" xfId="3" applyFont="1" applyFill="1" applyBorder="1" applyAlignment="1" applyProtection="1">
      <alignment horizontal="center" vertical="center" wrapText="1"/>
      <protection locked="0"/>
    </xf>
    <xf numFmtId="41" fontId="18" fillId="2" borderId="17" xfId="3" applyFont="1" applyFill="1" applyBorder="1" applyAlignment="1" applyProtection="1">
      <alignment horizontal="left" vertical="center"/>
      <protection locked="0"/>
    </xf>
    <xf numFmtId="41" fontId="18" fillId="23" borderId="50" xfId="3" applyFont="1" applyFill="1" applyBorder="1" applyAlignment="1" applyProtection="1">
      <alignment vertical="center"/>
      <protection locked="0"/>
    </xf>
    <xf numFmtId="41" fontId="18" fillId="23" borderId="50" xfId="3" applyFont="1" applyFill="1" applyBorder="1" applyAlignment="1" applyProtection="1">
      <alignment horizontal="center" vertical="center" wrapText="1"/>
      <protection locked="0"/>
    </xf>
    <xf numFmtId="0" fontId="18" fillId="2" borderId="0" xfId="0" applyFont="1" applyFill="1" applyAlignment="1" applyProtection="1">
      <protection locked="0"/>
    </xf>
    <xf numFmtId="0" fontId="9" fillId="2" borderId="29" xfId="0" applyFont="1" applyFill="1" applyBorder="1" applyAlignment="1" applyProtection="1">
      <protection locked="0"/>
    </xf>
    <xf numFmtId="0" fontId="9" fillId="2" borderId="31" xfId="0" applyFont="1" applyFill="1" applyBorder="1" applyAlignment="1" applyProtection="1">
      <protection locked="0"/>
    </xf>
    <xf numFmtId="0" fontId="20" fillId="2" borderId="15" xfId="0" applyFont="1" applyFill="1" applyBorder="1" applyAlignment="1" applyProtection="1">
      <protection locked="0"/>
    </xf>
    <xf numFmtId="0" fontId="9" fillId="2" borderId="5" xfId="0" applyFont="1" applyFill="1" applyBorder="1" applyAlignment="1" applyProtection="1">
      <protection locked="0"/>
    </xf>
    <xf numFmtId="0" fontId="9" fillId="2" borderId="8" xfId="0" applyFont="1" applyFill="1" applyBorder="1" applyAlignment="1" applyProtection="1">
      <protection locked="0"/>
    </xf>
    <xf numFmtId="0" fontId="0" fillId="2" borderId="8" xfId="0" applyFill="1" applyBorder="1" applyAlignment="1" applyProtection="1">
      <protection locked="0"/>
    </xf>
    <xf numFmtId="0" fontId="0" fillId="2" borderId="8" xfId="0" applyFill="1" applyBorder="1" applyProtection="1">
      <alignment vertical="center"/>
      <protection locked="0"/>
    </xf>
    <xf numFmtId="0" fontId="0" fillId="2" borderId="15" xfId="0" applyFill="1" applyBorder="1" applyProtection="1">
      <alignment vertical="center"/>
      <protection locked="0"/>
    </xf>
    <xf numFmtId="0" fontId="0" fillId="2" borderId="15" xfId="0" applyFill="1" applyBorder="1" applyAlignment="1" applyProtection="1">
      <protection locked="0"/>
    </xf>
    <xf numFmtId="0" fontId="24" fillId="2" borderId="14" xfId="0" applyFont="1" applyFill="1" applyBorder="1" applyAlignment="1" applyProtection="1">
      <alignment horizontal="left" vertical="center"/>
      <protection hidden="1"/>
    </xf>
    <xf numFmtId="0" fontId="24" fillId="23" borderId="8" xfId="0" applyFont="1" applyFill="1" applyBorder="1" applyAlignment="1" applyProtection="1">
      <alignment horizontal="left" vertical="center"/>
      <protection hidden="1"/>
    </xf>
    <xf numFmtId="0" fontId="0" fillId="2" borderId="29" xfId="0" applyFill="1" applyBorder="1" applyAlignment="1" applyProtection="1">
      <alignment horizontal="center" vertical="center"/>
      <protection hidden="1"/>
    </xf>
    <xf numFmtId="43" fontId="24" fillId="2" borderId="11" xfId="1" applyFont="1" applyFill="1" applyBorder="1" applyAlignment="1" applyProtection="1">
      <alignment vertical="center"/>
      <protection hidden="1"/>
    </xf>
    <xf numFmtId="0" fontId="0" fillId="2" borderId="27" xfId="0" applyFill="1" applyBorder="1" applyProtection="1">
      <alignment vertical="center"/>
      <protection hidden="1"/>
    </xf>
    <xf numFmtId="0" fontId="0" fillId="2" borderId="16" xfId="0" applyFill="1" applyBorder="1" applyAlignment="1" applyProtection="1">
      <alignment horizontal="center" vertical="center"/>
      <protection hidden="1"/>
    </xf>
    <xf numFmtId="0" fontId="0" fillId="2" borderId="28" xfId="0" applyFill="1" applyBorder="1" applyProtection="1">
      <alignment vertical="center"/>
      <protection hidden="1"/>
    </xf>
    <xf numFmtId="0" fontId="0" fillId="2" borderId="31" xfId="0" applyFill="1" applyBorder="1" applyAlignment="1" applyProtection="1">
      <alignment horizontal="center" vertical="center"/>
      <protection hidden="1"/>
    </xf>
    <xf numFmtId="43" fontId="24" fillId="2" borderId="5" xfId="1" applyFont="1" applyFill="1" applyBorder="1" applyAlignment="1" applyProtection="1">
      <alignment vertical="center"/>
      <protection hidden="1"/>
    </xf>
    <xf numFmtId="0" fontId="0" fillId="2" borderId="5" xfId="0" applyFill="1" applyBorder="1" applyProtection="1">
      <alignment vertical="center"/>
      <protection hidden="1"/>
    </xf>
    <xf numFmtId="0" fontId="0" fillId="2" borderId="30" xfId="0" applyFill="1" applyBorder="1" applyProtection="1">
      <alignment vertical="center"/>
      <protection hidden="1"/>
    </xf>
    <xf numFmtId="0" fontId="9" fillId="2" borderId="0" xfId="0" quotePrefix="1" applyFont="1" applyFill="1" applyAlignment="1" applyProtection="1">
      <alignment horizontal="left" vertical="center"/>
      <protection hidden="1"/>
    </xf>
    <xf numFmtId="0" fontId="9" fillId="2" borderId="0" xfId="0" applyFont="1" applyFill="1" applyAlignment="1" applyProtection="1">
      <alignment horizontal="left" vertical="center"/>
      <protection hidden="1"/>
    </xf>
    <xf numFmtId="43" fontId="14" fillId="2" borderId="0" xfId="1" applyFont="1" applyFill="1" applyAlignment="1" applyProtection="1">
      <alignment vertical="center"/>
      <protection hidden="1"/>
    </xf>
    <xf numFmtId="0" fontId="9" fillId="2" borderId="0" xfId="0" applyFont="1" applyFill="1" applyAlignment="1" applyProtection="1">
      <alignment vertical="center" wrapText="1"/>
      <protection hidden="1"/>
    </xf>
    <xf numFmtId="41" fontId="24" fillId="23" borderId="5" xfId="9" applyFont="1" applyFill="1" applyBorder="1" applyAlignment="1" applyProtection="1">
      <alignment horizontal="center" vertical="center"/>
      <protection hidden="1"/>
    </xf>
    <xf numFmtId="41" fontId="24" fillId="23" borderId="8" xfId="9" applyFont="1" applyFill="1" applyBorder="1" applyAlignment="1" applyProtection="1">
      <alignment horizontal="center" vertical="center"/>
      <protection hidden="1"/>
    </xf>
    <xf numFmtId="41" fontId="24" fillId="23" borderId="11" xfId="9" applyFont="1" applyFill="1" applyBorder="1" applyAlignment="1" applyProtection="1">
      <alignment horizontal="center" vertical="center"/>
      <protection hidden="1"/>
    </xf>
    <xf numFmtId="37" fontId="14" fillId="23" borderId="5" xfId="0" applyNumberFormat="1" applyFont="1" applyFill="1" applyBorder="1" applyAlignment="1" applyProtection="1">
      <protection hidden="1"/>
    </xf>
    <xf numFmtId="37" fontId="12" fillId="23" borderId="11" xfId="0" applyNumberFormat="1" applyFont="1" applyFill="1" applyBorder="1" applyAlignment="1" applyProtection="1">
      <protection hidden="1"/>
    </xf>
    <xf numFmtId="37" fontId="12" fillId="23" borderId="11" xfId="0" applyNumberFormat="1" applyFont="1" applyFill="1" applyBorder="1" applyAlignment="1" applyProtection="1">
      <alignment horizontal="right"/>
      <protection hidden="1"/>
    </xf>
    <xf numFmtId="37" fontId="14" fillId="23" borderId="8" xfId="0" applyNumberFormat="1" applyFont="1" applyFill="1" applyBorder="1" applyAlignment="1" applyProtection="1">
      <protection hidden="1"/>
    </xf>
    <xf numFmtId="37" fontId="14" fillId="23" borderId="11" xfId="0" applyNumberFormat="1" applyFont="1" applyFill="1" applyBorder="1" applyAlignment="1" applyProtection="1">
      <protection hidden="1"/>
    </xf>
    <xf numFmtId="0" fontId="9" fillId="2" borderId="5" xfId="0" applyFont="1" applyFill="1" applyBorder="1" applyAlignment="1" applyProtection="1">
      <protection hidden="1"/>
    </xf>
    <xf numFmtId="0" fontId="9" fillId="2" borderId="8" xfId="0" applyFont="1" applyFill="1" applyBorder="1" applyAlignment="1" applyProtection="1">
      <protection hidden="1"/>
    </xf>
    <xf numFmtId="0" fontId="0" fillId="2" borderId="8" xfId="0" applyFill="1" applyBorder="1" applyAlignment="1" applyProtection="1">
      <protection hidden="1"/>
    </xf>
    <xf numFmtId="0" fontId="0" fillId="2" borderId="13" xfId="0" applyFill="1" applyBorder="1" applyAlignment="1" applyProtection="1">
      <alignment horizontal="right" vertical="center"/>
      <protection hidden="1"/>
    </xf>
    <xf numFmtId="0" fontId="51" fillId="2" borderId="5" xfId="0" quotePrefix="1" applyFont="1" applyFill="1" applyBorder="1" applyAlignment="1" applyProtection="1">
      <alignment horizontal="left" vertical="center"/>
      <protection hidden="1"/>
    </xf>
    <xf numFmtId="0" fontId="0" fillId="2" borderId="7" xfId="0" applyFill="1" applyBorder="1" applyAlignment="1" applyProtection="1">
      <alignment horizontal="right" vertical="center"/>
      <protection hidden="1"/>
    </xf>
    <xf numFmtId="0" fontId="51" fillId="2" borderId="8" xfId="0" quotePrefix="1" applyFont="1" applyFill="1" applyBorder="1" applyAlignment="1" applyProtection="1">
      <alignment horizontal="left" vertical="center"/>
      <protection hidden="1"/>
    </xf>
    <xf numFmtId="43" fontId="24" fillId="2" borderId="8" xfId="1" applyFont="1" applyFill="1" applyBorder="1" applyAlignment="1" applyProtection="1">
      <alignment horizontal="left" vertical="center"/>
      <protection hidden="1"/>
    </xf>
    <xf numFmtId="37" fontId="0" fillId="23" borderId="14" xfId="0" applyNumberFormat="1" applyFill="1" applyBorder="1" applyAlignment="1" applyProtection="1">
      <alignment horizontal="left" vertical="center"/>
      <protection hidden="1"/>
    </xf>
    <xf numFmtId="0" fontId="0" fillId="23" borderId="8" xfId="0" applyFill="1" applyBorder="1" applyProtection="1">
      <alignment vertical="center"/>
      <protection hidden="1"/>
    </xf>
    <xf numFmtId="0" fontId="0" fillId="23" borderId="9" xfId="0" applyFill="1" applyBorder="1" applyProtection="1">
      <alignment vertical="center"/>
      <protection hidden="1"/>
    </xf>
    <xf numFmtId="0" fontId="24" fillId="2" borderId="14" xfId="0" quotePrefix="1" applyFont="1" applyFill="1" applyBorder="1" applyAlignment="1" applyProtection="1">
      <alignment horizontal="right" vertical="center"/>
      <protection hidden="1"/>
    </xf>
    <xf numFmtId="0" fontId="24" fillId="2" borderId="8" xfId="0" applyFont="1" applyFill="1" applyBorder="1" applyAlignment="1" applyProtection="1">
      <alignment horizontal="left"/>
      <protection hidden="1"/>
    </xf>
    <xf numFmtId="0" fontId="24" fillId="2" borderId="8" xfId="0" applyFont="1" applyFill="1" applyBorder="1" applyAlignment="1" applyProtection="1">
      <alignment vertical="top"/>
      <protection hidden="1"/>
    </xf>
    <xf numFmtId="0" fontId="24" fillId="2" borderId="8" xfId="0" applyFont="1" applyFill="1" applyBorder="1" applyAlignment="1" applyProtection="1">
      <alignment vertical="center" wrapText="1"/>
      <protection hidden="1"/>
    </xf>
    <xf numFmtId="41" fontId="48" fillId="23" borderId="8" xfId="0" applyNumberFormat="1" applyFont="1" applyFill="1" applyBorder="1" applyProtection="1">
      <alignment vertical="center"/>
      <protection hidden="1"/>
    </xf>
    <xf numFmtId="0" fontId="48" fillId="23" borderId="8" xfId="0" applyFont="1" applyFill="1" applyBorder="1" applyProtection="1">
      <alignment vertical="center"/>
      <protection hidden="1"/>
    </xf>
    <xf numFmtId="0" fontId="48" fillId="23" borderId="8" xfId="0" applyFont="1" applyFill="1" applyBorder="1" applyAlignment="1" applyProtection="1">
      <alignment horizontal="left" vertical="center"/>
      <protection hidden="1"/>
    </xf>
    <xf numFmtId="0" fontId="48" fillId="23" borderId="15" xfId="0" applyFont="1" applyFill="1" applyBorder="1" applyProtection="1">
      <alignment vertical="center"/>
      <protection hidden="1"/>
    </xf>
    <xf numFmtId="43" fontId="48" fillId="23" borderId="8" xfId="0" applyNumberFormat="1" applyFont="1" applyFill="1" applyBorder="1" applyProtection="1">
      <alignment vertical="center"/>
      <protection hidden="1"/>
    </xf>
    <xf numFmtId="0" fontId="24" fillId="2" borderId="0" xfId="0" applyFont="1" applyFill="1" applyProtection="1">
      <alignment vertical="center"/>
      <protection locked="0"/>
    </xf>
    <xf numFmtId="0" fontId="24" fillId="2" borderId="18" xfId="0" applyFont="1" applyFill="1" applyBorder="1" applyProtection="1">
      <alignment vertical="center"/>
      <protection locked="0"/>
    </xf>
    <xf numFmtId="0" fontId="44" fillId="2" borderId="5" xfId="0" applyFont="1" applyFill="1" applyBorder="1" applyProtection="1">
      <alignment vertical="center"/>
      <protection locked="0"/>
    </xf>
    <xf numFmtId="0" fontId="24" fillId="2" borderId="5" xfId="0" applyFont="1" applyFill="1" applyBorder="1" applyProtection="1">
      <alignment vertical="center"/>
      <protection locked="0"/>
    </xf>
    <xf numFmtId="0" fontId="24" fillId="2" borderId="0" xfId="0" applyFont="1" applyFill="1" applyAlignment="1" applyProtection="1">
      <alignment horizontal="center" vertical="center"/>
      <protection hidden="1"/>
    </xf>
    <xf numFmtId="3" fontId="42" fillId="2" borderId="0" xfId="0" quotePrefix="1" applyNumberFormat="1" applyFont="1" applyFill="1" applyAlignment="1" applyProtection="1">
      <alignment horizontal="left" vertical="center"/>
      <protection hidden="1"/>
    </xf>
    <xf numFmtId="0" fontId="42" fillId="2" borderId="0" xfId="0" quotePrefix="1" applyFont="1" applyFill="1" applyAlignment="1" applyProtection="1">
      <alignment horizontal="left" vertical="center"/>
      <protection hidden="1"/>
    </xf>
    <xf numFmtId="0" fontId="26" fillId="2" borderId="0" xfId="0" applyFont="1" applyFill="1" applyAlignment="1" applyProtection="1">
      <alignment horizontal="center" vertical="center"/>
      <protection hidden="1"/>
    </xf>
    <xf numFmtId="185" fontId="4" fillId="2" borderId="0" xfId="0" applyNumberFormat="1" applyFont="1" applyFill="1" applyAlignment="1" applyProtection="1">
      <alignment horizontal="right" vertical="center"/>
      <protection hidden="1"/>
    </xf>
    <xf numFmtId="0" fontId="26" fillId="2" borderId="17" xfId="0" applyFont="1" applyFill="1" applyBorder="1" applyAlignment="1" applyProtection="1">
      <alignment horizontal="center" vertical="center"/>
      <protection locked="0"/>
    </xf>
    <xf numFmtId="0" fontId="26" fillId="2" borderId="17" xfId="0" applyFont="1" applyFill="1" applyBorder="1" applyAlignment="1" applyProtection="1">
      <alignment horizontal="center" vertical="center"/>
      <protection hidden="1"/>
    </xf>
    <xf numFmtId="0" fontId="9" fillId="2" borderId="17" xfId="0" applyFont="1" applyFill="1" applyBorder="1" applyAlignment="1" applyProtection="1">
      <alignment horizontal="center"/>
      <protection locked="0"/>
    </xf>
    <xf numFmtId="0" fontId="24" fillId="2" borderId="0" xfId="0" quotePrefix="1" applyFont="1" applyFill="1" applyAlignment="1" applyProtection="1">
      <alignment horizontal="right" vertical="center"/>
      <protection hidden="1"/>
    </xf>
    <xf numFmtId="0" fontId="24" fillId="2" borderId="0" xfId="0" applyFont="1" applyFill="1" applyAlignment="1" applyProtection="1">
      <alignment horizontal="left"/>
      <protection hidden="1"/>
    </xf>
    <xf numFmtId="185" fontId="48" fillId="2" borderId="0" xfId="0" applyNumberFormat="1" applyFont="1" applyFill="1" applyAlignment="1" applyProtection="1">
      <alignment horizontal="right" vertical="center"/>
      <protection hidden="1"/>
    </xf>
    <xf numFmtId="0" fontId="0" fillId="24" borderId="3" xfId="0" applyFill="1" applyBorder="1" applyProtection="1">
      <alignment vertical="center"/>
      <protection locked="0"/>
    </xf>
    <xf numFmtId="0" fontId="0" fillId="24" borderId="0" xfId="0" applyFill="1" applyProtection="1">
      <alignment vertical="center"/>
      <protection locked="0"/>
    </xf>
    <xf numFmtId="0" fontId="0" fillId="24" borderId="4" xfId="0" applyFill="1" applyBorder="1" applyProtection="1">
      <alignment vertical="center"/>
      <protection locked="0"/>
    </xf>
    <xf numFmtId="0" fontId="9" fillId="24" borderId="13" xfId="0" applyFont="1" applyFill="1" applyBorder="1" applyAlignment="1" applyProtection="1">
      <alignment horizontal="center" vertical="center"/>
      <protection hidden="1"/>
    </xf>
    <xf numFmtId="0" fontId="0" fillId="24" borderId="5" xfId="0" applyFill="1" applyBorder="1" applyAlignment="1" applyProtection="1">
      <alignment horizontal="center" vertical="center"/>
      <protection hidden="1"/>
    </xf>
    <xf numFmtId="0" fontId="0" fillId="24" borderId="6" xfId="0" applyFill="1" applyBorder="1" applyAlignment="1" applyProtection="1">
      <alignment horizontal="center" vertical="center"/>
      <protection hidden="1"/>
    </xf>
    <xf numFmtId="43" fontId="24" fillId="2" borderId="8" xfId="1" applyFont="1" applyFill="1" applyBorder="1" applyAlignment="1" applyProtection="1">
      <alignment horizontal="center" vertical="top"/>
    </xf>
    <xf numFmtId="43" fontId="24" fillId="2" borderId="15" xfId="1" applyFont="1" applyFill="1" applyBorder="1" applyAlignment="1" applyProtection="1">
      <alignment horizontal="center" vertical="top"/>
    </xf>
    <xf numFmtId="183" fontId="24" fillId="2" borderId="5" xfId="1" applyNumberFormat="1" applyFont="1" applyFill="1" applyBorder="1" applyAlignment="1">
      <alignment horizontal="center" vertical="center"/>
      <protection locked="0"/>
    </xf>
    <xf numFmtId="43" fontId="24" fillId="2" borderId="5" xfId="1" applyFont="1" applyFill="1" applyBorder="1" applyAlignment="1" applyProtection="1">
      <alignment horizontal="center" vertical="center"/>
    </xf>
    <xf numFmtId="43" fontId="24" fillId="2" borderId="0" xfId="1" applyFont="1" applyFill="1" applyAlignment="1" applyProtection="1">
      <alignment horizontal="center" vertical="center"/>
    </xf>
    <xf numFmtId="43" fontId="24" fillId="2" borderId="28" xfId="1" applyFont="1" applyFill="1" applyBorder="1" applyAlignment="1" applyProtection="1">
      <alignment horizontal="center" vertical="center"/>
    </xf>
    <xf numFmtId="183" fontId="24" fillId="2" borderId="0" xfId="1" applyNumberFormat="1" applyFont="1" applyFill="1" applyAlignment="1">
      <alignment horizontal="center"/>
      <protection locked="0"/>
    </xf>
    <xf numFmtId="165" fontId="24" fillId="7" borderId="14" xfId="1" applyNumberFormat="1" applyFont="1" applyFill="1" applyBorder="1" applyAlignment="1">
      <alignment horizontal="left" vertical="center"/>
      <protection locked="0"/>
    </xf>
    <xf numFmtId="165" fontId="24" fillId="7" borderId="15" xfId="1" applyNumberFormat="1" applyFont="1" applyFill="1" applyBorder="1" applyAlignment="1">
      <alignment horizontal="left" vertical="center"/>
      <protection locked="0"/>
    </xf>
    <xf numFmtId="43" fontId="24" fillId="7" borderId="14" xfId="1" applyFont="1" applyFill="1" applyBorder="1" applyAlignment="1">
      <alignment horizontal="left" vertical="center"/>
      <protection locked="0"/>
    </xf>
    <xf numFmtId="43" fontId="24" fillId="7" borderId="8" xfId="1" applyFont="1" applyFill="1" applyBorder="1" applyAlignment="1">
      <alignment horizontal="left" vertical="center"/>
      <protection locked="0"/>
    </xf>
    <xf numFmtId="43" fontId="47" fillId="7" borderId="14" xfId="1" applyFont="1" applyFill="1" applyBorder="1" applyAlignment="1">
      <alignment horizontal="left" vertical="center"/>
      <protection locked="0"/>
    </xf>
    <xf numFmtId="43" fontId="47" fillId="7" borderId="8" xfId="1" applyFont="1" applyFill="1" applyBorder="1" applyAlignment="1">
      <alignment horizontal="left" vertical="center"/>
      <protection locked="0"/>
    </xf>
    <xf numFmtId="43" fontId="24" fillId="2" borderId="8" xfId="1" applyFont="1" applyFill="1" applyBorder="1" applyAlignment="1">
      <alignment horizontal="center" vertical="center"/>
      <protection locked="0"/>
    </xf>
    <xf numFmtId="43" fontId="24" fillId="2" borderId="5" xfId="1" applyFont="1" applyFill="1" applyBorder="1" applyAlignment="1" applyProtection="1">
      <alignment horizontal="center"/>
    </xf>
    <xf numFmtId="43" fontId="24" fillId="2" borderId="30" xfId="1" applyFont="1" applyFill="1" applyBorder="1" applyAlignment="1" applyProtection="1">
      <alignment horizontal="center"/>
    </xf>
    <xf numFmtId="0" fontId="115" fillId="2" borderId="14" xfId="20" applyFont="1" applyFill="1" applyBorder="1" applyAlignment="1">
      <alignment horizontal="left" vertical="center" wrapText="1"/>
    </xf>
    <xf numFmtId="0" fontId="115" fillId="2" borderId="15" xfId="20" applyFont="1" applyFill="1" applyBorder="1" applyAlignment="1">
      <alignment horizontal="left" vertical="center" wrapText="1"/>
    </xf>
    <xf numFmtId="43" fontId="24" fillId="2" borderId="14" xfId="1" applyFont="1" applyFill="1" applyBorder="1" applyAlignment="1">
      <alignment horizontal="left" vertical="center"/>
      <protection locked="0"/>
    </xf>
    <xf numFmtId="43" fontId="24" fillId="2" borderId="8" xfId="1" applyFont="1" applyFill="1" applyBorder="1" applyAlignment="1">
      <alignment horizontal="left" vertical="center"/>
      <protection locked="0"/>
    </xf>
    <xf numFmtId="43" fontId="24" fillId="2" borderId="15" xfId="1" applyFont="1" applyFill="1" applyBorder="1" applyAlignment="1">
      <alignment horizontal="left" vertical="center"/>
      <protection locked="0"/>
    </xf>
    <xf numFmtId="43" fontId="24" fillId="2" borderId="17" xfId="1" applyFont="1" applyFill="1" applyBorder="1" applyAlignment="1">
      <alignment horizontal="left" vertical="center" wrapText="1"/>
      <protection locked="0"/>
    </xf>
    <xf numFmtId="43" fontId="108" fillId="24" borderId="14" xfId="1" applyFont="1" applyFill="1" applyBorder="1" applyAlignment="1" applyProtection="1">
      <alignment horizontal="center" vertical="center"/>
    </xf>
    <xf numFmtId="43" fontId="108" fillId="24" borderId="8" xfId="1" applyFont="1" applyFill="1" applyBorder="1" applyAlignment="1" applyProtection="1">
      <alignment horizontal="center" vertical="center"/>
    </xf>
    <xf numFmtId="43" fontId="108" fillId="24" borderId="15" xfId="1" applyFont="1" applyFill="1" applyBorder="1" applyAlignment="1" applyProtection="1">
      <alignment horizontal="center" vertical="center"/>
    </xf>
    <xf numFmtId="43" fontId="24" fillId="7" borderId="8" xfId="1" quotePrefix="1" applyFont="1" applyFill="1" applyBorder="1" applyAlignment="1">
      <alignment horizontal="left" vertical="center"/>
      <protection locked="0"/>
    </xf>
    <xf numFmtId="43" fontId="24" fillId="7" borderId="15" xfId="1" quotePrefix="1" applyFont="1" applyFill="1" applyBorder="1" applyAlignment="1">
      <alignment horizontal="left" vertical="center"/>
      <protection locked="0"/>
    </xf>
    <xf numFmtId="43" fontId="24" fillId="7" borderId="14" xfId="1" quotePrefix="1" applyFont="1" applyFill="1" applyBorder="1" applyAlignment="1">
      <alignment horizontal="left" vertical="center"/>
      <protection locked="0"/>
    </xf>
    <xf numFmtId="43" fontId="24" fillId="7" borderId="14" xfId="1" applyFont="1" applyFill="1" applyBorder="1" applyAlignment="1">
      <alignment horizontal="left" vertical="center" wrapText="1"/>
      <protection locked="0"/>
    </xf>
    <xf numFmtId="43" fontId="24" fillId="7" borderId="8" xfId="1" applyFont="1" applyFill="1" applyBorder="1" applyAlignment="1">
      <alignment horizontal="left" vertical="center" wrapText="1"/>
      <protection locked="0"/>
    </xf>
    <xf numFmtId="43" fontId="24" fillId="7" borderId="15" xfId="1" applyFont="1" applyFill="1" applyBorder="1" applyAlignment="1">
      <alignment horizontal="left" vertical="center" wrapText="1"/>
      <protection locked="0"/>
    </xf>
    <xf numFmtId="43" fontId="24" fillId="7" borderId="15" xfId="1" applyFont="1" applyFill="1" applyBorder="1" applyAlignment="1">
      <alignment horizontal="left" vertical="center"/>
      <protection locked="0"/>
    </xf>
    <xf numFmtId="165" fontId="24" fillId="7" borderId="14" xfId="1" applyNumberFormat="1" applyFont="1" applyFill="1" applyBorder="1" applyAlignment="1">
      <alignment horizontal="center" vertical="center"/>
      <protection locked="0"/>
    </xf>
    <xf numFmtId="165" fontId="24" fillId="7" borderId="15" xfId="1" applyNumberFormat="1" applyFont="1" applyFill="1" applyBorder="1" applyAlignment="1">
      <alignment horizontal="center" vertical="center"/>
      <protection locked="0"/>
    </xf>
    <xf numFmtId="37" fontId="24" fillId="7" borderId="14" xfId="1" applyNumberFormat="1" applyFont="1" applyFill="1" applyBorder="1" applyAlignment="1" applyProtection="1">
      <alignment horizontal="center" vertical="center"/>
    </xf>
    <xf numFmtId="37" fontId="24" fillId="7" borderId="15" xfId="1" applyNumberFormat="1" applyFont="1" applyFill="1" applyBorder="1" applyAlignment="1" applyProtection="1">
      <alignment horizontal="center" vertical="center"/>
    </xf>
    <xf numFmtId="189" fontId="48" fillId="2" borderId="14" xfId="3" applyNumberFormat="1" applyFont="1" applyFill="1" applyBorder="1" applyAlignment="1" applyProtection="1">
      <alignment horizontal="right" vertical="center"/>
      <protection locked="0"/>
    </xf>
    <xf numFmtId="189" fontId="48" fillId="2" borderId="15" xfId="3" applyNumberFormat="1" applyFont="1" applyFill="1" applyBorder="1" applyAlignment="1" applyProtection="1">
      <alignment horizontal="right" vertical="center"/>
      <protection locked="0"/>
    </xf>
    <xf numFmtId="165" fontId="116" fillId="7" borderId="14" xfId="1" applyNumberFormat="1" applyFont="1" applyFill="1" applyBorder="1" applyAlignment="1">
      <alignment horizontal="center" vertical="center"/>
      <protection locked="0"/>
    </xf>
    <xf numFmtId="165" fontId="116" fillId="7" borderId="15" xfId="1" applyNumberFormat="1" applyFont="1" applyFill="1" applyBorder="1" applyAlignment="1">
      <alignment horizontal="center" vertical="center"/>
      <protection locked="0"/>
    </xf>
    <xf numFmtId="49" fontId="24" fillId="7" borderId="14" xfId="1" applyNumberFormat="1" applyFont="1" applyFill="1" applyBorder="1" applyAlignment="1">
      <alignment horizontal="left" vertical="center"/>
      <protection locked="0"/>
    </xf>
    <xf numFmtId="49" fontId="24" fillId="7" borderId="8" xfId="1" applyNumberFormat="1" applyFont="1" applyFill="1" applyBorder="1" applyAlignment="1">
      <alignment horizontal="left" vertical="center"/>
      <protection locked="0"/>
    </xf>
    <xf numFmtId="49" fontId="24" fillId="7" borderId="15" xfId="1" applyNumberFormat="1" applyFont="1" applyFill="1" applyBorder="1" applyAlignment="1">
      <alignment horizontal="left" vertical="center"/>
      <protection locked="0"/>
    </xf>
    <xf numFmtId="43" fontId="24" fillId="2" borderId="29" xfId="1" applyFont="1" applyFill="1" applyBorder="1" applyAlignment="1">
      <alignment horizontal="left" vertical="center"/>
      <protection locked="0"/>
    </xf>
    <xf numFmtId="43" fontId="24" fillId="2" borderId="11" xfId="1" applyFont="1" applyFill="1" applyBorder="1" applyAlignment="1">
      <alignment horizontal="left" vertical="center"/>
      <protection locked="0"/>
    </xf>
    <xf numFmtId="43" fontId="24" fillId="2" borderId="27" xfId="1" applyFont="1" applyFill="1" applyBorder="1" applyAlignment="1">
      <alignment horizontal="left" vertical="center"/>
      <protection locked="0"/>
    </xf>
    <xf numFmtId="1" fontId="6" fillId="0" borderId="17" xfId="1" quotePrefix="1" applyNumberFormat="1" applyFont="1" applyBorder="1">
      <alignment vertical="top"/>
      <protection locked="0"/>
    </xf>
    <xf numFmtId="1" fontId="8" fillId="0" borderId="17" xfId="1" quotePrefix="1" applyNumberFormat="1" applyBorder="1">
      <alignment vertical="top"/>
      <protection locked="0"/>
    </xf>
    <xf numFmtId="43" fontId="24" fillId="2" borderId="31" xfId="1" applyFont="1" applyFill="1" applyBorder="1" applyAlignment="1">
      <alignment horizontal="left" vertical="center"/>
      <protection locked="0"/>
    </xf>
    <xf numFmtId="43" fontId="24" fillId="2" borderId="5" xfId="1" applyFont="1" applyFill="1" applyBorder="1" applyAlignment="1">
      <alignment horizontal="left" vertical="center"/>
      <protection locked="0"/>
    </xf>
    <xf numFmtId="43" fontId="24" fillId="2" borderId="30" xfId="1" applyFont="1" applyFill="1" applyBorder="1" applyAlignment="1">
      <alignment horizontal="left" vertical="center"/>
      <protection locked="0"/>
    </xf>
    <xf numFmtId="49" fontId="24" fillId="2" borderId="14" xfId="1" applyNumberFormat="1" applyFont="1" applyFill="1" applyBorder="1" applyAlignment="1">
      <alignment horizontal="left" vertical="center"/>
      <protection locked="0"/>
    </xf>
    <xf numFmtId="49" fontId="24" fillId="2" borderId="8" xfId="1" quotePrefix="1" applyNumberFormat="1" applyFont="1" applyFill="1" applyBorder="1" applyAlignment="1">
      <alignment horizontal="left" vertical="center"/>
      <protection locked="0"/>
    </xf>
    <xf numFmtId="49" fontId="24" fillId="2" borderId="15" xfId="1" quotePrefix="1" applyNumberFormat="1" applyFont="1" applyFill="1" applyBorder="1" applyAlignment="1">
      <alignment horizontal="left" vertical="center"/>
      <protection locked="0"/>
    </xf>
    <xf numFmtId="165" fontId="24" fillId="7" borderId="8" xfId="1" applyNumberFormat="1" applyFont="1" applyFill="1" applyBorder="1" applyAlignment="1">
      <alignment horizontal="left" vertical="center"/>
      <protection locked="0"/>
    </xf>
    <xf numFmtId="165" fontId="24" fillId="7" borderId="29" xfId="1" applyNumberFormat="1" applyFont="1" applyFill="1" applyBorder="1" applyAlignment="1">
      <alignment horizontal="left" vertical="center"/>
      <protection locked="0"/>
    </xf>
    <xf numFmtId="165" fontId="24" fillId="7" borderId="11" xfId="1" applyNumberFormat="1" applyFont="1" applyFill="1" applyBorder="1" applyAlignment="1">
      <alignment horizontal="left" vertical="center"/>
      <protection locked="0"/>
    </xf>
    <xf numFmtId="165" fontId="24" fillId="7" borderId="27" xfId="1" applyNumberFormat="1" applyFont="1" applyFill="1" applyBorder="1" applyAlignment="1">
      <alignment horizontal="left" vertical="center"/>
      <protection locked="0"/>
    </xf>
    <xf numFmtId="0" fontId="115" fillId="2" borderId="14" xfId="19" applyFont="1" applyFill="1" applyBorder="1" applyAlignment="1">
      <alignment horizontal="justify" vertical="top"/>
    </xf>
    <xf numFmtId="0" fontId="115" fillId="2" borderId="8" xfId="19" applyFont="1" applyFill="1" applyBorder="1" applyAlignment="1">
      <alignment horizontal="justify" vertical="top"/>
    </xf>
    <xf numFmtId="0" fontId="115" fillId="2" borderId="15" xfId="19" applyFont="1" applyFill="1" applyBorder="1" applyAlignment="1">
      <alignment horizontal="justify" vertical="top"/>
    </xf>
    <xf numFmtId="49" fontId="24" fillId="2" borderId="14" xfId="1" quotePrefix="1" applyNumberFormat="1" applyFont="1" applyFill="1" applyBorder="1" applyAlignment="1">
      <alignment horizontal="left" vertical="center"/>
      <protection locked="0"/>
    </xf>
    <xf numFmtId="49" fontId="24" fillId="2" borderId="8" xfId="1" applyNumberFormat="1" applyFont="1" applyFill="1" applyBorder="1" applyAlignment="1">
      <alignment horizontal="left" vertical="center"/>
      <protection locked="0"/>
    </xf>
    <xf numFmtId="49" fontId="24" fillId="2" borderId="15" xfId="1" applyNumberFormat="1" applyFont="1" applyFill="1" applyBorder="1" applyAlignment="1">
      <alignment horizontal="left" vertical="center"/>
      <protection locked="0"/>
    </xf>
    <xf numFmtId="1" fontId="24" fillId="7" borderId="14" xfId="1" applyNumberFormat="1" applyFont="1" applyFill="1" applyBorder="1" applyAlignment="1">
      <alignment horizontal="left" vertical="center"/>
      <protection locked="0"/>
    </xf>
    <xf numFmtId="1" fontId="24" fillId="7" borderId="8" xfId="1" applyNumberFormat="1" applyFont="1" applyFill="1" applyBorder="1" applyAlignment="1">
      <alignment horizontal="left" vertical="center"/>
      <protection locked="0"/>
    </xf>
    <xf numFmtId="1" fontId="24" fillId="7" borderId="15" xfId="1" applyNumberFormat="1" applyFont="1" applyFill="1" applyBorder="1" applyAlignment="1">
      <alignment horizontal="left" vertical="center"/>
      <protection locked="0"/>
    </xf>
    <xf numFmtId="183" fontId="24" fillId="2" borderId="14" xfId="1" applyNumberFormat="1" applyFont="1" applyFill="1" applyBorder="1" applyAlignment="1">
      <alignment horizontal="center" vertical="center"/>
      <protection locked="0"/>
    </xf>
    <xf numFmtId="183" fontId="24" fillId="2" borderId="15" xfId="1" applyNumberFormat="1" applyFont="1" applyFill="1" applyBorder="1" applyAlignment="1">
      <alignment horizontal="center" vertical="center"/>
      <protection locked="0"/>
    </xf>
    <xf numFmtId="49" fontId="24" fillId="2" borderId="14" xfId="1" applyNumberFormat="1" applyFont="1" applyFill="1" applyBorder="1" applyAlignment="1" applyProtection="1">
      <alignment horizontal="center" vertical="center"/>
    </xf>
    <xf numFmtId="49" fontId="24" fillId="2" borderId="8" xfId="1" applyNumberFormat="1" applyFont="1" applyFill="1" applyBorder="1" applyAlignment="1" applyProtection="1">
      <alignment horizontal="center" vertical="center"/>
    </xf>
    <xf numFmtId="169" fontId="82" fillId="7" borderId="14" xfId="1" applyNumberFormat="1" applyFont="1" applyFill="1" applyBorder="1" applyAlignment="1">
      <alignment horizontal="center" vertical="center"/>
      <protection locked="0"/>
    </xf>
    <xf numFmtId="169" fontId="82" fillId="7" borderId="15" xfId="1" applyNumberFormat="1" applyFont="1" applyFill="1" applyBorder="1" applyAlignment="1">
      <alignment horizontal="center" vertical="center"/>
      <protection locked="0"/>
    </xf>
    <xf numFmtId="49" fontId="24" fillId="16" borderId="14" xfId="1" applyNumberFormat="1" applyFont="1" applyFill="1" applyBorder="1" applyAlignment="1">
      <alignment horizontal="left" vertical="center"/>
      <protection locked="0"/>
    </xf>
    <xf numFmtId="49" fontId="24" fillId="16" borderId="8" xfId="1" applyNumberFormat="1" applyFont="1" applyFill="1" applyBorder="1" applyAlignment="1">
      <alignment horizontal="left" vertical="center"/>
      <protection locked="0"/>
    </xf>
    <xf numFmtId="49" fontId="24" fillId="16" borderId="15" xfId="1" applyNumberFormat="1" applyFont="1" applyFill="1" applyBorder="1" applyAlignment="1">
      <alignment horizontal="left" vertical="center"/>
      <protection locked="0"/>
    </xf>
    <xf numFmtId="43" fontId="24" fillId="2" borderId="8" xfId="1" quotePrefix="1" applyFont="1" applyFill="1" applyBorder="1" applyAlignment="1">
      <alignment horizontal="left" vertical="center"/>
      <protection locked="0"/>
    </xf>
    <xf numFmtId="165" fontId="122" fillId="2" borderId="24" xfId="1" applyNumberFormat="1" applyFont="1" applyFill="1" applyBorder="1" applyAlignment="1" applyProtection="1">
      <alignment horizontal="center" vertical="top"/>
    </xf>
    <xf numFmtId="165" fontId="122" fillId="2" borderId="25" xfId="1" applyNumberFormat="1" applyFont="1" applyFill="1" applyBorder="1" applyAlignment="1" applyProtection="1">
      <alignment horizontal="center" vertical="top"/>
    </xf>
    <xf numFmtId="165" fontId="122" fillId="2" borderId="26" xfId="1" applyNumberFormat="1" applyFont="1" applyFill="1" applyBorder="1" applyAlignment="1" applyProtection="1">
      <alignment horizontal="center" vertical="top"/>
    </xf>
    <xf numFmtId="43" fontId="24" fillId="7" borderId="14" xfId="1" applyFont="1" applyFill="1" applyBorder="1" applyAlignment="1">
      <alignment horizontal="center" vertical="center" wrapText="1"/>
      <protection locked="0"/>
    </xf>
    <xf numFmtId="43" fontId="24" fillId="7" borderId="15" xfId="1" applyFont="1" applyFill="1" applyBorder="1" applyAlignment="1">
      <alignment horizontal="center" vertical="center" wrapText="1"/>
      <protection locked="0"/>
    </xf>
    <xf numFmtId="183" fontId="24" fillId="2" borderId="14" xfId="1" applyNumberFormat="1" applyFont="1" applyFill="1" applyBorder="1" applyAlignment="1">
      <alignment horizontal="left" vertical="center"/>
      <protection locked="0"/>
    </xf>
    <xf numFmtId="183" fontId="24" fillId="2" borderId="15" xfId="1" applyNumberFormat="1" applyFont="1" applyFill="1" applyBorder="1" applyAlignment="1">
      <alignment horizontal="left" vertical="center"/>
      <protection locked="0"/>
    </xf>
    <xf numFmtId="43" fontId="48" fillId="7" borderId="5" xfId="1" applyFont="1" applyFill="1" applyBorder="1" applyAlignment="1">
      <alignment horizontal="center" vertical="center"/>
      <protection locked="0"/>
    </xf>
    <xf numFmtId="168" fontId="24" fillId="2" borderId="8" xfId="1" applyNumberFormat="1" applyFont="1" applyFill="1" applyBorder="1" applyAlignment="1">
      <alignment horizontal="left" vertical="center"/>
      <protection locked="0"/>
    </xf>
    <xf numFmtId="0" fontId="115" fillId="0" borderId="29" xfId="21" applyFont="1" applyBorder="1" applyAlignment="1">
      <alignment horizontal="justify" vertical="top" wrapText="1"/>
    </xf>
    <xf numFmtId="0" fontId="115" fillId="0" borderId="11" xfId="21" applyFont="1" applyBorder="1" applyAlignment="1">
      <alignment horizontal="justify" vertical="top" wrapText="1"/>
    </xf>
    <xf numFmtId="0" fontId="115" fillId="0" borderId="27" xfId="21" applyFont="1" applyBorder="1" applyAlignment="1">
      <alignment horizontal="justify" vertical="top" wrapText="1"/>
    </xf>
    <xf numFmtId="0" fontId="115" fillId="0" borderId="31" xfId="21" applyFont="1" applyBorder="1" applyAlignment="1">
      <alignment horizontal="justify" vertical="top" wrapText="1"/>
    </xf>
    <xf numFmtId="0" fontId="115" fillId="0" borderId="5" xfId="21" applyFont="1" applyBorder="1" applyAlignment="1">
      <alignment horizontal="justify" vertical="top" wrapText="1"/>
    </xf>
    <xf numFmtId="0" fontId="115" fillId="0" borderId="30" xfId="21" applyFont="1" applyBorder="1" applyAlignment="1">
      <alignment horizontal="justify" vertical="top" wrapText="1"/>
    </xf>
    <xf numFmtId="49" fontId="115" fillId="0" borderId="14" xfId="1" applyNumberFormat="1" applyFont="1" applyBorder="1" applyAlignment="1">
      <alignment horizontal="center" vertical="center"/>
      <protection locked="0"/>
    </xf>
    <xf numFmtId="49" fontId="115" fillId="0" borderId="15" xfId="1" applyNumberFormat="1" applyFont="1" applyBorder="1" applyAlignment="1">
      <alignment horizontal="center" vertical="center"/>
      <protection locked="0"/>
    </xf>
    <xf numFmtId="49" fontId="24" fillId="0" borderId="14" xfId="1" applyNumberFormat="1" applyFont="1" applyBorder="1" applyAlignment="1">
      <alignment horizontal="center" vertical="center"/>
      <protection locked="0"/>
    </xf>
    <xf numFmtId="49" fontId="24" fillId="0" borderId="15" xfId="1" applyNumberFormat="1" applyFont="1" applyBorder="1" applyAlignment="1">
      <alignment horizontal="center" vertical="center"/>
      <protection locked="0"/>
    </xf>
    <xf numFmtId="37" fontId="102" fillId="7" borderId="14" xfId="0" applyNumberFormat="1" applyFont="1" applyFill="1" applyBorder="1" applyAlignment="1">
      <alignment horizontal="right" vertical="center"/>
    </xf>
    <xf numFmtId="37" fontId="102" fillId="7" borderId="8" xfId="0" applyNumberFormat="1" applyFont="1" applyFill="1" applyBorder="1" applyAlignment="1">
      <alignment horizontal="right" vertical="center"/>
    </xf>
    <xf numFmtId="37" fontId="102" fillId="7" borderId="15" xfId="0" applyNumberFormat="1" applyFont="1" applyFill="1" applyBorder="1" applyAlignment="1">
      <alignment horizontal="right" vertical="center"/>
    </xf>
    <xf numFmtId="37" fontId="104" fillId="7" borderId="14" xfId="0" applyNumberFormat="1" applyFont="1" applyFill="1" applyBorder="1" applyAlignment="1">
      <alignment horizontal="right" vertical="center"/>
    </xf>
    <xf numFmtId="37" fontId="104" fillId="7" borderId="8" xfId="0" applyNumberFormat="1" applyFont="1" applyFill="1" applyBorder="1" applyAlignment="1">
      <alignment horizontal="right" vertical="center"/>
    </xf>
    <xf numFmtId="37" fontId="104" fillId="7" borderId="15" xfId="0" applyNumberFormat="1" applyFont="1" applyFill="1" applyBorder="1" applyAlignment="1">
      <alignment horizontal="right" vertical="center"/>
    </xf>
    <xf numFmtId="0" fontId="104" fillId="22" borderId="14" xfId="0" applyFont="1" applyFill="1" applyBorder="1" applyAlignment="1">
      <alignment horizontal="center" vertical="center"/>
    </xf>
    <xf numFmtId="0" fontId="104" fillId="22" borderId="8" xfId="0" applyFont="1" applyFill="1" applyBorder="1" applyAlignment="1">
      <alignment horizontal="center" vertical="center"/>
    </xf>
    <xf numFmtId="0" fontId="104" fillId="22" borderId="15" xfId="0" applyFont="1" applyFill="1" applyBorder="1" applyAlignment="1">
      <alignment horizontal="center" vertical="center"/>
    </xf>
    <xf numFmtId="3" fontId="105" fillId="23" borderId="0" xfId="0" applyNumberFormat="1" applyFont="1" applyFill="1" applyAlignment="1">
      <alignment horizontal="center" vertical="center"/>
    </xf>
    <xf numFmtId="3" fontId="102" fillId="2" borderId="14" xfId="0" applyNumberFormat="1" applyFont="1" applyFill="1" applyBorder="1" applyAlignment="1">
      <alignment horizontal="right" vertical="center"/>
    </xf>
    <xf numFmtId="3" fontId="102" fillId="2" borderId="15" xfId="0" applyNumberFormat="1" applyFont="1" applyFill="1" applyBorder="1" applyAlignment="1">
      <alignment horizontal="right" vertical="center"/>
    </xf>
    <xf numFmtId="9" fontId="102" fillId="2" borderId="14" xfId="0" applyNumberFormat="1" applyFont="1" applyFill="1" applyBorder="1" applyAlignment="1" applyProtection="1">
      <alignment horizontal="center" vertical="center"/>
      <protection locked="0"/>
    </xf>
    <xf numFmtId="9" fontId="102" fillId="2" borderId="15" xfId="0" applyNumberFormat="1" applyFont="1" applyFill="1" applyBorder="1" applyAlignment="1" applyProtection="1">
      <alignment horizontal="center" vertical="center"/>
      <protection locked="0"/>
    </xf>
    <xf numFmtId="3" fontId="104" fillId="2" borderId="14" xfId="0" applyNumberFormat="1" applyFont="1" applyFill="1" applyBorder="1" applyAlignment="1">
      <alignment horizontal="right" vertical="center"/>
    </xf>
    <xf numFmtId="3" fontId="104" fillId="2" borderId="15" xfId="0" applyNumberFormat="1" applyFont="1" applyFill="1" applyBorder="1" applyAlignment="1">
      <alignment horizontal="right" vertical="center"/>
    </xf>
    <xf numFmtId="0" fontId="102" fillId="2" borderId="14" xfId="0" applyFont="1" applyFill="1" applyBorder="1" applyAlignment="1">
      <alignment horizontal="left" vertical="center"/>
    </xf>
    <xf numFmtId="0" fontId="102" fillId="2" borderId="8" xfId="0" applyFont="1" applyFill="1" applyBorder="1" applyAlignment="1">
      <alignment horizontal="left" vertical="center"/>
    </xf>
    <xf numFmtId="0" fontId="102" fillId="2" borderId="15" xfId="0" applyFont="1" applyFill="1" applyBorder="1" applyAlignment="1">
      <alignment horizontal="left" vertical="center"/>
    </xf>
    <xf numFmtId="3" fontId="102" fillId="2" borderId="8" xfId="0" applyNumberFormat="1" applyFont="1" applyFill="1" applyBorder="1" applyAlignment="1">
      <alignment horizontal="right" vertical="center"/>
    </xf>
    <xf numFmtId="3" fontId="104" fillId="2" borderId="8" xfId="0" applyNumberFormat="1" applyFont="1" applyFill="1" applyBorder="1" applyAlignment="1">
      <alignment horizontal="right" vertical="center"/>
    </xf>
    <xf numFmtId="0" fontId="18" fillId="22" borderId="29" xfId="0" applyFont="1" applyFill="1" applyBorder="1" applyAlignment="1">
      <alignment horizontal="center" vertical="center"/>
    </xf>
    <xf numFmtId="0" fontId="18" fillId="22" borderId="11" xfId="0" applyFont="1" applyFill="1" applyBorder="1" applyAlignment="1">
      <alignment horizontal="center" vertical="center"/>
    </xf>
    <xf numFmtId="0" fontId="18" fillId="22" borderId="27" xfId="0" applyFont="1" applyFill="1" applyBorder="1" applyAlignment="1">
      <alignment horizontal="center" vertical="center"/>
    </xf>
    <xf numFmtId="0" fontId="18" fillId="22" borderId="31" xfId="0" applyFont="1" applyFill="1" applyBorder="1" applyAlignment="1">
      <alignment horizontal="center" vertical="center"/>
    </xf>
    <xf numFmtId="0" fontId="18" fillId="22" borderId="5" xfId="0" applyFont="1" applyFill="1" applyBorder="1" applyAlignment="1">
      <alignment horizontal="center" vertical="center"/>
    </xf>
    <xf numFmtId="0" fontId="18" fillId="22" borderId="30" xfId="0" applyFont="1" applyFill="1" applyBorder="1" applyAlignment="1">
      <alignment horizontal="center" vertical="center"/>
    </xf>
    <xf numFmtId="0" fontId="18" fillId="22" borderId="35" xfId="0" applyFont="1" applyFill="1" applyBorder="1" applyAlignment="1">
      <alignment horizontal="center" vertical="center"/>
    </xf>
    <xf numFmtId="0" fontId="18" fillId="22" borderId="36" xfId="0" applyFont="1" applyFill="1" applyBorder="1" applyAlignment="1">
      <alignment horizontal="center" vertical="center"/>
    </xf>
    <xf numFmtId="0" fontId="102" fillId="2" borderId="14" xfId="0" applyFont="1" applyFill="1" applyBorder="1" applyAlignment="1">
      <alignment horizontal="center" vertical="center"/>
    </xf>
    <xf numFmtId="0" fontId="102" fillId="2" borderId="8" xfId="0" applyFont="1" applyFill="1" applyBorder="1" applyAlignment="1">
      <alignment horizontal="center" vertical="center"/>
    </xf>
    <xf numFmtId="0" fontId="102" fillId="2" borderId="15" xfId="0" applyFont="1" applyFill="1" applyBorder="1" applyAlignment="1">
      <alignment horizontal="center" vertical="center"/>
    </xf>
    <xf numFmtId="3" fontId="104" fillId="7" borderId="14" xfId="0" applyNumberFormat="1" applyFont="1" applyFill="1" applyBorder="1" applyAlignment="1" applyProtection="1">
      <alignment horizontal="right" vertical="center"/>
      <protection locked="0"/>
    </xf>
    <xf numFmtId="3" fontId="104" fillId="7" borderId="8" xfId="0" applyNumberFormat="1" applyFont="1" applyFill="1" applyBorder="1" applyAlignment="1" applyProtection="1">
      <alignment horizontal="right" vertical="center"/>
      <protection locked="0"/>
    </xf>
    <xf numFmtId="3" fontId="104" fillId="7" borderId="15" xfId="0" applyNumberFormat="1" applyFont="1" applyFill="1" applyBorder="1" applyAlignment="1" applyProtection="1">
      <alignment horizontal="right" vertical="center"/>
      <protection locked="0"/>
    </xf>
    <xf numFmtId="41" fontId="18" fillId="22" borderId="29" xfId="0" applyNumberFormat="1" applyFont="1" applyFill="1" applyBorder="1" applyAlignment="1">
      <alignment horizontal="center" vertical="center"/>
    </xf>
    <xf numFmtId="41" fontId="18" fillId="22" borderId="11" xfId="0" applyNumberFormat="1" applyFont="1" applyFill="1" applyBorder="1" applyAlignment="1">
      <alignment horizontal="center" vertical="center"/>
    </xf>
    <xf numFmtId="41" fontId="18" fillId="22" borderId="27" xfId="0" applyNumberFormat="1" applyFont="1" applyFill="1" applyBorder="1" applyAlignment="1">
      <alignment horizontal="center" vertical="center"/>
    </xf>
    <xf numFmtId="41" fontId="18" fillId="22" borderId="31" xfId="0" applyNumberFormat="1" applyFont="1" applyFill="1" applyBorder="1" applyAlignment="1">
      <alignment horizontal="center" vertical="center"/>
    </xf>
    <xf numFmtId="41" fontId="18" fillId="22" borderId="5" xfId="0" applyNumberFormat="1" applyFont="1" applyFill="1" applyBorder="1" applyAlignment="1">
      <alignment horizontal="center" vertical="center"/>
    </xf>
    <xf numFmtId="41" fontId="18" fillId="22" borderId="30" xfId="0" applyNumberFormat="1" applyFont="1" applyFill="1" applyBorder="1" applyAlignment="1">
      <alignment horizontal="center" vertical="center"/>
    </xf>
    <xf numFmtId="0" fontId="104" fillId="22" borderId="14" xfId="0" applyFont="1" applyFill="1" applyBorder="1" applyAlignment="1" applyProtection="1">
      <alignment horizontal="center" vertical="center"/>
      <protection locked="0"/>
    </xf>
    <xf numFmtId="0" fontId="104" fillId="22" borderId="8" xfId="0" applyFont="1" applyFill="1" applyBorder="1" applyAlignment="1" applyProtection="1">
      <alignment horizontal="center" vertical="center"/>
      <protection locked="0"/>
    </xf>
    <xf numFmtId="0" fontId="104" fillId="22" borderId="15" xfId="0" applyFont="1" applyFill="1" applyBorder="1" applyAlignment="1" applyProtection="1">
      <alignment horizontal="center" vertical="center"/>
      <protection locked="0"/>
    </xf>
    <xf numFmtId="3" fontId="102" fillId="2" borderId="14" xfId="0" applyNumberFormat="1" applyFont="1" applyFill="1" applyBorder="1" applyAlignment="1" applyProtection="1">
      <alignment horizontal="right" vertical="center"/>
      <protection locked="0"/>
    </xf>
    <xf numFmtId="3" fontId="102" fillId="2" borderId="8" xfId="0" applyNumberFormat="1" applyFont="1" applyFill="1" applyBorder="1" applyAlignment="1" applyProtection="1">
      <alignment horizontal="right" vertical="center"/>
      <protection locked="0"/>
    </xf>
    <xf numFmtId="3" fontId="102" fillId="2" borderId="15" xfId="0" applyNumberFormat="1" applyFont="1" applyFill="1" applyBorder="1" applyAlignment="1" applyProtection="1">
      <alignment horizontal="right" vertical="center"/>
      <protection locked="0"/>
    </xf>
    <xf numFmtId="0" fontId="18" fillId="22" borderId="35" xfId="0" applyFont="1" applyFill="1" applyBorder="1" applyAlignment="1" applyProtection="1">
      <alignment horizontal="center" vertical="center"/>
      <protection locked="0"/>
    </xf>
    <xf numFmtId="0" fontId="18" fillId="22" borderId="36" xfId="0" applyFont="1" applyFill="1" applyBorder="1" applyAlignment="1" applyProtection="1">
      <alignment horizontal="center" vertical="center"/>
      <protection locked="0"/>
    </xf>
    <xf numFmtId="0" fontId="102" fillId="2" borderId="17" xfId="0" applyFont="1" applyFill="1" applyBorder="1" applyAlignment="1" applyProtection="1">
      <alignment horizontal="center" vertical="center"/>
      <protection locked="0"/>
    </xf>
    <xf numFmtId="0" fontId="102" fillId="2" borderId="17" xfId="0" applyFont="1" applyFill="1" applyBorder="1" applyAlignment="1" applyProtection="1">
      <alignment horizontal="left" vertical="center"/>
      <protection locked="0"/>
    </xf>
    <xf numFmtId="3" fontId="102" fillId="7" borderId="14" xfId="0" applyNumberFormat="1" applyFont="1" applyFill="1" applyBorder="1" applyAlignment="1" applyProtection="1">
      <alignment horizontal="right" vertical="center"/>
      <protection locked="0"/>
    </xf>
    <xf numFmtId="3" fontId="102" fillId="7" borderId="8" xfId="0" applyNumberFormat="1" applyFont="1" applyFill="1" applyBorder="1" applyAlignment="1" applyProtection="1">
      <alignment horizontal="right" vertical="center"/>
      <protection locked="0"/>
    </xf>
    <xf numFmtId="3" fontId="102" fillId="7" borderId="15" xfId="0" applyNumberFormat="1" applyFont="1" applyFill="1" applyBorder="1" applyAlignment="1" applyProtection="1">
      <alignment horizontal="right" vertical="center"/>
      <protection locked="0"/>
    </xf>
    <xf numFmtId="3" fontId="104" fillId="7" borderId="17" xfId="0" applyNumberFormat="1" applyFont="1" applyFill="1" applyBorder="1" applyAlignment="1" applyProtection="1">
      <alignment horizontal="right" vertical="center"/>
      <protection locked="0"/>
    </xf>
    <xf numFmtId="3" fontId="103" fillId="7" borderId="17" xfId="0" applyNumberFormat="1" applyFont="1" applyFill="1" applyBorder="1" applyAlignment="1" applyProtection="1">
      <alignment horizontal="center" vertical="center" wrapText="1"/>
      <protection locked="0"/>
    </xf>
    <xf numFmtId="0" fontId="103" fillId="2" borderId="17" xfId="0" applyFont="1" applyFill="1" applyBorder="1" applyAlignment="1" applyProtection="1">
      <alignment horizontal="left" vertical="top" wrapText="1"/>
      <protection locked="0"/>
    </xf>
    <xf numFmtId="0" fontId="103" fillId="2" borderId="14" xfId="0" applyFont="1" applyFill="1" applyBorder="1" applyAlignment="1" applyProtection="1">
      <alignment horizontal="left" vertical="top" wrapText="1"/>
      <protection locked="0"/>
    </xf>
    <xf numFmtId="0" fontId="104" fillId="2" borderId="14" xfId="0" applyFont="1" applyFill="1" applyBorder="1" applyAlignment="1" applyProtection="1">
      <alignment horizontal="center" vertical="center"/>
      <protection locked="0"/>
    </xf>
    <xf numFmtId="0" fontId="104" fillId="2" borderId="8" xfId="0" applyFont="1" applyFill="1" applyBorder="1" applyAlignment="1" applyProtection="1">
      <alignment horizontal="center" vertical="center"/>
      <protection locked="0"/>
    </xf>
    <xf numFmtId="0" fontId="104" fillId="2" borderId="15" xfId="0" applyFont="1" applyFill="1" applyBorder="1" applyAlignment="1" applyProtection="1">
      <alignment horizontal="center" vertical="center"/>
      <protection locked="0"/>
    </xf>
    <xf numFmtId="0" fontId="18" fillId="22" borderId="17" xfId="0" applyFont="1" applyFill="1" applyBorder="1" applyAlignment="1" applyProtection="1">
      <alignment horizontal="center" vertical="center"/>
      <protection locked="0"/>
    </xf>
    <xf numFmtId="0" fontId="18" fillId="22" borderId="17" xfId="0" applyFont="1" applyFill="1" applyBorder="1" applyAlignment="1" applyProtection="1">
      <alignment horizontal="center" vertical="center" wrapText="1"/>
      <protection locked="0"/>
    </xf>
    <xf numFmtId="0" fontId="18" fillId="2" borderId="17"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02" fillId="7" borderId="14" xfId="0" applyFont="1" applyFill="1" applyBorder="1" applyAlignment="1" applyProtection="1">
      <alignment horizontal="left" vertical="center"/>
      <protection locked="0"/>
    </xf>
    <xf numFmtId="0" fontId="102" fillId="7" borderId="8" xfId="0" applyFont="1" applyFill="1" applyBorder="1" applyAlignment="1" applyProtection="1">
      <alignment horizontal="left" vertical="center"/>
      <protection locked="0"/>
    </xf>
    <xf numFmtId="0" fontId="102" fillId="7" borderId="15" xfId="0" applyFont="1" applyFill="1" applyBorder="1" applyAlignment="1" applyProtection="1">
      <alignment horizontal="left" vertical="center"/>
      <protection locked="0"/>
    </xf>
    <xf numFmtId="3" fontId="102" fillId="7" borderId="29" xfId="0" applyNumberFormat="1" applyFont="1" applyFill="1" applyBorder="1" applyAlignment="1" applyProtection="1">
      <alignment horizontal="right" vertical="center"/>
      <protection locked="0"/>
    </xf>
    <xf numFmtId="3" fontId="102" fillId="7" borderId="11" xfId="0" applyNumberFormat="1" applyFont="1" applyFill="1" applyBorder="1" applyAlignment="1" applyProtection="1">
      <alignment horizontal="right" vertical="center"/>
      <protection locked="0"/>
    </xf>
    <xf numFmtId="0" fontId="18" fillId="2" borderId="29" xfId="0" applyFont="1" applyFill="1" applyBorder="1" applyAlignment="1" applyProtection="1">
      <alignment horizontal="center" vertical="center" wrapText="1"/>
      <protection locked="0"/>
    </xf>
    <xf numFmtId="0" fontId="18" fillId="2" borderId="11" xfId="0" applyFont="1" applyFill="1" applyBorder="1" applyAlignment="1" applyProtection="1">
      <alignment horizontal="center" vertical="center" wrapText="1"/>
      <protection locked="0"/>
    </xf>
    <xf numFmtId="0" fontId="18" fillId="2" borderId="31" xfId="0" applyFont="1" applyFill="1" applyBorder="1" applyAlignment="1" applyProtection="1">
      <alignment horizontal="center" vertical="center" wrapText="1"/>
      <protection locked="0"/>
    </xf>
    <xf numFmtId="0" fontId="18" fillId="2" borderId="5" xfId="0" applyFont="1" applyFill="1" applyBorder="1" applyAlignment="1" applyProtection="1">
      <alignment horizontal="center" vertical="center" wrapText="1"/>
      <protection locked="0"/>
    </xf>
    <xf numFmtId="0" fontId="102" fillId="2" borderId="14" xfId="0" applyFont="1" applyFill="1" applyBorder="1" applyAlignment="1" applyProtection="1">
      <alignment horizontal="center" vertical="center"/>
      <protection locked="0"/>
    </xf>
    <xf numFmtId="0" fontId="102" fillId="2" borderId="8" xfId="0" applyFont="1" applyFill="1" applyBorder="1" applyAlignment="1" applyProtection="1">
      <alignment horizontal="center" vertical="center"/>
      <protection locked="0"/>
    </xf>
    <xf numFmtId="0" fontId="102" fillId="2" borderId="15" xfId="0" applyFont="1" applyFill="1" applyBorder="1" applyAlignment="1" applyProtection="1">
      <alignment horizontal="center" vertical="center"/>
      <protection locked="0"/>
    </xf>
    <xf numFmtId="0" fontId="110" fillId="24" borderId="21" xfId="0" applyFont="1" applyFill="1" applyBorder="1" applyAlignment="1">
      <alignment horizontal="center" vertical="center"/>
    </xf>
    <xf numFmtId="0" fontId="110" fillId="24" borderId="22" xfId="0" applyFont="1" applyFill="1" applyBorder="1" applyAlignment="1">
      <alignment horizontal="center" vertical="center"/>
    </xf>
    <xf numFmtId="0" fontId="110" fillId="24" borderId="23" xfId="0" applyFont="1" applyFill="1" applyBorder="1" applyAlignment="1">
      <alignment horizontal="center" vertical="center"/>
    </xf>
    <xf numFmtId="0" fontId="102" fillId="23" borderId="14" xfId="0" applyFont="1" applyFill="1" applyBorder="1" applyAlignment="1" applyProtection="1">
      <alignment horizontal="left" vertical="center"/>
      <protection locked="0"/>
    </xf>
    <xf numFmtId="0" fontId="102" fillId="23" borderId="8" xfId="0" applyFont="1" applyFill="1" applyBorder="1" applyAlignment="1" applyProtection="1">
      <alignment horizontal="left" vertical="center"/>
      <protection locked="0"/>
    </xf>
    <xf numFmtId="0" fontId="102" fillId="23" borderId="15" xfId="0" applyFont="1" applyFill="1" applyBorder="1" applyAlignment="1" applyProtection="1">
      <alignment horizontal="left" vertical="center"/>
      <protection locked="0"/>
    </xf>
    <xf numFmtId="0" fontId="18" fillId="2" borderId="17" xfId="0" applyFont="1" applyFill="1" applyBorder="1" applyAlignment="1" applyProtection="1">
      <alignment horizontal="center" vertical="center"/>
      <protection locked="0"/>
    </xf>
    <xf numFmtId="0" fontId="18" fillId="2" borderId="35" xfId="0" applyFont="1" applyFill="1" applyBorder="1" applyAlignment="1" applyProtection="1">
      <alignment horizontal="center" vertical="center"/>
      <protection locked="0"/>
    </xf>
    <xf numFmtId="0" fontId="18" fillId="2" borderId="36" xfId="0" applyFont="1" applyFill="1" applyBorder="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49" fontId="0" fillId="2" borderId="0" xfId="0" applyNumberFormat="1" applyFill="1" applyAlignment="1" applyProtection="1">
      <alignment horizontal="left"/>
      <protection locked="0"/>
    </xf>
    <xf numFmtId="0" fontId="107" fillId="24" borderId="21" xfId="0" applyFont="1" applyFill="1" applyBorder="1" applyAlignment="1">
      <alignment horizontal="center" vertical="center"/>
    </xf>
    <xf numFmtId="0" fontId="107" fillId="24" borderId="22" xfId="0" applyFont="1" applyFill="1" applyBorder="1" applyAlignment="1">
      <alignment horizontal="center" vertical="center"/>
    </xf>
    <xf numFmtId="0" fontId="107" fillId="24" borderId="23" xfId="0" applyFont="1" applyFill="1" applyBorder="1" applyAlignment="1">
      <alignment horizontal="center" vertical="center"/>
    </xf>
    <xf numFmtId="0" fontId="20" fillId="2" borderId="17" xfId="0" applyFont="1" applyFill="1" applyBorder="1" applyAlignment="1" applyProtection="1">
      <alignment horizontal="center"/>
      <protection hidden="1"/>
    </xf>
    <xf numFmtId="0" fontId="0" fillId="2" borderId="17" xfId="0" applyFill="1" applyBorder="1" applyAlignment="1" applyProtection="1">
      <alignment horizontal="center"/>
      <protection hidden="1"/>
    </xf>
    <xf numFmtId="0" fontId="20" fillId="2" borderId="14" xfId="0" applyFont="1" applyFill="1" applyBorder="1" applyAlignment="1" applyProtection="1">
      <alignment horizontal="center"/>
      <protection hidden="1"/>
    </xf>
    <xf numFmtId="0" fontId="20" fillId="2" borderId="8" xfId="0" applyFont="1" applyFill="1" applyBorder="1" applyAlignment="1" applyProtection="1">
      <alignment horizontal="center"/>
      <protection hidden="1"/>
    </xf>
    <xf numFmtId="0" fontId="0" fillId="2" borderId="11" xfId="0" applyFill="1" applyBorder="1" applyAlignment="1" applyProtection="1">
      <alignment horizontal="left"/>
      <protection locked="0"/>
    </xf>
    <xf numFmtId="0" fontId="9" fillId="2" borderId="0" xfId="0" applyFont="1" applyFill="1" applyAlignment="1" applyProtection="1">
      <alignment horizontal="left"/>
      <protection locked="0"/>
    </xf>
    <xf numFmtId="0" fontId="0" fillId="2" borderId="0" xfId="0" applyFill="1" applyAlignment="1" applyProtection="1">
      <alignment horizontal="left"/>
      <protection locked="0"/>
    </xf>
    <xf numFmtId="0" fontId="9" fillId="2" borderId="11" xfId="0" applyFont="1" applyFill="1" applyBorder="1" applyAlignment="1" applyProtection="1">
      <alignment horizontal="left"/>
      <protection locked="0"/>
    </xf>
    <xf numFmtId="0" fontId="9" fillId="2" borderId="0" xfId="0" applyFont="1" applyFill="1" applyAlignment="1" applyProtection="1">
      <alignment horizontal="left" vertical="center"/>
      <protection locked="0"/>
    </xf>
    <xf numFmtId="0" fontId="57" fillId="7" borderId="0" xfId="0" applyFont="1" applyFill="1" applyAlignment="1" applyProtection="1">
      <alignment horizontal="left" vertical="center"/>
      <protection locked="0"/>
    </xf>
    <xf numFmtId="0" fontId="9" fillId="2" borderId="1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43" fontId="9" fillId="2" borderId="14" xfId="0" applyNumberFormat="1" applyFont="1" applyFill="1" applyBorder="1" applyAlignment="1" applyProtection="1">
      <alignment horizontal="center" vertical="center"/>
      <protection locked="0"/>
    </xf>
    <xf numFmtId="43" fontId="9" fillId="2" borderId="8" xfId="0" applyNumberFormat="1" applyFont="1" applyFill="1" applyBorder="1" applyAlignment="1" applyProtection="1">
      <alignment horizontal="center" vertical="center"/>
      <protection locked="0"/>
    </xf>
    <xf numFmtId="43" fontId="9" fillId="2" borderId="15" xfId="0" applyNumberFormat="1" applyFont="1" applyFill="1" applyBorder="1" applyAlignment="1" applyProtection="1">
      <alignment horizontal="center" vertical="center"/>
      <protection locked="0"/>
    </xf>
    <xf numFmtId="43" fontId="9" fillId="2" borderId="16" xfId="0" applyNumberFormat="1" applyFont="1" applyFill="1" applyBorder="1" applyAlignment="1" applyProtection="1">
      <alignment horizontal="center" vertical="center"/>
      <protection locked="0"/>
    </xf>
    <xf numFmtId="43" fontId="9" fillId="2" borderId="0" xfId="0" applyNumberFormat="1" applyFont="1" applyFill="1" applyAlignment="1" applyProtection="1">
      <alignment horizontal="center" vertical="center"/>
      <protection locked="0"/>
    </xf>
    <xf numFmtId="43" fontId="9" fillId="2" borderId="28" xfId="0" applyNumberFormat="1" applyFont="1" applyFill="1" applyBorder="1" applyAlignment="1" applyProtection="1">
      <alignment horizontal="center" vertical="center"/>
      <protection locked="0"/>
    </xf>
    <xf numFmtId="0" fontId="10" fillId="2" borderId="17" xfId="0" applyFont="1" applyFill="1" applyBorder="1" applyAlignment="1" applyProtection="1">
      <alignment horizontal="center"/>
      <protection locked="0"/>
    </xf>
    <xf numFmtId="172" fontId="10" fillId="2" borderId="17" xfId="0" applyNumberFormat="1" applyFont="1" applyFill="1" applyBorder="1" applyAlignment="1" applyProtection="1">
      <alignment horizontal="center"/>
      <protection locked="0"/>
    </xf>
    <xf numFmtId="0" fontId="9" fillId="2" borderId="17" xfId="0" applyFont="1" applyFill="1" applyBorder="1" applyAlignment="1" applyProtection="1">
      <protection hidden="1"/>
    </xf>
    <xf numFmtId="0" fontId="0" fillId="2" borderId="17" xfId="0" applyFill="1" applyBorder="1" applyAlignment="1" applyProtection="1">
      <protection hidden="1"/>
    </xf>
    <xf numFmtId="15" fontId="10" fillId="2" borderId="17" xfId="0" applyNumberFormat="1" applyFont="1" applyFill="1" applyBorder="1" applyAlignment="1" applyProtection="1">
      <alignment horizontal="center"/>
      <protection locked="0"/>
    </xf>
    <xf numFmtId="0" fontId="10" fillId="22" borderId="17" xfId="0" applyFont="1" applyFill="1" applyBorder="1" applyAlignment="1" applyProtection="1">
      <alignment wrapText="1"/>
      <protection locked="0"/>
    </xf>
    <xf numFmtId="0" fontId="10" fillId="22" borderId="17" xfId="0" applyFont="1" applyFill="1" applyBorder="1" applyAlignment="1" applyProtection="1">
      <protection locked="0"/>
    </xf>
    <xf numFmtId="0" fontId="9" fillId="2" borderId="17" xfId="0" applyFont="1" applyFill="1" applyBorder="1" applyAlignment="1" applyProtection="1">
      <alignment vertical="top" wrapText="1"/>
      <protection hidden="1"/>
    </xf>
    <xf numFmtId="0" fontId="0" fillId="2" borderId="17" xfId="0" applyFill="1" applyBorder="1" applyAlignment="1" applyProtection="1">
      <alignment vertical="top" wrapText="1"/>
      <protection hidden="1"/>
    </xf>
    <xf numFmtId="0" fontId="9" fillId="2" borderId="17" xfId="0" applyFont="1" applyFill="1" applyBorder="1" applyAlignment="1" applyProtection="1">
      <alignment horizontal="left" vertical="center"/>
      <protection locked="0"/>
    </xf>
    <xf numFmtId="0" fontId="0" fillId="2" borderId="17" xfId="0" applyFill="1" applyBorder="1" applyAlignment="1" applyProtection="1">
      <alignment horizontal="left" vertical="center"/>
      <protection locked="0"/>
    </xf>
    <xf numFmtId="0" fontId="9" fillId="2" borderId="17" xfId="0" applyFont="1" applyFill="1" applyBorder="1" applyAlignment="1" applyProtection="1">
      <alignment vertical="center" wrapText="1"/>
      <protection locked="0"/>
    </xf>
    <xf numFmtId="0" fontId="0" fillId="2" borderId="17" xfId="0" applyFill="1" applyBorder="1" applyAlignment="1" applyProtection="1">
      <alignment vertical="center" wrapText="1"/>
      <protection locked="0"/>
    </xf>
    <xf numFmtId="0" fontId="9" fillId="2" borderId="17" xfId="0" applyFont="1"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18" fillId="2" borderId="14" xfId="0" applyFont="1" applyFill="1" applyBorder="1" applyAlignment="1" applyProtection="1">
      <alignment horizontal="left" vertical="center"/>
      <protection locked="0"/>
    </xf>
    <xf numFmtId="0" fontId="18" fillId="2" borderId="8" xfId="0" applyFont="1" applyFill="1" applyBorder="1" applyAlignment="1" applyProtection="1">
      <alignment horizontal="left" vertical="center"/>
      <protection locked="0"/>
    </xf>
    <xf numFmtId="0" fontId="9" fillId="2" borderId="0" xfId="0" applyFont="1" applyFill="1" applyAlignment="1">
      <alignment horizontal="left" vertical="center"/>
    </xf>
    <xf numFmtId="0" fontId="0" fillId="2" borderId="0" xfId="0" applyFill="1" applyAlignment="1">
      <alignment horizontal="left" vertical="center"/>
    </xf>
    <xf numFmtId="0" fontId="9" fillId="2" borderId="17" xfId="0" applyFont="1" applyFill="1" applyBorder="1" applyAlignment="1">
      <alignment horizontal="left" vertical="center"/>
    </xf>
    <xf numFmtId="0" fontId="9" fillId="2" borderId="17" xfId="0" applyFont="1" applyFill="1" applyBorder="1" applyAlignment="1">
      <alignment horizontal="center" vertical="center"/>
    </xf>
    <xf numFmtId="0" fontId="0" fillId="2" borderId="17" xfId="0" applyFill="1" applyBorder="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center" vertical="center"/>
    </xf>
    <xf numFmtId="0" fontId="0" fillId="2" borderId="17" xfId="0" applyFill="1" applyBorder="1" applyAlignment="1">
      <alignment horizontal="left" vertical="center"/>
    </xf>
    <xf numFmtId="0" fontId="9" fillId="2" borderId="29" xfId="0" applyFont="1" applyFill="1" applyBorder="1" applyAlignment="1" applyProtection="1">
      <alignment horizontal="left" vertical="top" wrapText="1"/>
      <protection locked="0"/>
    </xf>
    <xf numFmtId="0" fontId="0" fillId="2" borderId="11" xfId="0" applyFill="1" applyBorder="1" applyAlignment="1" applyProtection="1">
      <alignment horizontal="left" vertical="top" wrapText="1"/>
      <protection locked="0"/>
    </xf>
    <xf numFmtId="0" fontId="0" fillId="2" borderId="27" xfId="0" applyFill="1" applyBorder="1" applyAlignment="1" applyProtection="1">
      <alignment horizontal="left" vertical="top" wrapText="1"/>
      <protection locked="0"/>
    </xf>
    <xf numFmtId="0" fontId="9" fillId="2" borderId="16" xfId="0" applyFont="1"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0" fillId="2" borderId="28" xfId="0" applyFill="1" applyBorder="1" applyAlignment="1" applyProtection="1">
      <alignment horizontal="left" vertical="top" wrapText="1"/>
      <protection locked="0"/>
    </xf>
    <xf numFmtId="0" fontId="0" fillId="2" borderId="31" xfId="0" applyFill="1" applyBorder="1" applyAlignment="1" applyProtection="1">
      <alignment horizontal="left" vertical="top" wrapText="1"/>
      <protection locked="0"/>
    </xf>
    <xf numFmtId="0" fontId="0" fillId="2" borderId="5" xfId="0" applyFill="1" applyBorder="1" applyAlignment="1" applyProtection="1">
      <alignment horizontal="left" vertical="top" wrapText="1"/>
      <protection locked="0"/>
    </xf>
    <xf numFmtId="0" fontId="0" fillId="2" borderId="30" xfId="0" applyFill="1" applyBorder="1" applyAlignment="1" applyProtection="1">
      <alignment horizontal="left" vertical="top" wrapText="1"/>
      <protection locked="0"/>
    </xf>
    <xf numFmtId="0" fontId="110" fillId="24" borderId="24" xfId="0" applyFont="1" applyFill="1" applyBorder="1" applyAlignment="1">
      <alignment horizontal="center" vertical="center"/>
    </xf>
    <xf numFmtId="0" fontId="110" fillId="24" borderId="25" xfId="0" applyFont="1" applyFill="1" applyBorder="1" applyAlignment="1">
      <alignment horizontal="center" vertical="center"/>
    </xf>
    <xf numFmtId="0" fontId="9" fillId="2" borderId="36" xfId="0" applyFont="1" applyFill="1" applyBorder="1" applyAlignment="1" applyProtection="1">
      <alignment horizontal="left" vertical="center"/>
      <protection locked="0"/>
    </xf>
    <xf numFmtId="0" fontId="0" fillId="2" borderId="36" xfId="0" applyFill="1" applyBorder="1" applyAlignment="1" applyProtection="1">
      <alignment horizontal="left" vertical="center"/>
      <protection locked="0"/>
    </xf>
    <xf numFmtId="0" fontId="109" fillId="24" borderId="48" xfId="0" applyFont="1" applyFill="1" applyBorder="1" applyAlignment="1">
      <alignment horizontal="center" vertical="center"/>
    </xf>
    <xf numFmtId="0" fontId="109" fillId="24" borderId="50" xfId="0" applyFont="1" applyFill="1" applyBorder="1" applyAlignment="1">
      <alignment horizontal="center" vertical="center"/>
    </xf>
    <xf numFmtId="0" fontId="109" fillId="24" borderId="51" xfId="0" applyFont="1" applyFill="1" applyBorder="1" applyAlignment="1">
      <alignment horizontal="center" vertical="center"/>
    </xf>
    <xf numFmtId="0" fontId="21" fillId="2" borderId="17" xfId="0" applyFont="1" applyFill="1" applyBorder="1" applyAlignment="1" applyProtection="1">
      <alignment horizontal="left" vertical="center" wrapText="1"/>
      <protection locked="0"/>
    </xf>
    <xf numFmtId="0" fontId="9" fillId="2" borderId="47" xfId="0" applyFont="1" applyFill="1" applyBorder="1" applyAlignment="1" applyProtection="1">
      <alignment horizontal="left" vertical="center"/>
      <protection locked="0"/>
    </xf>
    <xf numFmtId="0" fontId="9" fillId="2" borderId="2" xfId="0" applyFont="1" applyFill="1" applyBorder="1" applyAlignment="1" applyProtection="1">
      <alignment horizontal="left" vertical="center"/>
      <protection locked="0"/>
    </xf>
    <xf numFmtId="0" fontId="9" fillId="2" borderId="49" xfId="0" applyFont="1" applyFill="1" applyBorder="1" applyAlignment="1" applyProtection="1">
      <alignment horizontal="left" vertical="center"/>
      <protection locked="0"/>
    </xf>
    <xf numFmtId="0" fontId="9" fillId="2" borderId="29" xfId="0" applyFont="1" applyFill="1" applyBorder="1" applyAlignment="1" applyProtection="1">
      <alignment horizontal="left" vertical="center" wrapText="1"/>
      <protection locked="0"/>
    </xf>
    <xf numFmtId="0" fontId="0" fillId="2" borderId="11" xfId="0" applyFill="1" applyBorder="1" applyAlignment="1" applyProtection="1">
      <alignment horizontal="left" vertical="center" wrapText="1"/>
      <protection locked="0"/>
    </xf>
    <xf numFmtId="0" fontId="0" fillId="2" borderId="27" xfId="0" applyFill="1" applyBorder="1" applyAlignment="1" applyProtection="1">
      <alignment horizontal="left" vertical="center" wrapText="1"/>
      <protection locked="0"/>
    </xf>
    <xf numFmtId="0" fontId="9" fillId="2" borderId="16" xfId="0" applyFont="1" applyFill="1" applyBorder="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0" fillId="2" borderId="28" xfId="0" applyFill="1" applyBorder="1" applyAlignment="1" applyProtection="1">
      <alignment horizontal="left" vertical="center" wrapText="1"/>
      <protection locked="0"/>
    </xf>
    <xf numFmtId="0" fontId="0" fillId="2" borderId="31" xfId="0" applyFill="1" applyBorder="1" applyAlignment="1" applyProtection="1">
      <alignment horizontal="left" vertical="center" wrapText="1"/>
      <protection locked="0"/>
    </xf>
    <xf numFmtId="0" fontId="0" fillId="2" borderId="5" xfId="0" applyFill="1" applyBorder="1" applyAlignment="1" applyProtection="1">
      <alignment horizontal="left" vertical="center" wrapText="1"/>
      <protection locked="0"/>
    </xf>
    <xf numFmtId="0" fontId="0" fillId="2" borderId="30" xfId="0" applyFill="1" applyBorder="1" applyAlignment="1" applyProtection="1">
      <alignment horizontal="left" vertical="center" wrapText="1"/>
      <protection locked="0"/>
    </xf>
    <xf numFmtId="0" fontId="0" fillId="2" borderId="16" xfId="0" applyFill="1" applyBorder="1" applyAlignment="1" applyProtection="1">
      <alignment horizontal="left" vertical="center" wrapText="1"/>
      <protection locked="0"/>
    </xf>
    <xf numFmtId="0" fontId="9" fillId="2" borderId="29" xfId="0" applyFont="1" applyFill="1" applyBorder="1" applyAlignment="1" applyProtection="1">
      <alignment horizontal="justify" vertical="top" wrapText="1"/>
      <protection locked="0"/>
    </xf>
    <xf numFmtId="0" fontId="0" fillId="2" borderId="11" xfId="0" applyFill="1" applyBorder="1" applyAlignment="1" applyProtection="1">
      <alignment horizontal="justify" vertical="top" wrapText="1"/>
      <protection locked="0"/>
    </xf>
    <xf numFmtId="0" fontId="0" fillId="2" borderId="27" xfId="0" applyFill="1" applyBorder="1" applyAlignment="1" applyProtection="1">
      <alignment horizontal="justify" vertical="top" wrapText="1"/>
      <protection locked="0"/>
    </xf>
    <xf numFmtId="0" fontId="0" fillId="2" borderId="16" xfId="0" applyFill="1" applyBorder="1" applyAlignment="1" applyProtection="1">
      <alignment horizontal="justify" vertical="top" wrapText="1"/>
      <protection locked="0"/>
    </xf>
    <xf numFmtId="0" fontId="0" fillId="2" borderId="0" xfId="0" applyFill="1" applyAlignment="1" applyProtection="1">
      <alignment horizontal="justify" vertical="top" wrapText="1"/>
      <protection locked="0"/>
    </xf>
    <xf numFmtId="0" fontId="0" fillId="2" borderId="28" xfId="0" applyFill="1" applyBorder="1" applyAlignment="1" applyProtection="1">
      <alignment horizontal="justify" vertical="top" wrapText="1"/>
      <protection locked="0"/>
    </xf>
    <xf numFmtId="0" fontId="0" fillId="2" borderId="31" xfId="0" applyFill="1" applyBorder="1" applyAlignment="1" applyProtection="1">
      <alignment horizontal="justify" vertical="top" wrapText="1"/>
      <protection locked="0"/>
    </xf>
    <xf numFmtId="0" fontId="0" fillId="2" borderId="5" xfId="0" applyFill="1" applyBorder="1" applyAlignment="1" applyProtection="1">
      <alignment horizontal="justify" vertical="top" wrapText="1"/>
      <protection locked="0"/>
    </xf>
    <xf numFmtId="0" fontId="0" fillId="2" borderId="30" xfId="0" applyFill="1" applyBorder="1" applyAlignment="1" applyProtection="1">
      <alignment horizontal="justify" vertical="top" wrapText="1"/>
      <protection locked="0"/>
    </xf>
    <xf numFmtId="0" fontId="20" fillId="9" borderId="17" xfId="0" applyFont="1" applyFill="1" applyBorder="1" applyAlignment="1" applyProtection="1">
      <alignment horizontal="center"/>
      <protection hidden="1"/>
    </xf>
    <xf numFmtId="0" fontId="23" fillId="0" borderId="35" xfId="0" applyFont="1" applyBorder="1" applyAlignment="1" applyProtection="1">
      <alignment horizontal="center" vertical="top"/>
      <protection hidden="1"/>
    </xf>
    <xf numFmtId="0" fontId="23" fillId="0" borderId="34" xfId="0" applyFont="1" applyBorder="1" applyAlignment="1" applyProtection="1">
      <alignment horizontal="center" vertical="top"/>
      <protection hidden="1"/>
    </xf>
    <xf numFmtId="0" fontId="23" fillId="0" borderId="36" xfId="0" applyFont="1" applyBorder="1" applyAlignment="1" applyProtection="1">
      <alignment horizontal="center" vertical="top"/>
      <protection hidden="1"/>
    </xf>
    <xf numFmtId="0" fontId="14" fillId="8" borderId="29" xfId="0" applyFont="1" applyFill="1" applyBorder="1" applyAlignment="1" applyProtection="1">
      <alignment horizontal="justify" vertical="top"/>
      <protection locked="0"/>
    </xf>
    <xf numFmtId="0" fontId="14" fillId="8" borderId="11" xfId="0" applyFont="1" applyFill="1" applyBorder="1" applyAlignment="1" applyProtection="1">
      <alignment horizontal="justify" vertical="top"/>
      <protection locked="0"/>
    </xf>
    <xf numFmtId="0" fontId="14" fillId="8" borderId="27" xfId="0" applyFont="1" applyFill="1" applyBorder="1" applyAlignment="1" applyProtection="1">
      <alignment horizontal="justify" vertical="top"/>
      <protection locked="0"/>
    </xf>
    <xf numFmtId="0" fontId="14" fillId="8" borderId="16" xfId="0" applyFont="1" applyFill="1" applyBorder="1" applyAlignment="1" applyProtection="1">
      <alignment horizontal="justify" vertical="top"/>
      <protection locked="0"/>
    </xf>
    <xf numFmtId="0" fontId="14" fillId="8" borderId="0" xfId="0" applyFont="1" applyFill="1" applyAlignment="1" applyProtection="1">
      <alignment horizontal="justify" vertical="top"/>
      <protection locked="0"/>
    </xf>
    <xf numFmtId="0" fontId="14" fillId="8" borderId="28" xfId="0" applyFont="1" applyFill="1" applyBorder="1" applyAlignment="1" applyProtection="1">
      <alignment horizontal="justify" vertical="top"/>
      <protection locked="0"/>
    </xf>
    <xf numFmtId="0" fontId="14" fillId="8" borderId="31" xfId="0" applyFont="1" applyFill="1" applyBorder="1" applyAlignment="1" applyProtection="1">
      <alignment horizontal="justify" vertical="top"/>
      <protection locked="0"/>
    </xf>
    <xf numFmtId="0" fontId="14" fillId="8" borderId="5" xfId="0" applyFont="1" applyFill="1" applyBorder="1" applyAlignment="1" applyProtection="1">
      <alignment horizontal="justify" vertical="top"/>
      <protection locked="0"/>
    </xf>
    <xf numFmtId="0" fontId="14" fillId="8" borderId="30" xfId="0" applyFont="1" applyFill="1" applyBorder="1" applyAlignment="1" applyProtection="1">
      <alignment horizontal="justify" vertical="top"/>
      <protection locked="0"/>
    </xf>
    <xf numFmtId="0" fontId="14" fillId="0" borderId="17" xfId="4" applyFont="1" applyBorder="1" applyAlignment="1" applyProtection="1">
      <alignment horizontal="justify" vertical="top"/>
      <protection hidden="1"/>
    </xf>
    <xf numFmtId="0" fontId="14" fillId="8" borderId="29" xfId="4" applyFont="1" applyFill="1" applyBorder="1" applyAlignment="1" applyProtection="1">
      <alignment horizontal="justify" vertical="top"/>
      <protection locked="0"/>
    </xf>
    <xf numFmtId="0" fontId="14" fillId="8" borderId="11" xfId="4" applyFont="1" applyFill="1" applyBorder="1" applyAlignment="1" applyProtection="1">
      <alignment horizontal="justify" vertical="top"/>
      <protection locked="0"/>
    </xf>
    <xf numFmtId="0" fontId="14" fillId="8" borderId="27" xfId="4" applyFont="1" applyFill="1" applyBorder="1" applyAlignment="1" applyProtection="1">
      <alignment horizontal="justify" vertical="top"/>
      <protection locked="0"/>
    </xf>
    <xf numFmtId="0" fontId="14" fillId="8" borderId="16" xfId="4" applyFont="1" applyFill="1" applyBorder="1" applyAlignment="1" applyProtection="1">
      <alignment horizontal="justify" vertical="top"/>
      <protection locked="0"/>
    </xf>
    <xf numFmtId="0" fontId="14" fillId="8" borderId="0" xfId="4" applyFont="1" applyFill="1" applyAlignment="1" applyProtection="1">
      <alignment horizontal="justify" vertical="top"/>
      <protection locked="0"/>
    </xf>
    <xf numFmtId="0" fontId="14" fillId="8" borderId="28" xfId="4" applyFont="1" applyFill="1" applyBorder="1" applyAlignment="1" applyProtection="1">
      <alignment horizontal="justify" vertical="top"/>
      <protection locked="0"/>
    </xf>
    <xf numFmtId="0" fontId="14" fillId="8" borderId="5" xfId="4" applyFont="1" applyFill="1" applyBorder="1" applyAlignment="1" applyProtection="1">
      <alignment horizontal="justify" vertical="top"/>
      <protection locked="0"/>
    </xf>
    <xf numFmtId="0" fontId="14" fillId="8" borderId="30" xfId="4" applyFont="1" applyFill="1" applyBorder="1" applyAlignment="1" applyProtection="1">
      <alignment horizontal="justify" vertical="top"/>
      <protection locked="0"/>
    </xf>
    <xf numFmtId="0" fontId="14" fillId="8" borderId="31" xfId="4" applyFont="1" applyFill="1" applyBorder="1" applyAlignment="1" applyProtection="1">
      <alignment horizontal="justify" vertical="top"/>
      <protection locked="0"/>
    </xf>
    <xf numFmtId="0" fontId="14" fillId="0" borderId="35" xfId="4" applyFont="1" applyBorder="1" applyAlignment="1" applyProtection="1">
      <alignment horizontal="justify" vertical="top"/>
      <protection hidden="1"/>
    </xf>
    <xf numFmtId="0" fontId="0" fillId="0" borderId="17" xfId="0" applyBorder="1" applyAlignment="1" applyProtection="1">
      <alignment horizontal="justify" vertical="center"/>
      <protection hidden="1"/>
    </xf>
    <xf numFmtId="0" fontId="14" fillId="8" borderId="17" xfId="0" applyFont="1" applyFill="1" applyBorder="1" applyAlignment="1" applyProtection="1">
      <alignment horizontal="justify" vertical="center"/>
      <protection locked="0"/>
    </xf>
    <xf numFmtId="0" fontId="0" fillId="0" borderId="29" xfId="0" applyBorder="1" applyAlignment="1" applyProtection="1">
      <alignment horizontal="justify" vertical="center"/>
      <protection hidden="1"/>
    </xf>
    <xf numFmtId="0" fontId="0" fillId="0" borderId="11" xfId="0" applyBorder="1" applyAlignment="1" applyProtection="1">
      <alignment horizontal="justify" vertical="center"/>
      <protection hidden="1"/>
    </xf>
    <xf numFmtId="0" fontId="0" fillId="0" borderId="27" xfId="0" applyBorder="1" applyAlignment="1" applyProtection="1">
      <alignment horizontal="justify" vertical="center"/>
      <protection hidden="1"/>
    </xf>
    <xf numFmtId="0" fontId="0" fillId="0" borderId="16" xfId="0" applyBorder="1" applyAlignment="1" applyProtection="1">
      <alignment horizontal="justify" vertical="center"/>
      <protection hidden="1"/>
    </xf>
    <xf numFmtId="0" fontId="0" fillId="0" borderId="0" xfId="0" applyAlignment="1" applyProtection="1">
      <alignment horizontal="justify" vertical="center"/>
      <protection hidden="1"/>
    </xf>
    <xf numFmtId="0" fontId="0" fillId="0" borderId="28" xfId="0" applyBorder="1" applyAlignment="1" applyProtection="1">
      <alignment horizontal="justify" vertical="center"/>
      <protection hidden="1"/>
    </xf>
    <xf numFmtId="0" fontId="0" fillId="0" borderId="31" xfId="0" applyBorder="1" applyAlignment="1" applyProtection="1">
      <alignment horizontal="justify" vertical="center"/>
      <protection hidden="1"/>
    </xf>
    <xf numFmtId="0" fontId="0" fillId="0" borderId="5" xfId="0" applyBorder="1" applyAlignment="1" applyProtection="1">
      <alignment horizontal="justify" vertical="center"/>
      <protection hidden="1"/>
    </xf>
    <xf numFmtId="0" fontId="0" fillId="0" borderId="30" xfId="0" applyBorder="1" applyAlignment="1" applyProtection="1">
      <alignment horizontal="justify" vertical="center"/>
      <protection hidden="1"/>
    </xf>
    <xf numFmtId="0" fontId="12" fillId="7" borderId="35" xfId="4" applyFont="1" applyFill="1" applyBorder="1" applyAlignment="1" applyProtection="1">
      <alignment horizontal="center" vertical="top"/>
      <protection hidden="1"/>
    </xf>
    <xf numFmtId="0" fontId="12" fillId="7" borderId="29" xfId="4" applyFont="1" applyFill="1" applyBorder="1" applyAlignment="1" applyProtection="1">
      <alignment horizontal="center" vertical="top"/>
      <protection hidden="1"/>
    </xf>
    <xf numFmtId="0" fontId="12" fillId="7" borderId="11" xfId="4" applyFont="1" applyFill="1" applyBorder="1" applyAlignment="1" applyProtection="1">
      <alignment horizontal="center" vertical="top"/>
      <protection hidden="1"/>
    </xf>
    <xf numFmtId="0" fontId="12" fillId="7" borderId="27" xfId="4" applyFont="1" applyFill="1" applyBorder="1" applyAlignment="1" applyProtection="1">
      <alignment horizontal="center" vertical="top"/>
      <protection hidden="1"/>
    </xf>
    <xf numFmtId="0" fontId="12" fillId="7" borderId="14" xfId="4" applyFont="1" applyFill="1" applyBorder="1" applyAlignment="1" applyProtection="1">
      <alignment horizontal="center" vertical="top"/>
      <protection hidden="1"/>
    </xf>
    <xf numFmtId="0" fontId="12" fillId="7" borderId="8" xfId="4" applyFont="1" applyFill="1" applyBorder="1" applyAlignment="1" applyProtection="1">
      <alignment horizontal="center" vertical="top"/>
      <protection hidden="1"/>
    </xf>
    <xf numFmtId="0" fontId="12" fillId="7" borderId="15" xfId="4" applyFont="1" applyFill="1" applyBorder="1" applyAlignment="1" applyProtection="1">
      <alignment horizontal="center" vertical="top"/>
      <protection hidden="1"/>
    </xf>
    <xf numFmtId="0" fontId="14" fillId="8" borderId="29" xfId="0" applyFont="1" applyFill="1" applyBorder="1" applyProtection="1">
      <alignment vertical="center"/>
      <protection locked="0"/>
    </xf>
    <xf numFmtId="0" fontId="14" fillId="8" borderId="11" xfId="0" applyFont="1" applyFill="1" applyBorder="1" applyProtection="1">
      <alignment vertical="center"/>
      <protection locked="0"/>
    </xf>
    <xf numFmtId="0" fontId="14" fillId="8" borderId="27" xfId="0" applyFont="1" applyFill="1" applyBorder="1" applyProtection="1">
      <alignment vertical="center"/>
      <protection locked="0"/>
    </xf>
    <xf numFmtId="0" fontId="14" fillId="8" borderId="31" xfId="0" applyFont="1" applyFill="1" applyBorder="1" applyProtection="1">
      <alignment vertical="center"/>
      <protection locked="0"/>
    </xf>
    <xf numFmtId="0" fontId="14" fillId="8" borderId="5" xfId="0" applyFont="1" applyFill="1" applyBorder="1" applyProtection="1">
      <alignment vertical="center"/>
      <protection locked="0"/>
    </xf>
    <xf numFmtId="0" fontId="14" fillId="8" borderId="30" xfId="0" applyFont="1" applyFill="1" applyBorder="1" applyProtection="1">
      <alignment vertical="center"/>
      <protection locked="0"/>
    </xf>
    <xf numFmtId="0" fontId="14" fillId="8" borderId="17" xfId="0" applyFont="1" applyFill="1" applyBorder="1" applyProtection="1">
      <alignment vertical="center"/>
      <protection locked="0"/>
    </xf>
    <xf numFmtId="0" fontId="14" fillId="0" borderId="36" xfId="4" applyFont="1" applyBorder="1" applyAlignment="1" applyProtection="1">
      <alignment horizontal="justify" vertical="top"/>
      <protection hidden="1"/>
    </xf>
    <xf numFmtId="0" fontId="14" fillId="0" borderId="31" xfId="4" applyFont="1" applyBorder="1" applyAlignment="1" applyProtection="1">
      <alignment horizontal="justify" vertical="top"/>
      <protection hidden="1"/>
    </xf>
    <xf numFmtId="0" fontId="14" fillId="0" borderId="14" xfId="4" applyFont="1" applyBorder="1" applyAlignment="1" applyProtection="1">
      <alignment horizontal="justify" vertical="top"/>
      <protection hidden="1"/>
    </xf>
    <xf numFmtId="0" fontId="0" fillId="0" borderId="29" xfId="0" applyBorder="1" applyAlignment="1" applyProtection="1">
      <alignment horizontal="justify" vertical="top"/>
      <protection hidden="1"/>
    </xf>
    <xf numFmtId="0" fontId="0" fillId="0" borderId="11" xfId="0" applyBorder="1" applyAlignment="1" applyProtection="1">
      <alignment horizontal="justify" vertical="top"/>
      <protection hidden="1"/>
    </xf>
    <xf numFmtId="0" fontId="0" fillId="0" borderId="27" xfId="0" applyBorder="1" applyAlignment="1" applyProtection="1">
      <alignment horizontal="justify" vertical="top"/>
      <protection hidden="1"/>
    </xf>
    <xf numFmtId="0" fontId="0" fillId="0" borderId="16" xfId="0" applyBorder="1" applyAlignment="1" applyProtection="1">
      <alignment horizontal="justify" vertical="top"/>
      <protection hidden="1"/>
    </xf>
    <xf numFmtId="0" fontId="0" fillId="0" borderId="0" xfId="0" applyAlignment="1" applyProtection="1">
      <alignment horizontal="justify" vertical="top"/>
      <protection hidden="1"/>
    </xf>
    <xf numFmtId="0" fontId="0" fillId="0" borderId="28" xfId="0" applyBorder="1" applyAlignment="1" applyProtection="1">
      <alignment horizontal="justify" vertical="top"/>
      <protection hidden="1"/>
    </xf>
    <xf numFmtId="0" fontId="0" fillId="0" borderId="31" xfId="0" applyBorder="1" applyAlignment="1" applyProtection="1">
      <alignment horizontal="justify" vertical="top"/>
      <protection hidden="1"/>
    </xf>
    <xf numFmtId="0" fontId="0" fillId="0" borderId="5" xfId="0" applyBorder="1" applyAlignment="1" applyProtection="1">
      <alignment horizontal="justify" vertical="top"/>
      <protection hidden="1"/>
    </xf>
    <xf numFmtId="0" fontId="0" fillId="0" borderId="30" xfId="0" applyBorder="1" applyAlignment="1" applyProtection="1">
      <alignment horizontal="justify" vertical="top"/>
      <protection hidden="1"/>
    </xf>
    <xf numFmtId="0" fontId="12" fillId="7" borderId="17" xfId="4" applyFont="1" applyFill="1" applyBorder="1" applyAlignment="1" applyProtection="1">
      <alignment horizontal="center" vertical="top"/>
      <protection hidden="1"/>
    </xf>
    <xf numFmtId="0" fontId="14" fillId="8" borderId="29" xfId="0" applyFont="1" applyFill="1" applyBorder="1" applyAlignment="1" applyProtection="1">
      <alignment horizontal="justify" vertical="center"/>
      <protection locked="0"/>
    </xf>
    <xf numFmtId="0" fontId="14" fillId="8" borderId="11" xfId="0" applyFont="1" applyFill="1" applyBorder="1" applyAlignment="1" applyProtection="1">
      <alignment horizontal="justify" vertical="center"/>
      <protection locked="0"/>
    </xf>
    <xf numFmtId="0" fontId="14" fillId="8" borderId="27" xfId="0" applyFont="1" applyFill="1" applyBorder="1" applyAlignment="1" applyProtection="1">
      <alignment horizontal="justify" vertical="center"/>
      <protection locked="0"/>
    </xf>
    <xf numFmtId="0" fontId="14" fillId="8" borderId="31" xfId="0" applyFont="1" applyFill="1" applyBorder="1" applyAlignment="1" applyProtection="1">
      <alignment horizontal="justify" vertical="center"/>
      <protection locked="0"/>
    </xf>
    <xf numFmtId="0" fontId="14" fillId="8" borderId="5" xfId="0" applyFont="1" applyFill="1" applyBorder="1" applyAlignment="1" applyProtection="1">
      <alignment horizontal="justify" vertical="center"/>
      <protection locked="0"/>
    </xf>
    <xf numFmtId="0" fontId="14" fillId="8" borderId="30" xfId="0" applyFont="1" applyFill="1" applyBorder="1" applyAlignment="1" applyProtection="1">
      <alignment horizontal="justify" vertical="center"/>
      <protection locked="0"/>
    </xf>
    <xf numFmtId="0" fontId="20" fillId="3" borderId="17" xfId="0" applyFont="1" applyFill="1" applyBorder="1" applyAlignment="1" applyProtection="1">
      <alignment horizontal="center"/>
      <protection hidden="1"/>
    </xf>
    <xf numFmtId="0" fontId="20" fillId="7" borderId="35" xfId="0" applyFont="1" applyFill="1" applyBorder="1" applyAlignment="1" applyProtection="1">
      <alignment horizontal="center"/>
      <protection hidden="1"/>
    </xf>
    <xf numFmtId="0" fontId="0" fillId="0" borderId="17" xfId="0" applyBorder="1" applyAlignment="1" applyProtection="1">
      <alignment horizontal="justify" vertical="top"/>
      <protection hidden="1"/>
    </xf>
    <xf numFmtId="0" fontId="14" fillId="0" borderId="29" xfId="4" applyFont="1" applyBorder="1" applyAlignment="1" applyProtection="1">
      <alignment horizontal="justify" vertical="top"/>
      <protection hidden="1"/>
    </xf>
    <xf numFmtId="0" fontId="10" fillId="8" borderId="16" xfId="0" applyFont="1" applyFill="1" applyBorder="1" applyAlignment="1" applyProtection="1">
      <alignment horizontal="justify" vertical="center"/>
      <protection locked="0"/>
    </xf>
    <xf numFmtId="0" fontId="10" fillId="8" borderId="0" xfId="0" applyFont="1" applyFill="1" applyAlignment="1" applyProtection="1">
      <alignment horizontal="justify" vertical="center"/>
      <protection locked="0"/>
    </xf>
    <xf numFmtId="0" fontId="10" fillId="8" borderId="28" xfId="0" applyFont="1" applyFill="1" applyBorder="1" applyAlignment="1" applyProtection="1">
      <alignment horizontal="justify" vertical="center"/>
      <protection locked="0"/>
    </xf>
    <xf numFmtId="0" fontId="10" fillId="8" borderId="31" xfId="0" applyFont="1" applyFill="1" applyBorder="1" applyAlignment="1" applyProtection="1">
      <alignment horizontal="justify" vertical="center"/>
      <protection locked="0"/>
    </xf>
    <xf numFmtId="0" fontId="10" fillId="8" borderId="5" xfId="0" applyFont="1" applyFill="1" applyBorder="1" applyAlignment="1" applyProtection="1">
      <alignment horizontal="justify" vertical="center"/>
      <protection locked="0"/>
    </xf>
    <xf numFmtId="0" fontId="10" fillId="8" borderId="30" xfId="0" applyFont="1" applyFill="1" applyBorder="1" applyAlignment="1" applyProtection="1">
      <alignment horizontal="justify" vertical="center"/>
      <protection locked="0"/>
    </xf>
    <xf numFmtId="0" fontId="10" fillId="8" borderId="17" xfId="0" applyFont="1" applyFill="1" applyBorder="1" applyAlignment="1" applyProtection="1">
      <alignment horizontal="justify" vertical="top"/>
      <protection locked="0"/>
    </xf>
    <xf numFmtId="0" fontId="10" fillId="8" borderId="36" xfId="0" applyFont="1" applyFill="1" applyBorder="1" applyAlignment="1" applyProtection="1">
      <alignment horizontal="justify" vertical="top"/>
      <protection locked="0"/>
    </xf>
    <xf numFmtId="0" fontId="10" fillId="8" borderId="29" xfId="0" applyFont="1" applyFill="1" applyBorder="1" applyAlignment="1" applyProtection="1">
      <alignment horizontal="justify" vertical="center"/>
      <protection locked="0"/>
    </xf>
    <xf numFmtId="0" fontId="10" fillId="8" borderId="11" xfId="0" applyFont="1" applyFill="1" applyBorder="1" applyAlignment="1" applyProtection="1">
      <alignment horizontal="justify" vertical="center"/>
      <protection locked="0"/>
    </xf>
    <xf numFmtId="0" fontId="10" fillId="8" borderId="27" xfId="0" applyFont="1" applyFill="1" applyBorder="1" applyAlignment="1" applyProtection="1">
      <alignment horizontal="justify" vertical="center"/>
      <protection locked="0"/>
    </xf>
    <xf numFmtId="0" fontId="10" fillId="8" borderId="11" xfId="0" applyFont="1" applyFill="1" applyBorder="1" applyAlignment="1" applyProtection="1">
      <alignment horizontal="justify" vertical="top"/>
      <protection locked="0"/>
    </xf>
    <xf numFmtId="0" fontId="10" fillId="8" borderId="27" xfId="0" applyFont="1" applyFill="1" applyBorder="1" applyAlignment="1" applyProtection="1">
      <alignment horizontal="justify" vertical="top"/>
      <protection locked="0"/>
    </xf>
    <xf numFmtId="0" fontId="10" fillId="8" borderId="0" xfId="0" applyFont="1" applyFill="1" applyAlignment="1" applyProtection="1">
      <alignment horizontal="justify" vertical="top"/>
      <protection locked="0"/>
    </xf>
    <xf numFmtId="0" fontId="10" fillId="8" borderId="28" xfId="0" applyFont="1" applyFill="1" applyBorder="1" applyAlignment="1" applyProtection="1">
      <alignment horizontal="justify" vertical="top"/>
      <protection locked="0"/>
    </xf>
    <xf numFmtId="0" fontId="10" fillId="8" borderId="5" xfId="0" applyFont="1" applyFill="1" applyBorder="1" applyAlignment="1" applyProtection="1">
      <alignment horizontal="justify" vertical="top"/>
      <protection locked="0"/>
    </xf>
    <xf numFmtId="0" fontId="10" fillId="8" borderId="30" xfId="0" applyFont="1" applyFill="1" applyBorder="1" applyAlignment="1" applyProtection="1">
      <alignment horizontal="justify" vertical="top"/>
      <protection locked="0"/>
    </xf>
    <xf numFmtId="0" fontId="0" fillId="0" borderId="17" xfId="0" applyBorder="1" applyAlignment="1" applyProtection="1">
      <alignment vertical="top"/>
      <protection hidden="1"/>
    </xf>
    <xf numFmtId="0" fontId="10" fillId="8" borderId="29" xfId="0" applyFont="1" applyFill="1" applyBorder="1" applyAlignment="1" applyProtection="1">
      <alignment horizontal="justify" vertical="top"/>
      <protection locked="0"/>
    </xf>
    <xf numFmtId="0" fontId="10" fillId="8" borderId="16" xfId="0" applyFont="1" applyFill="1" applyBorder="1" applyAlignment="1" applyProtection="1">
      <alignment horizontal="justify" vertical="top"/>
      <protection locked="0"/>
    </xf>
    <xf numFmtId="0" fontId="10" fillId="8" borderId="35" xfId="0" applyFont="1" applyFill="1" applyBorder="1" applyAlignment="1" applyProtection="1">
      <alignment horizontal="justify" vertical="top"/>
      <protection locked="0"/>
    </xf>
    <xf numFmtId="0" fontId="10" fillId="8" borderId="17" xfId="0" applyFont="1" applyFill="1" applyBorder="1" applyAlignment="1" applyProtection="1">
      <alignment horizontal="justify" vertical="center"/>
      <protection locked="0"/>
    </xf>
    <xf numFmtId="0" fontId="12" fillId="0" borderId="11" xfId="0" applyFont="1" applyBorder="1" applyAlignment="1" applyProtection="1">
      <alignment horizontal="justify" vertical="top"/>
      <protection hidden="1"/>
    </xf>
    <xf numFmtId="0" fontId="12" fillId="0" borderId="27" xfId="0" applyFont="1" applyBorder="1" applyAlignment="1" applyProtection="1">
      <alignment horizontal="justify" vertical="top"/>
      <protection hidden="1"/>
    </xf>
    <xf numFmtId="0" fontId="10" fillId="8" borderId="17" xfId="0" applyFont="1" applyFill="1" applyBorder="1" applyAlignment="1" applyProtection="1">
      <alignment horizontal="left" vertical="center"/>
      <protection locked="0"/>
    </xf>
    <xf numFmtId="0" fontId="20" fillId="7" borderId="17" xfId="0" applyFont="1" applyFill="1" applyBorder="1" applyAlignment="1" applyProtection="1">
      <alignment horizontal="center"/>
      <protection hidden="1"/>
    </xf>
    <xf numFmtId="0" fontId="0" fillId="0" borderId="35" xfId="0" applyBorder="1" applyAlignment="1" applyProtection="1">
      <alignment horizontal="justify" vertical="top"/>
      <protection hidden="1"/>
    </xf>
    <xf numFmtId="0" fontId="10" fillId="8" borderId="17" xfId="0" applyFont="1" applyFill="1" applyBorder="1" applyAlignment="1" applyProtection="1">
      <protection locked="0"/>
    </xf>
    <xf numFmtId="0" fontId="20" fillId="11" borderId="17" xfId="0" applyFont="1" applyFill="1" applyBorder="1" applyAlignment="1" applyProtection="1">
      <alignment horizontal="center"/>
      <protection hidden="1"/>
    </xf>
    <xf numFmtId="0" fontId="20" fillId="11" borderId="14" xfId="0" applyFont="1" applyFill="1" applyBorder="1" applyAlignment="1" applyProtection="1">
      <alignment horizontal="center"/>
      <protection hidden="1"/>
    </xf>
    <xf numFmtId="0" fontId="20" fillId="11" borderId="8" xfId="0" applyFont="1" applyFill="1" applyBorder="1" applyAlignment="1" applyProtection="1">
      <alignment horizontal="center"/>
      <protection hidden="1"/>
    </xf>
    <xf numFmtId="0" fontId="20" fillId="11" borderId="15" xfId="0" applyFont="1" applyFill="1" applyBorder="1" applyAlignment="1" applyProtection="1">
      <alignment horizontal="center"/>
      <protection hidden="1"/>
    </xf>
    <xf numFmtId="188" fontId="51" fillId="20" borderId="1" xfId="0" quotePrefix="1" applyNumberFormat="1" applyFont="1" applyFill="1" applyBorder="1" applyAlignment="1">
      <alignment horizontal="center" vertical="center"/>
    </xf>
    <xf numFmtId="188" fontId="51" fillId="20" borderId="2" xfId="0" quotePrefix="1" applyNumberFormat="1" applyFont="1" applyFill="1" applyBorder="1" applyAlignment="1">
      <alignment horizontal="center" vertical="center"/>
    </xf>
    <xf numFmtId="188" fontId="51" fillId="20" borderId="7" xfId="0" quotePrefix="1" applyNumberFormat="1" applyFont="1" applyFill="1" applyBorder="1" applyAlignment="1">
      <alignment horizontal="center" vertical="center"/>
    </xf>
    <xf numFmtId="188" fontId="51" fillId="20" borderId="8" xfId="0" quotePrefix="1" applyNumberFormat="1" applyFont="1" applyFill="1" applyBorder="1" applyAlignment="1">
      <alignment horizontal="center" vertical="center"/>
    </xf>
    <xf numFmtId="188" fontId="51" fillId="20" borderId="62" xfId="0" quotePrefix="1" applyNumberFormat="1" applyFont="1" applyFill="1" applyBorder="1" applyAlignment="1">
      <alignment horizontal="center" vertical="center"/>
    </xf>
    <xf numFmtId="188" fontId="51" fillId="20" borderId="52" xfId="0" quotePrefix="1" applyNumberFormat="1" applyFont="1" applyFill="1" applyBorder="1" applyAlignment="1">
      <alignment horizontal="center" vertical="center"/>
    </xf>
    <xf numFmtId="188" fontId="51" fillId="20" borderId="19" xfId="0" quotePrefix="1" applyNumberFormat="1" applyFont="1" applyFill="1" applyBorder="1" applyAlignment="1">
      <alignment horizontal="center" vertical="center"/>
    </xf>
    <xf numFmtId="188" fontId="51" fillId="20" borderId="18" xfId="0" quotePrefix="1" applyNumberFormat="1" applyFont="1" applyFill="1" applyBorder="1" applyAlignment="1">
      <alignment horizontal="center" vertical="center"/>
    </xf>
    <xf numFmtId="188" fontId="51" fillId="20" borderId="3" xfId="0" quotePrefix="1" applyNumberFormat="1" applyFont="1" applyFill="1" applyBorder="1" applyAlignment="1">
      <alignment horizontal="center" vertical="center"/>
    </xf>
    <xf numFmtId="188" fontId="51" fillId="20" borderId="0" xfId="0" quotePrefix="1" applyNumberFormat="1" applyFont="1" applyFill="1" applyAlignment="1">
      <alignment horizontal="center" vertical="center"/>
    </xf>
    <xf numFmtId="43" fontId="9" fillId="2" borderId="16" xfId="0" applyNumberFormat="1" applyFont="1" applyFill="1" applyBorder="1" applyAlignment="1">
      <alignment horizontal="center" vertical="center"/>
    </xf>
    <xf numFmtId="43" fontId="9" fillId="2" borderId="28" xfId="0" applyNumberFormat="1" applyFont="1" applyFill="1" applyBorder="1" applyAlignment="1">
      <alignment horizontal="center" vertical="center"/>
    </xf>
    <xf numFmtId="0" fontId="5" fillId="7" borderId="62" xfId="0" applyFont="1" applyFill="1" applyBorder="1" applyAlignment="1">
      <alignment horizontal="center"/>
    </xf>
    <xf numFmtId="0" fontId="5" fillId="7" borderId="52" xfId="0" applyFont="1" applyFill="1" applyBorder="1" applyAlignment="1">
      <alignment horizontal="center"/>
    </xf>
    <xf numFmtId="0" fontId="5" fillId="7" borderId="63" xfId="0" applyFont="1" applyFill="1" applyBorder="1" applyAlignment="1">
      <alignment horizontal="center"/>
    </xf>
    <xf numFmtId="188" fontId="51" fillId="20" borderId="13" xfId="0" quotePrefix="1" applyNumberFormat="1" applyFont="1" applyFill="1" applyBorder="1" applyAlignment="1">
      <alignment horizontal="center" vertical="center"/>
    </xf>
    <xf numFmtId="188" fontId="51" fillId="20" borderId="5" xfId="0" quotePrefix="1" applyNumberFormat="1" applyFont="1" applyFill="1" applyBorder="1" applyAlignment="1">
      <alignment horizontal="center" vertical="center"/>
    </xf>
    <xf numFmtId="188" fontId="51" fillId="20" borderId="10" xfId="0" quotePrefix="1" applyNumberFormat="1" applyFont="1" applyFill="1" applyBorder="1" applyAlignment="1">
      <alignment horizontal="center" vertical="center"/>
    </xf>
    <xf numFmtId="188" fontId="51" fillId="20" borderId="11" xfId="0" quotePrefix="1" applyNumberFormat="1" applyFont="1" applyFill="1" applyBorder="1" applyAlignment="1">
      <alignment horizontal="center" vertical="center"/>
    </xf>
    <xf numFmtId="0" fontId="94" fillId="2" borderId="17" xfId="0" applyFont="1" applyFill="1" applyBorder="1" applyAlignment="1">
      <alignment horizontal="left"/>
    </xf>
    <xf numFmtId="0" fontId="95" fillId="0" borderId="14" xfId="0" applyFont="1" applyBorder="1" applyAlignment="1">
      <alignment horizontal="left"/>
    </xf>
    <xf numFmtId="0" fontId="95" fillId="0" borderId="15" xfId="0" applyFont="1" applyBorder="1" applyAlignment="1">
      <alignment horizontal="left"/>
    </xf>
    <xf numFmtId="185" fontId="94" fillId="0" borderId="17" xfId="0" applyNumberFormat="1" applyFont="1" applyBorder="1" applyAlignment="1">
      <alignment horizontal="left"/>
    </xf>
    <xf numFmtId="43" fontId="95" fillId="0" borderId="14" xfId="0" applyNumberFormat="1" applyFont="1" applyBorder="1" applyAlignment="1">
      <alignment horizontal="left"/>
    </xf>
    <xf numFmtId="0" fontId="9" fillId="0" borderId="0" xfId="0" applyFont="1" applyAlignment="1">
      <alignment horizontal="left" vertical="center"/>
    </xf>
    <xf numFmtId="185" fontId="9" fillId="0" borderId="0" xfId="0" applyNumberFormat="1" applyFont="1" applyAlignment="1">
      <alignment horizontal="left" vertical="center"/>
    </xf>
    <xf numFmtId="43" fontId="9" fillId="2" borderId="14" xfId="0" applyNumberFormat="1" applyFont="1" applyFill="1" applyBorder="1" applyAlignment="1">
      <alignment horizontal="center" vertical="center"/>
    </xf>
    <xf numFmtId="43" fontId="9" fillId="2" borderId="15" xfId="0" applyNumberFormat="1" applyFont="1" applyFill="1" applyBorder="1" applyAlignment="1">
      <alignment horizontal="center" vertical="center"/>
    </xf>
    <xf numFmtId="185" fontId="18" fillId="2" borderId="0" xfId="0" quotePrefix="1" applyNumberFormat="1" applyFont="1" applyFill="1" applyAlignment="1">
      <alignment horizontal="left" vertical="center"/>
    </xf>
    <xf numFmtId="0" fontId="107" fillId="11" borderId="21" xfId="0" applyFont="1" applyFill="1" applyBorder="1" applyAlignment="1">
      <alignment horizontal="center" vertical="center"/>
    </xf>
    <xf numFmtId="0" fontId="107" fillId="11" borderId="22" xfId="0" applyFont="1" applyFill="1" applyBorder="1" applyAlignment="1">
      <alignment horizontal="center" vertical="center"/>
    </xf>
    <xf numFmtId="0" fontId="107" fillId="11" borderId="23" xfId="0" applyFont="1" applyFill="1" applyBorder="1" applyAlignment="1">
      <alignment horizontal="center" vertical="center"/>
    </xf>
    <xf numFmtId="0" fontId="18" fillId="7" borderId="21" xfId="0" quotePrefix="1" applyFont="1" applyFill="1" applyBorder="1" applyAlignment="1">
      <alignment horizontal="center" vertical="center"/>
    </xf>
    <xf numFmtId="0" fontId="18" fillId="7" borderId="22" xfId="0" quotePrefix="1" applyFont="1" applyFill="1" applyBorder="1" applyAlignment="1">
      <alignment horizontal="center" vertical="center"/>
    </xf>
    <xf numFmtId="185" fontId="18" fillId="7" borderId="22" xfId="0" applyNumberFormat="1" applyFont="1" applyFill="1" applyBorder="1" applyAlignment="1">
      <alignment horizontal="center" vertical="center"/>
    </xf>
    <xf numFmtId="188" fontId="51" fillId="2" borderId="0" xfId="0" quotePrefix="1" applyNumberFormat="1" applyFont="1" applyFill="1" applyAlignment="1">
      <alignment horizontal="center" vertical="center"/>
    </xf>
    <xf numFmtId="0" fontId="4" fillId="11" borderId="21" xfId="0" applyFont="1" applyFill="1" applyBorder="1" applyAlignment="1">
      <alignment horizontal="center" vertical="center"/>
    </xf>
    <xf numFmtId="0" fontId="4" fillId="11" borderId="22" xfId="0" applyFont="1" applyFill="1" applyBorder="1" applyAlignment="1">
      <alignment horizontal="center" vertical="center"/>
    </xf>
    <xf numFmtId="0" fontId="4" fillId="11" borderId="23" xfId="0" applyFont="1" applyFill="1" applyBorder="1" applyAlignment="1">
      <alignment horizontal="center" vertical="center"/>
    </xf>
    <xf numFmtId="3" fontId="0" fillId="7" borderId="29" xfId="0" applyNumberFormat="1" applyFill="1" applyBorder="1" applyAlignment="1" applyProtection="1">
      <alignment horizontal="right" vertical="center"/>
      <protection locked="0"/>
    </xf>
    <xf numFmtId="3" fontId="0" fillId="7" borderId="11" xfId="0" applyNumberFormat="1" applyFill="1" applyBorder="1" applyAlignment="1" applyProtection="1">
      <alignment horizontal="right" vertical="center"/>
      <protection locked="0"/>
    </xf>
    <xf numFmtId="3" fontId="0" fillId="7" borderId="27" xfId="0" applyNumberFormat="1" applyFill="1" applyBorder="1" applyAlignment="1" applyProtection="1">
      <alignment horizontal="right" vertical="center"/>
      <protection locked="0"/>
    </xf>
    <xf numFmtId="0" fontId="58" fillId="2" borderId="17" xfId="0" applyFont="1" applyFill="1" applyBorder="1" applyAlignment="1" applyProtection="1">
      <alignment horizontal="center" vertical="center"/>
      <protection locked="0"/>
    </xf>
    <xf numFmtId="183" fontId="9" fillId="2" borderId="17" xfId="0" applyNumberFormat="1" applyFont="1" applyFill="1" applyBorder="1" applyAlignment="1" applyProtection="1">
      <alignment horizontal="center" vertical="center"/>
      <protection locked="0"/>
    </xf>
    <xf numFmtId="183" fontId="0" fillId="2" borderId="17" xfId="0" applyNumberFormat="1" applyFill="1" applyBorder="1" applyAlignment="1" applyProtection="1">
      <alignment horizontal="center" vertical="center"/>
      <protection locked="0"/>
    </xf>
    <xf numFmtId="0" fontId="9" fillId="2" borderId="17" xfId="0" applyFont="1" applyFill="1" applyBorder="1" applyAlignment="1" applyProtection="1">
      <alignment horizontal="center" vertical="center"/>
      <protection locked="0"/>
    </xf>
    <xf numFmtId="0" fontId="0" fillId="2" borderId="17" xfId="0" applyFill="1" applyBorder="1" applyAlignment="1" applyProtection="1">
      <alignment horizontal="center" vertical="center"/>
      <protection locked="0"/>
    </xf>
    <xf numFmtId="41" fontId="0" fillId="2" borderId="17" xfId="3" applyFont="1" applyFill="1" applyBorder="1" applyAlignment="1" applyProtection="1">
      <alignment horizontal="center" vertical="center"/>
      <protection locked="0"/>
    </xf>
    <xf numFmtId="41" fontId="0" fillId="7" borderId="17" xfId="0" applyNumberFormat="1" applyFill="1" applyBorder="1" applyAlignment="1" applyProtection="1">
      <alignment horizontal="center" vertical="center"/>
      <protection locked="0"/>
    </xf>
    <xf numFmtId="0" fontId="0" fillId="7" borderId="17" xfId="0" applyFill="1" applyBorder="1" applyAlignment="1" applyProtection="1">
      <alignment horizontal="center" vertical="center"/>
      <protection locked="0"/>
    </xf>
    <xf numFmtId="0" fontId="58" fillId="2" borderId="14" xfId="0" applyFont="1" applyFill="1" applyBorder="1" applyAlignment="1" applyProtection="1">
      <alignment horizontal="center" vertical="center"/>
      <protection locked="0"/>
    </xf>
    <xf numFmtId="0" fontId="58" fillId="2" borderId="15" xfId="0" applyFont="1" applyFill="1" applyBorder="1" applyAlignment="1" applyProtection="1">
      <alignment horizontal="center" vertical="center"/>
      <protection locked="0"/>
    </xf>
    <xf numFmtId="0" fontId="58" fillId="2" borderId="17" xfId="0" applyFont="1" applyFill="1" applyBorder="1" applyAlignment="1" applyProtection="1">
      <alignment horizontal="center" vertical="center" wrapText="1"/>
      <protection locked="0"/>
    </xf>
    <xf numFmtId="0" fontId="9" fillId="16" borderId="17" xfId="0" applyFont="1" applyFill="1" applyBorder="1" applyAlignment="1" applyProtection="1">
      <alignment horizontal="center" vertical="center"/>
      <protection locked="0"/>
    </xf>
    <xf numFmtId="41" fontId="9" fillId="16" borderId="17" xfId="3" applyFont="1" applyFill="1" applyBorder="1" applyAlignment="1" applyProtection="1">
      <alignment horizontal="center" vertical="center"/>
      <protection locked="0"/>
    </xf>
    <xf numFmtId="41" fontId="9" fillId="7" borderId="17" xfId="3" applyFont="1" applyFill="1" applyBorder="1" applyAlignment="1" applyProtection="1">
      <alignment horizontal="center" vertical="center"/>
      <protection locked="0"/>
    </xf>
    <xf numFmtId="41" fontId="18" fillId="23" borderId="14" xfId="0" applyNumberFormat="1" applyFont="1" applyFill="1" applyBorder="1" applyAlignment="1" applyProtection="1">
      <alignment horizontal="center" vertical="center"/>
      <protection locked="0"/>
    </xf>
    <xf numFmtId="41" fontId="18" fillId="23" borderId="8" xfId="0" applyNumberFormat="1" applyFont="1" applyFill="1" applyBorder="1" applyAlignment="1" applyProtection="1">
      <alignment horizontal="center" vertical="center"/>
      <protection locked="0"/>
    </xf>
    <xf numFmtId="41" fontId="18" fillId="23" borderId="15" xfId="0" applyNumberFormat="1" applyFont="1" applyFill="1" applyBorder="1" applyAlignment="1" applyProtection="1">
      <alignment horizontal="center" vertical="center"/>
      <protection locked="0"/>
    </xf>
    <xf numFmtId="41" fontId="18" fillId="23" borderId="17" xfId="0" applyNumberFormat="1" applyFont="1" applyFill="1" applyBorder="1" applyAlignment="1" applyProtection="1">
      <alignment horizontal="center" vertical="center"/>
      <protection locked="0"/>
    </xf>
    <xf numFmtId="0" fontId="18" fillId="23" borderId="17" xfId="0" applyFont="1" applyFill="1" applyBorder="1" applyAlignment="1" applyProtection="1">
      <alignment horizontal="center" vertical="center"/>
      <protection locked="0"/>
    </xf>
    <xf numFmtId="41" fontId="0" fillId="23" borderId="14" xfId="3" applyFont="1" applyFill="1" applyBorder="1" applyAlignment="1" applyProtection="1">
      <alignment horizontal="center" vertical="center"/>
      <protection hidden="1"/>
    </xf>
    <xf numFmtId="41" fontId="0" fillId="23" borderId="8" xfId="3" applyFont="1" applyFill="1" applyBorder="1" applyAlignment="1" applyProtection="1">
      <alignment horizontal="center" vertical="center"/>
      <protection hidden="1"/>
    </xf>
    <xf numFmtId="41" fontId="0" fillId="23" borderId="15" xfId="3" applyFont="1" applyFill="1" applyBorder="1" applyAlignment="1" applyProtection="1">
      <alignment horizontal="center" vertical="center"/>
      <protection hidden="1"/>
    </xf>
    <xf numFmtId="41" fontId="18" fillId="23" borderId="14" xfId="3" applyFont="1" applyFill="1" applyBorder="1" applyAlignment="1" applyProtection="1">
      <alignment horizontal="center" vertical="center"/>
      <protection hidden="1"/>
    </xf>
    <xf numFmtId="41" fontId="18" fillId="23" borderId="8" xfId="3" applyFont="1" applyFill="1" applyBorder="1" applyAlignment="1" applyProtection="1">
      <alignment horizontal="center" vertical="center"/>
      <protection hidden="1"/>
    </xf>
    <xf numFmtId="41" fontId="18" fillId="23" borderId="15" xfId="3" applyFont="1" applyFill="1" applyBorder="1" applyAlignment="1" applyProtection="1">
      <alignment horizontal="center" vertical="center"/>
      <protection hidden="1"/>
    </xf>
    <xf numFmtId="41" fontId="9" fillId="23" borderId="14" xfId="3" applyFont="1" applyFill="1" applyBorder="1" applyAlignment="1" applyProtection="1">
      <alignment horizontal="center" vertical="center"/>
      <protection hidden="1"/>
    </xf>
    <xf numFmtId="41" fontId="9" fillId="23" borderId="8" xfId="3" applyFont="1" applyFill="1" applyBorder="1" applyAlignment="1" applyProtection="1">
      <alignment horizontal="center" vertical="center"/>
      <protection hidden="1"/>
    </xf>
    <xf numFmtId="41" fontId="9" fillId="23" borderId="15" xfId="3" applyFont="1" applyFill="1" applyBorder="1" applyAlignment="1" applyProtection="1">
      <alignment horizontal="center" vertical="center"/>
      <protection hidden="1"/>
    </xf>
    <xf numFmtId="0" fontId="60" fillId="23" borderId="0" xfId="0" applyFont="1" applyFill="1" applyAlignment="1" applyProtection="1">
      <alignment horizontal="center" vertical="center"/>
      <protection hidden="1"/>
    </xf>
    <xf numFmtId="0" fontId="60" fillId="23" borderId="4" xfId="0" applyFont="1" applyFill="1" applyBorder="1" applyAlignment="1" applyProtection="1">
      <alignment horizontal="center" vertical="center"/>
      <protection hidden="1"/>
    </xf>
    <xf numFmtId="165" fontId="8" fillId="23" borderId="14" xfId="1" applyNumberFormat="1" applyFill="1" applyBorder="1" applyAlignment="1" applyProtection="1">
      <alignment horizontal="center" vertical="top"/>
      <protection hidden="1"/>
    </xf>
    <xf numFmtId="165" fontId="8" fillId="23" borderId="8" xfId="1" applyNumberFormat="1" applyFill="1" applyBorder="1" applyAlignment="1" applyProtection="1">
      <alignment horizontal="center" vertical="top"/>
      <protection hidden="1"/>
    </xf>
    <xf numFmtId="165" fontId="8" fillId="23" borderId="15" xfId="1" applyNumberFormat="1" applyFill="1" applyBorder="1" applyAlignment="1" applyProtection="1">
      <alignment horizontal="center" vertical="top"/>
      <protection hidden="1"/>
    </xf>
    <xf numFmtId="3" fontId="18" fillId="7" borderId="14" xfId="0" applyNumberFormat="1" applyFont="1" applyFill="1" applyBorder="1" applyAlignment="1" applyProtection="1">
      <alignment horizontal="right" vertical="center"/>
      <protection locked="0"/>
    </xf>
    <xf numFmtId="3" fontId="18" fillId="7" borderId="8" xfId="0" applyNumberFormat="1" applyFont="1" applyFill="1" applyBorder="1" applyAlignment="1" applyProtection="1">
      <alignment horizontal="right" vertical="center"/>
      <protection locked="0"/>
    </xf>
    <xf numFmtId="3" fontId="18" fillId="7" borderId="15" xfId="0" applyNumberFormat="1" applyFont="1" applyFill="1" applyBorder="1" applyAlignment="1" applyProtection="1">
      <alignment horizontal="right" vertical="center"/>
      <protection locked="0"/>
    </xf>
    <xf numFmtId="0" fontId="106" fillId="2" borderId="17"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left" vertical="top" wrapText="1"/>
      <protection locked="0"/>
    </xf>
    <xf numFmtId="0" fontId="9" fillId="2" borderId="27" xfId="0" applyFont="1" applyFill="1" applyBorder="1" applyAlignment="1" applyProtection="1">
      <alignment horizontal="left" vertical="top" wrapText="1"/>
      <protection locked="0"/>
    </xf>
    <xf numFmtId="0" fontId="9" fillId="2" borderId="31" xfId="0" applyFont="1" applyFill="1" applyBorder="1" applyAlignment="1" applyProtection="1">
      <alignment horizontal="left" vertical="top" wrapText="1"/>
      <protection locked="0"/>
    </xf>
    <xf numFmtId="0" fontId="9" fillId="2" borderId="5" xfId="0" applyFont="1" applyFill="1" applyBorder="1" applyAlignment="1" applyProtection="1">
      <alignment horizontal="left" vertical="top" wrapText="1"/>
      <protection locked="0"/>
    </xf>
    <xf numFmtId="0" fontId="9" fillId="2" borderId="30" xfId="0" applyFont="1" applyFill="1" applyBorder="1" applyAlignment="1" applyProtection="1">
      <alignment horizontal="left" vertical="top" wrapText="1"/>
      <protection locked="0"/>
    </xf>
    <xf numFmtId="41" fontId="18" fillId="23" borderId="17" xfId="3" applyFont="1" applyFill="1" applyBorder="1" applyAlignment="1" applyProtection="1">
      <alignment horizontal="center" vertical="center"/>
      <protection locked="0"/>
    </xf>
    <xf numFmtId="3" fontId="18" fillId="7" borderId="17" xfId="0" applyNumberFormat="1" applyFont="1" applyFill="1" applyBorder="1" applyAlignment="1" applyProtection="1">
      <alignment horizontal="right" vertical="center"/>
      <protection locked="0"/>
    </xf>
    <xf numFmtId="49" fontId="6" fillId="2" borderId="17" xfId="1" applyNumberFormat="1" applyFont="1" applyFill="1" applyBorder="1">
      <alignment vertical="top"/>
      <protection locked="0"/>
    </xf>
    <xf numFmtId="49" fontId="8" fillId="2" borderId="17" xfId="1" applyNumberFormat="1" applyFill="1" applyBorder="1">
      <alignment vertical="top"/>
      <protection locked="0"/>
    </xf>
    <xf numFmtId="0" fontId="58" fillId="2" borderId="15" xfId="0" applyFont="1" applyFill="1" applyBorder="1" applyAlignment="1" applyProtection="1">
      <alignment horizontal="center" vertical="center" wrapText="1"/>
      <protection locked="0"/>
    </xf>
    <xf numFmtId="9" fontId="10" fillId="2" borderId="17" xfId="0" applyNumberFormat="1" applyFont="1" applyFill="1" applyBorder="1" applyAlignment="1" applyProtection="1">
      <alignment horizontal="center"/>
      <protection locked="0"/>
    </xf>
    <xf numFmtId="0" fontId="18" fillId="2" borderId="0" xfId="0" applyFont="1" applyFill="1" applyAlignment="1" applyProtection="1">
      <alignment horizontal="left"/>
      <protection locked="0"/>
    </xf>
    <xf numFmtId="0" fontId="110" fillId="24" borderId="7" xfId="0" applyFont="1" applyFill="1" applyBorder="1" applyAlignment="1" applyProtection="1">
      <alignment horizontal="center" vertical="center"/>
      <protection locked="0"/>
    </xf>
    <xf numFmtId="0" fontId="110" fillId="24" borderId="8" xfId="0" applyFont="1" applyFill="1" applyBorder="1" applyAlignment="1" applyProtection="1">
      <alignment horizontal="center" vertical="center"/>
      <protection locked="0"/>
    </xf>
    <xf numFmtId="0" fontId="110" fillId="24" borderId="9" xfId="0" applyFont="1" applyFill="1" applyBorder="1" applyAlignment="1" applyProtection="1">
      <alignment horizontal="center" vertical="center"/>
      <protection locked="0"/>
    </xf>
    <xf numFmtId="37" fontId="10" fillId="2" borderId="14" xfId="0" applyNumberFormat="1" applyFont="1" applyFill="1" applyBorder="1" applyAlignment="1" applyProtection="1">
      <alignment horizontal="right"/>
      <protection locked="0"/>
    </xf>
    <xf numFmtId="37" fontId="10" fillId="2" borderId="8" xfId="0" applyNumberFormat="1" applyFont="1" applyFill="1" applyBorder="1" applyAlignment="1" applyProtection="1">
      <alignment horizontal="right"/>
      <protection locked="0"/>
    </xf>
    <xf numFmtId="37" fontId="10" fillId="2" borderId="15" xfId="0" applyNumberFormat="1" applyFont="1" applyFill="1" applyBorder="1" applyAlignment="1" applyProtection="1">
      <alignment horizontal="right"/>
      <protection locked="0"/>
    </xf>
    <xf numFmtId="41" fontId="0" fillId="2" borderId="0" xfId="3" applyFont="1" applyFill="1" applyBorder="1" applyAlignment="1" applyProtection="1">
      <alignment horizontal="center" vertical="center"/>
      <protection locked="0"/>
    </xf>
    <xf numFmtId="41" fontId="0" fillId="23" borderId="14" xfId="3" applyFont="1" applyFill="1" applyBorder="1" applyAlignment="1" applyProtection="1">
      <alignment horizontal="center" vertical="center"/>
      <protection locked="0"/>
    </xf>
    <xf numFmtId="41" fontId="0" fillId="23" borderId="8" xfId="3" applyFont="1" applyFill="1" applyBorder="1" applyAlignment="1" applyProtection="1">
      <alignment horizontal="center" vertical="center"/>
      <protection locked="0"/>
    </xf>
    <xf numFmtId="41" fontId="0" fillId="23" borderId="15" xfId="3" applyFont="1" applyFill="1" applyBorder="1" applyAlignment="1" applyProtection="1">
      <alignment horizontal="center" vertical="center"/>
      <protection locked="0"/>
    </xf>
    <xf numFmtId="37" fontId="12" fillId="7" borderId="17" xfId="0" applyNumberFormat="1" applyFont="1" applyFill="1" applyBorder="1" applyAlignment="1" applyProtection="1">
      <alignment horizontal="center"/>
      <protection locked="0"/>
    </xf>
    <xf numFmtId="41" fontId="0" fillId="23" borderId="29" xfId="3" applyFont="1" applyFill="1" applyBorder="1" applyAlignment="1" applyProtection="1">
      <alignment horizontal="center" vertical="center"/>
      <protection locked="0"/>
    </xf>
    <xf numFmtId="41" fontId="0" fillId="23" borderId="11" xfId="3" applyFont="1" applyFill="1" applyBorder="1" applyAlignment="1" applyProtection="1">
      <alignment horizontal="center" vertical="center"/>
      <protection locked="0"/>
    </xf>
    <xf numFmtId="41" fontId="0" fillId="23" borderId="27" xfId="3" applyFont="1" applyFill="1" applyBorder="1" applyAlignment="1" applyProtection="1">
      <alignment horizontal="center" vertical="center"/>
      <protection locked="0"/>
    </xf>
    <xf numFmtId="41" fontId="0" fillId="2" borderId="35" xfId="3" applyFont="1" applyFill="1" applyBorder="1" applyAlignment="1" applyProtection="1">
      <alignment horizontal="center" vertical="center"/>
      <protection locked="0"/>
    </xf>
    <xf numFmtId="41" fontId="9" fillId="7" borderId="14" xfId="3" applyFont="1" applyFill="1" applyBorder="1" applyAlignment="1" applyProtection="1">
      <alignment horizontal="center" vertical="center"/>
      <protection locked="0"/>
    </xf>
    <xf numFmtId="41" fontId="9" fillId="7" borderId="8" xfId="3" applyFont="1" applyFill="1" applyBorder="1" applyAlignment="1" applyProtection="1">
      <alignment horizontal="center" vertical="center"/>
      <protection locked="0"/>
    </xf>
    <xf numFmtId="41" fontId="9" fillId="7" borderId="15" xfId="3" applyFont="1" applyFill="1" applyBorder="1" applyAlignment="1" applyProtection="1">
      <alignment horizontal="center" vertical="center"/>
      <protection locked="0"/>
    </xf>
    <xf numFmtId="41" fontId="18" fillId="2" borderId="17" xfId="3" applyFont="1" applyFill="1" applyBorder="1" applyAlignment="1" applyProtection="1">
      <alignment horizontal="center" vertical="center"/>
      <protection locked="0"/>
    </xf>
    <xf numFmtId="41" fontId="18" fillId="23" borderId="45" xfId="3" applyFont="1" applyFill="1" applyBorder="1" applyAlignment="1" applyProtection="1">
      <alignment horizontal="center" vertical="center"/>
      <protection locked="0"/>
    </xf>
    <xf numFmtId="41" fontId="18" fillId="23" borderId="22" xfId="3" applyFont="1" applyFill="1" applyBorder="1" applyAlignment="1" applyProtection="1">
      <alignment horizontal="center" vertical="center"/>
      <protection locked="0"/>
    </xf>
    <xf numFmtId="41" fontId="18" fillId="23" borderId="46" xfId="3" applyFont="1" applyFill="1" applyBorder="1" applyAlignment="1" applyProtection="1">
      <alignment horizontal="center" vertical="center"/>
      <protection locked="0"/>
    </xf>
    <xf numFmtId="41" fontId="18" fillId="23" borderId="48" xfId="3" applyFont="1" applyFill="1" applyBorder="1" applyAlignment="1" applyProtection="1">
      <alignment horizontal="center" vertical="center"/>
      <protection locked="0"/>
    </xf>
    <xf numFmtId="41" fontId="18" fillId="23" borderId="50" xfId="3" applyFont="1" applyFill="1" applyBorder="1" applyAlignment="1" applyProtection="1">
      <alignment horizontal="center" vertical="center"/>
      <protection locked="0"/>
    </xf>
    <xf numFmtId="0" fontId="56" fillId="24" borderId="24" xfId="0" applyFont="1" applyFill="1" applyBorder="1" applyAlignment="1" applyProtection="1">
      <alignment horizontal="center" vertical="center"/>
      <protection locked="0"/>
    </xf>
    <xf numFmtId="0" fontId="56" fillId="24" borderId="25" xfId="0" applyFont="1" applyFill="1" applyBorder="1" applyAlignment="1" applyProtection="1">
      <alignment horizontal="center" vertical="center"/>
      <protection locked="0"/>
    </xf>
    <xf numFmtId="0" fontId="56" fillId="24" borderId="26" xfId="0" applyFont="1" applyFill="1" applyBorder="1" applyAlignment="1" applyProtection="1">
      <alignment horizontal="center" vertical="center"/>
      <protection locked="0"/>
    </xf>
    <xf numFmtId="165" fontId="18" fillId="7" borderId="14" xfId="0" applyNumberFormat="1" applyFont="1" applyFill="1" applyBorder="1" applyAlignment="1" applyProtection="1">
      <alignment horizontal="center" vertical="center"/>
      <protection hidden="1"/>
    </xf>
    <xf numFmtId="165" fontId="18" fillId="7" borderId="8" xfId="0" applyNumberFormat="1" applyFont="1" applyFill="1" applyBorder="1" applyAlignment="1" applyProtection="1">
      <alignment horizontal="center" vertical="center"/>
      <protection hidden="1"/>
    </xf>
    <xf numFmtId="165" fontId="18" fillId="7" borderId="15" xfId="0" applyNumberFormat="1" applyFont="1" applyFill="1" applyBorder="1" applyAlignment="1" applyProtection="1">
      <alignment horizontal="center" vertical="center"/>
      <protection hidden="1"/>
    </xf>
    <xf numFmtId="0" fontId="18" fillId="2" borderId="39" xfId="0" applyFont="1" applyFill="1" applyBorder="1" applyAlignment="1" applyProtection="1">
      <alignment horizontal="left" vertical="center"/>
      <protection locked="0"/>
    </xf>
    <xf numFmtId="0" fontId="18" fillId="2" borderId="17" xfId="0" applyFont="1" applyFill="1" applyBorder="1" applyAlignment="1" applyProtection="1">
      <alignment horizontal="left" vertical="center"/>
      <protection locked="0"/>
    </xf>
    <xf numFmtId="165" fontId="7" fillId="2" borderId="14" xfId="1" applyNumberFormat="1" applyFont="1" applyFill="1" applyBorder="1">
      <alignment vertical="top"/>
      <protection locked="0"/>
    </xf>
    <xf numFmtId="165" fontId="7" fillId="2" borderId="8" xfId="1" applyNumberFormat="1" applyFont="1" applyFill="1" applyBorder="1">
      <alignment vertical="top"/>
      <protection locked="0"/>
    </xf>
    <xf numFmtId="165" fontId="7" fillId="2" borderId="15" xfId="1" applyNumberFormat="1" applyFont="1" applyFill="1" applyBorder="1">
      <alignment vertical="top"/>
      <protection locked="0"/>
    </xf>
    <xf numFmtId="1" fontId="18" fillId="2" borderId="17" xfId="0" applyNumberFormat="1" applyFont="1" applyFill="1" applyBorder="1" applyAlignment="1" applyProtection="1">
      <alignment horizontal="center" vertical="center"/>
      <protection hidden="1"/>
    </xf>
    <xf numFmtId="0" fontId="18" fillId="2" borderId="17" xfId="0" applyFont="1" applyFill="1" applyBorder="1" applyAlignment="1" applyProtection="1">
      <alignment horizontal="center" vertical="center"/>
      <protection hidden="1"/>
    </xf>
    <xf numFmtId="165" fontId="18" fillId="2" borderId="17" xfId="1" applyNumberFormat="1" applyFont="1" applyFill="1" applyBorder="1" applyAlignment="1" applyProtection="1">
      <alignment horizontal="center" vertical="top"/>
      <protection hidden="1"/>
    </xf>
    <xf numFmtId="165" fontId="7" fillId="23" borderId="14" xfId="1" applyNumberFormat="1" applyFont="1" applyFill="1" applyBorder="1" applyAlignment="1" applyProtection="1">
      <alignment horizontal="center" vertical="top"/>
      <protection hidden="1"/>
    </xf>
    <xf numFmtId="165" fontId="7" fillId="23" borderId="8" xfId="1" applyNumberFormat="1" applyFont="1" applyFill="1" applyBorder="1" applyAlignment="1" applyProtection="1">
      <alignment horizontal="center" vertical="top"/>
      <protection hidden="1"/>
    </xf>
    <xf numFmtId="165" fontId="7" fillId="23" borderId="15" xfId="1" applyNumberFormat="1" applyFont="1" applyFill="1" applyBorder="1" applyAlignment="1" applyProtection="1">
      <alignment horizontal="center" vertical="top"/>
      <protection hidden="1"/>
    </xf>
    <xf numFmtId="17" fontId="9" fillId="23" borderId="14" xfId="0" applyNumberFormat="1" applyFont="1" applyFill="1" applyBorder="1" applyAlignment="1" applyProtection="1">
      <alignment horizontal="center" vertical="center"/>
      <protection hidden="1"/>
    </xf>
    <xf numFmtId="0" fontId="9" fillId="23" borderId="8" xfId="0" applyFont="1" applyFill="1" applyBorder="1" applyAlignment="1" applyProtection="1">
      <alignment horizontal="center" vertical="center"/>
      <protection hidden="1"/>
    </xf>
    <xf numFmtId="0" fontId="9" fillId="23" borderId="15" xfId="0" applyFont="1" applyFill="1" applyBorder="1" applyAlignment="1" applyProtection="1">
      <alignment horizontal="center" vertical="center"/>
      <protection hidden="1"/>
    </xf>
    <xf numFmtId="17" fontId="18" fillId="23" borderId="14" xfId="0" applyNumberFormat="1" applyFont="1" applyFill="1" applyBorder="1" applyAlignment="1" applyProtection="1">
      <alignment horizontal="center" vertical="center"/>
      <protection hidden="1"/>
    </xf>
    <xf numFmtId="0" fontId="18" fillId="23" borderId="8" xfId="0" applyFont="1" applyFill="1" applyBorder="1" applyAlignment="1" applyProtection="1">
      <alignment horizontal="center" vertical="center"/>
      <protection hidden="1"/>
    </xf>
    <xf numFmtId="0" fontId="18" fillId="23" borderId="15" xfId="0" applyFont="1" applyFill="1" applyBorder="1" applyAlignment="1" applyProtection="1">
      <alignment horizontal="center" vertical="center"/>
      <protection hidden="1"/>
    </xf>
    <xf numFmtId="10" fontId="0" fillId="2" borderId="17" xfId="0" applyNumberFormat="1" applyFill="1" applyBorder="1" applyAlignment="1" applyProtection="1">
      <alignment horizontal="center" vertical="center"/>
      <protection locked="0"/>
    </xf>
    <xf numFmtId="41" fontId="58" fillId="7" borderId="17" xfId="0" applyNumberFormat="1" applyFont="1" applyFill="1" applyBorder="1" applyAlignment="1" applyProtection="1">
      <alignment horizontal="center" vertical="center"/>
      <protection locked="0"/>
    </xf>
    <xf numFmtId="0" fontId="58" fillId="7" borderId="17" xfId="0" applyFont="1" applyFill="1" applyBorder="1" applyAlignment="1" applyProtection="1">
      <alignment horizontal="center" vertical="center"/>
      <protection locked="0"/>
    </xf>
    <xf numFmtId="0" fontId="18" fillId="2" borderId="3" xfId="0" applyFont="1" applyFill="1" applyBorder="1" applyAlignment="1" applyProtection="1">
      <alignment horizontal="left" vertical="center"/>
      <protection locked="0"/>
    </xf>
    <xf numFmtId="0" fontId="18" fillId="2" borderId="0" xfId="0" applyFont="1" applyFill="1" applyAlignment="1" applyProtection="1">
      <alignment horizontal="left" vertical="center"/>
      <protection locked="0"/>
    </xf>
    <xf numFmtId="0" fontId="58" fillId="2" borderId="39" xfId="0" applyFont="1" applyFill="1" applyBorder="1" applyAlignment="1" applyProtection="1">
      <alignment horizontal="center" vertical="center"/>
      <protection locked="0"/>
    </xf>
    <xf numFmtId="3" fontId="18" fillId="7" borderId="29" xfId="0" applyNumberFormat="1" applyFont="1" applyFill="1" applyBorder="1" applyAlignment="1" applyProtection="1">
      <alignment horizontal="right" vertical="center"/>
      <protection locked="0"/>
    </xf>
    <xf numFmtId="3" fontId="18" fillId="7" borderId="11" xfId="0" applyNumberFormat="1" applyFont="1" applyFill="1" applyBorder="1" applyAlignment="1" applyProtection="1">
      <alignment horizontal="right" vertical="center"/>
      <protection locked="0"/>
    </xf>
    <xf numFmtId="3" fontId="18" fillId="7" borderId="27" xfId="0" applyNumberFormat="1" applyFont="1" applyFill="1" applyBorder="1" applyAlignment="1" applyProtection="1">
      <alignment horizontal="right" vertical="center"/>
      <protection locked="0"/>
    </xf>
    <xf numFmtId="0" fontId="0" fillId="2" borderId="8" xfId="0" applyFill="1" applyBorder="1" applyAlignment="1" applyProtection="1">
      <alignment horizontal="center" vertical="center"/>
      <protection locked="0"/>
    </xf>
    <xf numFmtId="0" fontId="58" fillId="2" borderId="8" xfId="0" applyFont="1" applyFill="1" applyBorder="1" applyAlignment="1" applyProtection="1">
      <alignment horizontal="center" vertical="center"/>
      <protection locked="0"/>
    </xf>
    <xf numFmtId="0" fontId="9" fillId="2" borderId="14" xfId="0" applyFont="1" applyFill="1" applyBorder="1" applyAlignment="1" applyProtection="1">
      <alignment horizontal="center" vertical="center"/>
      <protection locked="0"/>
    </xf>
    <xf numFmtId="0" fontId="9" fillId="2" borderId="8" xfId="0" applyFont="1" applyFill="1" applyBorder="1" applyAlignment="1" applyProtection="1">
      <alignment horizontal="center" vertical="center"/>
      <protection locked="0"/>
    </xf>
    <xf numFmtId="0" fontId="9" fillId="2" borderId="15" xfId="0" applyFont="1" applyFill="1" applyBorder="1" applyAlignment="1" applyProtection="1">
      <alignment horizontal="center" vertical="center"/>
      <protection locked="0"/>
    </xf>
    <xf numFmtId="41" fontId="58" fillId="7" borderId="14" xfId="0" applyNumberFormat="1" applyFont="1" applyFill="1" applyBorder="1" applyAlignment="1" applyProtection="1">
      <alignment horizontal="center" vertical="center"/>
      <protection locked="0"/>
    </xf>
    <xf numFmtId="41" fontId="58" fillId="7" borderId="8" xfId="0" applyNumberFormat="1" applyFont="1" applyFill="1" applyBorder="1" applyAlignment="1" applyProtection="1">
      <alignment horizontal="center" vertical="center"/>
      <protection locked="0"/>
    </xf>
    <xf numFmtId="41" fontId="58" fillId="7" borderId="15" xfId="0" applyNumberFormat="1" applyFont="1" applyFill="1" applyBorder="1" applyAlignment="1" applyProtection="1">
      <alignment horizontal="center" vertical="center"/>
      <protection locked="0"/>
    </xf>
    <xf numFmtId="41" fontId="0" fillId="2" borderId="14" xfId="3" applyFont="1" applyFill="1" applyBorder="1" applyAlignment="1" applyProtection="1">
      <alignment horizontal="center" vertical="center"/>
      <protection locked="0"/>
    </xf>
    <xf numFmtId="41" fontId="0" fillId="2" borderId="8" xfId="3" applyFont="1" applyFill="1" applyBorder="1" applyAlignment="1" applyProtection="1">
      <alignment horizontal="center" vertical="center"/>
      <protection locked="0"/>
    </xf>
    <xf numFmtId="41" fontId="0" fillId="2" borderId="15" xfId="3" applyFont="1" applyFill="1" applyBorder="1" applyAlignment="1" applyProtection="1">
      <alignment horizontal="center" vertical="center"/>
      <protection locked="0"/>
    </xf>
    <xf numFmtId="0" fontId="18" fillId="2" borderId="15" xfId="0" applyFont="1" applyFill="1" applyBorder="1" applyAlignment="1" applyProtection="1">
      <alignment horizontal="center" vertical="center" wrapText="1"/>
      <protection locked="0"/>
    </xf>
    <xf numFmtId="0" fontId="9" fillId="2" borderId="14" xfId="0" applyFont="1" applyFill="1" applyBorder="1" applyAlignment="1" applyProtection="1">
      <alignment horizontal="left" vertical="center"/>
      <protection locked="0"/>
    </xf>
    <xf numFmtId="0" fontId="9" fillId="2" borderId="8" xfId="0" applyFont="1" applyFill="1" applyBorder="1" applyAlignment="1" applyProtection="1">
      <alignment horizontal="left" vertical="center"/>
      <protection locked="0"/>
    </xf>
    <xf numFmtId="0" fontId="9" fillId="2" borderId="15" xfId="0" applyFont="1" applyFill="1" applyBorder="1" applyAlignment="1" applyProtection="1">
      <alignment horizontal="left" vertical="center"/>
      <protection locked="0"/>
    </xf>
    <xf numFmtId="0" fontId="0" fillId="2" borderId="14"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18" fillId="2" borderId="14" xfId="0" applyFont="1" applyFill="1" applyBorder="1" applyAlignment="1" applyProtection="1">
      <alignment horizontal="center" vertical="center"/>
      <protection locked="0"/>
    </xf>
    <xf numFmtId="0" fontId="18" fillId="2" borderId="8" xfId="0" applyFont="1" applyFill="1" applyBorder="1" applyAlignment="1" applyProtection="1">
      <alignment horizontal="center" vertical="center"/>
      <protection locked="0"/>
    </xf>
    <xf numFmtId="0" fontId="18" fillId="2" borderId="15" xfId="0" applyFont="1" applyFill="1" applyBorder="1" applyAlignment="1" applyProtection="1">
      <alignment horizontal="center" vertical="center"/>
      <protection locked="0"/>
    </xf>
    <xf numFmtId="0" fontId="9" fillId="16" borderId="14" xfId="0" applyFont="1" applyFill="1" applyBorder="1" applyAlignment="1" applyProtection="1">
      <alignment horizontal="center" vertical="center"/>
      <protection locked="0"/>
    </xf>
    <xf numFmtId="0" fontId="9" fillId="16" borderId="8" xfId="0" applyFont="1" applyFill="1" applyBorder="1" applyAlignment="1" applyProtection="1">
      <alignment horizontal="center" vertical="center"/>
      <protection locked="0"/>
    </xf>
    <xf numFmtId="0" fontId="9" fillId="16" borderId="15" xfId="0" applyFont="1" applyFill="1" applyBorder="1" applyAlignment="1" applyProtection="1">
      <alignment horizontal="center" vertical="center"/>
      <protection locked="0"/>
    </xf>
    <xf numFmtId="0" fontId="18" fillId="23" borderId="39" xfId="0" applyFont="1" applyFill="1" applyBorder="1" applyAlignment="1" applyProtection="1">
      <alignment horizontal="center" vertical="center"/>
      <protection locked="0"/>
    </xf>
    <xf numFmtId="49" fontId="6" fillId="2" borderId="14" xfId="1" applyNumberFormat="1" applyFont="1" applyFill="1" applyBorder="1">
      <alignment vertical="top"/>
      <protection locked="0"/>
    </xf>
    <xf numFmtId="49" fontId="6" fillId="2" borderId="8" xfId="1" applyNumberFormat="1" applyFont="1" applyFill="1" applyBorder="1">
      <alignment vertical="top"/>
      <protection locked="0"/>
    </xf>
    <xf numFmtId="49" fontId="6" fillId="2" borderId="15" xfId="1" applyNumberFormat="1" applyFont="1" applyFill="1" applyBorder="1">
      <alignment vertical="top"/>
      <protection locked="0"/>
    </xf>
    <xf numFmtId="0" fontId="22" fillId="2" borderId="13" xfId="0" applyFont="1" applyFill="1" applyBorder="1" applyAlignment="1" applyProtection="1">
      <alignment horizontal="left" vertical="center" wrapText="1"/>
      <protection locked="0"/>
    </xf>
    <xf numFmtId="0" fontId="22" fillId="2" borderId="5" xfId="0" applyFont="1" applyFill="1" applyBorder="1" applyAlignment="1" applyProtection="1">
      <alignment horizontal="left" vertical="center" wrapText="1"/>
      <protection locked="0"/>
    </xf>
    <xf numFmtId="0" fontId="58" fillId="7" borderId="39" xfId="0" applyFont="1" applyFill="1" applyBorder="1" applyAlignment="1" applyProtection="1">
      <alignment horizontal="center" vertical="center"/>
      <protection locked="0"/>
    </xf>
    <xf numFmtId="41" fontId="18" fillId="2" borderId="40" xfId="3" applyFont="1" applyFill="1" applyBorder="1" applyAlignment="1" applyProtection="1">
      <alignment horizontal="center" vertical="center"/>
      <protection locked="0"/>
    </xf>
    <xf numFmtId="41" fontId="18" fillId="2" borderId="17" xfId="3" applyFont="1" applyFill="1" applyBorder="1" applyAlignment="1" applyProtection="1">
      <alignment horizontal="center" vertical="center" wrapText="1"/>
      <protection locked="0"/>
    </xf>
    <xf numFmtId="9" fontId="0" fillId="2" borderId="17" xfId="0" applyNumberFormat="1" applyFill="1" applyBorder="1" applyAlignment="1" applyProtection="1">
      <alignment horizontal="center" vertical="center"/>
      <protection locked="0"/>
    </xf>
    <xf numFmtId="3" fontId="18" fillId="2" borderId="14" xfId="0" applyNumberFormat="1" applyFont="1" applyFill="1" applyBorder="1" applyAlignment="1" applyProtection="1">
      <alignment horizontal="center" vertical="center"/>
      <protection locked="0"/>
    </xf>
    <xf numFmtId="41" fontId="18" fillId="2" borderId="14" xfId="3" applyFont="1" applyFill="1" applyBorder="1" applyAlignment="1" applyProtection="1">
      <alignment horizontal="center" vertical="center"/>
      <protection locked="0"/>
    </xf>
    <xf numFmtId="41" fontId="18" fillId="2" borderId="8" xfId="3" applyFont="1" applyFill="1" applyBorder="1" applyAlignment="1" applyProtection="1">
      <alignment horizontal="center" vertical="center"/>
      <protection locked="0"/>
    </xf>
    <xf numFmtId="41" fontId="18" fillId="2" borderId="15" xfId="3" applyFont="1" applyFill="1" applyBorder="1" applyAlignment="1" applyProtection="1">
      <alignment horizontal="center" vertical="center"/>
      <protection locked="0"/>
    </xf>
    <xf numFmtId="0" fontId="18" fillId="2" borderId="39" xfId="0" applyFont="1" applyFill="1" applyBorder="1" applyAlignment="1" applyProtection="1">
      <alignment horizontal="center" vertical="center"/>
      <protection locked="0"/>
    </xf>
    <xf numFmtId="41" fontId="9" fillId="2" borderId="17" xfId="3" applyFont="1" applyFill="1" applyBorder="1" applyAlignment="1" applyProtection="1">
      <alignment horizontal="center" vertical="center"/>
      <protection locked="0"/>
    </xf>
    <xf numFmtId="0" fontId="9" fillId="2" borderId="14" xfId="0" applyFont="1" applyFill="1" applyBorder="1" applyAlignment="1" applyProtection="1">
      <alignment horizontal="left"/>
      <protection locked="0"/>
    </xf>
    <xf numFmtId="0" fontId="9" fillId="2" borderId="8" xfId="0" applyFont="1" applyFill="1" applyBorder="1" applyAlignment="1" applyProtection="1">
      <alignment horizontal="left"/>
      <protection locked="0"/>
    </xf>
    <xf numFmtId="41" fontId="0" fillId="7" borderId="14" xfId="3" applyFont="1" applyFill="1" applyBorder="1" applyAlignment="1" applyProtection="1">
      <alignment horizontal="center" vertical="center"/>
      <protection locked="0"/>
    </xf>
    <xf numFmtId="41" fontId="0" fillId="7" borderId="8" xfId="3" applyFont="1" applyFill="1" applyBorder="1" applyAlignment="1" applyProtection="1">
      <alignment horizontal="center" vertical="center"/>
      <protection locked="0"/>
    </xf>
    <xf numFmtId="41" fontId="0" fillId="7" borderId="15" xfId="3" applyFont="1" applyFill="1" applyBorder="1" applyAlignment="1" applyProtection="1">
      <alignment horizontal="center" vertical="center"/>
      <protection locked="0"/>
    </xf>
    <xf numFmtId="0" fontId="107" fillId="24" borderId="7" xfId="0" applyFont="1" applyFill="1" applyBorder="1" applyAlignment="1" applyProtection="1">
      <alignment horizontal="center" vertical="center"/>
      <protection locked="0"/>
    </xf>
    <xf numFmtId="0" fontId="107" fillId="24" borderId="8" xfId="0" applyFont="1" applyFill="1" applyBorder="1" applyAlignment="1" applyProtection="1">
      <alignment horizontal="center" vertical="center"/>
      <protection locked="0"/>
    </xf>
    <xf numFmtId="0" fontId="107" fillId="24" borderId="9" xfId="0" applyFont="1" applyFill="1" applyBorder="1" applyAlignment="1" applyProtection="1">
      <alignment horizontal="center" vertical="center"/>
      <protection locked="0"/>
    </xf>
    <xf numFmtId="185" fontId="10" fillId="2" borderId="17" xfId="3" applyNumberFormat="1" applyFont="1" applyFill="1" applyBorder="1" applyAlignment="1" applyProtection="1">
      <alignment horizontal="right"/>
      <protection locked="0"/>
    </xf>
    <xf numFmtId="0" fontId="20" fillId="2" borderId="17" xfId="0" applyFont="1" applyFill="1" applyBorder="1" applyAlignment="1" applyProtection="1">
      <alignment horizontal="center"/>
      <protection locked="0"/>
    </xf>
    <xf numFmtId="0" fontId="10" fillId="0" borderId="17" xfId="0" applyFont="1" applyBorder="1" applyAlignment="1" applyProtection="1">
      <alignment horizontal="center"/>
      <protection locked="0"/>
    </xf>
    <xf numFmtId="37" fontId="10" fillId="0" borderId="17" xfId="0" applyNumberFormat="1" applyFont="1" applyBorder="1" applyAlignment="1" applyProtection="1">
      <protection locked="0"/>
    </xf>
    <xf numFmtId="0" fontId="20" fillId="23" borderId="17" xfId="0" applyFont="1" applyFill="1" applyBorder="1" applyAlignment="1" applyProtection="1">
      <alignment horizontal="center"/>
      <protection locked="0"/>
    </xf>
    <xf numFmtId="37" fontId="20" fillId="23" borderId="14" xfId="0" applyNumberFormat="1" applyFont="1" applyFill="1" applyBorder="1" applyAlignment="1" applyProtection="1">
      <alignment horizontal="center"/>
      <protection locked="0"/>
    </xf>
    <xf numFmtId="37" fontId="20" fillId="23" borderId="8" xfId="0" applyNumberFormat="1" applyFont="1" applyFill="1" applyBorder="1" applyAlignment="1" applyProtection="1">
      <alignment horizontal="center"/>
      <protection locked="0"/>
    </xf>
    <xf numFmtId="37" fontId="20" fillId="23" borderId="15" xfId="0" applyNumberFormat="1" applyFont="1" applyFill="1" applyBorder="1" applyAlignment="1" applyProtection="1">
      <alignment horizontal="center"/>
      <protection locked="0"/>
    </xf>
    <xf numFmtId="0" fontId="20" fillId="2" borderId="14" xfId="0" applyFont="1" applyFill="1" applyBorder="1" applyAlignment="1" applyProtection="1">
      <alignment horizontal="left"/>
      <protection locked="0"/>
    </xf>
    <xf numFmtId="0" fontId="20" fillId="2" borderId="8" xfId="0" applyFont="1" applyFill="1" applyBorder="1" applyAlignment="1" applyProtection="1">
      <alignment horizontal="left"/>
      <protection locked="0"/>
    </xf>
    <xf numFmtId="185" fontId="13" fillId="23" borderId="14" xfId="0" applyNumberFormat="1" applyFont="1" applyFill="1" applyBorder="1" applyAlignment="1" applyProtection="1">
      <alignment horizontal="right"/>
      <protection locked="0"/>
    </xf>
    <xf numFmtId="185" fontId="13" fillId="23" borderId="8" xfId="0" applyNumberFormat="1" applyFont="1" applyFill="1" applyBorder="1" applyAlignment="1" applyProtection="1">
      <alignment horizontal="right"/>
      <protection locked="0"/>
    </xf>
    <xf numFmtId="185" fontId="13" fillId="23" borderId="15" xfId="0" applyNumberFormat="1" applyFont="1" applyFill="1" applyBorder="1" applyAlignment="1" applyProtection="1">
      <alignment horizontal="right"/>
      <protection locked="0"/>
    </xf>
    <xf numFmtId="0" fontId="20" fillId="2" borderId="40" xfId="0" applyFont="1" applyFill="1" applyBorder="1" applyAlignment="1" applyProtection="1">
      <alignment horizontal="center"/>
      <protection locked="0"/>
    </xf>
    <xf numFmtId="0" fontId="0" fillId="2" borderId="17" xfId="0" applyFill="1" applyBorder="1" applyAlignment="1" applyProtection="1">
      <alignment horizontal="center"/>
      <protection locked="0"/>
    </xf>
    <xf numFmtId="0" fontId="0" fillId="2" borderId="40" xfId="0" applyFill="1" applyBorder="1" applyAlignment="1" applyProtection="1">
      <alignment horizontal="center"/>
      <protection locked="0"/>
    </xf>
    <xf numFmtId="0" fontId="0" fillId="2" borderId="35" xfId="0" applyFill="1" applyBorder="1" applyAlignment="1" applyProtection="1">
      <alignment horizontal="center"/>
      <protection locked="0"/>
    </xf>
    <xf numFmtId="0" fontId="0" fillId="2" borderId="71" xfId="0" applyFill="1" applyBorder="1" applyAlignment="1" applyProtection="1">
      <alignment horizontal="center"/>
      <protection locked="0"/>
    </xf>
    <xf numFmtId="0" fontId="20" fillId="2" borderId="14" xfId="0" applyFont="1" applyFill="1" applyBorder="1" applyAlignment="1" applyProtection="1">
      <alignment horizontal="center"/>
      <protection locked="0"/>
    </xf>
    <xf numFmtId="0" fontId="20" fillId="2" borderId="8" xfId="0" applyFont="1" applyFill="1" applyBorder="1" applyAlignment="1" applyProtection="1">
      <alignment horizontal="center"/>
      <protection locked="0"/>
    </xf>
    <xf numFmtId="0" fontId="20" fillId="2" borderId="15" xfId="0" applyFont="1" applyFill="1" applyBorder="1" applyAlignment="1" applyProtection="1">
      <alignment horizontal="center"/>
      <protection locked="0"/>
    </xf>
    <xf numFmtId="0" fontId="0" fillId="2" borderId="27" xfId="0" applyFill="1" applyBorder="1" applyAlignment="1" applyProtection="1">
      <alignment horizontal="left"/>
      <protection locked="0"/>
    </xf>
    <xf numFmtId="0" fontId="0" fillId="2" borderId="28" xfId="0" applyFill="1" applyBorder="1" applyAlignment="1" applyProtection="1">
      <alignment horizontal="left"/>
      <protection locked="0"/>
    </xf>
    <xf numFmtId="49" fontId="0" fillId="2" borderId="28" xfId="0" applyNumberFormat="1" applyFill="1" applyBorder="1" applyAlignment="1" applyProtection="1">
      <alignment horizontal="left"/>
      <protection locked="0"/>
    </xf>
    <xf numFmtId="43" fontId="9" fillId="2" borderId="31" xfId="0" applyNumberFormat="1" applyFont="1" applyFill="1" applyBorder="1" applyAlignment="1" applyProtection="1">
      <alignment horizontal="center" vertical="center"/>
      <protection locked="0"/>
    </xf>
    <xf numFmtId="43" fontId="9" fillId="2" borderId="5" xfId="0" applyNumberFormat="1" applyFont="1" applyFill="1" applyBorder="1" applyAlignment="1" applyProtection="1">
      <alignment horizontal="center" vertical="center"/>
      <protection locked="0"/>
    </xf>
    <xf numFmtId="43" fontId="9" fillId="2" borderId="30" xfId="0" applyNumberFormat="1" applyFont="1" applyFill="1" applyBorder="1" applyAlignment="1" applyProtection="1">
      <alignment horizontal="center" vertical="center"/>
      <protection locked="0"/>
    </xf>
    <xf numFmtId="186" fontId="10" fillId="2" borderId="15" xfId="0" applyNumberFormat="1" applyFont="1" applyFill="1" applyBorder="1" applyAlignment="1" applyProtection="1">
      <alignment horizontal="right"/>
      <protection locked="0"/>
    </xf>
    <xf numFmtId="186" fontId="10" fillId="2" borderId="17" xfId="0" applyNumberFormat="1" applyFont="1" applyFill="1" applyBorder="1" applyAlignment="1" applyProtection="1">
      <alignment horizontal="right"/>
      <protection locked="0"/>
    </xf>
    <xf numFmtId="186" fontId="10" fillId="2" borderId="14" xfId="0" applyNumberFormat="1" applyFont="1" applyFill="1" applyBorder="1" applyAlignment="1" applyProtection="1">
      <alignment horizontal="right"/>
      <protection locked="0"/>
    </xf>
    <xf numFmtId="41" fontId="0" fillId="23" borderId="9" xfId="3" applyFont="1" applyFill="1" applyBorder="1" applyAlignment="1" applyProtection="1">
      <alignment horizontal="center" vertical="center"/>
      <protection locked="0"/>
    </xf>
    <xf numFmtId="41" fontId="0" fillId="7" borderId="29" xfId="3" applyFont="1" applyFill="1" applyBorder="1" applyAlignment="1" applyProtection="1">
      <alignment horizontal="center" vertical="center"/>
      <protection locked="0"/>
    </xf>
    <xf numFmtId="41" fontId="0" fillId="7" borderId="11" xfId="3" applyFont="1" applyFill="1" applyBorder="1" applyAlignment="1" applyProtection="1">
      <alignment horizontal="center" vertical="center"/>
      <protection locked="0"/>
    </xf>
    <xf numFmtId="41" fontId="0" fillId="7" borderId="12" xfId="3" applyFont="1" applyFill="1" applyBorder="1" applyAlignment="1" applyProtection="1">
      <alignment horizontal="center" vertical="center"/>
      <protection locked="0"/>
    </xf>
    <xf numFmtId="41" fontId="18" fillId="7" borderId="17" xfId="0" applyNumberFormat="1" applyFont="1" applyFill="1" applyBorder="1" applyAlignment="1" applyProtection="1">
      <alignment horizontal="center" vertical="center"/>
      <protection locked="0"/>
    </xf>
    <xf numFmtId="0" fontId="18" fillId="7" borderId="17" xfId="0" applyFont="1" applyFill="1" applyBorder="1" applyAlignment="1" applyProtection="1">
      <alignment horizontal="center" vertical="center"/>
      <protection locked="0"/>
    </xf>
    <xf numFmtId="41" fontId="18" fillId="23" borderId="51" xfId="3" applyFont="1" applyFill="1" applyBorder="1" applyAlignment="1" applyProtection="1">
      <alignment horizontal="center" vertical="center"/>
      <protection locked="0"/>
    </xf>
    <xf numFmtId="0" fontId="108" fillId="2" borderId="1" xfId="0" applyFont="1" applyFill="1" applyBorder="1" applyAlignment="1" applyProtection="1">
      <alignment horizontal="center"/>
      <protection locked="0"/>
    </xf>
    <xf numFmtId="0" fontId="108" fillId="2" borderId="2" xfId="0" applyFont="1" applyFill="1" applyBorder="1" applyAlignment="1" applyProtection="1">
      <alignment horizontal="center"/>
      <protection locked="0"/>
    </xf>
    <xf numFmtId="0" fontId="108" fillId="2" borderId="60" xfId="0" applyFont="1" applyFill="1" applyBorder="1" applyAlignment="1" applyProtection="1">
      <alignment horizontal="center"/>
      <protection locked="0"/>
    </xf>
    <xf numFmtId="41" fontId="18" fillId="2" borderId="40" xfId="3" applyFont="1" applyFill="1" applyBorder="1" applyAlignment="1" applyProtection="1">
      <alignment horizontal="center" vertical="center" wrapText="1"/>
      <protection locked="0"/>
    </xf>
    <xf numFmtId="0" fontId="20" fillId="2" borderId="61" xfId="0" applyFont="1" applyFill="1" applyBorder="1" applyAlignment="1" applyProtection="1">
      <alignment horizontal="center"/>
      <protection locked="0"/>
    </xf>
    <xf numFmtId="0" fontId="20" fillId="2" borderId="57" xfId="0" applyFont="1" applyFill="1" applyBorder="1" applyAlignment="1" applyProtection="1">
      <alignment horizontal="center"/>
      <protection locked="0"/>
    </xf>
    <xf numFmtId="37" fontId="12" fillId="23" borderId="64" xfId="0" applyNumberFormat="1" applyFont="1" applyFill="1" applyBorder="1" applyAlignment="1" applyProtection="1">
      <alignment horizontal="center"/>
      <protection locked="0"/>
    </xf>
    <xf numFmtId="37" fontId="12" fillId="23" borderId="52" xfId="0" applyNumberFormat="1" applyFont="1" applyFill="1" applyBorder="1" applyAlignment="1" applyProtection="1">
      <alignment horizontal="center"/>
      <protection locked="0"/>
    </xf>
    <xf numFmtId="37" fontId="12" fillId="23" borderId="53" xfId="0" applyNumberFormat="1" applyFont="1" applyFill="1" applyBorder="1" applyAlignment="1" applyProtection="1">
      <alignment horizontal="center"/>
      <protection locked="0"/>
    </xf>
    <xf numFmtId="37" fontId="10" fillId="23" borderId="17" xfId="0" applyNumberFormat="1" applyFont="1" applyFill="1" applyBorder="1" applyAlignment="1" applyProtection="1">
      <alignment horizontal="right"/>
      <protection locked="0"/>
    </xf>
    <xf numFmtId="0" fontId="0" fillId="2" borderId="8" xfId="0" applyFill="1" applyBorder="1" applyAlignment="1" applyProtection="1">
      <alignment horizontal="left"/>
      <protection locked="0"/>
    </xf>
    <xf numFmtId="41" fontId="18" fillId="2" borderId="14" xfId="3" applyFont="1" applyFill="1" applyBorder="1" applyAlignment="1" applyProtection="1">
      <alignment horizontal="center" vertical="center" wrapText="1"/>
      <protection locked="0"/>
    </xf>
    <xf numFmtId="41" fontId="18" fillId="2" borderId="8" xfId="3" applyFont="1" applyFill="1" applyBorder="1" applyAlignment="1" applyProtection="1">
      <alignment horizontal="center" vertical="center" wrapText="1"/>
      <protection locked="0"/>
    </xf>
    <xf numFmtId="41" fontId="18" fillId="2" borderId="15" xfId="3" applyFont="1" applyFill="1" applyBorder="1" applyAlignment="1" applyProtection="1">
      <alignment horizontal="center" vertical="center" wrapText="1"/>
      <protection locked="0"/>
    </xf>
    <xf numFmtId="37" fontId="13" fillId="23" borderId="14" xfId="0" applyNumberFormat="1" applyFont="1" applyFill="1" applyBorder="1" applyAlignment="1" applyProtection="1">
      <alignment horizontal="center"/>
      <protection locked="0"/>
    </xf>
    <xf numFmtId="37" fontId="13" fillId="23" borderId="8" xfId="0" applyNumberFormat="1" applyFont="1" applyFill="1" applyBorder="1" applyAlignment="1" applyProtection="1">
      <alignment horizontal="center"/>
      <protection locked="0"/>
    </xf>
    <xf numFmtId="37" fontId="13" fillId="23" borderId="15" xfId="0" applyNumberFormat="1" applyFont="1" applyFill="1" applyBorder="1" applyAlignment="1" applyProtection="1">
      <alignment horizontal="center"/>
      <protection locked="0"/>
    </xf>
    <xf numFmtId="41" fontId="0" fillId="7" borderId="17" xfId="3" applyFont="1" applyFill="1" applyBorder="1" applyAlignment="1" applyProtection="1">
      <alignment horizontal="center" vertical="center"/>
      <protection locked="0"/>
    </xf>
    <xf numFmtId="41" fontId="18" fillId="7" borderId="14" xfId="3" applyFont="1" applyFill="1" applyBorder="1" applyAlignment="1" applyProtection="1">
      <alignment horizontal="center" vertical="center"/>
      <protection locked="0"/>
    </xf>
    <xf numFmtId="41" fontId="18" fillId="7" borderId="8" xfId="3" applyFont="1" applyFill="1" applyBorder="1" applyAlignment="1" applyProtection="1">
      <alignment horizontal="center" vertical="center"/>
      <protection locked="0"/>
    </xf>
    <xf numFmtId="41" fontId="18" fillId="7" borderId="15" xfId="3" applyFont="1" applyFill="1" applyBorder="1" applyAlignment="1" applyProtection="1">
      <alignment horizontal="center" vertical="center"/>
      <protection locked="0"/>
    </xf>
    <xf numFmtId="41" fontId="18" fillId="7" borderId="17" xfId="3" applyFont="1" applyFill="1" applyBorder="1" applyAlignment="1" applyProtection="1">
      <alignment horizontal="center" vertical="center"/>
      <protection locked="0"/>
    </xf>
    <xf numFmtId="186" fontId="13" fillId="23" borderId="14" xfId="0" applyNumberFormat="1" applyFont="1" applyFill="1" applyBorder="1" applyAlignment="1" applyProtection="1">
      <alignment horizontal="right"/>
      <protection locked="0"/>
    </xf>
    <xf numFmtId="186" fontId="13" fillId="23" borderId="8" xfId="0" applyNumberFormat="1" applyFont="1" applyFill="1" applyBorder="1" applyAlignment="1" applyProtection="1">
      <alignment horizontal="right"/>
      <protection locked="0"/>
    </xf>
    <xf numFmtId="186" fontId="13" fillId="23" borderId="15" xfId="0" applyNumberFormat="1" applyFont="1" applyFill="1" applyBorder="1" applyAlignment="1" applyProtection="1">
      <alignment horizontal="right"/>
      <protection locked="0"/>
    </xf>
    <xf numFmtId="186" fontId="10" fillId="2" borderId="5" xfId="0" applyNumberFormat="1" applyFont="1" applyFill="1" applyBorder="1" applyAlignment="1" applyProtection="1">
      <alignment horizontal="right"/>
      <protection locked="0"/>
    </xf>
    <xf numFmtId="41" fontId="9" fillId="2" borderId="35" xfId="3" applyFont="1" applyFill="1" applyBorder="1" applyAlignment="1" applyProtection="1">
      <alignment horizontal="center" vertical="center"/>
      <protection locked="0"/>
    </xf>
    <xf numFmtId="37" fontId="10" fillId="23" borderId="17" xfId="0" applyNumberFormat="1" applyFont="1" applyFill="1" applyBorder="1" applyAlignment="1" applyProtection="1">
      <alignment horizontal="center"/>
      <protection locked="0"/>
    </xf>
    <xf numFmtId="0" fontId="10" fillId="2" borderId="7" xfId="0" applyFont="1" applyFill="1" applyBorder="1" applyAlignment="1" applyProtection="1">
      <alignment horizontal="center"/>
      <protection locked="0"/>
    </xf>
    <xf numFmtId="0" fontId="10" fillId="2" borderId="8" xfId="0" applyFont="1" applyFill="1" applyBorder="1" applyAlignment="1" applyProtection="1">
      <alignment horizontal="center"/>
      <protection locked="0"/>
    </xf>
    <xf numFmtId="0" fontId="10" fillId="2" borderId="15" xfId="0" applyFont="1" applyFill="1" applyBorder="1" applyAlignment="1" applyProtection="1">
      <alignment horizontal="center"/>
      <protection locked="0"/>
    </xf>
    <xf numFmtId="0" fontId="20" fillId="2" borderId="7" xfId="0" applyFont="1" applyFill="1" applyBorder="1" applyAlignment="1" applyProtection="1">
      <alignment horizontal="center"/>
      <protection locked="0"/>
    </xf>
    <xf numFmtId="0" fontId="10" fillId="2" borderId="39" xfId="0" applyFont="1" applyFill="1" applyBorder="1" applyAlignment="1" applyProtection="1">
      <alignment horizontal="left"/>
      <protection locked="0"/>
    </xf>
    <xf numFmtId="0" fontId="10" fillId="2" borderId="17" xfId="0" applyFont="1" applyFill="1" applyBorder="1" applyAlignment="1" applyProtection="1">
      <alignment horizontal="left"/>
      <protection locked="0"/>
    </xf>
    <xf numFmtId="0" fontId="0" fillId="2" borderId="0" xfId="0" applyFill="1" applyAlignment="1" applyProtection="1">
      <alignment horizontal="center" vertical="center"/>
      <protection hidden="1"/>
    </xf>
    <xf numFmtId="0" fontId="0" fillId="2" borderId="4" xfId="0" applyFill="1" applyBorder="1" applyAlignment="1" applyProtection="1">
      <alignment horizontal="center" vertical="center"/>
      <protection hidden="1"/>
    </xf>
    <xf numFmtId="37" fontId="10" fillId="2" borderId="9" xfId="0" applyNumberFormat="1" applyFont="1" applyFill="1" applyBorder="1" applyAlignment="1" applyProtection="1">
      <alignment horizontal="right"/>
      <protection locked="0"/>
    </xf>
    <xf numFmtId="0" fontId="0" fillId="2" borderId="0" xfId="0" applyFill="1" applyAlignment="1" applyProtection="1">
      <alignment horizontal="center" vertical="center"/>
      <protection locked="0"/>
    </xf>
    <xf numFmtId="0" fontId="0" fillId="2" borderId="4" xfId="0" applyFill="1" applyBorder="1" applyAlignment="1" applyProtection="1">
      <alignment horizontal="center" vertical="center"/>
      <protection locked="0"/>
    </xf>
    <xf numFmtId="41" fontId="58" fillId="2" borderId="17" xfId="0" applyNumberFormat="1" applyFont="1" applyFill="1" applyBorder="1" applyAlignment="1" applyProtection="1">
      <alignment horizontal="center" vertical="center"/>
      <protection locked="0"/>
    </xf>
    <xf numFmtId="165" fontId="58" fillId="2" borderId="17" xfId="1" applyNumberFormat="1" applyFont="1" applyFill="1" applyBorder="1">
      <alignment vertical="top"/>
      <protection locked="0"/>
    </xf>
    <xf numFmtId="185" fontId="4" fillId="23" borderId="17" xfId="0" applyNumberFormat="1" applyFont="1" applyFill="1" applyBorder="1" applyAlignment="1" applyProtection="1">
      <alignment horizontal="right" vertical="center"/>
      <protection hidden="1"/>
    </xf>
    <xf numFmtId="3" fontId="42" fillId="2" borderId="17" xfId="0" quotePrefix="1" applyNumberFormat="1" applyFont="1" applyFill="1" applyBorder="1" applyAlignment="1" applyProtection="1">
      <alignment horizontal="left" vertical="center"/>
      <protection hidden="1"/>
    </xf>
    <xf numFmtId="0" fontId="42" fillId="2" borderId="17" xfId="0" quotePrefix="1" applyFont="1" applyFill="1" applyBorder="1" applyAlignment="1" applyProtection="1">
      <alignment horizontal="left" vertical="center"/>
      <protection hidden="1"/>
    </xf>
    <xf numFmtId="187" fontId="119" fillId="3" borderId="17" xfId="0" applyNumberFormat="1" applyFont="1" applyFill="1" applyBorder="1" applyAlignment="1" applyProtection="1">
      <alignment horizontal="center" vertical="center"/>
      <protection hidden="1"/>
    </xf>
    <xf numFmtId="2" fontId="100" fillId="19" borderId="17" xfId="0" applyNumberFormat="1" applyFont="1" applyFill="1" applyBorder="1" applyAlignment="1" applyProtection="1">
      <alignment horizontal="center" vertical="center"/>
      <protection hidden="1"/>
    </xf>
    <xf numFmtId="0" fontId="12" fillId="2" borderId="21" xfId="0" applyFont="1" applyFill="1" applyBorder="1" applyAlignment="1" applyProtection="1">
      <alignment horizontal="center" vertical="center"/>
      <protection hidden="1"/>
    </xf>
    <xf numFmtId="0" fontId="12" fillId="2" borderId="23" xfId="0" applyFont="1" applyFill="1" applyBorder="1" applyAlignment="1" applyProtection="1">
      <alignment horizontal="center" vertical="center"/>
      <protection hidden="1"/>
    </xf>
    <xf numFmtId="37" fontId="12" fillId="23" borderId="8" xfId="0" applyNumberFormat="1" applyFont="1" applyFill="1" applyBorder="1" applyAlignment="1" applyProtection="1">
      <alignment horizontal="right"/>
      <protection hidden="1"/>
    </xf>
    <xf numFmtId="0" fontId="18" fillId="7" borderId="21" xfId="0" applyFont="1" applyFill="1" applyBorder="1" applyAlignment="1" applyProtection="1">
      <alignment horizontal="center" vertical="center"/>
      <protection hidden="1"/>
    </xf>
    <xf numFmtId="0" fontId="18" fillId="7" borderId="22" xfId="0" applyFont="1" applyFill="1" applyBorder="1" applyAlignment="1" applyProtection="1">
      <alignment horizontal="center" vertical="center"/>
      <protection hidden="1"/>
    </xf>
    <xf numFmtId="0" fontId="12" fillId="2" borderId="22" xfId="0" applyFont="1" applyFill="1" applyBorder="1" applyAlignment="1" applyProtection="1">
      <alignment horizontal="center" vertical="center"/>
      <protection hidden="1"/>
    </xf>
    <xf numFmtId="0" fontId="42" fillId="2" borderId="17" xfId="0" quotePrefix="1" applyFont="1" applyFill="1" applyBorder="1" applyAlignment="1" applyProtection="1">
      <alignment horizontal="left" vertical="center"/>
      <protection locked="0"/>
    </xf>
    <xf numFmtId="0" fontId="18" fillId="2" borderId="3" xfId="0" applyFont="1" applyFill="1" applyBorder="1" applyAlignment="1" applyProtection="1">
      <alignment horizontal="left" vertical="center"/>
      <protection hidden="1"/>
    </xf>
    <xf numFmtId="0" fontId="18" fillId="2" borderId="0" xfId="0" applyFont="1" applyFill="1" applyAlignment="1" applyProtection="1">
      <alignment horizontal="left" vertical="center"/>
      <protection hidden="1"/>
    </xf>
    <xf numFmtId="0" fontId="18" fillId="2" borderId="0" xfId="0" applyFont="1" applyFill="1" applyAlignment="1" applyProtection="1">
      <alignment horizontal="center" vertical="center"/>
      <protection hidden="1"/>
    </xf>
    <xf numFmtId="9" fontId="18" fillId="7" borderId="24" xfId="2" applyFont="1" applyFill="1" applyBorder="1" applyAlignment="1" applyProtection="1">
      <alignment horizontal="center" vertical="center"/>
      <protection hidden="1"/>
    </xf>
    <xf numFmtId="9" fontId="18" fillId="7" borderId="26" xfId="2" applyFont="1" applyFill="1" applyBorder="1" applyAlignment="1" applyProtection="1">
      <alignment horizontal="center" vertical="center"/>
      <protection hidden="1"/>
    </xf>
    <xf numFmtId="0" fontId="18" fillId="2" borderId="24" xfId="0" applyFont="1" applyFill="1" applyBorder="1" applyAlignment="1" applyProtection="1">
      <alignment horizontal="left" vertical="top" wrapText="1"/>
      <protection hidden="1"/>
    </xf>
    <xf numFmtId="0" fontId="18" fillId="2" borderId="25" xfId="0" applyFont="1" applyFill="1" applyBorder="1" applyAlignment="1" applyProtection="1">
      <alignment horizontal="left" vertical="top" wrapText="1"/>
      <protection hidden="1"/>
    </xf>
    <xf numFmtId="0" fontId="18" fillId="2" borderId="26" xfId="0" applyFont="1" applyFill="1" applyBorder="1" applyAlignment="1" applyProtection="1">
      <alignment horizontal="left" vertical="top" wrapText="1"/>
      <protection hidden="1"/>
    </xf>
    <xf numFmtId="0" fontId="18" fillId="2" borderId="3" xfId="0" applyFont="1" applyFill="1" applyBorder="1" applyAlignment="1" applyProtection="1">
      <alignment horizontal="left" vertical="top" wrapText="1"/>
      <protection hidden="1"/>
    </xf>
    <xf numFmtId="0" fontId="18" fillId="2" borderId="0" xfId="0" applyFont="1" applyFill="1" applyAlignment="1" applyProtection="1">
      <alignment horizontal="left" vertical="top" wrapText="1"/>
      <protection hidden="1"/>
    </xf>
    <xf numFmtId="0" fontId="18" fillId="2" borderId="4" xfId="0" applyFont="1" applyFill="1" applyBorder="1" applyAlignment="1" applyProtection="1">
      <alignment horizontal="left" vertical="top" wrapText="1"/>
      <protection hidden="1"/>
    </xf>
    <xf numFmtId="0" fontId="18" fillId="2" borderId="19" xfId="0" applyFont="1" applyFill="1" applyBorder="1" applyAlignment="1" applyProtection="1">
      <alignment horizontal="left" vertical="top" wrapText="1"/>
      <protection hidden="1"/>
    </xf>
    <xf numFmtId="0" fontId="18" fillId="2" borderId="18" xfId="0" applyFont="1" applyFill="1" applyBorder="1" applyAlignment="1" applyProtection="1">
      <alignment horizontal="left" vertical="top" wrapText="1"/>
      <protection hidden="1"/>
    </xf>
    <xf numFmtId="0" fontId="18" fillId="2" borderId="20" xfId="0" applyFont="1" applyFill="1" applyBorder="1" applyAlignment="1" applyProtection="1">
      <alignment horizontal="left" vertical="top" wrapText="1"/>
      <protection hidden="1"/>
    </xf>
    <xf numFmtId="2" fontId="98" fillId="2" borderId="17" xfId="0" applyNumberFormat="1" applyFont="1" applyFill="1" applyBorder="1" applyAlignment="1" applyProtection="1">
      <alignment horizontal="center" vertical="center"/>
      <protection hidden="1"/>
    </xf>
    <xf numFmtId="0" fontId="80" fillId="24" borderId="7" xfId="0" applyFont="1" applyFill="1" applyBorder="1" applyAlignment="1" applyProtection="1">
      <alignment horizontal="center" vertical="center"/>
      <protection hidden="1"/>
    </xf>
    <xf numFmtId="0" fontId="80" fillId="24" borderId="8" xfId="0" applyFont="1" applyFill="1" applyBorder="1" applyAlignment="1" applyProtection="1">
      <alignment horizontal="center" vertical="center"/>
      <protection hidden="1"/>
    </xf>
    <xf numFmtId="0" fontId="80" fillId="24" borderId="9" xfId="0" applyFont="1" applyFill="1" applyBorder="1" applyAlignment="1" applyProtection="1">
      <alignment horizontal="center" vertical="center"/>
      <protection hidden="1"/>
    </xf>
    <xf numFmtId="0" fontId="9" fillId="2" borderId="8" xfId="0" applyFont="1" applyFill="1" applyBorder="1" applyAlignment="1" applyProtection="1">
      <alignment horizontal="left" vertical="top" wrapText="1"/>
      <protection hidden="1"/>
    </xf>
    <xf numFmtId="9" fontId="18" fillId="2" borderId="0" xfId="2" applyFont="1" applyFill="1" applyBorder="1" applyAlignment="1" applyProtection="1">
      <alignment horizontal="center" vertical="top" wrapText="1"/>
      <protection hidden="1"/>
    </xf>
    <xf numFmtId="9" fontId="48" fillId="2" borderId="0" xfId="2" applyFont="1" applyFill="1" applyBorder="1" applyAlignment="1" applyProtection="1">
      <alignment horizontal="center" vertical="center"/>
      <protection hidden="1"/>
    </xf>
    <xf numFmtId="164" fontId="24" fillId="23" borderId="8" xfId="0" applyNumberFormat="1" applyFont="1" applyFill="1" applyBorder="1" applyAlignment="1" applyProtection="1">
      <alignment horizontal="center" vertical="center"/>
      <protection hidden="1"/>
    </xf>
    <xf numFmtId="0" fontId="9" fillId="2" borderId="5" xfId="0" applyFont="1" applyFill="1" applyBorder="1" applyAlignment="1" applyProtection="1">
      <alignment horizontal="left" vertical="top" wrapText="1"/>
      <protection hidden="1"/>
    </xf>
    <xf numFmtId="9" fontId="24" fillId="2" borderId="0" xfId="18" applyFont="1" applyFill="1" applyBorder="1" applyAlignment="1" applyProtection="1">
      <alignment horizontal="center" vertical="center"/>
      <protection hidden="1"/>
    </xf>
    <xf numFmtId="164" fontId="24" fillId="23" borderId="5" xfId="0" applyNumberFormat="1" applyFont="1" applyFill="1" applyBorder="1" applyAlignment="1" applyProtection="1">
      <alignment horizontal="center" vertical="center"/>
      <protection hidden="1"/>
    </xf>
    <xf numFmtId="164" fontId="24" fillId="23" borderId="8" xfId="9" applyNumberFormat="1" applyFont="1" applyFill="1" applyBorder="1" applyAlignment="1" applyProtection="1">
      <alignment horizontal="center" vertical="center"/>
      <protection hidden="1"/>
    </xf>
    <xf numFmtId="9" fontId="24" fillId="0" borderId="0" xfId="18" applyFont="1" applyFill="1" applyBorder="1" applyAlignment="1" applyProtection="1">
      <alignment horizontal="center" vertical="center"/>
      <protection hidden="1"/>
    </xf>
    <xf numFmtId="185" fontId="4" fillId="2" borderId="17" xfId="0" applyNumberFormat="1" applyFont="1" applyFill="1" applyBorder="1" applyAlignment="1" applyProtection="1">
      <alignment horizontal="right" vertical="center"/>
      <protection locked="0"/>
    </xf>
    <xf numFmtId="2" fontId="69" fillId="23" borderId="17" xfId="0" applyNumberFormat="1" applyFont="1" applyFill="1" applyBorder="1" applyAlignment="1" applyProtection="1">
      <alignment horizontal="center" vertical="center" wrapText="1"/>
      <protection hidden="1"/>
    </xf>
    <xf numFmtId="41" fontId="69" fillId="23" borderId="17" xfId="3" applyFont="1" applyFill="1" applyBorder="1" applyAlignment="1" applyProtection="1">
      <alignment horizontal="center" vertical="center" wrapText="1"/>
      <protection hidden="1"/>
    </xf>
    <xf numFmtId="171" fontId="0" fillId="23" borderId="16" xfId="3" applyNumberFormat="1" applyFont="1" applyFill="1" applyBorder="1" applyAlignment="1" applyProtection="1">
      <alignment horizontal="left" vertical="center"/>
      <protection hidden="1"/>
    </xf>
    <xf numFmtId="171" fontId="0" fillId="23" borderId="0" xfId="3" applyNumberFormat="1" applyFont="1" applyFill="1" applyBorder="1" applyAlignment="1" applyProtection="1">
      <alignment horizontal="left" vertical="center"/>
      <protection hidden="1"/>
    </xf>
    <xf numFmtId="171" fontId="0" fillId="23" borderId="28" xfId="3" applyNumberFormat="1" applyFont="1" applyFill="1" applyBorder="1" applyAlignment="1" applyProtection="1">
      <alignment horizontal="left" vertical="center"/>
      <protection hidden="1"/>
    </xf>
    <xf numFmtId="49" fontId="0" fillId="23" borderId="16" xfId="3" applyNumberFormat="1" applyFont="1" applyFill="1" applyBorder="1" applyAlignment="1" applyProtection="1">
      <alignment horizontal="left" vertical="center"/>
      <protection hidden="1"/>
    </xf>
    <xf numFmtId="49" fontId="0" fillId="23" borderId="0" xfId="3" applyNumberFormat="1" applyFont="1" applyFill="1" applyBorder="1" applyAlignment="1" applyProtection="1">
      <alignment horizontal="left" vertical="center"/>
      <protection hidden="1"/>
    </xf>
    <xf numFmtId="49" fontId="0" fillId="23" borderId="28" xfId="3" applyNumberFormat="1" applyFont="1" applyFill="1" applyBorder="1" applyAlignment="1" applyProtection="1">
      <alignment horizontal="left" vertical="center"/>
      <protection hidden="1"/>
    </xf>
    <xf numFmtId="186" fontId="0" fillId="23" borderId="31" xfId="3" applyNumberFormat="1" applyFont="1" applyFill="1" applyBorder="1" applyAlignment="1" applyProtection="1">
      <alignment horizontal="left" vertical="center"/>
      <protection hidden="1"/>
    </xf>
    <xf numFmtId="186" fontId="0" fillId="23" borderId="5" xfId="3" applyNumberFormat="1" applyFont="1" applyFill="1" applyBorder="1" applyAlignment="1" applyProtection="1">
      <alignment horizontal="left" vertical="center"/>
      <protection hidden="1"/>
    </xf>
    <xf numFmtId="186" fontId="0" fillId="23" borderId="30" xfId="3" applyNumberFormat="1" applyFont="1" applyFill="1" applyBorder="1" applyAlignment="1" applyProtection="1">
      <alignment horizontal="left" vertical="center"/>
      <protection hidden="1"/>
    </xf>
    <xf numFmtId="0" fontId="9" fillId="2" borderId="0" xfId="0" applyFont="1" applyFill="1" applyAlignment="1" applyProtection="1">
      <alignment horizontal="left" vertical="top" wrapText="1"/>
      <protection hidden="1"/>
    </xf>
    <xf numFmtId="184" fontId="24" fillId="23" borderId="5" xfId="1" applyNumberFormat="1" applyFont="1" applyFill="1" applyBorder="1" applyAlignment="1" applyProtection="1">
      <alignment horizontal="center"/>
      <protection hidden="1"/>
    </xf>
    <xf numFmtId="0" fontId="9" fillId="2" borderId="19" xfId="0" applyFont="1"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0" fillId="2" borderId="41" xfId="0" applyFill="1" applyBorder="1" applyAlignment="1" applyProtection="1">
      <alignment horizontal="center" vertical="center"/>
      <protection locked="0"/>
    </xf>
    <xf numFmtId="0" fontId="9" fillId="2" borderId="3" xfId="0" applyFont="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0" fillId="2" borderId="2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0" fillId="2" borderId="16" xfId="0" applyFill="1" applyBorder="1" applyAlignment="1" applyProtection="1">
      <alignment horizontal="center" vertical="center"/>
      <protection locked="0"/>
    </xf>
    <xf numFmtId="0" fontId="0" fillId="2" borderId="31"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 fillId="24" borderId="7" xfId="0" applyFont="1" applyFill="1" applyBorder="1" applyAlignment="1" applyProtection="1">
      <alignment horizontal="center" vertical="center"/>
      <protection locked="0"/>
    </xf>
    <xf numFmtId="0" fontId="4" fillId="24" borderId="8" xfId="0" applyFont="1" applyFill="1" applyBorder="1" applyAlignment="1" applyProtection="1">
      <alignment horizontal="center" vertical="center"/>
      <protection locked="0"/>
    </xf>
    <xf numFmtId="0" fontId="4" fillId="24" borderId="9" xfId="0" applyFont="1" applyFill="1" applyBorder="1" applyAlignment="1" applyProtection="1">
      <alignment horizontal="center" vertical="center"/>
      <protection locked="0"/>
    </xf>
    <xf numFmtId="0" fontId="0" fillId="2" borderId="28" xfId="0" applyFill="1" applyBorder="1" applyAlignment="1" applyProtection="1">
      <alignment horizontal="center" vertical="center"/>
      <protection locked="0"/>
    </xf>
    <xf numFmtId="171" fontId="18" fillId="2" borderId="17" xfId="0" applyNumberFormat="1" applyFont="1" applyFill="1" applyBorder="1" applyAlignment="1" applyProtection="1">
      <alignment horizontal="center" vertical="center"/>
      <protection locked="0"/>
    </xf>
    <xf numFmtId="0" fontId="18" fillId="7" borderId="23" xfId="0" applyFont="1" applyFill="1" applyBorder="1" applyAlignment="1" applyProtection="1">
      <alignment horizontal="center" vertical="center"/>
      <protection hidden="1"/>
    </xf>
    <xf numFmtId="0" fontId="9" fillId="2" borderId="14" xfId="0" quotePrefix="1" applyFont="1" applyFill="1" applyBorder="1" applyAlignment="1" applyProtection="1">
      <alignment horizontal="justify" vertical="top" wrapText="1"/>
      <protection locked="0"/>
    </xf>
    <xf numFmtId="0" fontId="0" fillId="2" borderId="8" xfId="0" applyFill="1" applyBorder="1" applyAlignment="1" applyProtection="1">
      <alignment horizontal="justify" vertical="top" wrapText="1"/>
      <protection locked="0"/>
    </xf>
    <xf numFmtId="0" fontId="0" fillId="2" borderId="15" xfId="0" applyFill="1" applyBorder="1" applyAlignment="1" applyProtection="1">
      <alignment horizontal="justify" vertical="top" wrapText="1"/>
      <protection locked="0"/>
    </xf>
    <xf numFmtId="2" fontId="18" fillId="7" borderId="21" xfId="0" applyNumberFormat="1" applyFont="1" applyFill="1" applyBorder="1" applyAlignment="1" applyProtection="1">
      <alignment horizontal="center" vertical="center" wrapText="1"/>
      <protection hidden="1"/>
    </xf>
    <xf numFmtId="2" fontId="18" fillId="7" borderId="22" xfId="0" applyNumberFormat="1" applyFont="1" applyFill="1" applyBorder="1" applyAlignment="1" applyProtection="1">
      <alignment horizontal="center" vertical="center" wrapText="1"/>
      <protection hidden="1"/>
    </xf>
    <xf numFmtId="2" fontId="18" fillId="7" borderId="23" xfId="0" applyNumberFormat="1" applyFont="1" applyFill="1" applyBorder="1" applyAlignment="1" applyProtection="1">
      <alignment horizontal="center" vertical="center" wrapText="1"/>
      <protection hidden="1"/>
    </xf>
    <xf numFmtId="0" fontId="18" fillId="0" borderId="1" xfId="0"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0" fontId="18" fillId="0" borderId="60" xfId="0" applyFont="1" applyBorder="1" applyAlignment="1" applyProtection="1">
      <alignment horizontal="center" vertical="center"/>
      <protection locked="0"/>
    </xf>
    <xf numFmtId="186" fontId="0" fillId="23" borderId="16" xfId="3" applyNumberFormat="1" applyFont="1" applyFill="1" applyBorder="1" applyAlignment="1" applyProtection="1">
      <alignment horizontal="left" vertical="center"/>
      <protection hidden="1"/>
    </xf>
    <xf numFmtId="186" fontId="0" fillId="23" borderId="0" xfId="3" applyNumberFormat="1" applyFont="1" applyFill="1" applyBorder="1" applyAlignment="1" applyProtection="1">
      <alignment horizontal="left" vertical="center"/>
      <protection hidden="1"/>
    </xf>
    <xf numFmtId="186" fontId="0" fillId="23" borderId="28" xfId="3" applyNumberFormat="1" applyFont="1" applyFill="1" applyBorder="1" applyAlignment="1" applyProtection="1">
      <alignment horizontal="left" vertical="center"/>
      <protection hidden="1"/>
    </xf>
    <xf numFmtId="41" fontId="0" fillId="23" borderId="16" xfId="3" applyFont="1" applyFill="1" applyBorder="1" applyAlignment="1" applyProtection="1">
      <alignment horizontal="left" vertical="center"/>
      <protection hidden="1"/>
    </xf>
    <xf numFmtId="41" fontId="0" fillId="23" borderId="0" xfId="3" applyFont="1" applyFill="1" applyBorder="1" applyAlignment="1" applyProtection="1">
      <alignment horizontal="left" vertical="center"/>
      <protection hidden="1"/>
    </xf>
    <xf numFmtId="41" fontId="0" fillId="23" borderId="28" xfId="3" applyFont="1" applyFill="1" applyBorder="1" applyAlignment="1" applyProtection="1">
      <alignment horizontal="left" vertical="center"/>
      <protection hidden="1"/>
    </xf>
    <xf numFmtId="43" fontId="0" fillId="23" borderId="16" xfId="0" applyNumberFormat="1" applyFill="1" applyBorder="1" applyAlignment="1" applyProtection="1">
      <alignment horizontal="left" vertical="center"/>
      <protection hidden="1"/>
    </xf>
    <xf numFmtId="0" fontId="0" fillId="23" borderId="0" xfId="0" applyFill="1" applyAlignment="1" applyProtection="1">
      <alignment horizontal="left" vertical="center"/>
      <protection hidden="1"/>
    </xf>
    <xf numFmtId="0" fontId="0" fillId="23" borderId="5" xfId="0" applyFill="1" applyBorder="1" applyAlignment="1" applyProtection="1">
      <alignment horizontal="left" vertical="center"/>
      <protection hidden="1"/>
    </xf>
    <xf numFmtId="0" fontId="0" fillId="23" borderId="30" xfId="0" applyFill="1" applyBorder="1" applyAlignment="1" applyProtection="1">
      <alignment horizontal="left" vertical="center"/>
      <protection hidden="1"/>
    </xf>
    <xf numFmtId="43" fontId="24" fillId="2" borderId="8" xfId="0" applyNumberFormat="1" applyFont="1" applyFill="1" applyBorder="1" applyAlignment="1" applyProtection="1">
      <alignment horizontal="left" vertical="center"/>
      <protection hidden="1"/>
    </xf>
    <xf numFmtId="0" fontId="24" fillId="2" borderId="8" xfId="0" applyFont="1" applyFill="1" applyBorder="1" applyAlignment="1" applyProtection="1">
      <alignment horizontal="left" vertical="center"/>
      <protection hidden="1"/>
    </xf>
    <xf numFmtId="0" fontId="24" fillId="2" borderId="15" xfId="0" applyFont="1" applyFill="1" applyBorder="1" applyAlignment="1" applyProtection="1">
      <alignment horizontal="left" vertical="center"/>
      <protection hidden="1"/>
    </xf>
    <xf numFmtId="183" fontId="24" fillId="23" borderId="8" xfId="0" applyNumberFormat="1" applyFont="1" applyFill="1" applyBorder="1" applyAlignment="1" applyProtection="1">
      <alignment horizontal="left" vertical="center"/>
      <protection hidden="1"/>
    </xf>
    <xf numFmtId="183" fontId="24" fillId="23" borderId="15" xfId="0" applyNumberFormat="1" applyFont="1" applyFill="1" applyBorder="1" applyAlignment="1" applyProtection="1">
      <alignment horizontal="left" vertical="center"/>
      <protection hidden="1"/>
    </xf>
    <xf numFmtId="0" fontId="24" fillId="23" borderId="8" xfId="0" applyFont="1" applyFill="1" applyBorder="1" applyAlignment="1" applyProtection="1">
      <alignment horizontal="left" vertical="center"/>
      <protection hidden="1"/>
    </xf>
    <xf numFmtId="0" fontId="24" fillId="23" borderId="15" xfId="0" applyFont="1" applyFill="1" applyBorder="1" applyAlignment="1" applyProtection="1">
      <alignment horizontal="left" vertical="center"/>
      <protection hidden="1"/>
    </xf>
    <xf numFmtId="0" fontId="56" fillId="24" borderId="14" xfId="0" applyFont="1" applyFill="1" applyBorder="1" applyAlignment="1" applyProtection="1">
      <alignment horizontal="center" vertical="center"/>
      <protection hidden="1"/>
    </xf>
    <xf numFmtId="0" fontId="56" fillId="24" borderId="8" xfId="0" applyFont="1" applyFill="1" applyBorder="1" applyAlignment="1" applyProtection="1">
      <alignment horizontal="center" vertical="center"/>
      <protection hidden="1"/>
    </xf>
    <xf numFmtId="0" fontId="56" fillId="24" borderId="15" xfId="0" applyFont="1" applyFill="1" applyBorder="1" applyAlignment="1" applyProtection="1">
      <alignment horizontal="center" vertical="center"/>
      <protection hidden="1"/>
    </xf>
    <xf numFmtId="164" fontId="24" fillId="2" borderId="0" xfId="0" applyNumberFormat="1" applyFont="1" applyFill="1" applyAlignment="1" applyProtection="1">
      <alignment horizontal="left" vertical="top"/>
      <protection hidden="1"/>
    </xf>
    <xf numFmtId="0" fontId="9" fillId="2" borderId="11" xfId="0" applyFont="1" applyFill="1" applyBorder="1" applyAlignment="1" applyProtection="1">
      <alignment horizontal="left" vertical="top" wrapText="1"/>
      <protection hidden="1"/>
    </xf>
    <xf numFmtId="41" fontId="0" fillId="23" borderId="17" xfId="3" applyFont="1" applyFill="1" applyBorder="1" applyAlignment="1" applyProtection="1">
      <alignment horizontal="center" vertical="center"/>
      <protection hidden="1"/>
    </xf>
    <xf numFmtId="37" fontId="12" fillId="23" borderId="5" xfId="0" applyNumberFormat="1" applyFont="1" applyFill="1" applyBorder="1" applyAlignment="1" applyProtection="1">
      <alignment horizontal="right"/>
      <protection hidden="1"/>
    </xf>
    <xf numFmtId="164" fontId="24" fillId="23" borderId="11" xfId="0" applyNumberFormat="1" applyFont="1" applyFill="1" applyBorder="1" applyAlignment="1" applyProtection="1">
      <alignment horizontal="center" vertical="center"/>
      <protection hidden="1"/>
    </xf>
    <xf numFmtId="10" fontId="21" fillId="2" borderId="15" xfId="0" applyNumberFormat="1" applyFont="1" applyFill="1" applyBorder="1" applyAlignment="1" applyProtection="1">
      <alignment horizontal="right" vertical="center"/>
      <protection locked="0"/>
    </xf>
    <xf numFmtId="10" fontId="21" fillId="2" borderId="17" xfId="0" applyNumberFormat="1" applyFont="1" applyFill="1" applyBorder="1" applyAlignment="1" applyProtection="1">
      <alignment horizontal="right" vertical="center"/>
      <protection locked="0"/>
    </xf>
    <xf numFmtId="41" fontId="18" fillId="23" borderId="8" xfId="3" applyFont="1" applyFill="1" applyBorder="1" applyAlignment="1" applyProtection="1">
      <alignment horizontal="right" vertical="center"/>
      <protection hidden="1"/>
    </xf>
    <xf numFmtId="0" fontId="80" fillId="24" borderId="14" xfId="0" applyFont="1" applyFill="1" applyBorder="1" applyAlignment="1" applyProtection="1">
      <alignment horizontal="center" vertical="center"/>
      <protection hidden="1"/>
    </xf>
    <xf numFmtId="0" fontId="80" fillId="24" borderId="15" xfId="0" applyFont="1" applyFill="1" applyBorder="1" applyAlignment="1" applyProtection="1">
      <alignment horizontal="center" vertical="center"/>
      <protection hidden="1"/>
    </xf>
    <xf numFmtId="0" fontId="9" fillId="2" borderId="0" xfId="0" applyFont="1" applyFill="1" applyAlignment="1" applyProtection="1">
      <alignment horizontal="left" vertical="center" wrapText="1"/>
      <protection hidden="1"/>
    </xf>
    <xf numFmtId="0" fontId="24" fillId="2" borderId="0" xfId="0" applyFont="1" applyFill="1" applyAlignment="1" applyProtection="1">
      <alignment horizontal="center" vertical="center"/>
      <protection hidden="1"/>
    </xf>
    <xf numFmtId="0" fontId="9" fillId="2" borderId="0" xfId="0" applyFont="1" applyFill="1" applyAlignment="1" applyProtection="1">
      <alignment horizontal="center" vertical="center"/>
      <protection hidden="1"/>
    </xf>
    <xf numFmtId="41" fontId="0" fillId="23" borderId="17" xfId="0" applyNumberFormat="1" applyFill="1" applyBorder="1" applyAlignment="1" applyProtection="1">
      <alignment horizontal="center" vertical="center"/>
      <protection hidden="1"/>
    </xf>
    <xf numFmtId="0" fontId="0" fillId="23" borderId="17" xfId="0" applyFill="1" applyBorder="1" applyAlignment="1" applyProtection="1">
      <alignment horizontal="center" vertical="center"/>
      <protection hidden="1"/>
    </xf>
    <xf numFmtId="41" fontId="24" fillId="2" borderId="11" xfId="9" applyFont="1" applyFill="1" applyBorder="1" applyAlignment="1" applyProtection="1">
      <alignment horizontal="center" vertical="center"/>
      <protection hidden="1"/>
    </xf>
    <xf numFmtId="41" fontId="0" fillId="2" borderId="27" xfId="3" applyFont="1" applyFill="1" applyBorder="1" applyAlignment="1" applyProtection="1">
      <alignment horizontal="center" vertical="center"/>
      <protection hidden="1"/>
    </xf>
    <xf numFmtId="41" fontId="0" fillId="2" borderId="35" xfId="3" applyFont="1" applyFill="1" applyBorder="1" applyAlignment="1" applyProtection="1">
      <alignment horizontal="center" vertical="center"/>
      <protection hidden="1"/>
    </xf>
    <xf numFmtId="41" fontId="0" fillId="2" borderId="29" xfId="3" applyFont="1" applyFill="1" applyBorder="1" applyAlignment="1" applyProtection="1">
      <alignment horizontal="center" vertical="center"/>
      <protection hidden="1"/>
    </xf>
    <xf numFmtId="2" fontId="69" fillId="23" borderId="35" xfId="0" applyNumberFormat="1" applyFont="1" applyFill="1" applyBorder="1" applyAlignment="1" applyProtection="1">
      <alignment horizontal="center" vertical="center" wrapText="1"/>
      <protection hidden="1"/>
    </xf>
    <xf numFmtId="0" fontId="69" fillId="23" borderId="35" xfId="0" applyFont="1" applyFill="1" applyBorder="1" applyAlignment="1" applyProtection="1">
      <alignment horizontal="center" vertical="center" wrapText="1"/>
      <protection hidden="1"/>
    </xf>
    <xf numFmtId="0" fontId="69" fillId="2" borderId="35" xfId="0" applyFont="1" applyFill="1" applyBorder="1" applyAlignment="1" applyProtection="1">
      <alignment horizontal="left" vertical="center" wrapText="1"/>
      <protection hidden="1"/>
    </xf>
    <xf numFmtId="0" fontId="69" fillId="2" borderId="17" xfId="0" applyFont="1" applyFill="1" applyBorder="1" applyAlignment="1" applyProtection="1">
      <alignment horizontal="left" vertical="center" wrapText="1"/>
      <protection hidden="1"/>
    </xf>
    <xf numFmtId="0" fontId="83" fillId="2" borderId="14" xfId="0" applyFont="1" applyFill="1" applyBorder="1" applyAlignment="1" applyProtection="1">
      <alignment horizontal="left"/>
      <protection hidden="1"/>
    </xf>
    <xf numFmtId="0" fontId="83" fillId="2" borderId="8" xfId="0" applyFont="1" applyFill="1" applyBorder="1" applyAlignment="1" applyProtection="1">
      <alignment horizontal="left"/>
      <protection hidden="1"/>
    </xf>
    <xf numFmtId="0" fontId="83" fillId="2" borderId="15" xfId="0" applyFont="1" applyFill="1" applyBorder="1" applyAlignment="1" applyProtection="1">
      <alignment horizontal="left"/>
      <protection hidden="1"/>
    </xf>
    <xf numFmtId="0" fontId="24" fillId="2" borderId="0" xfId="0" applyFont="1" applyFill="1" applyAlignment="1" applyProtection="1">
      <alignment horizontal="left" vertical="top" wrapText="1"/>
      <protection hidden="1"/>
    </xf>
    <xf numFmtId="41" fontId="0" fillId="2" borderId="0" xfId="0" applyNumberFormat="1" applyFill="1" applyAlignment="1" applyProtection="1">
      <alignment horizontal="center" vertical="center"/>
      <protection hidden="1"/>
    </xf>
    <xf numFmtId="9" fontId="18" fillId="2" borderId="8" xfId="0" applyNumberFormat="1" applyFont="1" applyFill="1" applyBorder="1" applyAlignment="1" applyProtection="1">
      <alignment horizontal="center" vertical="center"/>
      <protection locked="0"/>
    </xf>
    <xf numFmtId="10" fontId="21" fillId="2" borderId="15" xfId="0" applyNumberFormat="1" applyFont="1" applyFill="1" applyBorder="1" applyAlignment="1" applyProtection="1">
      <alignment horizontal="right" vertical="center"/>
      <protection hidden="1"/>
    </xf>
    <xf numFmtId="10" fontId="21" fillId="2" borderId="17" xfId="0" applyNumberFormat="1" applyFont="1" applyFill="1" applyBorder="1" applyAlignment="1" applyProtection="1">
      <alignment horizontal="right" vertical="center"/>
      <protection hidden="1"/>
    </xf>
    <xf numFmtId="179" fontId="66" fillId="2" borderId="0" xfId="0" applyNumberFormat="1" applyFont="1" applyFill="1" applyAlignment="1" applyProtection="1">
      <alignment horizontal="center" vertical="center"/>
      <protection hidden="1"/>
    </xf>
    <xf numFmtId="37" fontId="12" fillId="23" borderId="0" xfId="0" applyNumberFormat="1" applyFont="1" applyFill="1" applyAlignment="1" applyProtection="1">
      <alignment horizontal="right"/>
      <protection hidden="1"/>
    </xf>
    <xf numFmtId="0" fontId="66" fillId="2" borderId="0" xfId="0" applyFont="1" applyFill="1" applyAlignment="1" applyProtection="1">
      <alignment horizontal="center" vertical="center"/>
      <protection hidden="1"/>
    </xf>
    <xf numFmtId="0" fontId="43" fillId="2" borderId="0" xfId="0" quotePrefix="1" applyFont="1" applyFill="1" applyAlignment="1" applyProtection="1">
      <alignment horizontal="left" wrapText="1"/>
      <protection hidden="1"/>
    </xf>
    <xf numFmtId="0" fontId="43" fillId="2" borderId="4" xfId="0" quotePrefix="1" applyFont="1" applyFill="1" applyBorder="1" applyAlignment="1" applyProtection="1">
      <alignment horizontal="left" wrapText="1"/>
      <protection hidden="1"/>
    </xf>
    <xf numFmtId="9" fontId="43" fillId="2" borderId="0" xfId="0" applyNumberFormat="1" applyFont="1" applyFill="1" applyAlignment="1" applyProtection="1">
      <alignment horizontal="left" vertical="center"/>
      <protection locked="0"/>
    </xf>
    <xf numFmtId="0" fontId="11" fillId="4" borderId="29" xfId="0" applyFont="1" applyFill="1" applyBorder="1" applyAlignment="1" applyProtection="1">
      <alignment horizontal="center" vertical="center"/>
      <protection hidden="1"/>
    </xf>
    <xf numFmtId="0" fontId="11" fillId="4" borderId="11" xfId="0" applyFont="1" applyFill="1" applyBorder="1" applyAlignment="1" applyProtection="1">
      <alignment horizontal="center" vertical="center"/>
      <protection hidden="1"/>
    </xf>
    <xf numFmtId="0" fontId="11" fillId="4" borderId="27" xfId="0" applyFont="1" applyFill="1" applyBorder="1" applyAlignment="1" applyProtection="1">
      <alignment horizontal="center" vertical="center"/>
      <protection hidden="1"/>
    </xf>
    <xf numFmtId="0" fontId="11" fillId="4" borderId="31" xfId="0" applyFont="1" applyFill="1" applyBorder="1" applyAlignment="1" applyProtection="1">
      <alignment horizontal="center" vertical="center"/>
      <protection hidden="1"/>
    </xf>
    <xf numFmtId="0" fontId="11" fillId="4" borderId="5"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protection hidden="1"/>
    </xf>
    <xf numFmtId="0" fontId="11" fillId="4" borderId="30" xfId="0" applyFont="1" applyFill="1" applyBorder="1" applyAlignment="1" applyProtection="1">
      <alignment horizontal="center" vertical="center"/>
      <protection hidden="1"/>
    </xf>
    <xf numFmtId="0" fontId="10" fillId="2" borderId="8" xfId="0" applyFont="1" applyFill="1" applyBorder="1" applyAlignment="1" applyProtection="1">
      <alignment horizontal="center"/>
      <protection hidden="1"/>
    </xf>
    <xf numFmtId="0" fontId="10" fillId="2" borderId="11" xfId="0" applyFont="1" applyFill="1" applyBorder="1" applyAlignment="1" applyProtection="1">
      <alignment horizontal="center" vertical="center"/>
      <protection hidden="1"/>
    </xf>
    <xf numFmtId="0" fontId="10" fillId="2" borderId="0" xfId="0" applyFont="1" applyFill="1" applyAlignment="1" applyProtection="1">
      <alignment horizontal="center" vertical="center"/>
      <protection hidden="1"/>
    </xf>
    <xf numFmtId="37" fontId="10" fillId="2" borderId="11" xfId="0" applyNumberFormat="1" applyFont="1" applyFill="1" applyBorder="1" applyAlignment="1" applyProtection="1">
      <protection hidden="1"/>
    </xf>
    <xf numFmtId="166" fontId="15" fillId="2" borderId="11" xfId="0" applyNumberFormat="1" applyFont="1" applyFill="1" applyBorder="1" applyAlignment="1" applyProtection="1">
      <alignment horizontal="center" vertical="center"/>
      <protection hidden="1"/>
    </xf>
    <xf numFmtId="166" fontId="15" fillId="2" borderId="0" xfId="0" applyNumberFormat="1" applyFont="1" applyFill="1" applyAlignment="1" applyProtection="1">
      <alignment horizontal="center" vertical="center"/>
      <protection hidden="1"/>
    </xf>
    <xf numFmtId="0" fontId="10" fillId="2" borderId="11" xfId="0" applyFont="1" applyFill="1" applyBorder="1" applyAlignment="1" applyProtection="1">
      <alignment horizontal="left" vertical="center"/>
      <protection hidden="1"/>
    </xf>
    <xf numFmtId="0" fontId="10" fillId="2" borderId="27" xfId="0" applyFont="1" applyFill="1" applyBorder="1" applyAlignment="1" applyProtection="1">
      <alignment horizontal="left" vertical="center"/>
      <protection hidden="1"/>
    </xf>
    <xf numFmtId="0" fontId="10" fillId="2" borderId="0" xfId="0" applyFont="1" applyFill="1" applyAlignment="1" applyProtection="1">
      <alignment horizontal="left" vertical="center"/>
      <protection hidden="1"/>
    </xf>
    <xf numFmtId="0" fontId="10" fillId="2" borderId="28" xfId="0" applyFont="1" applyFill="1" applyBorder="1" applyAlignment="1" applyProtection="1">
      <alignment horizontal="left" vertical="center"/>
      <protection hidden="1"/>
    </xf>
    <xf numFmtId="0" fontId="10" fillId="2" borderId="0" xfId="0" applyFont="1" applyFill="1" applyAlignment="1" applyProtection="1">
      <alignment horizontal="center"/>
      <protection hidden="1"/>
    </xf>
    <xf numFmtId="37" fontId="10" fillId="2" borderId="11" xfId="0" applyNumberFormat="1" applyFont="1" applyFill="1" applyBorder="1" applyAlignment="1" applyProtection="1">
      <alignment horizontal="center"/>
      <protection hidden="1"/>
    </xf>
    <xf numFmtId="0" fontId="10" fillId="2" borderId="5" xfId="0" applyFont="1" applyFill="1" applyBorder="1" applyAlignment="1" applyProtection="1">
      <alignment horizontal="center"/>
      <protection hidden="1"/>
    </xf>
    <xf numFmtId="4" fontId="10" fillId="2" borderId="0" xfId="0" applyNumberFormat="1" applyFont="1" applyFill="1" applyAlignment="1" applyProtection="1">
      <alignment horizontal="center"/>
      <protection hidden="1"/>
    </xf>
    <xf numFmtId="37" fontId="10" fillId="2" borderId="8" xfId="0" applyNumberFormat="1" applyFont="1" applyFill="1" applyBorder="1" applyAlignment="1" applyProtection="1">
      <alignment horizontal="center"/>
      <protection hidden="1"/>
    </xf>
    <xf numFmtId="39" fontId="10" fillId="2" borderId="11" xfId="0" applyNumberFormat="1" applyFont="1" applyFill="1" applyBorder="1" applyAlignment="1" applyProtection="1">
      <alignment horizontal="center" vertical="center"/>
      <protection hidden="1"/>
    </xf>
    <xf numFmtId="39" fontId="10" fillId="2" borderId="0" xfId="0" applyNumberFormat="1" applyFont="1" applyFill="1" applyAlignment="1" applyProtection="1">
      <alignment horizontal="center" vertical="center"/>
      <protection hidden="1"/>
    </xf>
    <xf numFmtId="37" fontId="10" fillId="2" borderId="0" xfId="0" applyNumberFormat="1" applyFont="1" applyFill="1" applyAlignment="1" applyProtection="1">
      <alignment horizontal="center"/>
      <protection hidden="1"/>
    </xf>
    <xf numFmtId="37" fontId="10" fillId="2" borderId="0" xfId="0" applyNumberFormat="1" applyFont="1" applyFill="1" applyAlignment="1" applyProtection="1">
      <alignment horizontal="right" vertical="center"/>
      <protection hidden="1"/>
    </xf>
    <xf numFmtId="3" fontId="10" fillId="2" borderId="0" xfId="0" applyNumberFormat="1" applyFont="1" applyFill="1" applyAlignment="1" applyProtection="1">
      <alignment horizontal="center"/>
      <protection hidden="1"/>
    </xf>
    <xf numFmtId="39" fontId="10" fillId="2" borderId="5" xfId="0" applyNumberFormat="1" applyFont="1" applyFill="1" applyBorder="1" applyAlignment="1" applyProtection="1">
      <alignment horizontal="center"/>
      <protection hidden="1"/>
    </xf>
    <xf numFmtId="37" fontId="10" fillId="2" borderId="0" xfId="0" applyNumberFormat="1" applyFont="1" applyFill="1" applyAlignment="1" applyProtection="1">
      <alignment horizontal="center" vertical="center"/>
      <protection hidden="1"/>
    </xf>
    <xf numFmtId="9" fontId="10" fillId="2" borderId="0" xfId="0" applyNumberFormat="1" applyFont="1" applyFill="1" applyAlignment="1" applyProtection="1">
      <alignment horizontal="center" vertical="center"/>
      <protection hidden="1"/>
    </xf>
    <xf numFmtId="0" fontId="10" fillId="2" borderId="28" xfId="0" applyFont="1" applyFill="1" applyBorder="1" applyProtection="1">
      <alignment vertical="center"/>
      <protection hidden="1"/>
    </xf>
    <xf numFmtId="37" fontId="12" fillId="2" borderId="5" xfId="0" applyNumberFormat="1" applyFont="1" applyFill="1" applyBorder="1" applyAlignment="1" applyProtection="1">
      <protection hidden="1"/>
    </xf>
    <xf numFmtId="0" fontId="5" fillId="0" borderId="14" xfId="0" applyFont="1" applyBorder="1" applyAlignment="1">
      <alignment horizontal="left"/>
    </xf>
    <xf numFmtId="0" fontId="5" fillId="0" borderId="15" xfId="0" applyFont="1" applyBorder="1" applyAlignment="1">
      <alignment horizontal="left"/>
    </xf>
    <xf numFmtId="0" fontId="5" fillId="0" borderId="17" xfId="0" applyFont="1" applyBorder="1" applyAlignment="1">
      <alignment horizontal="left"/>
    </xf>
    <xf numFmtId="37" fontId="10" fillId="2" borderId="0" xfId="0" applyNumberFormat="1" applyFont="1" applyFill="1" applyAlignment="1" applyProtection="1">
      <protection hidden="1"/>
    </xf>
    <xf numFmtId="43" fontId="10" fillId="2" borderId="0" xfId="1" applyFont="1" applyFill="1" applyAlignment="1" applyProtection="1">
      <alignment horizontal="center"/>
      <protection hidden="1"/>
    </xf>
    <xf numFmtId="37" fontId="10" fillId="2" borderId="5" xfId="0" applyNumberFormat="1" applyFont="1" applyFill="1" applyBorder="1" applyAlignment="1" applyProtection="1">
      <protection hidden="1"/>
    </xf>
    <xf numFmtId="0" fontId="10" fillId="2" borderId="0" xfId="0" applyFont="1" applyFill="1" applyProtection="1">
      <alignment vertical="center"/>
      <protection hidden="1"/>
    </xf>
    <xf numFmtId="0" fontId="10" fillId="2" borderId="11" xfId="0" applyFont="1" applyFill="1" applyBorder="1" applyAlignment="1" applyProtection="1">
      <alignment horizontal="center"/>
      <protection hidden="1"/>
    </xf>
    <xf numFmtId="37" fontId="10" fillId="2" borderId="11" xfId="0" applyNumberFormat="1" applyFont="1" applyFill="1" applyBorder="1" applyAlignment="1" applyProtection="1">
      <alignment horizontal="right"/>
      <protection hidden="1"/>
    </xf>
    <xf numFmtId="37" fontId="12" fillId="2" borderId="0" xfId="0" applyNumberFormat="1" applyFont="1" applyFill="1" applyAlignment="1" applyProtection="1">
      <protection hidden="1"/>
    </xf>
    <xf numFmtId="0" fontId="18" fillId="0" borderId="31" xfId="0" applyFont="1" applyBorder="1" applyAlignment="1">
      <alignment horizontal="center" vertical="center"/>
    </xf>
    <xf numFmtId="0" fontId="18" fillId="0" borderId="5" xfId="0" applyFont="1" applyBorder="1" applyAlignment="1">
      <alignment horizontal="center" vertical="center"/>
    </xf>
    <xf numFmtId="0" fontId="18" fillId="0" borderId="30" xfId="0" applyFont="1" applyBorder="1" applyAlignment="1">
      <alignment horizontal="center" vertical="center"/>
    </xf>
    <xf numFmtId="0" fontId="18" fillId="0" borderId="29" xfId="0" applyFont="1" applyBorder="1" applyAlignment="1">
      <alignment horizontal="center" vertical="center"/>
    </xf>
    <xf numFmtId="0" fontId="18" fillId="0" borderId="11" xfId="0" applyFont="1" applyBorder="1" applyAlignment="1">
      <alignment horizontal="center" vertical="center"/>
    </xf>
    <xf numFmtId="0" fontId="18" fillId="0" borderId="27" xfId="0" applyFont="1" applyBorder="1" applyAlignment="1">
      <alignment horizontal="center" vertical="center"/>
    </xf>
    <xf numFmtId="0" fontId="0" fillId="0" borderId="29" xfId="0" applyBorder="1" applyAlignment="1">
      <alignment horizontal="center" vertical="center"/>
    </xf>
    <xf numFmtId="0" fontId="0" fillId="0" borderId="11" xfId="0" applyBorder="1" applyAlignment="1">
      <alignment horizontal="center" vertical="center"/>
    </xf>
    <xf numFmtId="0" fontId="0" fillId="0" borderId="27"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28" xfId="0" applyBorder="1" applyAlignment="1">
      <alignment horizontal="center"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18" fillId="0" borderId="28" xfId="0" applyFont="1" applyBorder="1" applyAlignment="1">
      <alignment horizontal="center" vertical="center"/>
    </xf>
    <xf numFmtId="0" fontId="9" fillId="0" borderId="0" xfId="0" applyFont="1" applyAlignment="1">
      <alignment horizontal="left" vertical="center" wrapText="1"/>
    </xf>
    <xf numFmtId="0" fontId="9" fillId="0" borderId="17" xfId="0" applyFont="1" applyBorder="1" applyAlignment="1">
      <alignment horizontal="left" vertical="top" wrapText="1"/>
    </xf>
    <xf numFmtId="0" fontId="0" fillId="0" borderId="17" xfId="0" applyBorder="1" applyAlignment="1">
      <alignment horizontal="left" vertical="top" wrapText="1"/>
    </xf>
    <xf numFmtId="0" fontId="0" fillId="0" borderId="17" xfId="0" applyBorder="1" applyAlignment="1">
      <alignment horizontal="center" vertical="center"/>
    </xf>
    <xf numFmtId="41" fontId="0" fillId="0" borderId="17" xfId="0" applyNumberFormat="1" applyBorder="1" applyAlignment="1">
      <alignment horizontal="center" vertical="center"/>
    </xf>
    <xf numFmtId="0" fontId="0" fillId="0" borderId="40" xfId="0" applyBorder="1" applyAlignment="1">
      <alignment horizontal="center" vertical="center"/>
    </xf>
    <xf numFmtId="0" fontId="18" fillId="0" borderId="39" xfId="0" applyFont="1" applyBorder="1" applyAlignment="1">
      <alignment horizontal="center" vertical="center"/>
    </xf>
    <xf numFmtId="0" fontId="18" fillId="0" borderId="17" xfId="0" applyFont="1" applyBorder="1" applyAlignment="1">
      <alignment horizontal="center" vertical="center"/>
    </xf>
    <xf numFmtId="41" fontId="18" fillId="0" borderId="17" xfId="0" applyNumberFormat="1" applyFont="1" applyBorder="1" applyAlignment="1">
      <alignment horizontal="center" vertical="center"/>
    </xf>
    <xf numFmtId="0" fontId="18" fillId="0" borderId="40" xfId="0" applyFont="1" applyBorder="1" applyAlignment="1">
      <alignment horizontal="center" vertical="center"/>
    </xf>
    <xf numFmtId="0" fontId="9" fillId="0" borderId="17" xfId="0" applyFont="1" applyBorder="1" applyAlignment="1">
      <alignment vertical="top" wrapText="1"/>
    </xf>
    <xf numFmtId="0" fontId="0" fillId="0" borderId="17" xfId="0" applyBorder="1" applyAlignment="1">
      <alignment vertical="top" wrapText="1"/>
    </xf>
    <xf numFmtId="9" fontId="0" fillId="0" borderId="17" xfId="0" applyNumberFormat="1" applyBorder="1" applyAlignment="1">
      <alignment horizontal="center" vertical="center"/>
    </xf>
    <xf numFmtId="0" fontId="9" fillId="0" borderId="17" xfId="0" quotePrefix="1" applyFont="1" applyBorder="1" applyAlignment="1">
      <alignment horizontal="center" vertical="center"/>
    </xf>
    <xf numFmtId="0" fontId="18" fillId="6" borderId="29"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27" xfId="0" applyFont="1" applyFill="1" applyBorder="1" applyAlignment="1">
      <alignment horizontal="center" vertical="center"/>
    </xf>
    <xf numFmtId="0" fontId="9" fillId="6" borderId="31" xfId="0" applyFont="1" applyFill="1" applyBorder="1" applyAlignment="1">
      <alignment horizontal="center" vertical="center"/>
    </xf>
    <xf numFmtId="0" fontId="0" fillId="6" borderId="5" xfId="0" applyFill="1" applyBorder="1" applyAlignment="1">
      <alignment horizontal="center" vertical="center"/>
    </xf>
    <xf numFmtId="0" fontId="0" fillId="6" borderId="30" xfId="0" applyFill="1" applyBorder="1" applyAlignment="1">
      <alignment horizontal="center" vertical="center"/>
    </xf>
    <xf numFmtId="0" fontId="9" fillId="0" borderId="11" xfId="0" applyFont="1" applyBorder="1" applyAlignment="1">
      <alignment horizontal="center" vertical="center"/>
    </xf>
    <xf numFmtId="14" fontId="0" fillId="0" borderId="11" xfId="0" applyNumberFormat="1" applyBorder="1" applyAlignment="1">
      <alignment horizontal="center" vertical="center"/>
    </xf>
    <xf numFmtId="43" fontId="0" fillId="0" borderId="0" xfId="0" applyNumberFormat="1" applyAlignment="1">
      <alignment horizontal="left" vertical="center"/>
    </xf>
    <xf numFmtId="0" fontId="0" fillId="0" borderId="0" xfId="0" applyAlignment="1">
      <alignment horizontal="left" vertical="center"/>
    </xf>
    <xf numFmtId="43" fontId="9" fillId="0" borderId="0" xfId="0" applyNumberFormat="1" applyFont="1" applyAlignment="1">
      <alignment horizontal="left" vertical="center"/>
    </xf>
    <xf numFmtId="0" fontId="84" fillId="2" borderId="17" xfId="0" quotePrefix="1" applyFont="1" applyFill="1" applyBorder="1" applyAlignment="1" applyProtection="1">
      <alignment horizontal="left" vertical="center"/>
      <protection hidden="1"/>
    </xf>
    <xf numFmtId="0" fontId="84" fillId="2" borderId="17" xfId="0" applyFont="1" applyFill="1" applyBorder="1" applyAlignment="1" applyProtection="1">
      <alignment horizontal="left" vertical="center"/>
      <protection hidden="1"/>
    </xf>
    <xf numFmtId="0" fontId="85" fillId="7" borderId="17" xfId="0" applyFont="1" applyFill="1" applyBorder="1" applyAlignment="1" applyProtection="1">
      <alignment horizontal="left" vertical="center"/>
      <protection hidden="1"/>
    </xf>
    <xf numFmtId="0" fontId="85" fillId="7" borderId="40" xfId="0" applyFont="1" applyFill="1" applyBorder="1" applyAlignment="1" applyProtection="1">
      <alignment horizontal="left" vertical="center"/>
      <protection hidden="1"/>
    </xf>
    <xf numFmtId="0" fontId="0" fillId="23" borderId="17" xfId="0" applyFill="1" applyBorder="1" applyProtection="1">
      <alignment vertical="center"/>
      <protection hidden="1"/>
    </xf>
    <xf numFmtId="0" fontId="0" fillId="23" borderId="40" xfId="0" applyFill="1" applyBorder="1" applyProtection="1">
      <alignment vertical="center"/>
      <protection hidden="1"/>
    </xf>
    <xf numFmtId="0" fontId="9" fillId="2" borderId="17" xfId="0" applyFont="1" applyFill="1" applyBorder="1" applyProtection="1">
      <alignment vertical="center"/>
      <protection hidden="1"/>
    </xf>
    <xf numFmtId="0" fontId="0" fillId="2" borderId="17" xfId="0" applyFill="1" applyBorder="1" applyProtection="1">
      <alignment vertical="center"/>
      <protection hidden="1"/>
    </xf>
    <xf numFmtId="0" fontId="0" fillId="23" borderId="17" xfId="0" applyFill="1" applyBorder="1" applyAlignment="1" applyProtection="1">
      <alignment vertical="center" wrapText="1"/>
      <protection hidden="1"/>
    </xf>
    <xf numFmtId="0" fontId="0" fillId="23" borderId="40" xfId="0" applyFill="1" applyBorder="1" applyAlignment="1" applyProtection="1">
      <alignment vertical="center" wrapText="1"/>
      <protection hidden="1"/>
    </xf>
    <xf numFmtId="0" fontId="0" fillId="2" borderId="17" xfId="0" applyFill="1" applyBorder="1" applyAlignment="1" applyProtection="1">
      <alignment horizontal="left" vertical="center"/>
      <protection hidden="1"/>
    </xf>
    <xf numFmtId="0" fontId="9" fillId="2" borderId="17" xfId="0" applyFont="1" applyFill="1" applyBorder="1" applyAlignment="1" applyProtection="1">
      <alignment horizontal="left" vertical="center"/>
      <protection hidden="1"/>
    </xf>
    <xf numFmtId="0" fontId="0" fillId="23" borderId="17" xfId="0" applyFill="1" applyBorder="1" applyAlignment="1" applyProtection="1">
      <alignment horizontal="left" vertical="center"/>
      <protection hidden="1"/>
    </xf>
    <xf numFmtId="0" fontId="0" fillId="23" borderId="40" xfId="0" applyFill="1" applyBorder="1" applyAlignment="1" applyProtection="1">
      <alignment horizontal="left" vertical="center"/>
      <protection hidden="1"/>
    </xf>
    <xf numFmtId="0" fontId="4" fillId="0" borderId="24"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4" fillId="0" borderId="26" xfId="0" applyFont="1" applyBorder="1" applyAlignment="1" applyProtection="1">
      <alignment horizontal="center" vertical="center"/>
      <protection hidden="1"/>
    </xf>
    <xf numFmtId="0" fontId="18" fillId="0" borderId="10" xfId="0" applyFont="1" applyBorder="1" applyAlignment="1" applyProtection="1">
      <alignment horizontal="center" vertical="center"/>
      <protection hidden="1"/>
    </xf>
    <xf numFmtId="0" fontId="18" fillId="0" borderId="11" xfId="0" applyFont="1" applyBorder="1" applyAlignment="1" applyProtection="1">
      <alignment horizontal="center" vertical="center"/>
      <protection hidden="1"/>
    </xf>
    <xf numFmtId="0" fontId="18" fillId="0" borderId="12" xfId="0" applyFont="1" applyBorder="1" applyAlignment="1" applyProtection="1">
      <alignment horizontal="center" vertical="center"/>
      <protection hidden="1"/>
    </xf>
    <xf numFmtId="43" fontId="0" fillId="23" borderId="8" xfId="0" applyNumberFormat="1" applyFill="1" applyBorder="1" applyAlignment="1" applyProtection="1">
      <alignment horizontal="left" vertical="center"/>
      <protection hidden="1"/>
    </xf>
    <xf numFmtId="43" fontId="9" fillId="23" borderId="8" xfId="0" applyNumberFormat="1" applyFont="1" applyFill="1" applyBorder="1" applyAlignment="1" applyProtection="1">
      <alignment horizontal="left" vertical="center"/>
      <protection hidden="1"/>
    </xf>
    <xf numFmtId="186" fontId="0" fillId="23" borderId="8" xfId="3" applyNumberFormat="1" applyFont="1" applyFill="1" applyBorder="1" applyAlignment="1" applyProtection="1">
      <alignment horizontal="left" vertical="center"/>
      <protection hidden="1"/>
    </xf>
    <xf numFmtId="41" fontId="9" fillId="23" borderId="8" xfId="3" applyFont="1" applyFill="1" applyBorder="1" applyAlignment="1" applyProtection="1">
      <alignment horizontal="left" vertical="top" wrapText="1"/>
      <protection hidden="1"/>
    </xf>
    <xf numFmtId="0" fontId="110" fillId="24" borderId="7" xfId="0" applyFont="1" applyFill="1" applyBorder="1" applyAlignment="1" applyProtection="1">
      <alignment horizontal="center" vertical="center"/>
      <protection hidden="1"/>
    </xf>
    <xf numFmtId="0" fontId="110" fillId="24" borderId="8" xfId="0" applyFont="1" applyFill="1" applyBorder="1" applyAlignment="1" applyProtection="1">
      <alignment horizontal="center" vertical="center"/>
      <protection hidden="1"/>
    </xf>
    <xf numFmtId="0" fontId="110" fillId="24" borderId="9" xfId="0" applyFont="1" applyFill="1" applyBorder="1" applyAlignment="1" applyProtection="1">
      <alignment horizontal="center" vertical="center"/>
      <protection hidden="1"/>
    </xf>
    <xf numFmtId="0" fontId="0" fillId="23" borderId="8" xfId="0" applyFill="1" applyBorder="1" applyAlignment="1" applyProtection="1">
      <alignment horizontal="left" vertical="center"/>
      <protection hidden="1"/>
    </xf>
    <xf numFmtId="43" fontId="0" fillId="23" borderId="5" xfId="0" applyNumberFormat="1" applyFill="1" applyBorder="1" applyAlignment="1" applyProtection="1">
      <alignment horizontal="left" vertical="center"/>
      <protection hidden="1"/>
    </xf>
    <xf numFmtId="0" fontId="62" fillId="24" borderId="3" xfId="0" applyFont="1" applyFill="1" applyBorder="1" applyAlignment="1" applyProtection="1">
      <alignment horizontal="center" vertical="center"/>
      <protection hidden="1"/>
    </xf>
    <xf numFmtId="0" fontId="62" fillId="24" borderId="0" xfId="0" applyFont="1" applyFill="1" applyAlignment="1" applyProtection="1">
      <alignment horizontal="center" vertical="center"/>
      <protection hidden="1"/>
    </xf>
    <xf numFmtId="0" fontId="62" fillId="24" borderId="4" xfId="0" applyFont="1" applyFill="1" applyBorder="1" applyAlignment="1" applyProtection="1">
      <alignment horizontal="center" vertical="center"/>
      <protection hidden="1"/>
    </xf>
    <xf numFmtId="1" fontId="0" fillId="23" borderId="8" xfId="0" applyNumberFormat="1" applyFill="1" applyBorder="1" applyAlignment="1" applyProtection="1">
      <alignment horizontal="left" vertical="center"/>
      <protection hidden="1"/>
    </xf>
    <xf numFmtId="10" fontId="0" fillId="23" borderId="8" xfId="0" applyNumberFormat="1" applyFill="1" applyBorder="1" applyAlignment="1" applyProtection="1">
      <alignment horizontal="left" vertical="center"/>
      <protection hidden="1"/>
    </xf>
    <xf numFmtId="0" fontId="18" fillId="0" borderId="13" xfId="0" applyFont="1" applyBorder="1" applyAlignment="1" applyProtection="1">
      <alignment horizontal="center" vertical="center"/>
      <protection hidden="1"/>
    </xf>
    <xf numFmtId="0" fontId="18" fillId="0" borderId="5" xfId="0" applyFont="1" applyBorder="1" applyAlignment="1" applyProtection="1">
      <alignment horizontal="center" vertical="center"/>
      <protection hidden="1"/>
    </xf>
    <xf numFmtId="0" fontId="18" fillId="0" borderId="6" xfId="0" applyFont="1" applyBorder="1" applyAlignment="1" applyProtection="1">
      <alignment horizontal="center" vertical="center"/>
      <protection hidden="1"/>
    </xf>
    <xf numFmtId="43" fontId="0" fillId="23" borderId="17" xfId="0" applyNumberFormat="1" applyFill="1" applyBorder="1" applyProtection="1">
      <alignment vertical="center"/>
      <protection hidden="1"/>
    </xf>
    <xf numFmtId="185" fontId="48" fillId="23" borderId="8" xfId="0" applyNumberFormat="1" applyFont="1" applyFill="1" applyBorder="1" applyAlignment="1" applyProtection="1">
      <alignment horizontal="right" vertical="center"/>
      <protection hidden="1"/>
    </xf>
    <xf numFmtId="185" fontId="48" fillId="23" borderId="15" xfId="0" applyNumberFormat="1" applyFont="1" applyFill="1" applyBorder="1" applyAlignment="1" applyProtection="1">
      <alignment horizontal="right" vertical="center"/>
      <protection hidden="1"/>
    </xf>
    <xf numFmtId="0" fontId="24" fillId="2" borderId="0" xfId="0" applyFont="1" applyFill="1" applyAlignment="1" applyProtection="1">
      <alignment horizontal="center" vertical="center"/>
      <protection locked="0"/>
    </xf>
    <xf numFmtId="0" fontId="24" fillId="2" borderId="5" xfId="0" applyFont="1" applyFill="1" applyBorder="1" applyAlignment="1" applyProtection="1">
      <alignment horizontal="center" vertical="center"/>
      <protection locked="0"/>
    </xf>
    <xf numFmtId="0" fontId="24" fillId="2" borderId="52" xfId="0" applyFont="1" applyFill="1" applyBorder="1" applyAlignment="1" applyProtection="1">
      <alignment horizontal="center" vertical="top"/>
      <protection locked="0"/>
    </xf>
    <xf numFmtId="0" fontId="24" fillId="2" borderId="18" xfId="0" applyFont="1" applyFill="1" applyBorder="1" applyAlignment="1" applyProtection="1">
      <alignment horizontal="center" vertical="center"/>
      <protection locked="0"/>
    </xf>
    <xf numFmtId="0" fontId="24" fillId="2" borderId="8" xfId="0" applyFont="1" applyFill="1" applyBorder="1" applyAlignment="1" applyProtection="1">
      <alignment horizontal="left"/>
      <protection hidden="1"/>
    </xf>
    <xf numFmtId="9" fontId="24" fillId="2" borderId="0" xfId="0" applyNumberFormat="1" applyFont="1" applyFill="1" applyAlignment="1" applyProtection="1">
      <alignment horizontal="center" vertical="center"/>
      <protection hidden="1"/>
    </xf>
    <xf numFmtId="0" fontId="43" fillId="2" borderId="16" xfId="0" quotePrefix="1" applyFont="1" applyFill="1" applyBorder="1" applyAlignment="1" applyProtection="1">
      <alignment horizontal="left" wrapText="1"/>
      <protection hidden="1"/>
    </xf>
    <xf numFmtId="49" fontId="0" fillId="23" borderId="17" xfId="0" applyNumberFormat="1" applyFill="1" applyBorder="1" applyAlignment="1" applyProtection="1">
      <alignment horizontal="left" vertical="center"/>
      <protection hidden="1"/>
    </xf>
    <xf numFmtId="49" fontId="0" fillId="23" borderId="40" xfId="0" applyNumberFormat="1" applyFill="1" applyBorder="1" applyAlignment="1" applyProtection="1">
      <alignment horizontal="left" vertical="center"/>
      <protection hidden="1"/>
    </xf>
    <xf numFmtId="0" fontId="44" fillId="2" borderId="0" xfId="0" applyFont="1" applyFill="1" applyAlignment="1" applyProtection="1">
      <alignment horizontal="left" vertical="top" wrapText="1"/>
      <protection locked="0"/>
    </xf>
    <xf numFmtId="0" fontId="48" fillId="23" borderId="8" xfId="0" applyFont="1" applyFill="1" applyBorder="1" applyAlignment="1" applyProtection="1">
      <alignment horizontal="center" vertical="center"/>
      <protection hidden="1"/>
    </xf>
    <xf numFmtId="10" fontId="48" fillId="23" borderId="8" xfId="0" applyNumberFormat="1" applyFont="1" applyFill="1" applyBorder="1" applyAlignment="1" applyProtection="1">
      <alignment horizontal="center" vertical="center"/>
      <protection hidden="1"/>
    </xf>
    <xf numFmtId="10" fontId="48" fillId="23" borderId="15" xfId="0" applyNumberFormat="1" applyFont="1" applyFill="1" applyBorder="1" applyAlignment="1" applyProtection="1">
      <alignment horizontal="center" vertical="center"/>
      <protection hidden="1"/>
    </xf>
    <xf numFmtId="0" fontId="24" fillId="2" borderId="3" xfId="0" applyFont="1" applyFill="1" applyBorder="1" applyAlignment="1" applyProtection="1">
      <alignment horizontal="center" vertical="center"/>
      <protection locked="0"/>
    </xf>
    <xf numFmtId="0" fontId="24" fillId="2" borderId="4" xfId="0" applyFont="1" applyFill="1" applyBorder="1" applyAlignment="1" applyProtection="1">
      <alignment horizontal="center" vertical="center"/>
      <protection locked="0"/>
    </xf>
    <xf numFmtId="43" fontId="53" fillId="2" borderId="0" xfId="0" applyNumberFormat="1" applyFont="1" applyFill="1" applyAlignment="1" applyProtection="1">
      <alignment horizontal="center" vertical="center"/>
      <protection locked="0"/>
    </xf>
    <xf numFmtId="0" fontId="24" fillId="2" borderId="18" xfId="0" applyFont="1" applyFill="1" applyBorder="1" applyAlignment="1" applyProtection="1">
      <alignment horizontal="center" vertical="top"/>
      <protection locked="0"/>
    </xf>
    <xf numFmtId="4" fontId="76" fillId="0" borderId="17" xfId="0" applyNumberFormat="1" applyFont="1" applyBorder="1" applyAlignment="1">
      <alignment horizontal="center"/>
    </xf>
    <xf numFmtId="3" fontId="76" fillId="22" borderId="44" xfId="0" applyNumberFormat="1" applyFont="1" applyFill="1" applyBorder="1" applyAlignment="1">
      <alignment horizontal="center" vertical="center"/>
    </xf>
    <xf numFmtId="3" fontId="76" fillId="22" borderId="16" xfId="0" applyNumberFormat="1" applyFont="1" applyFill="1" applyBorder="1" applyAlignment="1">
      <alignment horizontal="center" vertical="center"/>
    </xf>
    <xf numFmtId="3" fontId="76" fillId="22" borderId="42" xfId="0" applyNumberFormat="1" applyFont="1" applyFill="1" applyBorder="1" applyAlignment="1">
      <alignment horizontal="center" vertical="center"/>
    </xf>
    <xf numFmtId="4" fontId="73" fillId="0" borderId="0" xfId="0" applyNumberFormat="1" applyFont="1" applyAlignment="1">
      <alignment horizontal="center" vertical="center"/>
    </xf>
    <xf numFmtId="3" fontId="76" fillId="18" borderId="7" xfId="0" applyNumberFormat="1" applyFont="1" applyFill="1" applyBorder="1" applyAlignment="1">
      <alignment horizontal="center"/>
    </xf>
    <xf numFmtId="3" fontId="76" fillId="18" borderId="15" xfId="0" applyNumberFormat="1" applyFont="1" applyFill="1" applyBorder="1" applyAlignment="1">
      <alignment horizontal="center"/>
    </xf>
    <xf numFmtId="3" fontId="74" fillId="0" borderId="0" xfId="0" applyNumberFormat="1" applyFont="1" applyAlignment="1">
      <alignment horizontal="center"/>
    </xf>
    <xf numFmtId="3" fontId="79" fillId="0" borderId="0" xfId="0" applyNumberFormat="1" applyFont="1" applyAlignment="1">
      <alignment horizontal="center"/>
    </xf>
    <xf numFmtId="3" fontId="90" fillId="0" borderId="0" xfId="0" applyNumberFormat="1" applyFont="1" applyAlignment="1">
      <alignment horizontal="center"/>
    </xf>
    <xf numFmtId="3" fontId="90" fillId="0" borderId="28" xfId="0" applyNumberFormat="1" applyFont="1" applyBorder="1" applyAlignment="1">
      <alignment horizontal="center"/>
    </xf>
    <xf numFmtId="0" fontId="92" fillId="2" borderId="17" xfId="0" applyFont="1" applyFill="1" applyBorder="1" applyAlignment="1" applyProtection="1">
      <alignment horizontal="center"/>
      <protection locked="0"/>
    </xf>
    <xf numFmtId="0" fontId="27" fillId="0" borderId="0" xfId="5" applyFont="1" applyAlignment="1" applyProtection="1">
      <alignment horizontal="center" vertical="center" wrapText="1"/>
      <protection hidden="1"/>
    </xf>
    <xf numFmtId="0" fontId="27" fillId="0" borderId="18" xfId="5" applyFont="1" applyBorder="1" applyAlignment="1" applyProtection="1">
      <alignment horizontal="center" vertical="center" wrapText="1"/>
      <protection hidden="1"/>
    </xf>
    <xf numFmtId="173" fontId="29" fillId="11" borderId="29" xfId="5" applyNumberFormat="1" applyFont="1" applyFill="1" applyBorder="1" applyAlignment="1" applyProtection="1">
      <alignment horizontal="center" vertical="center" wrapText="1"/>
      <protection hidden="1"/>
    </xf>
    <xf numFmtId="173" fontId="29" fillId="11" borderId="11" xfId="5" applyNumberFormat="1" applyFont="1" applyFill="1" applyBorder="1" applyAlignment="1" applyProtection="1">
      <alignment horizontal="center" vertical="center" wrapText="1"/>
      <protection hidden="1"/>
    </xf>
    <xf numFmtId="173" fontId="29" fillId="11" borderId="27" xfId="5" applyNumberFormat="1" applyFont="1" applyFill="1" applyBorder="1" applyAlignment="1" applyProtection="1">
      <alignment horizontal="center" vertical="center" wrapText="1"/>
      <protection hidden="1"/>
    </xf>
    <xf numFmtId="173" fontId="29" fillId="12" borderId="29" xfId="5" applyNumberFormat="1" applyFont="1" applyFill="1" applyBorder="1" applyAlignment="1" applyProtection="1">
      <alignment horizontal="center" vertical="center" wrapText="1"/>
      <protection hidden="1"/>
    </xf>
    <xf numFmtId="173" fontId="29" fillId="12" borderId="11" xfId="5" applyNumberFormat="1" applyFont="1" applyFill="1" applyBorder="1" applyAlignment="1" applyProtection="1">
      <alignment horizontal="center" vertical="center" wrapText="1"/>
      <protection hidden="1"/>
    </xf>
    <xf numFmtId="173" fontId="29" fillId="12" borderId="27" xfId="5" applyNumberFormat="1" applyFont="1" applyFill="1" applyBorder="1" applyAlignment="1" applyProtection="1">
      <alignment horizontal="center" vertical="center" wrapText="1"/>
      <protection hidden="1"/>
    </xf>
    <xf numFmtId="0" fontId="82" fillId="3" borderId="33" xfId="0" applyFont="1" applyFill="1" applyBorder="1" applyAlignment="1" applyProtection="1">
      <alignment horizontal="center" vertical="top" wrapText="1"/>
      <protection hidden="1"/>
    </xf>
  </cellXfs>
  <cellStyles count="25">
    <cellStyle name="Comma" xfId="1" builtinId="3"/>
    <cellStyle name="Comma [0]" xfId="3" builtinId="6"/>
    <cellStyle name="Comma [0] 2" xfId="9"/>
    <cellStyle name="Comma 2" xfId="17"/>
    <cellStyle name="Comma 3" xfId="23"/>
    <cellStyle name="Dezimal [0]_35ERI8T2gbIEMixb4v26icuOo" xfId="10"/>
    <cellStyle name="Dezimal_35ERI8T2gbIEMixb4v26icuOo" xfId="11"/>
    <cellStyle name="Normal" xfId="0" builtinId="0"/>
    <cellStyle name="Normal - Style1" xfId="12"/>
    <cellStyle name="Normal 2" xfId="4"/>
    <cellStyle name="Normal 2 2" xfId="22"/>
    <cellStyle name="Normal 3" xfId="8"/>
    <cellStyle name="Normal 4" xfId="16"/>
    <cellStyle name="Normal 5" xfId="19"/>
    <cellStyle name="Normal 6" xfId="20"/>
    <cellStyle name="Normal 7" xfId="21"/>
    <cellStyle name="Normal 8" xfId="24"/>
    <cellStyle name="Normal_Credit Scoring KPM_KPR_KJR (ver 1)" xfId="5"/>
    <cellStyle name="Normal_Credit Scoring KSG_CC (ver 1)" xfId="7"/>
    <cellStyle name="Percent" xfId="2" builtinId="5"/>
    <cellStyle name="Percent 2" xfId="6"/>
    <cellStyle name="Percent 3" xfId="18"/>
    <cellStyle name="Standard_Data" xfId="13"/>
    <cellStyle name="Währung [0]_35ERI8T2gbIEMixb4v26icuOo" xfId="14"/>
    <cellStyle name="Währung_35ERI8T2gbIEMixb4v26icuOo" xfId="15"/>
  </cellStyles>
  <dxfs count="3">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009900"/>
      <color rgb="FF006600"/>
      <color rgb="FFB2EAFE"/>
      <color rgb="FFFDF5B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45720</xdr:colOff>
          <xdr:row>0</xdr:row>
          <xdr:rowOff>22860</xdr:rowOff>
        </xdr:from>
        <xdr:to>
          <xdr:col>1</xdr:col>
          <xdr:colOff>2080260</xdr:colOff>
          <xdr:row>2</xdr:row>
          <xdr:rowOff>30480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0</xdr:row>
          <xdr:rowOff>22860</xdr:rowOff>
        </xdr:from>
        <xdr:to>
          <xdr:col>9</xdr:col>
          <xdr:colOff>647700</xdr:colOff>
          <xdr:row>1</xdr:row>
          <xdr:rowOff>137160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180975</xdr:colOff>
      <xdr:row>175</xdr:row>
      <xdr:rowOff>0</xdr:rowOff>
    </xdr:from>
    <xdr:to>
      <xdr:col>2</xdr:col>
      <xdr:colOff>180975</xdr:colOff>
      <xdr:row>175</xdr:row>
      <xdr:rowOff>0</xdr:rowOff>
    </xdr:to>
    <xdr:sp macro="" textlink="">
      <xdr:nvSpPr>
        <xdr:cNvPr id="2" name="AutoShape 1">
          <a:extLst>
            <a:ext uri="{FF2B5EF4-FFF2-40B4-BE49-F238E27FC236}">
              <a16:creationId xmlns:a16="http://schemas.microsoft.com/office/drawing/2014/main" id="{00000000-0008-0000-0300-000007080000}"/>
            </a:ext>
          </a:extLst>
        </xdr:cNvPr>
        <xdr:cNvSpPr>
          <a:spLocks noChangeArrowheads="1"/>
        </xdr:cNvSpPr>
      </xdr:nvSpPr>
      <xdr:spPr bwMode="auto">
        <a:xfrm>
          <a:off x="1628775" y="25774650"/>
          <a:ext cx="0" cy="0"/>
        </a:xfrm>
        <a:prstGeom prst="rightArrow">
          <a:avLst>
            <a:gd name="adj1" fmla="val 50000"/>
            <a:gd name="adj2" fmla="val -2147483648"/>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OLEH%20OLEH\pendidikan%20AO%202007\Hari%208%20-%2010\Arsilius\Documents%20and%20Settings\Compaq%20dc%207100\My%20Documents\BAB05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BPR\Downloads\SCORING%20KC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NB\Analisa%20K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ULAN%20PYD%20SCORE\FIX%20INCOME\SCOORING%20FIX%20INCO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KASUS1"/>
      <sheetName val="KASUS2"/>
      <sheetName val="KASUS3"/>
      <sheetName val="KASUS4"/>
      <sheetName val="KASUS5"/>
      <sheetName val="KASUS6"/>
      <sheetName val="KASUS7"/>
      <sheetName val="KASUS8"/>
      <sheetName val="KASUS9"/>
      <sheetName val="KASUS10"/>
      <sheetName val="KASUS11"/>
      <sheetName val="KASUS12"/>
    </sheetNames>
    <sheetDataSet>
      <sheetData sheetId="0"/>
      <sheetData sheetId="1"/>
      <sheetData sheetId="2"/>
      <sheetData sheetId="3"/>
      <sheetData sheetId="4"/>
      <sheetData sheetId="5"/>
      <sheetData sheetId="6"/>
      <sheetData sheetId="7"/>
      <sheetData sheetId="8">
        <row r="15">
          <cell r="B15">
            <v>1</v>
          </cell>
        </row>
      </sheetData>
      <sheetData sheetId="9"/>
      <sheetData sheetId="10">
        <row r="23">
          <cell r="I23">
            <v>1</v>
          </cell>
        </row>
        <row r="24">
          <cell r="I24">
            <v>2</v>
          </cell>
        </row>
        <row r="25">
          <cell r="I25">
            <v>3</v>
          </cell>
        </row>
        <row r="26">
          <cell r="I26">
            <v>4</v>
          </cell>
        </row>
        <row r="27">
          <cell r="I27">
            <v>5</v>
          </cell>
        </row>
        <row r="28">
          <cell r="I28">
            <v>6</v>
          </cell>
        </row>
        <row r="29">
          <cell r="I29">
            <v>7</v>
          </cell>
        </row>
        <row r="30">
          <cell r="I30">
            <v>8</v>
          </cell>
        </row>
        <row r="31">
          <cell r="I31">
            <v>9</v>
          </cell>
        </row>
        <row r="32">
          <cell r="I32">
            <v>10</v>
          </cell>
        </row>
        <row r="33">
          <cell r="I33">
            <v>11</v>
          </cell>
        </row>
        <row r="34">
          <cell r="I34">
            <v>12</v>
          </cell>
        </row>
        <row r="35">
          <cell r="I35">
            <v>13</v>
          </cell>
        </row>
        <row r="36">
          <cell r="I36">
            <v>14</v>
          </cell>
        </row>
        <row r="37">
          <cell r="I37">
            <v>15</v>
          </cell>
        </row>
        <row r="38">
          <cell r="I38">
            <v>16</v>
          </cell>
        </row>
        <row r="39">
          <cell r="I39">
            <v>17</v>
          </cell>
        </row>
        <row r="40">
          <cell r="I40">
            <v>18</v>
          </cell>
        </row>
        <row r="41">
          <cell r="I41">
            <v>19</v>
          </cell>
        </row>
        <row r="42">
          <cell r="I42">
            <v>20</v>
          </cell>
        </row>
        <row r="43">
          <cell r="I43">
            <v>21</v>
          </cell>
        </row>
        <row r="44">
          <cell r="I44">
            <v>22</v>
          </cell>
        </row>
        <row r="45">
          <cell r="I45">
            <v>23</v>
          </cell>
        </row>
        <row r="46">
          <cell r="I46">
            <v>24</v>
          </cell>
        </row>
        <row r="47">
          <cell r="I47">
            <v>25</v>
          </cell>
        </row>
        <row r="48">
          <cell r="I48">
            <v>26</v>
          </cell>
        </row>
        <row r="49">
          <cell r="I49">
            <v>27</v>
          </cell>
        </row>
        <row r="50">
          <cell r="I50">
            <v>28</v>
          </cell>
        </row>
        <row r="51">
          <cell r="I51">
            <v>29</v>
          </cell>
        </row>
        <row r="52">
          <cell r="I52">
            <v>30</v>
          </cell>
        </row>
        <row r="53">
          <cell r="I53">
            <v>31</v>
          </cell>
        </row>
        <row r="54">
          <cell r="I54">
            <v>32</v>
          </cell>
        </row>
        <row r="55">
          <cell r="I55">
            <v>33</v>
          </cell>
        </row>
        <row r="56">
          <cell r="I56">
            <v>34</v>
          </cell>
        </row>
        <row r="57">
          <cell r="I57">
            <v>35</v>
          </cell>
        </row>
        <row r="58">
          <cell r="I58">
            <v>36</v>
          </cell>
        </row>
        <row r="59">
          <cell r="I59">
            <v>37</v>
          </cell>
        </row>
        <row r="60">
          <cell r="I60">
            <v>38</v>
          </cell>
        </row>
        <row r="61">
          <cell r="I61">
            <v>39</v>
          </cell>
        </row>
        <row r="62">
          <cell r="I62">
            <v>40</v>
          </cell>
        </row>
        <row r="63">
          <cell r="I63">
            <v>41</v>
          </cell>
        </row>
        <row r="64">
          <cell r="I64">
            <v>42</v>
          </cell>
        </row>
        <row r="65">
          <cell r="I65">
            <v>43</v>
          </cell>
        </row>
        <row r="66">
          <cell r="I66">
            <v>44</v>
          </cell>
        </row>
        <row r="67">
          <cell r="I67">
            <v>45</v>
          </cell>
        </row>
        <row r="68">
          <cell r="I68">
            <v>46</v>
          </cell>
        </row>
        <row r="69">
          <cell r="I69">
            <v>47</v>
          </cell>
        </row>
        <row r="70">
          <cell r="I70">
            <v>48</v>
          </cell>
        </row>
        <row r="71">
          <cell r="I71">
            <v>49</v>
          </cell>
        </row>
        <row r="72">
          <cell r="I72">
            <v>50</v>
          </cell>
        </row>
        <row r="73">
          <cell r="I73">
            <v>51</v>
          </cell>
        </row>
        <row r="74">
          <cell r="I74">
            <v>52</v>
          </cell>
        </row>
        <row r="75">
          <cell r="I75">
            <v>53</v>
          </cell>
        </row>
        <row r="76">
          <cell r="I76">
            <v>54</v>
          </cell>
        </row>
        <row r="77">
          <cell r="I77">
            <v>55</v>
          </cell>
        </row>
        <row r="78">
          <cell r="I78">
            <v>56</v>
          </cell>
        </row>
        <row r="79">
          <cell r="I79">
            <v>57</v>
          </cell>
        </row>
        <row r="80">
          <cell r="I80">
            <v>58</v>
          </cell>
        </row>
        <row r="81">
          <cell r="I81">
            <v>59</v>
          </cell>
        </row>
        <row r="82">
          <cell r="I82">
            <v>60</v>
          </cell>
        </row>
        <row r="83">
          <cell r="I83">
            <v>61</v>
          </cell>
        </row>
        <row r="84">
          <cell r="I84">
            <v>62</v>
          </cell>
        </row>
        <row r="85">
          <cell r="I85">
            <v>63</v>
          </cell>
        </row>
        <row r="86">
          <cell r="I86">
            <v>64</v>
          </cell>
        </row>
        <row r="87">
          <cell r="I87">
            <v>65</v>
          </cell>
        </row>
        <row r="88">
          <cell r="I88">
            <v>66</v>
          </cell>
        </row>
        <row r="89">
          <cell r="I89">
            <v>67</v>
          </cell>
        </row>
        <row r="90">
          <cell r="I90">
            <v>68</v>
          </cell>
        </row>
        <row r="91">
          <cell r="I91">
            <v>69</v>
          </cell>
        </row>
        <row r="92">
          <cell r="I92">
            <v>70</v>
          </cell>
        </row>
        <row r="93">
          <cell r="I93">
            <v>71</v>
          </cell>
        </row>
        <row r="94">
          <cell r="I94">
            <v>72</v>
          </cell>
        </row>
        <row r="95">
          <cell r="I95">
            <v>73</v>
          </cell>
        </row>
        <row r="96">
          <cell r="I96">
            <v>74</v>
          </cell>
        </row>
        <row r="97">
          <cell r="I97">
            <v>75</v>
          </cell>
        </row>
        <row r="98">
          <cell r="I98">
            <v>76</v>
          </cell>
        </row>
        <row r="99">
          <cell r="I99">
            <v>77</v>
          </cell>
        </row>
        <row r="100">
          <cell r="I100">
            <v>78</v>
          </cell>
        </row>
        <row r="101">
          <cell r="I101">
            <v>79</v>
          </cell>
        </row>
        <row r="102">
          <cell r="I102">
            <v>80</v>
          </cell>
        </row>
        <row r="103">
          <cell r="I103">
            <v>81</v>
          </cell>
        </row>
        <row r="104">
          <cell r="I104">
            <v>82</v>
          </cell>
        </row>
        <row r="105">
          <cell r="I105">
            <v>83</v>
          </cell>
        </row>
        <row r="106">
          <cell r="I106">
            <v>84</v>
          </cell>
        </row>
        <row r="107">
          <cell r="I107">
            <v>85</v>
          </cell>
        </row>
        <row r="108">
          <cell r="I108">
            <v>86</v>
          </cell>
        </row>
        <row r="109">
          <cell r="I109">
            <v>87</v>
          </cell>
        </row>
        <row r="110">
          <cell r="I110">
            <v>88</v>
          </cell>
        </row>
        <row r="111">
          <cell r="I111">
            <v>89</v>
          </cell>
        </row>
        <row r="112">
          <cell r="I112">
            <v>90</v>
          </cell>
        </row>
        <row r="113">
          <cell r="I113">
            <v>91</v>
          </cell>
        </row>
        <row r="114">
          <cell r="I114">
            <v>92</v>
          </cell>
        </row>
        <row r="115">
          <cell r="I115">
            <v>93</v>
          </cell>
        </row>
        <row r="116">
          <cell r="I116">
            <v>94</v>
          </cell>
        </row>
        <row r="117">
          <cell r="I117">
            <v>95</v>
          </cell>
        </row>
        <row r="118">
          <cell r="I118">
            <v>96</v>
          </cell>
        </row>
        <row r="119">
          <cell r="I119">
            <v>97</v>
          </cell>
        </row>
        <row r="120">
          <cell r="I120">
            <v>98</v>
          </cell>
        </row>
        <row r="121">
          <cell r="I121">
            <v>99</v>
          </cell>
        </row>
        <row r="122">
          <cell r="I122">
            <v>100</v>
          </cell>
        </row>
        <row r="123">
          <cell r="I123">
            <v>101</v>
          </cell>
        </row>
        <row r="124">
          <cell r="I124">
            <v>102</v>
          </cell>
        </row>
        <row r="125">
          <cell r="I125">
            <v>103</v>
          </cell>
        </row>
        <row r="126">
          <cell r="I126">
            <v>104</v>
          </cell>
        </row>
        <row r="127">
          <cell r="I127">
            <v>105</v>
          </cell>
        </row>
        <row r="128">
          <cell r="I128">
            <v>106</v>
          </cell>
        </row>
        <row r="129">
          <cell r="I129">
            <v>107</v>
          </cell>
        </row>
        <row r="130">
          <cell r="I130">
            <v>108</v>
          </cell>
        </row>
        <row r="131">
          <cell r="I131">
            <v>109</v>
          </cell>
        </row>
        <row r="132">
          <cell r="I132">
            <v>110</v>
          </cell>
        </row>
        <row r="133">
          <cell r="I133">
            <v>111</v>
          </cell>
        </row>
        <row r="134">
          <cell r="I134">
            <v>112</v>
          </cell>
        </row>
        <row r="135">
          <cell r="I135">
            <v>113</v>
          </cell>
        </row>
        <row r="136">
          <cell r="I136">
            <v>114</v>
          </cell>
        </row>
        <row r="137">
          <cell r="I137">
            <v>115</v>
          </cell>
        </row>
        <row r="138">
          <cell r="I138">
            <v>116</v>
          </cell>
        </row>
        <row r="139">
          <cell r="I139">
            <v>117</v>
          </cell>
        </row>
        <row r="140">
          <cell r="I140">
            <v>118</v>
          </cell>
        </row>
        <row r="141">
          <cell r="I141">
            <v>119</v>
          </cell>
        </row>
        <row r="142">
          <cell r="I142">
            <v>120</v>
          </cell>
        </row>
        <row r="143">
          <cell r="I143">
            <v>121</v>
          </cell>
        </row>
        <row r="144">
          <cell r="I144">
            <v>122</v>
          </cell>
        </row>
        <row r="145">
          <cell r="I145">
            <v>123</v>
          </cell>
        </row>
        <row r="146">
          <cell r="I146">
            <v>124</v>
          </cell>
        </row>
        <row r="147">
          <cell r="I147">
            <v>125</v>
          </cell>
        </row>
        <row r="148">
          <cell r="I148">
            <v>126</v>
          </cell>
        </row>
        <row r="149">
          <cell r="I149">
            <v>127</v>
          </cell>
        </row>
        <row r="150">
          <cell r="I150">
            <v>128</v>
          </cell>
        </row>
        <row r="151">
          <cell r="I151">
            <v>129</v>
          </cell>
        </row>
        <row r="152">
          <cell r="I152">
            <v>130</v>
          </cell>
        </row>
        <row r="153">
          <cell r="I153">
            <v>131</v>
          </cell>
        </row>
        <row r="154">
          <cell r="I154">
            <v>132</v>
          </cell>
        </row>
        <row r="155">
          <cell r="I155">
            <v>133</v>
          </cell>
        </row>
        <row r="156">
          <cell r="I156">
            <v>134</v>
          </cell>
        </row>
        <row r="157">
          <cell r="I157">
            <v>135</v>
          </cell>
        </row>
        <row r="158">
          <cell r="I158">
            <v>136</v>
          </cell>
        </row>
        <row r="159">
          <cell r="I159">
            <v>137</v>
          </cell>
        </row>
        <row r="160">
          <cell r="I160">
            <v>138</v>
          </cell>
        </row>
        <row r="161">
          <cell r="I161">
            <v>139</v>
          </cell>
        </row>
        <row r="162">
          <cell r="I162">
            <v>140</v>
          </cell>
        </row>
        <row r="163">
          <cell r="I163">
            <v>141</v>
          </cell>
        </row>
        <row r="164">
          <cell r="I164">
            <v>142</v>
          </cell>
        </row>
        <row r="165">
          <cell r="I165">
            <v>143</v>
          </cell>
        </row>
        <row r="166">
          <cell r="I166">
            <v>144</v>
          </cell>
        </row>
        <row r="167">
          <cell r="I167">
            <v>145</v>
          </cell>
        </row>
        <row r="168">
          <cell r="I168">
            <v>146</v>
          </cell>
        </row>
        <row r="169">
          <cell r="I169">
            <v>147</v>
          </cell>
        </row>
        <row r="170">
          <cell r="I170">
            <v>148</v>
          </cell>
        </row>
        <row r="171">
          <cell r="I171">
            <v>149</v>
          </cell>
        </row>
        <row r="172">
          <cell r="I172">
            <v>150</v>
          </cell>
        </row>
        <row r="173">
          <cell r="I173">
            <v>151</v>
          </cell>
        </row>
        <row r="174">
          <cell r="I174">
            <v>152</v>
          </cell>
        </row>
        <row r="175">
          <cell r="I175">
            <v>153</v>
          </cell>
        </row>
        <row r="176">
          <cell r="I176">
            <v>154</v>
          </cell>
        </row>
        <row r="177">
          <cell r="I177">
            <v>155</v>
          </cell>
        </row>
        <row r="178">
          <cell r="I178">
            <v>156</v>
          </cell>
        </row>
        <row r="179">
          <cell r="I179">
            <v>157</v>
          </cell>
        </row>
        <row r="180">
          <cell r="I180">
            <v>158</v>
          </cell>
        </row>
        <row r="181">
          <cell r="I181">
            <v>159</v>
          </cell>
        </row>
        <row r="182">
          <cell r="I182">
            <v>160</v>
          </cell>
        </row>
        <row r="183">
          <cell r="I183">
            <v>161</v>
          </cell>
        </row>
        <row r="184">
          <cell r="I184">
            <v>162</v>
          </cell>
        </row>
        <row r="185">
          <cell r="I185">
            <v>163</v>
          </cell>
        </row>
        <row r="186">
          <cell r="I186">
            <v>164</v>
          </cell>
        </row>
        <row r="187">
          <cell r="I187">
            <v>165</v>
          </cell>
        </row>
        <row r="188">
          <cell r="I188">
            <v>166</v>
          </cell>
        </row>
        <row r="189">
          <cell r="I189">
            <v>167</v>
          </cell>
        </row>
        <row r="190">
          <cell r="I190">
            <v>168</v>
          </cell>
        </row>
        <row r="191">
          <cell r="I191">
            <v>169</v>
          </cell>
        </row>
        <row r="192">
          <cell r="I192">
            <v>170</v>
          </cell>
        </row>
        <row r="193">
          <cell r="I193">
            <v>171</v>
          </cell>
        </row>
        <row r="194">
          <cell r="I194">
            <v>172</v>
          </cell>
        </row>
        <row r="195">
          <cell r="I195">
            <v>173</v>
          </cell>
        </row>
        <row r="196">
          <cell r="I196">
            <v>174</v>
          </cell>
        </row>
        <row r="197">
          <cell r="I197">
            <v>175</v>
          </cell>
        </row>
        <row r="198">
          <cell r="I198">
            <v>176</v>
          </cell>
        </row>
        <row r="199">
          <cell r="I199">
            <v>177</v>
          </cell>
        </row>
        <row r="200">
          <cell r="I200">
            <v>178</v>
          </cell>
        </row>
        <row r="201">
          <cell r="I201">
            <v>179</v>
          </cell>
        </row>
        <row r="202">
          <cell r="I202">
            <v>180</v>
          </cell>
        </row>
      </sheetData>
      <sheetData sheetId="11"/>
      <sheetData sheetId="12">
        <row r="20">
          <cell r="K20" t="str">
            <v>CICILAN POKOK PINJAMAN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sheetName val="kocab"/>
      <sheetName val="parameter"/>
      <sheetName val="parameter_tier"/>
      <sheetName val="Formulir"/>
      <sheetName val="Cetak Laporan"/>
    </sheetNames>
    <sheetDataSet>
      <sheetData sheetId="0"/>
      <sheetData sheetId="1"/>
      <sheetData sheetId="2">
        <row r="6">
          <cell r="E6" t="str">
            <v>21 - 30 tahun</v>
          </cell>
        </row>
        <row r="7">
          <cell r="E7" t="str">
            <v>31 - 40 tahun</v>
          </cell>
        </row>
        <row r="8">
          <cell r="E8" t="str">
            <v>41 - 55 tahun</v>
          </cell>
        </row>
        <row r="9">
          <cell r="E9" t="str">
            <v>56 - 60 tahun</v>
          </cell>
        </row>
        <row r="11">
          <cell r="E11" t="str">
            <v>Menikah</v>
          </cell>
        </row>
        <row r="12">
          <cell r="E12" t="str">
            <v>Lajang</v>
          </cell>
        </row>
        <row r="14">
          <cell r="E14" t="str">
            <v>Tanggungan &gt; 5 Orang</v>
          </cell>
        </row>
        <row r="15">
          <cell r="E15" t="str">
            <v>Tanggungan 3 - 5 Orang</v>
          </cell>
        </row>
        <row r="16">
          <cell r="E16" t="str">
            <v>tanggungan 1 - 2 Orang</v>
          </cell>
        </row>
        <row r="17">
          <cell r="E17" t="str">
            <v>Tidak Mempunyai Tanggungan</v>
          </cell>
        </row>
        <row r="19">
          <cell r="E19" t="str">
            <v>Sekolah Dasar/Sekolah Menengah Pertama</v>
          </cell>
        </row>
        <row r="20">
          <cell r="E20" t="str">
            <v>Sekolah Menengah Umum</v>
          </cell>
        </row>
        <row r="21">
          <cell r="E21" t="str">
            <v>Akademi</v>
          </cell>
        </row>
        <row r="22">
          <cell r="E22" t="str">
            <v>Universitas</v>
          </cell>
        </row>
        <row r="26">
          <cell r="E26" t="str">
            <v>Sewa</v>
          </cell>
        </row>
        <row r="27">
          <cell r="E27" t="str">
            <v>Lain-lain (Menumpang)</v>
          </cell>
        </row>
        <row r="28">
          <cell r="E28" t="str">
            <v>Mencicil</v>
          </cell>
        </row>
        <row r="29">
          <cell r="E29" t="str">
            <v>Milik sendiri</v>
          </cell>
        </row>
        <row r="31">
          <cell r="E31" t="str">
            <v>0 - 2 tahun</v>
          </cell>
        </row>
        <row r="32">
          <cell r="E32" t="str">
            <v>&gt; 2 - 5 tahun</v>
          </cell>
        </row>
        <row r="33">
          <cell r="E33" t="str">
            <v>&gt; 5 - 8 tahun</v>
          </cell>
        </row>
        <row r="34">
          <cell r="E34" t="str">
            <v>&gt; 8 tahun</v>
          </cell>
        </row>
        <row r="36">
          <cell r="E36" t="str">
            <v>Tidak Bagus</v>
          </cell>
        </row>
        <row r="37">
          <cell r="E37" t="str">
            <v>Tidak dikenal</v>
          </cell>
        </row>
        <row r="38">
          <cell r="E38" t="str">
            <v>Dikenal namum kurang bersosialisasi</v>
          </cell>
        </row>
        <row r="39">
          <cell r="E39" t="str">
            <v>Dikenal memiliki reputasi baik/tokoh masyarakat</v>
          </cell>
        </row>
        <row r="43">
          <cell r="E43" t="str">
            <v>=1 tahun</v>
          </cell>
        </row>
        <row r="44">
          <cell r="E44" t="str">
            <v>&gt;1 - 5 tahun</v>
          </cell>
        </row>
        <row r="45">
          <cell r="E45" t="str">
            <v>&gt;5 - 10 tahun</v>
          </cell>
        </row>
        <row r="46">
          <cell r="E46" t="str">
            <v>&gt;10 tahun</v>
          </cell>
        </row>
        <row r="53">
          <cell r="E53" t="str">
            <v>Kebutuhan Tersier</v>
          </cell>
        </row>
        <row r="54">
          <cell r="E54" t="str">
            <v>Kebutuhan Sekunder</v>
          </cell>
        </row>
        <row r="55">
          <cell r="E55" t="str">
            <v>Kebutuhan Primer</v>
          </cell>
        </row>
        <row r="57">
          <cell r="E57" t="str">
            <v>Konsinyasi &amp; Bagi Hasil</v>
          </cell>
        </row>
        <row r="58">
          <cell r="E58" t="str">
            <v>Kredit</v>
          </cell>
        </row>
        <row r="59">
          <cell r="E59" t="str">
            <v>Kredit &amp; Tunai</v>
          </cell>
        </row>
        <row r="60">
          <cell r="E60" t="str">
            <v>Tunai</v>
          </cell>
        </row>
        <row r="62">
          <cell r="E62" t="str">
            <v>Lain-lain</v>
          </cell>
        </row>
        <row r="63">
          <cell r="E63" t="str">
            <v>Sewa</v>
          </cell>
        </row>
        <row r="64">
          <cell r="E64" t="str">
            <v>Mencicil</v>
          </cell>
        </row>
        <row r="65">
          <cell r="E65" t="str">
            <v>Milik sendiri</v>
          </cell>
        </row>
        <row r="67">
          <cell r="E67" t="str">
            <v>Lain-lain</v>
          </cell>
        </row>
        <row r="68">
          <cell r="E68" t="str">
            <v>Berpindah</v>
          </cell>
        </row>
        <row r="69">
          <cell r="E69" t="str">
            <v>Mangkal/Non Permanen</v>
          </cell>
        </row>
        <row r="70">
          <cell r="E70" t="str">
            <v>Menetap/Permanen</v>
          </cell>
        </row>
        <row r="86">
          <cell r="E86" t="str">
            <v>TK &lt;= 2 Orang</v>
          </cell>
        </row>
        <row r="87">
          <cell r="E87" t="str">
            <v>2 &lt; TK &lt;= 5 Orang</v>
          </cell>
        </row>
        <row r="88">
          <cell r="E88" t="str">
            <v>5 &lt; TK &lt;= 10 Orang</v>
          </cell>
        </row>
        <row r="89">
          <cell r="E89" t="str">
            <v>TK &gt; 10 Orang</v>
          </cell>
        </row>
        <row r="91">
          <cell r="E91" t="str">
            <v>Tidak terdapat pencatatan dan pemisahan pengelolaan keuangan usaha</v>
          </cell>
        </row>
        <row r="92">
          <cell r="E92" t="str">
            <v>Terdapat pemisahan pengelolaan usaha namun tidak terdapat pencatatan</v>
          </cell>
        </row>
        <row r="93">
          <cell r="E93" t="str">
            <v>Terdapat pemisahan dan pencatatan keuangan dilakukan sederhana namun belum memiliki laporan keuangan sendiri</v>
          </cell>
        </row>
        <row r="94">
          <cell r="E94" t="str">
            <v>Terdapat pemisahan dan memiliki pencatatan yang baik serta mampu membuat laporan keuangan sendiri</v>
          </cell>
        </row>
        <row r="96">
          <cell r="E96" t="str">
            <v>Lebih besar dari kredit yang dimohon</v>
          </cell>
        </row>
        <row r="97">
          <cell r="E97" t="str">
            <v>sampai dengan 50 % dari Kredit yang dimohon</v>
          </cell>
        </row>
        <row r="98">
          <cell r="E98" t="str">
            <v>sampai dengan 25 % dari Kredit yang dimohon</v>
          </cell>
        </row>
        <row r="99">
          <cell r="E99" t="str">
            <v>tidak ada / sebagian kecil dari kredit yang dimohon</v>
          </cell>
        </row>
        <row r="103">
          <cell r="E103" t="str">
            <v>Belum Pernah</v>
          </cell>
        </row>
        <row r="104">
          <cell r="E104" t="str">
            <v>Nasabah/debitur bank &lt; 1 tahun</v>
          </cell>
        </row>
        <row r="105">
          <cell r="E105" t="str">
            <v>Nasabah/debitur bank 1 - 3 tahun</v>
          </cell>
        </row>
        <row r="106">
          <cell r="E106" t="str">
            <v>Nasabah/debitur bank &gt; 3 tahun</v>
          </cell>
        </row>
        <row r="118">
          <cell r="E118" t="str">
            <v>Kurang baik / Sering Menunggak</v>
          </cell>
        </row>
        <row r="119">
          <cell r="E119" t="str">
            <v>Belum Pernah</v>
          </cell>
        </row>
        <row r="120">
          <cell r="E120" t="str">
            <v>1 - 2 Tahun Berjalan baik</v>
          </cell>
        </row>
        <row r="121">
          <cell r="E121" t="str">
            <v>Lebih dari 2 Tahun dan berjalan baik</v>
          </cell>
        </row>
        <row r="132">
          <cell r="E132" t="str">
            <v>Ada agunan, CEV &lt; 40%</v>
          </cell>
        </row>
        <row r="133">
          <cell r="E133" t="str">
            <v>Ada agunan, CEV  &gt;=  40%</v>
          </cell>
        </row>
        <row r="159">
          <cell r="E159" t="str">
            <v>Modal Kerja</v>
          </cell>
        </row>
        <row r="160">
          <cell r="E160" t="str">
            <v>Investasi</v>
          </cell>
        </row>
        <row r="163">
          <cell r="E163" t="str">
            <v>Laki-laki</v>
          </cell>
        </row>
        <row r="164">
          <cell r="E164" t="str">
            <v>Perempuan</v>
          </cell>
        </row>
        <row r="174">
          <cell r="E174" t="str">
            <v>Pedagang</v>
          </cell>
        </row>
        <row r="175">
          <cell r="E175" t="str">
            <v>Petani</v>
          </cell>
        </row>
        <row r="176">
          <cell r="E176" t="str">
            <v>Swasta</v>
          </cell>
        </row>
        <row r="177">
          <cell r="E177" t="str">
            <v>Lainnya</v>
          </cell>
        </row>
        <row r="180">
          <cell r="E180" t="str">
            <v>Menikah</v>
          </cell>
        </row>
        <row r="181">
          <cell r="E181" t="str">
            <v>Lajang (termasuk janda/duda)</v>
          </cell>
        </row>
        <row r="184">
          <cell r="E184" t="str">
            <v>Pedagang</v>
          </cell>
        </row>
        <row r="185">
          <cell r="E185" t="str">
            <v>Petani</v>
          </cell>
        </row>
        <row r="186">
          <cell r="E186" t="str">
            <v>Swasta</v>
          </cell>
        </row>
        <row r="187">
          <cell r="E187" t="str">
            <v>Lainnya</v>
          </cell>
        </row>
        <row r="190">
          <cell r="E190" t="str">
            <v>01 Bulan</v>
          </cell>
        </row>
        <row r="191">
          <cell r="E191" t="str">
            <v>02 Bulan</v>
          </cell>
        </row>
        <row r="192">
          <cell r="E192" t="str">
            <v>03 Bulan</v>
          </cell>
        </row>
        <row r="193">
          <cell r="E193" t="str">
            <v>04 Bulan</v>
          </cell>
        </row>
        <row r="194">
          <cell r="E194" t="str">
            <v>05 Bulan</v>
          </cell>
        </row>
        <row r="195">
          <cell r="E195" t="str">
            <v>06 Bulan</v>
          </cell>
        </row>
        <row r="196">
          <cell r="E196" t="str">
            <v>10 Bulan</v>
          </cell>
        </row>
        <row r="197">
          <cell r="E197" t="str">
            <v>12 Bulan</v>
          </cell>
        </row>
        <row r="198">
          <cell r="E198" t="str">
            <v>13 Bulan</v>
          </cell>
        </row>
        <row r="199">
          <cell r="E199" t="str">
            <v>14 Bulan</v>
          </cell>
        </row>
        <row r="200">
          <cell r="E200" t="str">
            <v>15 Bulan</v>
          </cell>
        </row>
        <row r="201">
          <cell r="E201" t="str">
            <v>16 Bulan</v>
          </cell>
        </row>
        <row r="202">
          <cell r="E202" t="str">
            <v>17 Bulan</v>
          </cell>
        </row>
        <row r="203">
          <cell r="E203" t="str">
            <v>18 Bulan</v>
          </cell>
        </row>
        <row r="204">
          <cell r="E204" t="str">
            <v>19 Bulan</v>
          </cell>
        </row>
        <row r="205">
          <cell r="E205" t="str">
            <v>20 Bulan</v>
          </cell>
        </row>
        <row r="206">
          <cell r="E206" t="str">
            <v>24 Bulan</v>
          </cell>
        </row>
        <row r="207">
          <cell r="E207" t="str">
            <v>36 Bulan</v>
          </cell>
        </row>
        <row r="208">
          <cell r="E208" t="str">
            <v>48 Bulan</v>
          </cell>
        </row>
        <row r="209">
          <cell r="E209" t="str">
            <v>50 Bulan</v>
          </cell>
        </row>
        <row r="210">
          <cell r="E210" t="str">
            <v>52 Bulan</v>
          </cell>
        </row>
        <row r="211">
          <cell r="E211" t="str">
            <v>60 Bulan</v>
          </cell>
        </row>
      </sheetData>
      <sheetData sheetId="3">
        <row r="48">
          <cell r="E48" t="str">
            <v>Sektor Pertanian Tanaman Pangan</v>
          </cell>
        </row>
        <row r="49">
          <cell r="E49" t="str">
            <v>Sektor Perkebunan</v>
          </cell>
        </row>
        <row r="50">
          <cell r="E50" t="str">
            <v>Sektor Peternakan</v>
          </cell>
        </row>
        <row r="51">
          <cell r="E51" t="str">
            <v>Sektor Perikanan</v>
          </cell>
        </row>
        <row r="52">
          <cell r="E52" t="str">
            <v>Sektor Kehutanan</v>
          </cell>
        </row>
        <row r="53">
          <cell r="E53" t="str">
            <v>Sektor Perindustrian</v>
          </cell>
        </row>
        <row r="54">
          <cell r="E54" t="str">
            <v>Sektor Pertambangan Rakyat</v>
          </cell>
        </row>
        <row r="55">
          <cell r="E55" t="str">
            <v>Sektor Lainnya</v>
          </cell>
        </row>
        <row r="141">
          <cell r="E141">
            <v>-10</v>
          </cell>
        </row>
        <row r="142">
          <cell r="E142">
            <v>-9</v>
          </cell>
        </row>
        <row r="143">
          <cell r="E143">
            <v>-8</v>
          </cell>
        </row>
        <row r="144">
          <cell r="E144">
            <v>-7</v>
          </cell>
        </row>
        <row r="145">
          <cell r="E145">
            <v>-6</v>
          </cell>
        </row>
        <row r="146">
          <cell r="E146">
            <v>-5</v>
          </cell>
        </row>
        <row r="147">
          <cell r="E147">
            <v>-4</v>
          </cell>
        </row>
        <row r="148">
          <cell r="E148">
            <v>-3</v>
          </cell>
        </row>
        <row r="149">
          <cell r="E149">
            <v>-2</v>
          </cell>
        </row>
        <row r="150">
          <cell r="E150">
            <v>-1</v>
          </cell>
        </row>
        <row r="151">
          <cell r="E151">
            <v>0</v>
          </cell>
        </row>
        <row r="152">
          <cell r="E152">
            <v>1</v>
          </cell>
        </row>
        <row r="153">
          <cell r="E153">
            <v>2</v>
          </cell>
        </row>
        <row r="154">
          <cell r="E154">
            <v>3</v>
          </cell>
        </row>
        <row r="155">
          <cell r="E155">
            <v>4</v>
          </cell>
        </row>
        <row r="156">
          <cell r="E156">
            <v>5</v>
          </cell>
        </row>
        <row r="157">
          <cell r="E157">
            <v>6</v>
          </cell>
        </row>
        <row r="158">
          <cell r="E158">
            <v>7</v>
          </cell>
        </row>
        <row r="159">
          <cell r="E159">
            <v>8</v>
          </cell>
        </row>
        <row r="160">
          <cell r="E160">
            <v>9</v>
          </cell>
        </row>
        <row r="161">
          <cell r="E161">
            <v>10</v>
          </cell>
        </row>
      </sheetData>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
      <sheetName val="ASPEK KEU"/>
      <sheetName val="KEBUTUHAN KREDIT"/>
      <sheetName val="REKOMENDASI"/>
    </sheetNames>
    <sheetDataSet>
      <sheetData sheetId="0"/>
      <sheetData sheetId="1"/>
      <sheetData sheetId="2">
        <row r="46">
          <cell r="K46">
            <v>1</v>
          </cell>
        </row>
        <row r="47">
          <cell r="K47">
            <v>2</v>
          </cell>
        </row>
        <row r="48">
          <cell r="K48">
            <v>3</v>
          </cell>
        </row>
        <row r="49">
          <cell r="K49">
            <v>4</v>
          </cell>
        </row>
        <row r="50">
          <cell r="K50">
            <v>5</v>
          </cell>
        </row>
      </sheetData>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angan"/>
      <sheetName val="AKTIVITAS USAHA"/>
      <sheetName val="Aspek Keuangan"/>
      <sheetName val="Rekening"/>
      <sheetName val="Usulan Pembiayaan"/>
      <sheetName val="K Modal"/>
      <sheetName val="Komite Kredit"/>
      <sheetName val="Keputusan Pembiayaan"/>
      <sheetName val="Jadang"/>
      <sheetName val="Biaya"/>
      <sheetName val="Komite"/>
      <sheetName val="Parameter"/>
      <sheetName val="Rating"/>
      <sheetName val="SPPK"/>
    </sheetNames>
    <sheetDataSet>
      <sheetData sheetId="0">
        <row r="5">
          <cell r="D5" t="str">
            <v>11 January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412"/>
  <sheetViews>
    <sheetView topLeftCell="A70" zoomScale="115" zoomScaleNormal="115" workbookViewId="0">
      <selection activeCell="E75" sqref="E75"/>
    </sheetView>
  </sheetViews>
  <sheetFormatPr defaultColWidth="8.88671875" defaultRowHeight="15.6"/>
  <cols>
    <col min="1" max="1" width="4.5546875" style="645" customWidth="1"/>
    <col min="2" max="2" width="35.109375" style="626" customWidth="1"/>
    <col min="3" max="3" width="1.33203125" style="626" customWidth="1"/>
    <col min="4" max="4" width="7.109375" style="626" customWidth="1"/>
    <col min="5" max="5" width="15.88671875" style="626" customWidth="1"/>
    <col min="6" max="6" width="6" style="626" customWidth="1"/>
    <col min="7" max="7" width="9" style="626" customWidth="1"/>
    <col min="8" max="8" width="12.33203125" style="626" customWidth="1"/>
    <col min="9" max="9" width="5.88671875" style="626" customWidth="1"/>
    <col min="10" max="10" width="11" style="626" customWidth="1"/>
    <col min="11" max="11" width="10.44140625" style="626" customWidth="1"/>
    <col min="12" max="12" width="20.44140625" style="626" hidden="1" customWidth="1"/>
    <col min="13" max="18" width="25.88671875" style="626" hidden="1" customWidth="1"/>
    <col min="19" max="27" width="8.88671875" style="626" hidden="1" customWidth="1"/>
    <col min="28" max="33" width="8.88671875" style="626" customWidth="1"/>
    <col min="34" max="255" width="7.6640625" style="626"/>
    <col min="256" max="256" width="7.44140625" style="626" customWidth="1"/>
    <col min="257" max="257" width="25.6640625" style="626" customWidth="1"/>
    <col min="258" max="258" width="5.44140625" style="626" customWidth="1"/>
    <col min="259" max="259" width="5.33203125" style="626" customWidth="1"/>
    <col min="260" max="260" width="20.44140625" style="626" customWidth="1"/>
    <col min="261" max="261" width="5.33203125" style="626" customWidth="1"/>
    <col min="262" max="262" width="7.6640625" style="626"/>
    <col min="263" max="263" width="11.44140625" style="626" customWidth="1"/>
    <col min="264" max="264" width="5.88671875" style="626" customWidth="1"/>
    <col min="265" max="265" width="13.44140625" style="626" customWidth="1"/>
    <col min="266" max="266" width="10.44140625" style="626" customWidth="1"/>
    <col min="267" max="269" width="7.6640625" style="626" customWidth="1"/>
    <col min="270" max="271" width="10.44140625" style="626" customWidth="1"/>
    <col min="272" max="511" width="7.6640625" style="626"/>
    <col min="512" max="512" width="7.44140625" style="626" customWidth="1"/>
    <col min="513" max="513" width="25.6640625" style="626" customWidth="1"/>
    <col min="514" max="514" width="5.44140625" style="626" customWidth="1"/>
    <col min="515" max="515" width="5.33203125" style="626" customWidth="1"/>
    <col min="516" max="516" width="20.44140625" style="626" customWidth="1"/>
    <col min="517" max="517" width="5.33203125" style="626" customWidth="1"/>
    <col min="518" max="518" width="7.6640625" style="626"/>
    <col min="519" max="519" width="11.44140625" style="626" customWidth="1"/>
    <col min="520" max="520" width="5.88671875" style="626" customWidth="1"/>
    <col min="521" max="521" width="13.44140625" style="626" customWidth="1"/>
    <col min="522" max="522" width="10.44140625" style="626" customWidth="1"/>
    <col min="523" max="525" width="7.6640625" style="626" customWidth="1"/>
    <col min="526" max="527" width="10.44140625" style="626" customWidth="1"/>
    <col min="528" max="767" width="7.6640625" style="626"/>
    <col min="768" max="768" width="7.44140625" style="626" customWidth="1"/>
    <col min="769" max="769" width="25.6640625" style="626" customWidth="1"/>
    <col min="770" max="770" width="5.44140625" style="626" customWidth="1"/>
    <col min="771" max="771" width="5.33203125" style="626" customWidth="1"/>
    <col min="772" max="772" width="20.44140625" style="626" customWidth="1"/>
    <col min="773" max="773" width="5.33203125" style="626" customWidth="1"/>
    <col min="774" max="774" width="7.6640625" style="626"/>
    <col min="775" max="775" width="11.44140625" style="626" customWidth="1"/>
    <col min="776" max="776" width="5.88671875" style="626" customWidth="1"/>
    <col min="777" max="777" width="13.44140625" style="626" customWidth="1"/>
    <col min="778" max="778" width="10.44140625" style="626" customWidth="1"/>
    <col min="779" max="781" width="7.6640625" style="626" customWidth="1"/>
    <col min="782" max="783" width="10.44140625" style="626" customWidth="1"/>
    <col min="784" max="1023" width="7.6640625" style="626"/>
    <col min="1024" max="1024" width="7.44140625" style="626" customWidth="1"/>
    <col min="1025" max="1025" width="25.6640625" style="626" customWidth="1"/>
    <col min="1026" max="1026" width="5.44140625" style="626" customWidth="1"/>
    <col min="1027" max="1027" width="5.33203125" style="626" customWidth="1"/>
    <col min="1028" max="1028" width="20.44140625" style="626" customWidth="1"/>
    <col min="1029" max="1029" width="5.33203125" style="626" customWidth="1"/>
    <col min="1030" max="1030" width="7.6640625" style="626"/>
    <col min="1031" max="1031" width="11.44140625" style="626" customWidth="1"/>
    <col min="1032" max="1032" width="5.88671875" style="626" customWidth="1"/>
    <col min="1033" max="1033" width="13.44140625" style="626" customWidth="1"/>
    <col min="1034" max="1034" width="10.44140625" style="626" customWidth="1"/>
    <col min="1035" max="1037" width="7.6640625" style="626" customWidth="1"/>
    <col min="1038" max="1039" width="10.44140625" style="626" customWidth="1"/>
    <col min="1040" max="1279" width="7.6640625" style="626"/>
    <col min="1280" max="1280" width="7.44140625" style="626" customWidth="1"/>
    <col min="1281" max="1281" width="25.6640625" style="626" customWidth="1"/>
    <col min="1282" max="1282" width="5.44140625" style="626" customWidth="1"/>
    <col min="1283" max="1283" width="5.33203125" style="626" customWidth="1"/>
    <col min="1284" max="1284" width="20.44140625" style="626" customWidth="1"/>
    <col min="1285" max="1285" width="5.33203125" style="626" customWidth="1"/>
    <col min="1286" max="1286" width="7.6640625" style="626"/>
    <col min="1287" max="1287" width="11.44140625" style="626" customWidth="1"/>
    <col min="1288" max="1288" width="5.88671875" style="626" customWidth="1"/>
    <col min="1289" max="1289" width="13.44140625" style="626" customWidth="1"/>
    <col min="1290" max="1290" width="10.44140625" style="626" customWidth="1"/>
    <col min="1291" max="1293" width="7.6640625" style="626" customWidth="1"/>
    <col min="1294" max="1295" width="10.44140625" style="626" customWidth="1"/>
    <col min="1296" max="1535" width="7.6640625" style="626"/>
    <col min="1536" max="1536" width="7.44140625" style="626" customWidth="1"/>
    <col min="1537" max="1537" width="25.6640625" style="626" customWidth="1"/>
    <col min="1538" max="1538" width="5.44140625" style="626" customWidth="1"/>
    <col min="1539" max="1539" width="5.33203125" style="626" customWidth="1"/>
    <col min="1540" max="1540" width="20.44140625" style="626" customWidth="1"/>
    <col min="1541" max="1541" width="5.33203125" style="626" customWidth="1"/>
    <col min="1542" max="1542" width="7.6640625" style="626"/>
    <col min="1543" max="1543" width="11.44140625" style="626" customWidth="1"/>
    <col min="1544" max="1544" width="5.88671875" style="626" customWidth="1"/>
    <col min="1545" max="1545" width="13.44140625" style="626" customWidth="1"/>
    <col min="1546" max="1546" width="10.44140625" style="626" customWidth="1"/>
    <col min="1547" max="1549" width="7.6640625" style="626" customWidth="1"/>
    <col min="1550" max="1551" width="10.44140625" style="626" customWidth="1"/>
    <col min="1552" max="1791" width="7.6640625" style="626"/>
    <col min="1792" max="1792" width="7.44140625" style="626" customWidth="1"/>
    <col min="1793" max="1793" width="25.6640625" style="626" customWidth="1"/>
    <col min="1794" max="1794" width="5.44140625" style="626" customWidth="1"/>
    <col min="1795" max="1795" width="5.33203125" style="626" customWidth="1"/>
    <col min="1796" max="1796" width="20.44140625" style="626" customWidth="1"/>
    <col min="1797" max="1797" width="5.33203125" style="626" customWidth="1"/>
    <col min="1798" max="1798" width="7.6640625" style="626"/>
    <col min="1799" max="1799" width="11.44140625" style="626" customWidth="1"/>
    <col min="1800" max="1800" width="5.88671875" style="626" customWidth="1"/>
    <col min="1801" max="1801" width="13.44140625" style="626" customWidth="1"/>
    <col min="1802" max="1802" width="10.44140625" style="626" customWidth="1"/>
    <col min="1803" max="1805" width="7.6640625" style="626" customWidth="1"/>
    <col min="1806" max="1807" width="10.44140625" style="626" customWidth="1"/>
    <col min="1808" max="2047" width="7.6640625" style="626"/>
    <col min="2048" max="2048" width="7.44140625" style="626" customWidth="1"/>
    <col min="2049" max="2049" width="25.6640625" style="626" customWidth="1"/>
    <col min="2050" max="2050" width="5.44140625" style="626" customWidth="1"/>
    <col min="2051" max="2051" width="5.33203125" style="626" customWidth="1"/>
    <col min="2052" max="2052" width="20.44140625" style="626" customWidth="1"/>
    <col min="2053" max="2053" width="5.33203125" style="626" customWidth="1"/>
    <col min="2054" max="2054" width="7.6640625" style="626"/>
    <col min="2055" max="2055" width="11.44140625" style="626" customWidth="1"/>
    <col min="2056" max="2056" width="5.88671875" style="626" customWidth="1"/>
    <col min="2057" max="2057" width="13.44140625" style="626" customWidth="1"/>
    <col min="2058" max="2058" width="10.44140625" style="626" customWidth="1"/>
    <col min="2059" max="2061" width="7.6640625" style="626" customWidth="1"/>
    <col min="2062" max="2063" width="10.44140625" style="626" customWidth="1"/>
    <col min="2064" max="2303" width="7.6640625" style="626"/>
    <col min="2304" max="2304" width="7.44140625" style="626" customWidth="1"/>
    <col min="2305" max="2305" width="25.6640625" style="626" customWidth="1"/>
    <col min="2306" max="2306" width="5.44140625" style="626" customWidth="1"/>
    <col min="2307" max="2307" width="5.33203125" style="626" customWidth="1"/>
    <col min="2308" max="2308" width="20.44140625" style="626" customWidth="1"/>
    <col min="2309" max="2309" width="5.33203125" style="626" customWidth="1"/>
    <col min="2310" max="2310" width="7.6640625" style="626"/>
    <col min="2311" max="2311" width="11.44140625" style="626" customWidth="1"/>
    <col min="2312" max="2312" width="5.88671875" style="626" customWidth="1"/>
    <col min="2313" max="2313" width="13.44140625" style="626" customWidth="1"/>
    <col min="2314" max="2314" width="10.44140625" style="626" customWidth="1"/>
    <col min="2315" max="2317" width="7.6640625" style="626" customWidth="1"/>
    <col min="2318" max="2319" width="10.44140625" style="626" customWidth="1"/>
    <col min="2320" max="2559" width="7.6640625" style="626"/>
    <col min="2560" max="2560" width="7.44140625" style="626" customWidth="1"/>
    <col min="2561" max="2561" width="25.6640625" style="626" customWidth="1"/>
    <col min="2562" max="2562" width="5.44140625" style="626" customWidth="1"/>
    <col min="2563" max="2563" width="5.33203125" style="626" customWidth="1"/>
    <col min="2564" max="2564" width="20.44140625" style="626" customWidth="1"/>
    <col min="2565" max="2565" width="5.33203125" style="626" customWidth="1"/>
    <col min="2566" max="2566" width="7.6640625" style="626"/>
    <col min="2567" max="2567" width="11.44140625" style="626" customWidth="1"/>
    <col min="2568" max="2568" width="5.88671875" style="626" customWidth="1"/>
    <col min="2569" max="2569" width="13.44140625" style="626" customWidth="1"/>
    <col min="2570" max="2570" width="10.44140625" style="626" customWidth="1"/>
    <col min="2571" max="2573" width="7.6640625" style="626" customWidth="1"/>
    <col min="2574" max="2575" width="10.44140625" style="626" customWidth="1"/>
    <col min="2576" max="2815" width="7.6640625" style="626"/>
    <col min="2816" max="2816" width="7.44140625" style="626" customWidth="1"/>
    <col min="2817" max="2817" width="25.6640625" style="626" customWidth="1"/>
    <col min="2818" max="2818" width="5.44140625" style="626" customWidth="1"/>
    <col min="2819" max="2819" width="5.33203125" style="626" customWidth="1"/>
    <col min="2820" max="2820" width="20.44140625" style="626" customWidth="1"/>
    <col min="2821" max="2821" width="5.33203125" style="626" customWidth="1"/>
    <col min="2822" max="2822" width="7.6640625" style="626"/>
    <col min="2823" max="2823" width="11.44140625" style="626" customWidth="1"/>
    <col min="2824" max="2824" width="5.88671875" style="626" customWidth="1"/>
    <col min="2825" max="2825" width="13.44140625" style="626" customWidth="1"/>
    <col min="2826" max="2826" width="10.44140625" style="626" customWidth="1"/>
    <col min="2827" max="2829" width="7.6640625" style="626" customWidth="1"/>
    <col min="2830" max="2831" width="10.44140625" style="626" customWidth="1"/>
    <col min="2832" max="3071" width="7.6640625" style="626"/>
    <col min="3072" max="3072" width="7.44140625" style="626" customWidth="1"/>
    <col min="3073" max="3073" width="25.6640625" style="626" customWidth="1"/>
    <col min="3074" max="3074" width="5.44140625" style="626" customWidth="1"/>
    <col min="3075" max="3075" width="5.33203125" style="626" customWidth="1"/>
    <col min="3076" max="3076" width="20.44140625" style="626" customWidth="1"/>
    <col min="3077" max="3077" width="5.33203125" style="626" customWidth="1"/>
    <col min="3078" max="3078" width="7.6640625" style="626"/>
    <col min="3079" max="3079" width="11.44140625" style="626" customWidth="1"/>
    <col min="3080" max="3080" width="5.88671875" style="626" customWidth="1"/>
    <col min="3081" max="3081" width="13.44140625" style="626" customWidth="1"/>
    <col min="3082" max="3082" width="10.44140625" style="626" customWidth="1"/>
    <col min="3083" max="3085" width="7.6640625" style="626" customWidth="1"/>
    <col min="3086" max="3087" width="10.44140625" style="626" customWidth="1"/>
    <col min="3088" max="3327" width="7.6640625" style="626"/>
    <col min="3328" max="3328" width="7.44140625" style="626" customWidth="1"/>
    <col min="3329" max="3329" width="25.6640625" style="626" customWidth="1"/>
    <col min="3330" max="3330" width="5.44140625" style="626" customWidth="1"/>
    <col min="3331" max="3331" width="5.33203125" style="626" customWidth="1"/>
    <col min="3332" max="3332" width="20.44140625" style="626" customWidth="1"/>
    <col min="3333" max="3333" width="5.33203125" style="626" customWidth="1"/>
    <col min="3334" max="3334" width="7.6640625" style="626"/>
    <col min="3335" max="3335" width="11.44140625" style="626" customWidth="1"/>
    <col min="3336" max="3336" width="5.88671875" style="626" customWidth="1"/>
    <col min="3337" max="3337" width="13.44140625" style="626" customWidth="1"/>
    <col min="3338" max="3338" width="10.44140625" style="626" customWidth="1"/>
    <col min="3339" max="3341" width="7.6640625" style="626" customWidth="1"/>
    <col min="3342" max="3343" width="10.44140625" style="626" customWidth="1"/>
    <col min="3344" max="3583" width="7.6640625" style="626"/>
    <col min="3584" max="3584" width="7.44140625" style="626" customWidth="1"/>
    <col min="3585" max="3585" width="25.6640625" style="626" customWidth="1"/>
    <col min="3586" max="3586" width="5.44140625" style="626" customWidth="1"/>
    <col min="3587" max="3587" width="5.33203125" style="626" customWidth="1"/>
    <col min="3588" max="3588" width="20.44140625" style="626" customWidth="1"/>
    <col min="3589" max="3589" width="5.33203125" style="626" customWidth="1"/>
    <col min="3590" max="3590" width="7.6640625" style="626"/>
    <col min="3591" max="3591" width="11.44140625" style="626" customWidth="1"/>
    <col min="3592" max="3592" width="5.88671875" style="626" customWidth="1"/>
    <col min="3593" max="3593" width="13.44140625" style="626" customWidth="1"/>
    <col min="3594" max="3594" width="10.44140625" style="626" customWidth="1"/>
    <col min="3595" max="3597" width="7.6640625" style="626" customWidth="1"/>
    <col min="3598" max="3599" width="10.44140625" style="626" customWidth="1"/>
    <col min="3600" max="3839" width="7.6640625" style="626"/>
    <col min="3840" max="3840" width="7.44140625" style="626" customWidth="1"/>
    <col min="3841" max="3841" width="25.6640625" style="626" customWidth="1"/>
    <col min="3842" max="3842" width="5.44140625" style="626" customWidth="1"/>
    <col min="3843" max="3843" width="5.33203125" style="626" customWidth="1"/>
    <col min="3844" max="3844" width="20.44140625" style="626" customWidth="1"/>
    <col min="3845" max="3845" width="5.33203125" style="626" customWidth="1"/>
    <col min="3846" max="3846" width="7.6640625" style="626"/>
    <col min="3847" max="3847" width="11.44140625" style="626" customWidth="1"/>
    <col min="3848" max="3848" width="5.88671875" style="626" customWidth="1"/>
    <col min="3849" max="3849" width="13.44140625" style="626" customWidth="1"/>
    <col min="3850" max="3850" width="10.44140625" style="626" customWidth="1"/>
    <col min="3851" max="3853" width="7.6640625" style="626" customWidth="1"/>
    <col min="3854" max="3855" width="10.44140625" style="626" customWidth="1"/>
    <col min="3856" max="4095" width="7.6640625" style="626"/>
    <col min="4096" max="4096" width="7.44140625" style="626" customWidth="1"/>
    <col min="4097" max="4097" width="25.6640625" style="626" customWidth="1"/>
    <col min="4098" max="4098" width="5.44140625" style="626" customWidth="1"/>
    <col min="4099" max="4099" width="5.33203125" style="626" customWidth="1"/>
    <col min="4100" max="4100" width="20.44140625" style="626" customWidth="1"/>
    <col min="4101" max="4101" width="5.33203125" style="626" customWidth="1"/>
    <col min="4102" max="4102" width="7.6640625" style="626"/>
    <col min="4103" max="4103" width="11.44140625" style="626" customWidth="1"/>
    <col min="4104" max="4104" width="5.88671875" style="626" customWidth="1"/>
    <col min="4105" max="4105" width="13.44140625" style="626" customWidth="1"/>
    <col min="4106" max="4106" width="10.44140625" style="626" customWidth="1"/>
    <col min="4107" max="4109" width="7.6640625" style="626" customWidth="1"/>
    <col min="4110" max="4111" width="10.44140625" style="626" customWidth="1"/>
    <col min="4112" max="4351" width="7.6640625" style="626"/>
    <col min="4352" max="4352" width="7.44140625" style="626" customWidth="1"/>
    <col min="4353" max="4353" width="25.6640625" style="626" customWidth="1"/>
    <col min="4354" max="4354" width="5.44140625" style="626" customWidth="1"/>
    <col min="4355" max="4355" width="5.33203125" style="626" customWidth="1"/>
    <col min="4356" max="4356" width="20.44140625" style="626" customWidth="1"/>
    <col min="4357" max="4357" width="5.33203125" style="626" customWidth="1"/>
    <col min="4358" max="4358" width="7.6640625" style="626"/>
    <col min="4359" max="4359" width="11.44140625" style="626" customWidth="1"/>
    <col min="4360" max="4360" width="5.88671875" style="626" customWidth="1"/>
    <col min="4361" max="4361" width="13.44140625" style="626" customWidth="1"/>
    <col min="4362" max="4362" width="10.44140625" style="626" customWidth="1"/>
    <col min="4363" max="4365" width="7.6640625" style="626" customWidth="1"/>
    <col min="4366" max="4367" width="10.44140625" style="626" customWidth="1"/>
    <col min="4368" max="4607" width="7.6640625" style="626"/>
    <col min="4608" max="4608" width="7.44140625" style="626" customWidth="1"/>
    <col min="4609" max="4609" width="25.6640625" style="626" customWidth="1"/>
    <col min="4610" max="4610" width="5.44140625" style="626" customWidth="1"/>
    <col min="4611" max="4611" width="5.33203125" style="626" customWidth="1"/>
    <col min="4612" max="4612" width="20.44140625" style="626" customWidth="1"/>
    <col min="4613" max="4613" width="5.33203125" style="626" customWidth="1"/>
    <col min="4614" max="4614" width="7.6640625" style="626"/>
    <col min="4615" max="4615" width="11.44140625" style="626" customWidth="1"/>
    <col min="4616" max="4616" width="5.88671875" style="626" customWidth="1"/>
    <col min="4617" max="4617" width="13.44140625" style="626" customWidth="1"/>
    <col min="4618" max="4618" width="10.44140625" style="626" customWidth="1"/>
    <col min="4619" max="4621" width="7.6640625" style="626" customWidth="1"/>
    <col min="4622" max="4623" width="10.44140625" style="626" customWidth="1"/>
    <col min="4624" max="4863" width="7.6640625" style="626"/>
    <col min="4864" max="4864" width="7.44140625" style="626" customWidth="1"/>
    <col min="4865" max="4865" width="25.6640625" style="626" customWidth="1"/>
    <col min="4866" max="4866" width="5.44140625" style="626" customWidth="1"/>
    <col min="4867" max="4867" width="5.33203125" style="626" customWidth="1"/>
    <col min="4868" max="4868" width="20.44140625" style="626" customWidth="1"/>
    <col min="4869" max="4869" width="5.33203125" style="626" customWidth="1"/>
    <col min="4870" max="4870" width="7.6640625" style="626"/>
    <col min="4871" max="4871" width="11.44140625" style="626" customWidth="1"/>
    <col min="4872" max="4872" width="5.88671875" style="626" customWidth="1"/>
    <col min="4873" max="4873" width="13.44140625" style="626" customWidth="1"/>
    <col min="4874" max="4874" width="10.44140625" style="626" customWidth="1"/>
    <col min="4875" max="4877" width="7.6640625" style="626" customWidth="1"/>
    <col min="4878" max="4879" width="10.44140625" style="626" customWidth="1"/>
    <col min="4880" max="5119" width="7.6640625" style="626"/>
    <col min="5120" max="5120" width="7.44140625" style="626" customWidth="1"/>
    <col min="5121" max="5121" width="25.6640625" style="626" customWidth="1"/>
    <col min="5122" max="5122" width="5.44140625" style="626" customWidth="1"/>
    <col min="5123" max="5123" width="5.33203125" style="626" customWidth="1"/>
    <col min="5124" max="5124" width="20.44140625" style="626" customWidth="1"/>
    <col min="5125" max="5125" width="5.33203125" style="626" customWidth="1"/>
    <col min="5126" max="5126" width="7.6640625" style="626"/>
    <col min="5127" max="5127" width="11.44140625" style="626" customWidth="1"/>
    <col min="5128" max="5128" width="5.88671875" style="626" customWidth="1"/>
    <col min="5129" max="5129" width="13.44140625" style="626" customWidth="1"/>
    <col min="5130" max="5130" width="10.44140625" style="626" customWidth="1"/>
    <col min="5131" max="5133" width="7.6640625" style="626" customWidth="1"/>
    <col min="5134" max="5135" width="10.44140625" style="626" customWidth="1"/>
    <col min="5136" max="5375" width="7.6640625" style="626"/>
    <col min="5376" max="5376" width="7.44140625" style="626" customWidth="1"/>
    <col min="5377" max="5377" width="25.6640625" style="626" customWidth="1"/>
    <col min="5378" max="5378" width="5.44140625" style="626" customWidth="1"/>
    <col min="5379" max="5379" width="5.33203125" style="626" customWidth="1"/>
    <col min="5380" max="5380" width="20.44140625" style="626" customWidth="1"/>
    <col min="5381" max="5381" width="5.33203125" style="626" customWidth="1"/>
    <col min="5382" max="5382" width="7.6640625" style="626"/>
    <col min="5383" max="5383" width="11.44140625" style="626" customWidth="1"/>
    <col min="5384" max="5384" width="5.88671875" style="626" customWidth="1"/>
    <col min="5385" max="5385" width="13.44140625" style="626" customWidth="1"/>
    <col min="5386" max="5386" width="10.44140625" style="626" customWidth="1"/>
    <col min="5387" max="5389" width="7.6640625" style="626" customWidth="1"/>
    <col min="5390" max="5391" width="10.44140625" style="626" customWidth="1"/>
    <col min="5392" max="5631" width="7.6640625" style="626"/>
    <col min="5632" max="5632" width="7.44140625" style="626" customWidth="1"/>
    <col min="5633" max="5633" width="25.6640625" style="626" customWidth="1"/>
    <col min="5634" max="5634" width="5.44140625" style="626" customWidth="1"/>
    <col min="5635" max="5635" width="5.33203125" style="626" customWidth="1"/>
    <col min="5636" max="5636" width="20.44140625" style="626" customWidth="1"/>
    <col min="5637" max="5637" width="5.33203125" style="626" customWidth="1"/>
    <col min="5638" max="5638" width="7.6640625" style="626"/>
    <col min="5639" max="5639" width="11.44140625" style="626" customWidth="1"/>
    <col min="5640" max="5640" width="5.88671875" style="626" customWidth="1"/>
    <col min="5641" max="5641" width="13.44140625" style="626" customWidth="1"/>
    <col min="5642" max="5642" width="10.44140625" style="626" customWidth="1"/>
    <col min="5643" max="5645" width="7.6640625" style="626" customWidth="1"/>
    <col min="5646" max="5647" width="10.44140625" style="626" customWidth="1"/>
    <col min="5648" max="5887" width="7.6640625" style="626"/>
    <col min="5888" max="5888" width="7.44140625" style="626" customWidth="1"/>
    <col min="5889" max="5889" width="25.6640625" style="626" customWidth="1"/>
    <col min="5890" max="5890" width="5.44140625" style="626" customWidth="1"/>
    <col min="5891" max="5891" width="5.33203125" style="626" customWidth="1"/>
    <col min="5892" max="5892" width="20.44140625" style="626" customWidth="1"/>
    <col min="5893" max="5893" width="5.33203125" style="626" customWidth="1"/>
    <col min="5894" max="5894" width="7.6640625" style="626"/>
    <col min="5895" max="5895" width="11.44140625" style="626" customWidth="1"/>
    <col min="5896" max="5896" width="5.88671875" style="626" customWidth="1"/>
    <col min="5897" max="5897" width="13.44140625" style="626" customWidth="1"/>
    <col min="5898" max="5898" width="10.44140625" style="626" customWidth="1"/>
    <col min="5899" max="5901" width="7.6640625" style="626" customWidth="1"/>
    <col min="5902" max="5903" width="10.44140625" style="626" customWidth="1"/>
    <col min="5904" max="6143" width="7.6640625" style="626"/>
    <col min="6144" max="6144" width="7.44140625" style="626" customWidth="1"/>
    <col min="6145" max="6145" width="25.6640625" style="626" customWidth="1"/>
    <col min="6146" max="6146" width="5.44140625" style="626" customWidth="1"/>
    <col min="6147" max="6147" width="5.33203125" style="626" customWidth="1"/>
    <col min="6148" max="6148" width="20.44140625" style="626" customWidth="1"/>
    <col min="6149" max="6149" width="5.33203125" style="626" customWidth="1"/>
    <col min="6150" max="6150" width="7.6640625" style="626"/>
    <col min="6151" max="6151" width="11.44140625" style="626" customWidth="1"/>
    <col min="6152" max="6152" width="5.88671875" style="626" customWidth="1"/>
    <col min="6153" max="6153" width="13.44140625" style="626" customWidth="1"/>
    <col min="6154" max="6154" width="10.44140625" style="626" customWidth="1"/>
    <col min="6155" max="6157" width="7.6640625" style="626" customWidth="1"/>
    <col min="6158" max="6159" width="10.44140625" style="626" customWidth="1"/>
    <col min="6160" max="6399" width="7.6640625" style="626"/>
    <col min="6400" max="6400" width="7.44140625" style="626" customWidth="1"/>
    <col min="6401" max="6401" width="25.6640625" style="626" customWidth="1"/>
    <col min="6402" max="6402" width="5.44140625" style="626" customWidth="1"/>
    <col min="6403" max="6403" width="5.33203125" style="626" customWidth="1"/>
    <col min="6404" max="6404" width="20.44140625" style="626" customWidth="1"/>
    <col min="6405" max="6405" width="5.33203125" style="626" customWidth="1"/>
    <col min="6406" max="6406" width="7.6640625" style="626"/>
    <col min="6407" max="6407" width="11.44140625" style="626" customWidth="1"/>
    <col min="6408" max="6408" width="5.88671875" style="626" customWidth="1"/>
    <col min="6409" max="6409" width="13.44140625" style="626" customWidth="1"/>
    <col min="6410" max="6410" width="10.44140625" style="626" customWidth="1"/>
    <col min="6411" max="6413" width="7.6640625" style="626" customWidth="1"/>
    <col min="6414" max="6415" width="10.44140625" style="626" customWidth="1"/>
    <col min="6416" max="6655" width="7.6640625" style="626"/>
    <col min="6656" max="6656" width="7.44140625" style="626" customWidth="1"/>
    <col min="6657" max="6657" width="25.6640625" style="626" customWidth="1"/>
    <col min="6658" max="6658" width="5.44140625" style="626" customWidth="1"/>
    <col min="6659" max="6659" width="5.33203125" style="626" customWidth="1"/>
    <col min="6660" max="6660" width="20.44140625" style="626" customWidth="1"/>
    <col min="6661" max="6661" width="5.33203125" style="626" customWidth="1"/>
    <col min="6662" max="6662" width="7.6640625" style="626"/>
    <col min="6663" max="6663" width="11.44140625" style="626" customWidth="1"/>
    <col min="6664" max="6664" width="5.88671875" style="626" customWidth="1"/>
    <col min="6665" max="6665" width="13.44140625" style="626" customWidth="1"/>
    <col min="6666" max="6666" width="10.44140625" style="626" customWidth="1"/>
    <col min="6667" max="6669" width="7.6640625" style="626" customWidth="1"/>
    <col min="6670" max="6671" width="10.44140625" style="626" customWidth="1"/>
    <col min="6672" max="6911" width="7.6640625" style="626"/>
    <col min="6912" max="6912" width="7.44140625" style="626" customWidth="1"/>
    <col min="6913" max="6913" width="25.6640625" style="626" customWidth="1"/>
    <col min="6914" max="6914" width="5.44140625" style="626" customWidth="1"/>
    <col min="6915" max="6915" width="5.33203125" style="626" customWidth="1"/>
    <col min="6916" max="6916" width="20.44140625" style="626" customWidth="1"/>
    <col min="6917" max="6917" width="5.33203125" style="626" customWidth="1"/>
    <col min="6918" max="6918" width="7.6640625" style="626"/>
    <col min="6919" max="6919" width="11.44140625" style="626" customWidth="1"/>
    <col min="6920" max="6920" width="5.88671875" style="626" customWidth="1"/>
    <col min="6921" max="6921" width="13.44140625" style="626" customWidth="1"/>
    <col min="6922" max="6922" width="10.44140625" style="626" customWidth="1"/>
    <col min="6923" max="6925" width="7.6640625" style="626" customWidth="1"/>
    <col min="6926" max="6927" width="10.44140625" style="626" customWidth="1"/>
    <col min="6928" max="7167" width="7.6640625" style="626"/>
    <col min="7168" max="7168" width="7.44140625" style="626" customWidth="1"/>
    <col min="7169" max="7169" width="25.6640625" style="626" customWidth="1"/>
    <col min="7170" max="7170" width="5.44140625" style="626" customWidth="1"/>
    <col min="7171" max="7171" width="5.33203125" style="626" customWidth="1"/>
    <col min="7172" max="7172" width="20.44140625" style="626" customWidth="1"/>
    <col min="7173" max="7173" width="5.33203125" style="626" customWidth="1"/>
    <col min="7174" max="7174" width="7.6640625" style="626"/>
    <col min="7175" max="7175" width="11.44140625" style="626" customWidth="1"/>
    <col min="7176" max="7176" width="5.88671875" style="626" customWidth="1"/>
    <col min="7177" max="7177" width="13.44140625" style="626" customWidth="1"/>
    <col min="7178" max="7178" width="10.44140625" style="626" customWidth="1"/>
    <col min="7179" max="7181" width="7.6640625" style="626" customWidth="1"/>
    <col min="7182" max="7183" width="10.44140625" style="626" customWidth="1"/>
    <col min="7184" max="7423" width="7.6640625" style="626"/>
    <col min="7424" max="7424" width="7.44140625" style="626" customWidth="1"/>
    <col min="7425" max="7425" width="25.6640625" style="626" customWidth="1"/>
    <col min="7426" max="7426" width="5.44140625" style="626" customWidth="1"/>
    <col min="7427" max="7427" width="5.33203125" style="626" customWidth="1"/>
    <col min="7428" max="7428" width="20.44140625" style="626" customWidth="1"/>
    <col min="7429" max="7429" width="5.33203125" style="626" customWidth="1"/>
    <col min="7430" max="7430" width="7.6640625" style="626"/>
    <col min="7431" max="7431" width="11.44140625" style="626" customWidth="1"/>
    <col min="7432" max="7432" width="5.88671875" style="626" customWidth="1"/>
    <col min="7433" max="7433" width="13.44140625" style="626" customWidth="1"/>
    <col min="7434" max="7434" width="10.44140625" style="626" customWidth="1"/>
    <col min="7435" max="7437" width="7.6640625" style="626" customWidth="1"/>
    <col min="7438" max="7439" width="10.44140625" style="626" customWidth="1"/>
    <col min="7440" max="7679" width="7.6640625" style="626"/>
    <col min="7680" max="7680" width="7.44140625" style="626" customWidth="1"/>
    <col min="7681" max="7681" width="25.6640625" style="626" customWidth="1"/>
    <col min="7682" max="7682" width="5.44140625" style="626" customWidth="1"/>
    <col min="7683" max="7683" width="5.33203125" style="626" customWidth="1"/>
    <col min="7684" max="7684" width="20.44140625" style="626" customWidth="1"/>
    <col min="7685" max="7685" width="5.33203125" style="626" customWidth="1"/>
    <col min="7686" max="7686" width="7.6640625" style="626"/>
    <col min="7687" max="7687" width="11.44140625" style="626" customWidth="1"/>
    <col min="7688" max="7688" width="5.88671875" style="626" customWidth="1"/>
    <col min="7689" max="7689" width="13.44140625" style="626" customWidth="1"/>
    <col min="7690" max="7690" width="10.44140625" style="626" customWidth="1"/>
    <col min="7691" max="7693" width="7.6640625" style="626" customWidth="1"/>
    <col min="7694" max="7695" width="10.44140625" style="626" customWidth="1"/>
    <col min="7696" max="7935" width="7.6640625" style="626"/>
    <col min="7936" max="7936" width="7.44140625" style="626" customWidth="1"/>
    <col min="7937" max="7937" width="25.6640625" style="626" customWidth="1"/>
    <col min="7938" max="7938" width="5.44140625" style="626" customWidth="1"/>
    <col min="7939" max="7939" width="5.33203125" style="626" customWidth="1"/>
    <col min="7940" max="7940" width="20.44140625" style="626" customWidth="1"/>
    <col min="7941" max="7941" width="5.33203125" style="626" customWidth="1"/>
    <col min="7942" max="7942" width="7.6640625" style="626"/>
    <col min="7943" max="7943" width="11.44140625" style="626" customWidth="1"/>
    <col min="7944" max="7944" width="5.88671875" style="626" customWidth="1"/>
    <col min="7945" max="7945" width="13.44140625" style="626" customWidth="1"/>
    <col min="7946" max="7946" width="10.44140625" style="626" customWidth="1"/>
    <col min="7947" max="7949" width="7.6640625" style="626" customWidth="1"/>
    <col min="7950" max="7951" width="10.44140625" style="626" customWidth="1"/>
    <col min="7952" max="8191" width="7.6640625" style="626"/>
    <col min="8192" max="8192" width="7.44140625" style="626" customWidth="1"/>
    <col min="8193" max="8193" width="25.6640625" style="626" customWidth="1"/>
    <col min="8194" max="8194" width="5.44140625" style="626" customWidth="1"/>
    <col min="8195" max="8195" width="5.33203125" style="626" customWidth="1"/>
    <col min="8196" max="8196" width="20.44140625" style="626" customWidth="1"/>
    <col min="8197" max="8197" width="5.33203125" style="626" customWidth="1"/>
    <col min="8198" max="8198" width="7.6640625" style="626"/>
    <col min="8199" max="8199" width="11.44140625" style="626" customWidth="1"/>
    <col min="8200" max="8200" width="5.88671875" style="626" customWidth="1"/>
    <col min="8201" max="8201" width="13.44140625" style="626" customWidth="1"/>
    <col min="8202" max="8202" width="10.44140625" style="626" customWidth="1"/>
    <col min="8203" max="8205" width="7.6640625" style="626" customWidth="1"/>
    <col min="8206" max="8207" width="10.44140625" style="626" customWidth="1"/>
    <col min="8208" max="8447" width="7.6640625" style="626"/>
    <col min="8448" max="8448" width="7.44140625" style="626" customWidth="1"/>
    <col min="8449" max="8449" width="25.6640625" style="626" customWidth="1"/>
    <col min="8450" max="8450" width="5.44140625" style="626" customWidth="1"/>
    <col min="8451" max="8451" width="5.33203125" style="626" customWidth="1"/>
    <col min="8452" max="8452" width="20.44140625" style="626" customWidth="1"/>
    <col min="8453" max="8453" width="5.33203125" style="626" customWidth="1"/>
    <col min="8454" max="8454" width="7.6640625" style="626"/>
    <col min="8455" max="8455" width="11.44140625" style="626" customWidth="1"/>
    <col min="8456" max="8456" width="5.88671875" style="626" customWidth="1"/>
    <col min="8457" max="8457" width="13.44140625" style="626" customWidth="1"/>
    <col min="8458" max="8458" width="10.44140625" style="626" customWidth="1"/>
    <col min="8459" max="8461" width="7.6640625" style="626" customWidth="1"/>
    <col min="8462" max="8463" width="10.44140625" style="626" customWidth="1"/>
    <col min="8464" max="8703" width="7.6640625" style="626"/>
    <col min="8704" max="8704" width="7.44140625" style="626" customWidth="1"/>
    <col min="8705" max="8705" width="25.6640625" style="626" customWidth="1"/>
    <col min="8706" max="8706" width="5.44140625" style="626" customWidth="1"/>
    <col min="8707" max="8707" width="5.33203125" style="626" customWidth="1"/>
    <col min="8708" max="8708" width="20.44140625" style="626" customWidth="1"/>
    <col min="8709" max="8709" width="5.33203125" style="626" customWidth="1"/>
    <col min="8710" max="8710" width="7.6640625" style="626"/>
    <col min="8711" max="8711" width="11.44140625" style="626" customWidth="1"/>
    <col min="8712" max="8712" width="5.88671875" style="626" customWidth="1"/>
    <col min="8713" max="8713" width="13.44140625" style="626" customWidth="1"/>
    <col min="8714" max="8714" width="10.44140625" style="626" customWidth="1"/>
    <col min="8715" max="8717" width="7.6640625" style="626" customWidth="1"/>
    <col min="8718" max="8719" width="10.44140625" style="626" customWidth="1"/>
    <col min="8720" max="8959" width="7.6640625" style="626"/>
    <col min="8960" max="8960" width="7.44140625" style="626" customWidth="1"/>
    <col min="8961" max="8961" width="25.6640625" style="626" customWidth="1"/>
    <col min="8962" max="8962" width="5.44140625" style="626" customWidth="1"/>
    <col min="8963" max="8963" width="5.33203125" style="626" customWidth="1"/>
    <col min="8964" max="8964" width="20.44140625" style="626" customWidth="1"/>
    <col min="8965" max="8965" width="5.33203125" style="626" customWidth="1"/>
    <col min="8966" max="8966" width="7.6640625" style="626"/>
    <col min="8967" max="8967" width="11.44140625" style="626" customWidth="1"/>
    <col min="8968" max="8968" width="5.88671875" style="626" customWidth="1"/>
    <col min="8969" max="8969" width="13.44140625" style="626" customWidth="1"/>
    <col min="8970" max="8970" width="10.44140625" style="626" customWidth="1"/>
    <col min="8971" max="8973" width="7.6640625" style="626" customWidth="1"/>
    <col min="8974" max="8975" width="10.44140625" style="626" customWidth="1"/>
    <col min="8976" max="9215" width="7.6640625" style="626"/>
    <col min="9216" max="9216" width="7.44140625" style="626" customWidth="1"/>
    <col min="9217" max="9217" width="25.6640625" style="626" customWidth="1"/>
    <col min="9218" max="9218" width="5.44140625" style="626" customWidth="1"/>
    <col min="9219" max="9219" width="5.33203125" style="626" customWidth="1"/>
    <col min="9220" max="9220" width="20.44140625" style="626" customWidth="1"/>
    <col min="9221" max="9221" width="5.33203125" style="626" customWidth="1"/>
    <col min="9222" max="9222" width="7.6640625" style="626"/>
    <col min="9223" max="9223" width="11.44140625" style="626" customWidth="1"/>
    <col min="9224" max="9224" width="5.88671875" style="626" customWidth="1"/>
    <col min="9225" max="9225" width="13.44140625" style="626" customWidth="1"/>
    <col min="9226" max="9226" width="10.44140625" style="626" customWidth="1"/>
    <col min="9227" max="9229" width="7.6640625" style="626" customWidth="1"/>
    <col min="9230" max="9231" width="10.44140625" style="626" customWidth="1"/>
    <col min="9232" max="9471" width="7.6640625" style="626"/>
    <col min="9472" max="9472" width="7.44140625" style="626" customWidth="1"/>
    <col min="9473" max="9473" width="25.6640625" style="626" customWidth="1"/>
    <col min="9474" max="9474" width="5.44140625" style="626" customWidth="1"/>
    <col min="9475" max="9475" width="5.33203125" style="626" customWidth="1"/>
    <col min="9476" max="9476" width="20.44140625" style="626" customWidth="1"/>
    <col min="9477" max="9477" width="5.33203125" style="626" customWidth="1"/>
    <col min="9478" max="9478" width="7.6640625" style="626"/>
    <col min="9479" max="9479" width="11.44140625" style="626" customWidth="1"/>
    <col min="9480" max="9480" width="5.88671875" style="626" customWidth="1"/>
    <col min="9481" max="9481" width="13.44140625" style="626" customWidth="1"/>
    <col min="9482" max="9482" width="10.44140625" style="626" customWidth="1"/>
    <col min="9483" max="9485" width="7.6640625" style="626" customWidth="1"/>
    <col min="9486" max="9487" width="10.44140625" style="626" customWidth="1"/>
    <col min="9488" max="9727" width="7.6640625" style="626"/>
    <col min="9728" max="9728" width="7.44140625" style="626" customWidth="1"/>
    <col min="9729" max="9729" width="25.6640625" style="626" customWidth="1"/>
    <col min="9730" max="9730" width="5.44140625" style="626" customWidth="1"/>
    <col min="9731" max="9731" width="5.33203125" style="626" customWidth="1"/>
    <col min="9732" max="9732" width="20.44140625" style="626" customWidth="1"/>
    <col min="9733" max="9733" width="5.33203125" style="626" customWidth="1"/>
    <col min="9734" max="9734" width="7.6640625" style="626"/>
    <col min="9735" max="9735" width="11.44140625" style="626" customWidth="1"/>
    <col min="9736" max="9736" width="5.88671875" style="626" customWidth="1"/>
    <col min="9737" max="9737" width="13.44140625" style="626" customWidth="1"/>
    <col min="9738" max="9738" width="10.44140625" style="626" customWidth="1"/>
    <col min="9739" max="9741" width="7.6640625" style="626" customWidth="1"/>
    <col min="9742" max="9743" width="10.44140625" style="626" customWidth="1"/>
    <col min="9744" max="9983" width="7.6640625" style="626"/>
    <col min="9984" max="9984" width="7.44140625" style="626" customWidth="1"/>
    <col min="9985" max="9985" width="25.6640625" style="626" customWidth="1"/>
    <col min="9986" max="9986" width="5.44140625" style="626" customWidth="1"/>
    <col min="9987" max="9987" width="5.33203125" style="626" customWidth="1"/>
    <col min="9988" max="9988" width="20.44140625" style="626" customWidth="1"/>
    <col min="9989" max="9989" width="5.33203125" style="626" customWidth="1"/>
    <col min="9990" max="9990" width="7.6640625" style="626"/>
    <col min="9991" max="9991" width="11.44140625" style="626" customWidth="1"/>
    <col min="9992" max="9992" width="5.88671875" style="626" customWidth="1"/>
    <col min="9993" max="9993" width="13.44140625" style="626" customWidth="1"/>
    <col min="9994" max="9994" width="10.44140625" style="626" customWidth="1"/>
    <col min="9995" max="9997" width="7.6640625" style="626" customWidth="1"/>
    <col min="9998" max="9999" width="10.44140625" style="626" customWidth="1"/>
    <col min="10000" max="10239" width="7.6640625" style="626"/>
    <col min="10240" max="10240" width="7.44140625" style="626" customWidth="1"/>
    <col min="10241" max="10241" width="25.6640625" style="626" customWidth="1"/>
    <col min="10242" max="10242" width="5.44140625" style="626" customWidth="1"/>
    <col min="10243" max="10243" width="5.33203125" style="626" customWidth="1"/>
    <col min="10244" max="10244" width="20.44140625" style="626" customWidth="1"/>
    <col min="10245" max="10245" width="5.33203125" style="626" customWidth="1"/>
    <col min="10246" max="10246" width="7.6640625" style="626"/>
    <col min="10247" max="10247" width="11.44140625" style="626" customWidth="1"/>
    <col min="10248" max="10248" width="5.88671875" style="626" customWidth="1"/>
    <col min="10249" max="10249" width="13.44140625" style="626" customWidth="1"/>
    <col min="10250" max="10250" width="10.44140625" style="626" customWidth="1"/>
    <col min="10251" max="10253" width="7.6640625" style="626" customWidth="1"/>
    <col min="10254" max="10255" width="10.44140625" style="626" customWidth="1"/>
    <col min="10256" max="10495" width="7.6640625" style="626"/>
    <col min="10496" max="10496" width="7.44140625" style="626" customWidth="1"/>
    <col min="10497" max="10497" width="25.6640625" style="626" customWidth="1"/>
    <col min="10498" max="10498" width="5.44140625" style="626" customWidth="1"/>
    <col min="10499" max="10499" width="5.33203125" style="626" customWidth="1"/>
    <col min="10500" max="10500" width="20.44140625" style="626" customWidth="1"/>
    <col min="10501" max="10501" width="5.33203125" style="626" customWidth="1"/>
    <col min="10502" max="10502" width="7.6640625" style="626"/>
    <col min="10503" max="10503" width="11.44140625" style="626" customWidth="1"/>
    <col min="10504" max="10504" width="5.88671875" style="626" customWidth="1"/>
    <col min="10505" max="10505" width="13.44140625" style="626" customWidth="1"/>
    <col min="10506" max="10506" width="10.44140625" style="626" customWidth="1"/>
    <col min="10507" max="10509" width="7.6640625" style="626" customWidth="1"/>
    <col min="10510" max="10511" width="10.44140625" style="626" customWidth="1"/>
    <col min="10512" max="10751" width="7.6640625" style="626"/>
    <col min="10752" max="10752" width="7.44140625" style="626" customWidth="1"/>
    <col min="10753" max="10753" width="25.6640625" style="626" customWidth="1"/>
    <col min="10754" max="10754" width="5.44140625" style="626" customWidth="1"/>
    <col min="10755" max="10755" width="5.33203125" style="626" customWidth="1"/>
    <col min="10756" max="10756" width="20.44140625" style="626" customWidth="1"/>
    <col min="10757" max="10757" width="5.33203125" style="626" customWidth="1"/>
    <col min="10758" max="10758" width="7.6640625" style="626"/>
    <col min="10759" max="10759" width="11.44140625" style="626" customWidth="1"/>
    <col min="10760" max="10760" width="5.88671875" style="626" customWidth="1"/>
    <col min="10761" max="10761" width="13.44140625" style="626" customWidth="1"/>
    <col min="10762" max="10762" width="10.44140625" style="626" customWidth="1"/>
    <col min="10763" max="10765" width="7.6640625" style="626" customWidth="1"/>
    <col min="10766" max="10767" width="10.44140625" style="626" customWidth="1"/>
    <col min="10768" max="11007" width="7.6640625" style="626"/>
    <col min="11008" max="11008" width="7.44140625" style="626" customWidth="1"/>
    <col min="11009" max="11009" width="25.6640625" style="626" customWidth="1"/>
    <col min="11010" max="11010" width="5.44140625" style="626" customWidth="1"/>
    <col min="11011" max="11011" width="5.33203125" style="626" customWidth="1"/>
    <col min="11012" max="11012" width="20.44140625" style="626" customWidth="1"/>
    <col min="11013" max="11013" width="5.33203125" style="626" customWidth="1"/>
    <col min="11014" max="11014" width="7.6640625" style="626"/>
    <col min="11015" max="11015" width="11.44140625" style="626" customWidth="1"/>
    <col min="11016" max="11016" width="5.88671875" style="626" customWidth="1"/>
    <col min="11017" max="11017" width="13.44140625" style="626" customWidth="1"/>
    <col min="11018" max="11018" width="10.44140625" style="626" customWidth="1"/>
    <col min="11019" max="11021" width="7.6640625" style="626" customWidth="1"/>
    <col min="11022" max="11023" width="10.44140625" style="626" customWidth="1"/>
    <col min="11024" max="11263" width="7.6640625" style="626"/>
    <col min="11264" max="11264" width="7.44140625" style="626" customWidth="1"/>
    <col min="11265" max="11265" width="25.6640625" style="626" customWidth="1"/>
    <col min="11266" max="11266" width="5.44140625" style="626" customWidth="1"/>
    <col min="11267" max="11267" width="5.33203125" style="626" customWidth="1"/>
    <col min="11268" max="11268" width="20.44140625" style="626" customWidth="1"/>
    <col min="11269" max="11269" width="5.33203125" style="626" customWidth="1"/>
    <col min="11270" max="11270" width="7.6640625" style="626"/>
    <col min="11271" max="11271" width="11.44140625" style="626" customWidth="1"/>
    <col min="11272" max="11272" width="5.88671875" style="626" customWidth="1"/>
    <col min="11273" max="11273" width="13.44140625" style="626" customWidth="1"/>
    <col min="11274" max="11274" width="10.44140625" style="626" customWidth="1"/>
    <col min="11275" max="11277" width="7.6640625" style="626" customWidth="1"/>
    <col min="11278" max="11279" width="10.44140625" style="626" customWidth="1"/>
    <col min="11280" max="11519" width="7.6640625" style="626"/>
    <col min="11520" max="11520" width="7.44140625" style="626" customWidth="1"/>
    <col min="11521" max="11521" width="25.6640625" style="626" customWidth="1"/>
    <col min="11522" max="11522" width="5.44140625" style="626" customWidth="1"/>
    <col min="11523" max="11523" width="5.33203125" style="626" customWidth="1"/>
    <col min="11524" max="11524" width="20.44140625" style="626" customWidth="1"/>
    <col min="11525" max="11525" width="5.33203125" style="626" customWidth="1"/>
    <col min="11526" max="11526" width="7.6640625" style="626"/>
    <col min="11527" max="11527" width="11.44140625" style="626" customWidth="1"/>
    <col min="11528" max="11528" width="5.88671875" style="626" customWidth="1"/>
    <col min="11529" max="11529" width="13.44140625" style="626" customWidth="1"/>
    <col min="11530" max="11530" width="10.44140625" style="626" customWidth="1"/>
    <col min="11531" max="11533" width="7.6640625" style="626" customWidth="1"/>
    <col min="11534" max="11535" width="10.44140625" style="626" customWidth="1"/>
    <col min="11536" max="11775" width="7.6640625" style="626"/>
    <col min="11776" max="11776" width="7.44140625" style="626" customWidth="1"/>
    <col min="11777" max="11777" width="25.6640625" style="626" customWidth="1"/>
    <col min="11778" max="11778" width="5.44140625" style="626" customWidth="1"/>
    <col min="11779" max="11779" width="5.33203125" style="626" customWidth="1"/>
    <col min="11780" max="11780" width="20.44140625" style="626" customWidth="1"/>
    <col min="11781" max="11781" width="5.33203125" style="626" customWidth="1"/>
    <col min="11782" max="11782" width="7.6640625" style="626"/>
    <col min="11783" max="11783" width="11.44140625" style="626" customWidth="1"/>
    <col min="11784" max="11784" width="5.88671875" style="626" customWidth="1"/>
    <col min="11785" max="11785" width="13.44140625" style="626" customWidth="1"/>
    <col min="11786" max="11786" width="10.44140625" style="626" customWidth="1"/>
    <col min="11787" max="11789" width="7.6640625" style="626" customWidth="1"/>
    <col min="11790" max="11791" width="10.44140625" style="626" customWidth="1"/>
    <col min="11792" max="12031" width="7.6640625" style="626"/>
    <col min="12032" max="12032" width="7.44140625" style="626" customWidth="1"/>
    <col min="12033" max="12033" width="25.6640625" style="626" customWidth="1"/>
    <col min="12034" max="12034" width="5.44140625" style="626" customWidth="1"/>
    <col min="12035" max="12035" width="5.33203125" style="626" customWidth="1"/>
    <col min="12036" max="12036" width="20.44140625" style="626" customWidth="1"/>
    <col min="12037" max="12037" width="5.33203125" style="626" customWidth="1"/>
    <col min="12038" max="12038" width="7.6640625" style="626"/>
    <col min="12039" max="12039" width="11.44140625" style="626" customWidth="1"/>
    <col min="12040" max="12040" width="5.88671875" style="626" customWidth="1"/>
    <col min="12041" max="12041" width="13.44140625" style="626" customWidth="1"/>
    <col min="12042" max="12042" width="10.44140625" style="626" customWidth="1"/>
    <col min="12043" max="12045" width="7.6640625" style="626" customWidth="1"/>
    <col min="12046" max="12047" width="10.44140625" style="626" customWidth="1"/>
    <col min="12048" max="12287" width="7.6640625" style="626"/>
    <col min="12288" max="12288" width="7.44140625" style="626" customWidth="1"/>
    <col min="12289" max="12289" width="25.6640625" style="626" customWidth="1"/>
    <col min="12290" max="12290" width="5.44140625" style="626" customWidth="1"/>
    <col min="12291" max="12291" width="5.33203125" style="626" customWidth="1"/>
    <col min="12292" max="12292" width="20.44140625" style="626" customWidth="1"/>
    <col min="12293" max="12293" width="5.33203125" style="626" customWidth="1"/>
    <col min="12294" max="12294" width="7.6640625" style="626"/>
    <col min="12295" max="12295" width="11.44140625" style="626" customWidth="1"/>
    <col min="12296" max="12296" width="5.88671875" style="626" customWidth="1"/>
    <col min="12297" max="12297" width="13.44140625" style="626" customWidth="1"/>
    <col min="12298" max="12298" width="10.44140625" style="626" customWidth="1"/>
    <col min="12299" max="12301" width="7.6640625" style="626" customWidth="1"/>
    <col min="12302" max="12303" width="10.44140625" style="626" customWidth="1"/>
    <col min="12304" max="12543" width="7.6640625" style="626"/>
    <col min="12544" max="12544" width="7.44140625" style="626" customWidth="1"/>
    <col min="12545" max="12545" width="25.6640625" style="626" customWidth="1"/>
    <col min="12546" max="12546" width="5.44140625" style="626" customWidth="1"/>
    <col min="12547" max="12547" width="5.33203125" style="626" customWidth="1"/>
    <col min="12548" max="12548" width="20.44140625" style="626" customWidth="1"/>
    <col min="12549" max="12549" width="5.33203125" style="626" customWidth="1"/>
    <col min="12550" max="12550" width="7.6640625" style="626"/>
    <col min="12551" max="12551" width="11.44140625" style="626" customWidth="1"/>
    <col min="12552" max="12552" width="5.88671875" style="626" customWidth="1"/>
    <col min="12553" max="12553" width="13.44140625" style="626" customWidth="1"/>
    <col min="12554" max="12554" width="10.44140625" style="626" customWidth="1"/>
    <col min="12555" max="12557" width="7.6640625" style="626" customWidth="1"/>
    <col min="12558" max="12559" width="10.44140625" style="626" customWidth="1"/>
    <col min="12560" max="12799" width="7.6640625" style="626"/>
    <col min="12800" max="12800" width="7.44140625" style="626" customWidth="1"/>
    <col min="12801" max="12801" width="25.6640625" style="626" customWidth="1"/>
    <col min="12802" max="12802" width="5.44140625" style="626" customWidth="1"/>
    <col min="12803" max="12803" width="5.33203125" style="626" customWidth="1"/>
    <col min="12804" max="12804" width="20.44140625" style="626" customWidth="1"/>
    <col min="12805" max="12805" width="5.33203125" style="626" customWidth="1"/>
    <col min="12806" max="12806" width="7.6640625" style="626"/>
    <col min="12807" max="12807" width="11.44140625" style="626" customWidth="1"/>
    <col min="12808" max="12808" width="5.88671875" style="626" customWidth="1"/>
    <col min="12809" max="12809" width="13.44140625" style="626" customWidth="1"/>
    <col min="12810" max="12810" width="10.44140625" style="626" customWidth="1"/>
    <col min="12811" max="12813" width="7.6640625" style="626" customWidth="1"/>
    <col min="12814" max="12815" width="10.44140625" style="626" customWidth="1"/>
    <col min="12816" max="13055" width="7.6640625" style="626"/>
    <col min="13056" max="13056" width="7.44140625" style="626" customWidth="1"/>
    <col min="13057" max="13057" width="25.6640625" style="626" customWidth="1"/>
    <col min="13058" max="13058" width="5.44140625" style="626" customWidth="1"/>
    <col min="13059" max="13059" width="5.33203125" style="626" customWidth="1"/>
    <col min="13060" max="13060" width="20.44140625" style="626" customWidth="1"/>
    <col min="13061" max="13061" width="5.33203125" style="626" customWidth="1"/>
    <col min="13062" max="13062" width="7.6640625" style="626"/>
    <col min="13063" max="13063" width="11.44140625" style="626" customWidth="1"/>
    <col min="13064" max="13064" width="5.88671875" style="626" customWidth="1"/>
    <col min="13065" max="13065" width="13.44140625" style="626" customWidth="1"/>
    <col min="13066" max="13066" width="10.44140625" style="626" customWidth="1"/>
    <col min="13067" max="13069" width="7.6640625" style="626" customWidth="1"/>
    <col min="13070" max="13071" width="10.44140625" style="626" customWidth="1"/>
    <col min="13072" max="13311" width="7.6640625" style="626"/>
    <col min="13312" max="13312" width="7.44140625" style="626" customWidth="1"/>
    <col min="13313" max="13313" width="25.6640625" style="626" customWidth="1"/>
    <col min="13314" max="13314" width="5.44140625" style="626" customWidth="1"/>
    <col min="13315" max="13315" width="5.33203125" style="626" customWidth="1"/>
    <col min="13316" max="13316" width="20.44140625" style="626" customWidth="1"/>
    <col min="13317" max="13317" width="5.33203125" style="626" customWidth="1"/>
    <col min="13318" max="13318" width="7.6640625" style="626"/>
    <col min="13319" max="13319" width="11.44140625" style="626" customWidth="1"/>
    <col min="13320" max="13320" width="5.88671875" style="626" customWidth="1"/>
    <col min="13321" max="13321" width="13.44140625" style="626" customWidth="1"/>
    <col min="13322" max="13322" width="10.44140625" style="626" customWidth="1"/>
    <col min="13323" max="13325" width="7.6640625" style="626" customWidth="1"/>
    <col min="13326" max="13327" width="10.44140625" style="626" customWidth="1"/>
    <col min="13328" max="13567" width="7.6640625" style="626"/>
    <col min="13568" max="13568" width="7.44140625" style="626" customWidth="1"/>
    <col min="13569" max="13569" width="25.6640625" style="626" customWidth="1"/>
    <col min="13570" max="13570" width="5.44140625" style="626" customWidth="1"/>
    <col min="13571" max="13571" width="5.33203125" style="626" customWidth="1"/>
    <col min="13572" max="13572" width="20.44140625" style="626" customWidth="1"/>
    <col min="13573" max="13573" width="5.33203125" style="626" customWidth="1"/>
    <col min="13574" max="13574" width="7.6640625" style="626"/>
    <col min="13575" max="13575" width="11.44140625" style="626" customWidth="1"/>
    <col min="13576" max="13576" width="5.88671875" style="626" customWidth="1"/>
    <col min="13577" max="13577" width="13.44140625" style="626" customWidth="1"/>
    <col min="13578" max="13578" width="10.44140625" style="626" customWidth="1"/>
    <col min="13579" max="13581" width="7.6640625" style="626" customWidth="1"/>
    <col min="13582" max="13583" width="10.44140625" style="626" customWidth="1"/>
    <col min="13584" max="13823" width="7.6640625" style="626"/>
    <col min="13824" max="13824" width="7.44140625" style="626" customWidth="1"/>
    <col min="13825" max="13825" width="25.6640625" style="626" customWidth="1"/>
    <col min="13826" max="13826" width="5.44140625" style="626" customWidth="1"/>
    <col min="13827" max="13827" width="5.33203125" style="626" customWidth="1"/>
    <col min="13828" max="13828" width="20.44140625" style="626" customWidth="1"/>
    <col min="13829" max="13829" width="5.33203125" style="626" customWidth="1"/>
    <col min="13830" max="13830" width="7.6640625" style="626"/>
    <col min="13831" max="13831" width="11.44140625" style="626" customWidth="1"/>
    <col min="13832" max="13832" width="5.88671875" style="626" customWidth="1"/>
    <col min="13833" max="13833" width="13.44140625" style="626" customWidth="1"/>
    <col min="13834" max="13834" width="10.44140625" style="626" customWidth="1"/>
    <col min="13835" max="13837" width="7.6640625" style="626" customWidth="1"/>
    <col min="13838" max="13839" width="10.44140625" style="626" customWidth="1"/>
    <col min="13840" max="14079" width="7.6640625" style="626"/>
    <col min="14080" max="14080" width="7.44140625" style="626" customWidth="1"/>
    <col min="14081" max="14081" width="25.6640625" style="626" customWidth="1"/>
    <col min="14082" max="14082" width="5.44140625" style="626" customWidth="1"/>
    <col min="14083" max="14083" width="5.33203125" style="626" customWidth="1"/>
    <col min="14084" max="14084" width="20.44140625" style="626" customWidth="1"/>
    <col min="14085" max="14085" width="5.33203125" style="626" customWidth="1"/>
    <col min="14086" max="14086" width="7.6640625" style="626"/>
    <col min="14087" max="14087" width="11.44140625" style="626" customWidth="1"/>
    <col min="14088" max="14088" width="5.88671875" style="626" customWidth="1"/>
    <col min="14089" max="14089" width="13.44140625" style="626" customWidth="1"/>
    <col min="14090" max="14090" width="10.44140625" style="626" customWidth="1"/>
    <col min="14091" max="14093" width="7.6640625" style="626" customWidth="1"/>
    <col min="14094" max="14095" width="10.44140625" style="626" customWidth="1"/>
    <col min="14096" max="14335" width="7.6640625" style="626"/>
    <col min="14336" max="14336" width="7.44140625" style="626" customWidth="1"/>
    <col min="14337" max="14337" width="25.6640625" style="626" customWidth="1"/>
    <col min="14338" max="14338" width="5.44140625" style="626" customWidth="1"/>
    <col min="14339" max="14339" width="5.33203125" style="626" customWidth="1"/>
    <col min="14340" max="14340" width="20.44140625" style="626" customWidth="1"/>
    <col min="14341" max="14341" width="5.33203125" style="626" customWidth="1"/>
    <col min="14342" max="14342" width="7.6640625" style="626"/>
    <col min="14343" max="14343" width="11.44140625" style="626" customWidth="1"/>
    <col min="14344" max="14344" width="5.88671875" style="626" customWidth="1"/>
    <col min="14345" max="14345" width="13.44140625" style="626" customWidth="1"/>
    <col min="14346" max="14346" width="10.44140625" style="626" customWidth="1"/>
    <col min="14347" max="14349" width="7.6640625" style="626" customWidth="1"/>
    <col min="14350" max="14351" width="10.44140625" style="626" customWidth="1"/>
    <col min="14352" max="14591" width="7.6640625" style="626"/>
    <col min="14592" max="14592" width="7.44140625" style="626" customWidth="1"/>
    <col min="14593" max="14593" width="25.6640625" style="626" customWidth="1"/>
    <col min="14594" max="14594" width="5.44140625" style="626" customWidth="1"/>
    <col min="14595" max="14595" width="5.33203125" style="626" customWidth="1"/>
    <col min="14596" max="14596" width="20.44140625" style="626" customWidth="1"/>
    <col min="14597" max="14597" width="5.33203125" style="626" customWidth="1"/>
    <col min="14598" max="14598" width="7.6640625" style="626"/>
    <col min="14599" max="14599" width="11.44140625" style="626" customWidth="1"/>
    <col min="14600" max="14600" width="5.88671875" style="626" customWidth="1"/>
    <col min="14601" max="14601" width="13.44140625" style="626" customWidth="1"/>
    <col min="14602" max="14602" width="10.44140625" style="626" customWidth="1"/>
    <col min="14603" max="14605" width="7.6640625" style="626" customWidth="1"/>
    <col min="14606" max="14607" width="10.44140625" style="626" customWidth="1"/>
    <col min="14608" max="14847" width="7.6640625" style="626"/>
    <col min="14848" max="14848" width="7.44140625" style="626" customWidth="1"/>
    <col min="14849" max="14849" width="25.6640625" style="626" customWidth="1"/>
    <col min="14850" max="14850" width="5.44140625" style="626" customWidth="1"/>
    <col min="14851" max="14851" width="5.33203125" style="626" customWidth="1"/>
    <col min="14852" max="14852" width="20.44140625" style="626" customWidth="1"/>
    <col min="14853" max="14853" width="5.33203125" style="626" customWidth="1"/>
    <col min="14854" max="14854" width="7.6640625" style="626"/>
    <col min="14855" max="14855" width="11.44140625" style="626" customWidth="1"/>
    <col min="14856" max="14856" width="5.88671875" style="626" customWidth="1"/>
    <col min="14857" max="14857" width="13.44140625" style="626" customWidth="1"/>
    <col min="14858" max="14858" width="10.44140625" style="626" customWidth="1"/>
    <col min="14859" max="14861" width="7.6640625" style="626" customWidth="1"/>
    <col min="14862" max="14863" width="10.44140625" style="626" customWidth="1"/>
    <col min="14864" max="15103" width="7.6640625" style="626"/>
    <col min="15104" max="15104" width="7.44140625" style="626" customWidth="1"/>
    <col min="15105" max="15105" width="25.6640625" style="626" customWidth="1"/>
    <col min="15106" max="15106" width="5.44140625" style="626" customWidth="1"/>
    <col min="15107" max="15107" width="5.33203125" style="626" customWidth="1"/>
    <col min="15108" max="15108" width="20.44140625" style="626" customWidth="1"/>
    <col min="15109" max="15109" width="5.33203125" style="626" customWidth="1"/>
    <col min="15110" max="15110" width="7.6640625" style="626"/>
    <col min="15111" max="15111" width="11.44140625" style="626" customWidth="1"/>
    <col min="15112" max="15112" width="5.88671875" style="626" customWidth="1"/>
    <col min="15113" max="15113" width="13.44140625" style="626" customWidth="1"/>
    <col min="15114" max="15114" width="10.44140625" style="626" customWidth="1"/>
    <col min="15115" max="15117" width="7.6640625" style="626" customWidth="1"/>
    <col min="15118" max="15119" width="10.44140625" style="626" customWidth="1"/>
    <col min="15120" max="15359" width="7.6640625" style="626"/>
    <col min="15360" max="15360" width="7.44140625" style="626" customWidth="1"/>
    <col min="15361" max="15361" width="25.6640625" style="626" customWidth="1"/>
    <col min="15362" max="15362" width="5.44140625" style="626" customWidth="1"/>
    <col min="15363" max="15363" width="5.33203125" style="626" customWidth="1"/>
    <col min="15364" max="15364" width="20.44140625" style="626" customWidth="1"/>
    <col min="15365" max="15365" width="5.33203125" style="626" customWidth="1"/>
    <col min="15366" max="15366" width="7.6640625" style="626"/>
    <col min="15367" max="15367" width="11.44140625" style="626" customWidth="1"/>
    <col min="15368" max="15368" width="5.88671875" style="626" customWidth="1"/>
    <col min="15369" max="15369" width="13.44140625" style="626" customWidth="1"/>
    <col min="15370" max="15370" width="10.44140625" style="626" customWidth="1"/>
    <col min="15371" max="15373" width="7.6640625" style="626" customWidth="1"/>
    <col min="15374" max="15375" width="10.44140625" style="626" customWidth="1"/>
    <col min="15376" max="15615" width="7.6640625" style="626"/>
    <col min="15616" max="15616" width="7.44140625" style="626" customWidth="1"/>
    <col min="15617" max="15617" width="25.6640625" style="626" customWidth="1"/>
    <col min="15618" max="15618" width="5.44140625" style="626" customWidth="1"/>
    <col min="15619" max="15619" width="5.33203125" style="626" customWidth="1"/>
    <col min="15620" max="15620" width="20.44140625" style="626" customWidth="1"/>
    <col min="15621" max="15621" width="5.33203125" style="626" customWidth="1"/>
    <col min="15622" max="15622" width="7.6640625" style="626"/>
    <col min="15623" max="15623" width="11.44140625" style="626" customWidth="1"/>
    <col min="15624" max="15624" width="5.88671875" style="626" customWidth="1"/>
    <col min="15625" max="15625" width="13.44140625" style="626" customWidth="1"/>
    <col min="15626" max="15626" width="10.44140625" style="626" customWidth="1"/>
    <col min="15627" max="15629" width="7.6640625" style="626" customWidth="1"/>
    <col min="15630" max="15631" width="10.44140625" style="626" customWidth="1"/>
    <col min="15632" max="15871" width="7.6640625" style="626"/>
    <col min="15872" max="15872" width="7.44140625" style="626" customWidth="1"/>
    <col min="15873" max="15873" width="25.6640625" style="626" customWidth="1"/>
    <col min="15874" max="15874" width="5.44140625" style="626" customWidth="1"/>
    <col min="15875" max="15875" width="5.33203125" style="626" customWidth="1"/>
    <col min="15876" max="15876" width="20.44140625" style="626" customWidth="1"/>
    <col min="15877" max="15877" width="5.33203125" style="626" customWidth="1"/>
    <col min="15878" max="15878" width="7.6640625" style="626"/>
    <col min="15879" max="15879" width="11.44140625" style="626" customWidth="1"/>
    <col min="15880" max="15880" width="5.88671875" style="626" customWidth="1"/>
    <col min="15881" max="15881" width="13.44140625" style="626" customWidth="1"/>
    <col min="15882" max="15882" width="10.44140625" style="626" customWidth="1"/>
    <col min="15883" max="15885" width="7.6640625" style="626" customWidth="1"/>
    <col min="15886" max="15887" width="10.44140625" style="626" customWidth="1"/>
    <col min="15888" max="16127" width="7.6640625" style="626"/>
    <col min="16128" max="16128" width="7.44140625" style="626" customWidth="1"/>
    <col min="16129" max="16129" width="25.6640625" style="626" customWidth="1"/>
    <col min="16130" max="16130" width="5.44140625" style="626" customWidth="1"/>
    <col min="16131" max="16131" width="5.33203125" style="626" customWidth="1"/>
    <col min="16132" max="16132" width="20.44140625" style="626" customWidth="1"/>
    <col min="16133" max="16133" width="5.33203125" style="626" customWidth="1"/>
    <col min="16134" max="16134" width="7.6640625" style="626"/>
    <col min="16135" max="16135" width="11.44140625" style="626" customWidth="1"/>
    <col min="16136" max="16136" width="5.88671875" style="626" customWidth="1"/>
    <col min="16137" max="16137" width="13.44140625" style="626" customWidth="1"/>
    <col min="16138" max="16138" width="10.44140625" style="626" customWidth="1"/>
    <col min="16139" max="16141" width="7.6640625" style="626" customWidth="1"/>
    <col min="16142" max="16143" width="10.44140625" style="626" customWidth="1"/>
    <col min="16144" max="16384" width="9.109375" style="626"/>
  </cols>
  <sheetData>
    <row r="1" spans="1:23" ht="18.600000000000001">
      <c r="A1" s="1107" t="s">
        <v>1192</v>
      </c>
      <c r="B1" s="1108"/>
      <c r="C1" s="1108"/>
      <c r="D1" s="1108"/>
      <c r="E1" s="1108"/>
      <c r="F1" s="1108"/>
      <c r="G1" s="1108"/>
      <c r="H1" s="1108"/>
      <c r="I1" s="1108"/>
      <c r="J1" s="1109"/>
    </row>
    <row r="2" spans="1:23">
      <c r="A2" s="885"/>
      <c r="B2" s="768"/>
      <c r="C2" s="768"/>
      <c r="D2" s="768"/>
      <c r="E2" s="768"/>
      <c r="F2" s="768"/>
      <c r="G2" s="768"/>
      <c r="H2" s="768"/>
      <c r="I2" s="768"/>
      <c r="J2" s="769"/>
    </row>
    <row r="3" ht="18" customHeight="1">
      <c r="A3" s="913" t="s">
        <v>823</v>
      </c>
      <c r="B3" s="914"/>
      <c r="C3" s="874" t="s">
        <v>0</v>
      </c>
      <c r="D3" s="1114"/>
      <c r="E3" s="1114"/>
      <c r="F3" s="1114"/>
      <c r="G3" s="1114"/>
      <c r="H3" s="627"/>
      <c r="I3" s="627"/>
      <c r="J3" s="886"/>
      <c r="L3" s="627"/>
      <c r="M3" s="627"/>
      <c r="N3" s="627"/>
      <c r="P3" s="626">
        <f>"                       /BPRS-AU/"&amp;U6&amp;"/"&amp;U7</f>
        <v xml:space="preserve">                       /BPRS-AU/X/2024</v>
      </c>
      <c r="V3" s="628">
        <v>1</v>
      </c>
      <c r="W3" s="626" t="s">
        <v>787</v>
      </c>
    </row>
    <row r="4" ht="18" customHeight="1">
      <c r="A4" s="915" t="s">
        <v>1190</v>
      </c>
      <c r="B4" s="916"/>
      <c r="C4" s="874" t="s">
        <v>0</v>
      </c>
      <c r="D4" s="1106"/>
      <c r="E4" s="1049"/>
      <c r="F4" s="1049"/>
      <c r="G4" s="1049"/>
      <c r="H4" s="875"/>
      <c r="I4" s="627"/>
      <c r="J4" s="886"/>
      <c r="L4" s="627"/>
      <c r="M4" s="627"/>
      <c r="N4" s="627"/>
      <c r="P4" s="626">
        <f>IF(D6="","-",#REF!)</f>
      </c>
      <c r="U4" s="629">
        <f>MONTH(D6)</f>
      </c>
      <c r="V4" s="628">
        <v>2</v>
      </c>
      <c r="W4" s="626" t="s">
        <v>864</v>
      </c>
    </row>
    <row r="5" ht="18" customHeight="1">
      <c r="A5" s="915" t="s">
        <v>1186</v>
      </c>
      <c r="B5" s="916"/>
      <c r="C5" s="874" t="s">
        <v>0</v>
      </c>
      <c r="D5" s="1106"/>
      <c r="E5" s="1049"/>
      <c r="F5" s="1049"/>
      <c r="G5" s="1049"/>
      <c r="H5" s="875"/>
      <c r="I5" s="627"/>
      <c r="J5" s="886"/>
      <c r="L5" s="627"/>
      <c r="M5" s="627"/>
      <c r="N5" s="627"/>
      <c r="P5" s="626">
        <f>IF(D7="","-",P3)</f>
        <v xml:space="preserve">                       /BPRS-AU/X/2024</v>
      </c>
      <c r="U5" s="629">
        <f>MONTH(D7)</f>
      </c>
      <c r="V5" s="628">
        <v>2</v>
      </c>
      <c r="W5" s="626" t="s">
        <v>864</v>
      </c>
    </row>
    <row r="6" ht="18" customHeight="1">
      <c r="A6" s="915" t="s">
        <v>984</v>
      </c>
      <c r="B6" s="916"/>
      <c r="C6" s="874" t="s">
        <v>0</v>
      </c>
      <c r="D6" s="1049"/>
      <c r="E6" s="1049"/>
      <c r="F6" s="1049"/>
      <c r="G6" s="1049"/>
      <c r="H6" s="627"/>
      <c r="I6" s="627"/>
      <c r="J6" s="886"/>
      <c r="M6" s="626" t="s">
        <v>71</v>
      </c>
      <c r="Q6" s="630"/>
      <c r="U6" s="631">
        <f>VLOOKUP(U5,V3:W17,2)</f>
      </c>
      <c r="V6" s="628">
        <v>3</v>
      </c>
      <c r="W6" s="626" t="s">
        <v>865</v>
      </c>
    </row>
    <row r="7" ht="18" customHeight="1">
      <c r="A7" s="915" t="s">
        <v>824</v>
      </c>
      <c r="B7" s="916"/>
      <c r="C7" s="874" t="s">
        <v>0</v>
      </c>
      <c r="D7" s="1115"/>
      <c r="E7" s="1115"/>
      <c r="F7" s="1115"/>
      <c r="G7" s="1115"/>
      <c r="H7" s="627"/>
      <c r="I7" s="627"/>
      <c r="J7" s="886"/>
      <c r="M7" s="626" t="s">
        <v>72</v>
      </c>
      <c r="U7" s="632">
        <f>YEAR(D7)</f>
      </c>
      <c r="V7" s="628">
        <v>4</v>
      </c>
      <c r="W7" s="626" t="s">
        <v>866</v>
      </c>
    </row>
    <row r="8" spans="1:23" ht="4.5" customHeight="1">
      <c r="A8" s="892"/>
      <c r="B8" s="637"/>
      <c r="C8" s="637"/>
      <c r="D8" s="637"/>
      <c r="E8" s="637"/>
      <c r="F8" s="637"/>
      <c r="G8" s="637"/>
      <c r="H8" s="637"/>
      <c r="I8" s="637"/>
      <c r="J8" s="893"/>
      <c r="M8" s="626" t="s">
        <v>73</v>
      </c>
      <c r="V8" s="628">
        <v>5</v>
      </c>
      <c r="W8" s="626" t="s">
        <v>867</v>
      </c>
    </row>
    <row r="9" spans="1:23" ht="18" customHeight="1">
      <c r="A9" s="1052" t="s">
        <v>74</v>
      </c>
      <c r="B9" s="1053"/>
      <c r="C9" s="1053"/>
      <c r="D9" s="1053"/>
      <c r="E9" s="1053"/>
      <c r="F9" s="1053"/>
      <c r="G9" s="1053"/>
      <c r="H9" s="1053"/>
      <c r="I9" s="1053"/>
      <c r="J9" s="1054"/>
      <c r="M9" s="626" t="s">
        <v>75</v>
      </c>
      <c r="V9" s="628">
        <v>6</v>
      </c>
      <c r="W9" s="626" t="s">
        <v>868</v>
      </c>
    </row>
    <row r="10" spans="1:23" ht="4.5" customHeight="1">
      <c r="A10" s="894"/>
      <c r="B10" s="895"/>
      <c r="C10" s="638"/>
      <c r="D10" s="633"/>
      <c r="E10" s="634"/>
      <c r="F10" s="634"/>
      <c r="G10" s="634"/>
      <c r="H10" s="634"/>
      <c r="I10" s="634"/>
      <c r="J10" s="896"/>
      <c r="M10" s="626" t="s">
        <v>76</v>
      </c>
      <c r="V10" s="628">
        <v>7</v>
      </c>
      <c r="W10" s="626" t="s">
        <v>869</v>
      </c>
    </row>
    <row r="11" ht="18" customHeight="1">
      <c r="A11" s="887">
        <v>1</v>
      </c>
      <c r="B11" s="627" t="s">
        <v>971</v>
      </c>
      <c r="C11" s="874"/>
      <c r="D11" s="1041"/>
      <c r="E11" s="1042"/>
      <c r="F11" s="1043">
        <f>IF(D11="Referral","Nama :","")</f>
      </c>
      <c r="G11" s="1043"/>
      <c r="H11" s="634"/>
      <c r="I11" s="634"/>
      <c r="J11" s="896"/>
      <c r="V11" s="628"/>
    </row>
    <row r="12" ht="18" customHeight="1">
      <c r="A12" s="887">
        <f>A11+1</f>
      </c>
      <c r="B12" s="627" t="s">
        <v>805</v>
      </c>
      <c r="C12" s="874" t="s">
        <v>0</v>
      </c>
      <c r="D12" s="1048"/>
      <c r="E12" s="1049"/>
      <c r="F12" s="1049"/>
      <c r="G12" s="1049"/>
      <c r="H12" s="1049"/>
      <c r="I12" s="1049"/>
      <c r="J12" s="1050"/>
      <c r="V12" s="628">
        <v>8</v>
      </c>
      <c r="W12" s="626" t="s">
        <v>870</v>
      </c>
    </row>
    <row r="13" ht="18" customHeight="1">
      <c r="A13" s="887">
        <v>3</v>
      </c>
      <c r="B13" s="627" t="s">
        <v>1069</v>
      </c>
      <c r="C13" s="874"/>
      <c r="D13" s="1039"/>
      <c r="E13" s="1040"/>
      <c r="F13" s="765"/>
      <c r="G13" s="765"/>
      <c r="H13" s="765"/>
      <c r="I13" s="765"/>
      <c r="J13" s="897"/>
      <c r="V13" s="628"/>
    </row>
    <row r="14" ht="18" customHeight="1">
      <c r="A14" s="887">
        <v>4</v>
      </c>
      <c r="B14" s="627" t="s">
        <v>806</v>
      </c>
      <c r="C14" s="874" t="s">
        <v>0</v>
      </c>
      <c r="D14" s="1081"/>
      <c r="E14" s="1092"/>
      <c r="F14" s="1093"/>
      <c r="G14" s="1099" t="s">
        <v>77</v>
      </c>
      <c r="H14" s="1100"/>
      <c r="I14" s="1097"/>
      <c r="J14" s="1098"/>
      <c r="L14" s="626" t="s">
        <v>78</v>
      </c>
      <c r="M14" s="626" t="s">
        <v>79</v>
      </c>
      <c r="V14" s="628">
        <v>9</v>
      </c>
      <c r="W14" s="626" t="s">
        <v>871</v>
      </c>
    </row>
    <row r="15" ht="18" customHeight="1">
      <c r="A15" s="887">
        <v>5</v>
      </c>
      <c r="B15" s="627" t="s">
        <v>807</v>
      </c>
      <c r="C15" s="874" t="s">
        <v>0</v>
      </c>
      <c r="D15" s="1091"/>
      <c r="E15" s="1092"/>
      <c r="F15" s="1093"/>
      <c r="G15" s="1099" t="s">
        <v>755</v>
      </c>
      <c r="H15" s="1100"/>
      <c r="I15" s="1101">
        <f>Parameter!E267</f>
      </c>
      <c r="J15" s="1102"/>
      <c r="M15" s="626" t="s">
        <v>80</v>
      </c>
      <c r="V15" s="628">
        <v>10</v>
      </c>
      <c r="W15" s="626" t="s">
        <v>33</v>
      </c>
    </row>
    <row r="16" ht="18" customHeight="1">
      <c r="A16" s="887">
        <v>6</v>
      </c>
      <c r="B16" s="627" t="s">
        <v>808</v>
      </c>
      <c r="C16" s="874" t="s">
        <v>0</v>
      </c>
      <c r="D16" s="1116"/>
      <c r="E16" s="1117"/>
      <c r="F16" s="1117"/>
      <c r="G16" s="1117"/>
      <c r="H16" s="1117"/>
      <c r="I16" s="1117"/>
      <c r="J16" s="1118"/>
      <c r="M16" s="626" t="s">
        <v>81</v>
      </c>
      <c r="V16" s="628">
        <v>11</v>
      </c>
      <c r="W16" s="626" t="s">
        <v>872</v>
      </c>
    </row>
    <row r="17" spans="1:23" ht="18" customHeight="1">
      <c r="A17" s="887"/>
      <c r="B17" s="627"/>
      <c r="C17" s="627"/>
      <c r="D17" s="1119"/>
      <c r="E17" s="1120"/>
      <c r="F17" s="1120"/>
      <c r="G17" s="1120"/>
      <c r="H17" s="1120"/>
      <c r="I17" s="1120"/>
      <c r="J17" s="1121"/>
      <c r="V17" s="628">
        <v>12</v>
      </c>
      <c r="W17" s="626" t="s">
        <v>873</v>
      </c>
    </row>
    <row r="18" ht="18" customHeight="1">
      <c r="A18" s="887"/>
      <c r="B18" s="627"/>
      <c r="C18" s="627"/>
      <c r="D18" s="917" t="s">
        <v>706</v>
      </c>
      <c r="E18" s="918"/>
      <c r="F18" s="1122"/>
      <c r="G18" s="1123"/>
      <c r="H18" s="918" t="s">
        <v>82</v>
      </c>
      <c r="I18" s="1124"/>
      <c r="J18" s="1125"/>
    </row>
    <row r="19" ht="18" customHeight="1">
      <c r="A19" s="887"/>
      <c r="B19" s="627"/>
      <c r="C19" s="627"/>
      <c r="D19" s="917" t="s">
        <v>83</v>
      </c>
      <c r="E19" s="918"/>
      <c r="F19" s="1122"/>
      <c r="G19" s="1123"/>
      <c r="H19" s="918" t="s">
        <v>84</v>
      </c>
      <c r="I19" s="1124"/>
      <c r="J19" s="1125"/>
      <c r="L19" s="626" t="s">
        <v>2</v>
      </c>
      <c r="M19" s="626" t="s">
        <v>85</v>
      </c>
    </row>
    <row r="20" ht="18" hidden="1" customHeight="1">
      <c r="A20" s="887">
        <f t="shared" ref="A20:A30" si="0">A19+1</f>
      </c>
      <c r="B20" s="627" t="s">
        <v>86</v>
      </c>
      <c r="C20" s="874" t="s">
        <v>0</v>
      </c>
      <c r="D20" s="1103"/>
      <c r="E20" s="1104"/>
      <c r="F20" s="1104"/>
      <c r="G20" s="1104"/>
      <c r="H20" s="1104"/>
      <c r="I20" s="1104"/>
      <c r="J20" s="1105"/>
      <c r="M20" s="626" t="s">
        <v>87</v>
      </c>
    </row>
    <row r="21" ht="18" customHeight="1">
      <c r="A21" s="887">
        <f>A16+1</f>
      </c>
      <c r="B21" s="627" t="s">
        <v>809</v>
      </c>
      <c r="C21" s="874" t="s">
        <v>0</v>
      </c>
      <c r="D21" s="1091"/>
      <c r="E21" s="1092"/>
      <c r="F21" s="1092"/>
      <c r="G21" s="1093"/>
      <c r="H21" s="875"/>
      <c r="I21" s="875"/>
      <c r="J21" s="889"/>
      <c r="M21" s="626" t="s">
        <v>88</v>
      </c>
    </row>
    <row r="22" ht="18" customHeight="1">
      <c r="A22" s="887">
        <f t="shared" si="0"/>
      </c>
      <c r="B22" s="627" t="s">
        <v>810</v>
      </c>
      <c r="C22" s="874" t="s">
        <v>0</v>
      </c>
      <c r="D22" s="1070"/>
      <c r="E22" s="1071"/>
      <c r="F22" s="1071"/>
      <c r="G22" s="1072"/>
      <c r="H22" s="875"/>
      <c r="I22" s="877"/>
      <c r="J22" s="889"/>
      <c r="M22" s="626" t="s">
        <v>89</v>
      </c>
    </row>
    <row r="23" ht="18" customHeight="1">
      <c r="A23" s="887">
        <f t="shared" si="0"/>
      </c>
      <c r="B23" s="627" t="s">
        <v>811</v>
      </c>
      <c r="C23" s="874" t="s">
        <v>0</v>
      </c>
      <c r="D23" s="1094"/>
      <c r="E23" s="1095"/>
      <c r="F23" s="1095"/>
      <c r="G23" s="1096"/>
      <c r="H23" s="875"/>
      <c r="I23" s="875"/>
      <c r="J23" s="889"/>
      <c r="M23" s="626" t="s">
        <v>91</v>
      </c>
    </row>
    <row r="24" s="627" customFormat="1" ht="18" customHeight="1">
      <c r="A24" s="887">
        <f t="shared" si="0"/>
      </c>
      <c r="B24" s="627" t="s">
        <v>812</v>
      </c>
      <c r="C24" s="874" t="s">
        <v>0</v>
      </c>
      <c r="D24" s="1039"/>
      <c r="E24" s="1055"/>
      <c r="F24" s="1055"/>
      <c r="G24" s="1056"/>
      <c r="H24" s="875"/>
      <c r="I24" s="875"/>
      <c r="J24" s="889"/>
      <c r="L24" s="626"/>
      <c r="M24" s="626"/>
      <c r="N24" s="626"/>
    </row>
    <row r="25" ht="18" customHeight="1">
      <c r="A25" s="887">
        <f t="shared" si="0"/>
      </c>
      <c r="B25" s="627" t="s">
        <v>818</v>
      </c>
      <c r="C25" s="874" t="s">
        <v>0</v>
      </c>
      <c r="D25" s="1048"/>
      <c r="E25" s="1049"/>
      <c r="F25" s="1049"/>
      <c r="G25" s="1049"/>
      <c r="H25" s="1049"/>
      <c r="I25" s="1049"/>
      <c r="J25" s="1050"/>
      <c r="L25" s="626" t="s">
        <v>92</v>
      </c>
      <c r="M25" s="626" t="s">
        <v>93</v>
      </c>
    </row>
    <row r="26" ht="18" customHeight="1">
      <c r="A26" s="887">
        <f t="shared" si="0"/>
      </c>
      <c r="B26" s="627" t="s">
        <v>819</v>
      </c>
      <c r="C26" s="874" t="s">
        <v>0</v>
      </c>
      <c r="D26" s="1048"/>
      <c r="E26" s="1049"/>
      <c r="F26" s="1049"/>
      <c r="G26" s="1049"/>
      <c r="H26" s="1049"/>
      <c r="I26" s="1049"/>
      <c r="J26" s="1050"/>
    </row>
    <row r="27" ht="18" customHeight="1">
      <c r="A27" s="887">
        <f t="shared" si="0"/>
      </c>
      <c r="B27" s="627" t="s">
        <v>820</v>
      </c>
      <c r="C27" s="874" t="s">
        <v>0</v>
      </c>
      <c r="D27" s="1073"/>
      <c r="E27" s="1074"/>
      <c r="F27" s="1074"/>
      <c r="G27" s="1074"/>
      <c r="H27" s="1074"/>
      <c r="I27" s="1074"/>
      <c r="J27" s="1075"/>
    </row>
    <row r="28" ht="18" customHeight="1">
      <c r="A28" s="887">
        <f t="shared" si="0"/>
      </c>
      <c r="B28" s="627" t="s">
        <v>813</v>
      </c>
      <c r="C28" s="874" t="s">
        <v>0</v>
      </c>
      <c r="D28" s="1076"/>
      <c r="E28" s="1077"/>
      <c r="F28" s="1077"/>
      <c r="G28" s="1077"/>
      <c r="H28" s="1077"/>
      <c r="I28" s="1077"/>
      <c r="J28" s="1077"/>
    </row>
    <row r="29" ht="18" customHeight="1">
      <c r="A29" s="887">
        <f t="shared" si="0"/>
      </c>
      <c r="B29" s="627" t="s">
        <v>821</v>
      </c>
      <c r="C29" s="874" t="s">
        <v>0</v>
      </c>
      <c r="D29" s="1078"/>
      <c r="E29" s="1079"/>
      <c r="F29" s="1079"/>
      <c r="G29" s="1079"/>
      <c r="H29" s="1079"/>
      <c r="I29" s="1079"/>
      <c r="J29" s="1080"/>
    </row>
    <row r="30" ht="18" customHeight="1">
      <c r="A30" s="887">
        <f t="shared" si="0"/>
      </c>
      <c r="B30" s="627" t="s">
        <v>94</v>
      </c>
      <c r="C30" s="874" t="s">
        <v>0</v>
      </c>
      <c r="D30" s="1051"/>
      <c r="E30" s="1051"/>
      <c r="F30" s="1051"/>
      <c r="G30" s="1051"/>
      <c r="H30" s="1051"/>
      <c r="I30" s="1051"/>
      <c r="J30" s="1051"/>
      <c r="M30" s="626" t="s">
        <v>95</v>
      </c>
    </row>
    <row r="31" spans="1:23" ht="18" customHeight="1">
      <c r="A31" s="887"/>
      <c r="B31" s="627" t="s">
        <v>822</v>
      </c>
      <c r="C31" s="874"/>
      <c r="D31" s="1051"/>
      <c r="E31" s="1051"/>
      <c r="F31" s="1051"/>
      <c r="G31" s="1051"/>
      <c r="H31" s="1051"/>
      <c r="I31" s="1051"/>
      <c r="J31" s="1051"/>
      <c r="M31" s="626" t="s">
        <v>7</v>
      </c>
    </row>
    <row r="32" ht="18" customHeight="1">
      <c r="A32" s="887">
        <f>A30+1</f>
      </c>
      <c r="B32" s="627" t="s">
        <v>809</v>
      </c>
      <c r="C32" s="874" t="s">
        <v>0</v>
      </c>
      <c r="D32" s="1081"/>
      <c r="E32" s="1082"/>
      <c r="F32" s="1082"/>
      <c r="G32" s="1083"/>
      <c r="H32" s="627"/>
      <c r="I32" s="627"/>
      <c r="J32" s="886"/>
      <c r="M32" s="635" t="s">
        <v>5</v>
      </c>
    </row>
    <row r="33" spans="1:13" ht="3.75" customHeight="1">
      <c r="A33" s="887"/>
      <c r="B33" s="627"/>
      <c r="C33" s="627"/>
      <c r="D33" s="627"/>
      <c r="E33" s="627"/>
      <c r="F33" s="627"/>
      <c r="G33" s="627"/>
      <c r="H33" s="627"/>
      <c r="I33" s="627"/>
      <c r="J33" s="886"/>
    </row>
    <row r="34" spans="1:13" ht="18" customHeight="1">
      <c r="A34" s="1052" t="s">
        <v>98</v>
      </c>
      <c r="B34" s="1053"/>
      <c r="C34" s="1053"/>
      <c r="D34" s="1053"/>
      <c r="E34" s="1053"/>
      <c r="F34" s="1053"/>
      <c r="G34" s="1053"/>
      <c r="H34" s="1053"/>
      <c r="I34" s="1053"/>
      <c r="J34" s="1054"/>
      <c r="L34" s="626" t="s">
        <v>55</v>
      </c>
      <c r="M34" s="626" t="s">
        <v>99</v>
      </c>
    </row>
    <row r="35" spans="1:13" ht="3.75" customHeight="1">
      <c r="A35" s="888"/>
      <c r="B35" s="876"/>
      <c r="C35" s="874"/>
      <c r="D35" s="636"/>
      <c r="E35" s="876"/>
      <c r="F35" s="876"/>
      <c r="G35" s="876"/>
      <c r="H35" s="876"/>
      <c r="I35" s="876"/>
      <c r="J35" s="890"/>
      <c r="L35" s="627"/>
      <c r="M35" s="635" t="s">
        <v>100</v>
      </c>
    </row>
    <row r="36" ht="18" customHeight="1">
      <c r="A36" s="887">
        <v>1</v>
      </c>
      <c r="B36" s="886" t="s">
        <v>825</v>
      </c>
      <c r="C36" s="874" t="s">
        <v>0</v>
      </c>
      <c r="D36" s="1057"/>
      <c r="E36" s="1055"/>
      <c r="F36" s="1055"/>
      <c r="G36" s="1056"/>
      <c r="H36" s="875"/>
      <c r="I36" s="627"/>
      <c r="J36" s="886"/>
      <c r="L36" s="627"/>
      <c r="M36" s="635" t="s">
        <v>101</v>
      </c>
    </row>
    <row r="37" ht="18" customHeight="1">
      <c r="A37" s="887">
        <v>2</v>
      </c>
      <c r="B37" s="886" t="s">
        <v>815</v>
      </c>
      <c r="C37" s="874" t="s">
        <v>0</v>
      </c>
      <c r="D37" s="1037"/>
      <c r="E37" s="1084"/>
      <c r="F37" s="1084"/>
      <c r="G37" s="1038"/>
      <c r="H37" s="875"/>
      <c r="I37" s="627"/>
      <c r="J37" s="886"/>
      <c r="M37" s="635" t="s">
        <v>5</v>
      </c>
    </row>
    <row r="38" ht="32.25" customHeight="1">
      <c r="A38" s="887">
        <v>3</v>
      </c>
      <c r="B38" s="919">
        <f>Parameter!B36</f>
      </c>
      <c r="C38" s="874" t="s">
        <v>0</v>
      </c>
      <c r="D38" s="1085"/>
      <c r="E38" s="1086"/>
      <c r="F38" s="1086"/>
      <c r="G38" s="1086"/>
      <c r="H38" s="1087"/>
      <c r="I38" s="627"/>
      <c r="J38" s="886"/>
      <c r="M38" s="635"/>
    </row>
    <row r="39" ht="43.5" customHeight="1">
      <c r="A39" s="892">
        <v>4</v>
      </c>
      <c r="B39" s="920" t="s">
        <v>814</v>
      </c>
      <c r="C39" s="874" t="s">
        <v>0</v>
      </c>
      <c r="D39" s="1088"/>
      <c r="E39" s="1089"/>
      <c r="F39" s="1089"/>
      <c r="G39" s="1089"/>
      <c r="H39" s="1089"/>
      <c r="I39" s="1089"/>
      <c r="J39" s="1090"/>
      <c r="M39" s="635"/>
    </row>
    <row r="40" spans="1:13" ht="3.75" customHeight="1">
      <c r="A40" s="887"/>
      <c r="B40" s="627"/>
      <c r="C40" s="627"/>
      <c r="D40" s="637"/>
      <c r="E40" s="627"/>
      <c r="F40" s="627"/>
      <c r="G40" s="627"/>
      <c r="H40" s="627"/>
      <c r="I40" s="627"/>
      <c r="J40" s="886"/>
    </row>
    <row r="41" spans="1:13" ht="18" customHeight="1">
      <c r="A41" s="1052" t="s">
        <v>102</v>
      </c>
      <c r="B41" s="1053"/>
      <c r="C41" s="1053"/>
      <c r="D41" s="1053"/>
      <c r="E41" s="1053"/>
      <c r="F41" s="1053"/>
      <c r="G41" s="1053"/>
      <c r="H41" s="1053"/>
      <c r="I41" s="1053"/>
      <c r="J41" s="1054"/>
      <c r="L41" s="626" t="s">
        <v>61</v>
      </c>
      <c r="M41" s="626" t="s">
        <v>103</v>
      </c>
    </row>
    <row r="42" spans="1:13" ht="3" customHeight="1">
      <c r="A42" s="888"/>
      <c r="B42" s="874"/>
      <c r="C42" s="874"/>
      <c r="D42" s="638"/>
      <c r="E42" s="874"/>
      <c r="F42" s="874"/>
      <c r="G42" s="874"/>
      <c r="H42" s="874"/>
      <c r="I42" s="874"/>
      <c r="J42" s="891"/>
      <c r="M42" s="626" t="s">
        <v>104</v>
      </c>
    </row>
    <row r="43" ht="18" customHeight="1">
      <c r="A43" s="887">
        <v>1</v>
      </c>
      <c r="B43" s="627" t="s">
        <v>1083</v>
      </c>
      <c r="C43" s="874" t="s">
        <v>0</v>
      </c>
      <c r="D43" s="1037"/>
      <c r="E43" s="1038"/>
      <c r="F43" s="874"/>
      <c r="G43" s="874"/>
      <c r="H43" s="874"/>
      <c r="I43" s="874"/>
      <c r="J43" s="891"/>
    </row>
    <row r="44" ht="18" customHeight="1">
      <c r="A44" s="887">
        <v>2</v>
      </c>
      <c r="B44" s="627" t="s">
        <v>827</v>
      </c>
      <c r="C44" s="874" t="s">
        <v>0</v>
      </c>
      <c r="D44" s="1037"/>
      <c r="E44" s="1038"/>
      <c r="F44" s="627"/>
      <c r="G44" s="627"/>
      <c r="H44" s="627"/>
      <c r="I44" s="627"/>
      <c r="J44" s="886"/>
      <c r="M44" s="626" t="s">
        <v>105</v>
      </c>
    </row>
    <row r="45" ht="18" customHeight="1">
      <c r="A45" s="887">
        <v>3</v>
      </c>
      <c r="B45" s="627" t="s">
        <v>828</v>
      </c>
      <c r="C45" s="874" t="s">
        <v>0</v>
      </c>
      <c r="D45" s="1039"/>
      <c r="E45" s="1055"/>
      <c r="F45" s="1055"/>
      <c r="G45" s="1056"/>
      <c r="H45" s="627"/>
      <c r="I45" s="627"/>
      <c r="J45" s="886"/>
      <c r="M45" s="626" t="s">
        <v>107</v>
      </c>
    </row>
    <row r="46" spans="1:13" ht="1.5" customHeight="1">
      <c r="A46" s="887">
        <v>4</v>
      </c>
      <c r="B46" s="627"/>
      <c r="C46" s="627"/>
      <c r="D46" s="878"/>
      <c r="E46" s="878"/>
      <c r="F46" s="878"/>
      <c r="G46" s="878"/>
      <c r="H46" s="627"/>
      <c r="I46" s="627"/>
      <c r="J46" s="886"/>
    </row>
    <row r="47" ht="18" customHeight="1">
      <c r="A47" s="887">
        <v>4</v>
      </c>
      <c r="B47" s="627" t="s">
        <v>829</v>
      </c>
      <c r="C47" s="874" t="s">
        <v>0</v>
      </c>
      <c r="D47" s="1039"/>
      <c r="E47" s="1055"/>
      <c r="F47" s="1055"/>
      <c r="G47" s="1056"/>
      <c r="H47" s="627"/>
      <c r="I47" s="627"/>
      <c r="J47" s="886"/>
      <c r="L47" s="626" t="s">
        <v>109</v>
      </c>
      <c r="M47" s="626" t="s">
        <v>110</v>
      </c>
    </row>
    <row r="48" ht="18" customHeight="1">
      <c r="A48" s="887">
        <v>5</v>
      </c>
      <c r="B48" s="627" t="s">
        <v>830</v>
      </c>
      <c r="C48" s="874" t="s">
        <v>0</v>
      </c>
      <c r="D48" s="1057"/>
      <c r="E48" s="1055"/>
      <c r="F48" s="1055"/>
      <c r="G48" s="1056"/>
      <c r="H48" s="627"/>
      <c r="I48" s="627"/>
      <c r="J48" s="886"/>
      <c r="M48" s="626" t="s">
        <v>111</v>
      </c>
    </row>
    <row r="49" s="627" customFormat="1" ht="18" customHeight="1">
      <c r="A49" s="887">
        <v>6</v>
      </c>
      <c r="B49" s="627" t="s">
        <v>831</v>
      </c>
      <c r="C49" s="874" t="s">
        <v>0</v>
      </c>
      <c r="D49" s="1057"/>
      <c r="E49" s="1055"/>
      <c r="F49" s="1055"/>
      <c r="G49" s="1056"/>
      <c r="J49" s="886"/>
      <c r="L49" s="626"/>
      <c r="M49" s="626"/>
      <c r="N49" s="626"/>
    </row>
    <row r="50" s="627" customFormat="1" ht="18" customHeight="1">
      <c r="A50" s="887">
        <v>7</v>
      </c>
      <c r="B50" s="627">
        <f>Parameter!B76</f>
      </c>
      <c r="C50" s="874" t="s">
        <v>0</v>
      </c>
      <c r="D50" s="1039"/>
      <c r="E50" s="1040"/>
      <c r="F50" s="1040"/>
      <c r="G50" s="1061"/>
      <c r="J50" s="886"/>
      <c r="L50" s="626"/>
      <c r="M50" s="626"/>
      <c r="N50" s="626"/>
    </row>
    <row r="51" ht="29.25" customHeight="1">
      <c r="A51" s="887">
        <v>8</v>
      </c>
      <c r="B51" s="627" t="s">
        <v>832</v>
      </c>
      <c r="C51" s="874" t="s">
        <v>0</v>
      </c>
      <c r="D51" s="1058"/>
      <c r="E51" s="1059"/>
      <c r="F51" s="1059"/>
      <c r="G51" s="1059"/>
      <c r="H51" s="1059"/>
      <c r="I51" s="1059"/>
      <c r="J51" s="1060"/>
      <c r="L51" s="626" t="s">
        <v>112</v>
      </c>
      <c r="M51" s="626" t="s">
        <v>113</v>
      </c>
    </row>
    <row r="52" ht="18" customHeight="1">
      <c r="A52" s="887">
        <v>9</v>
      </c>
      <c r="B52" s="627">
        <f>Parameter!B86</f>
      </c>
      <c r="C52" s="874" t="s">
        <v>0</v>
      </c>
      <c r="D52" s="1058"/>
      <c r="E52" s="1059"/>
      <c r="F52" s="1059"/>
      <c r="G52" s="1059"/>
      <c r="H52" s="1059"/>
      <c r="I52" s="1059"/>
      <c r="J52" s="1060"/>
      <c r="M52" s="626" t="s">
        <v>114</v>
      </c>
    </row>
    <row r="53" spans="1:14" ht="2.25" customHeight="1">
      <c r="A53" s="887"/>
      <c r="B53" s="627"/>
      <c r="C53" s="627"/>
      <c r="D53" s="627"/>
      <c r="E53" s="627"/>
      <c r="F53" s="627"/>
      <c r="G53" s="627"/>
      <c r="H53" s="627"/>
      <c r="I53" s="627"/>
      <c r="J53" s="886"/>
      <c r="L53" s="635"/>
      <c r="M53" s="639" t="s">
        <v>116</v>
      </c>
    </row>
    <row r="54" spans="1:14" ht="18" customHeight="1">
      <c r="A54" s="1052" t="s">
        <v>539</v>
      </c>
      <c r="B54" s="1053"/>
      <c r="C54" s="1053"/>
      <c r="D54" s="1053"/>
      <c r="E54" s="1053"/>
      <c r="F54" s="1053"/>
      <c r="G54" s="1053"/>
      <c r="H54" s="1053"/>
      <c r="I54" s="1053"/>
      <c r="J54" s="1054"/>
      <c r="L54" s="635"/>
      <c r="M54" s="639" t="s">
        <v>117</v>
      </c>
    </row>
    <row r="55" spans="1:14" ht="3" customHeight="1">
      <c r="A55" s="887"/>
      <c r="B55" s="627"/>
      <c r="C55" s="627"/>
      <c r="D55" s="627"/>
      <c r="E55" s="627"/>
      <c r="F55" s="627"/>
      <c r="G55" s="627"/>
      <c r="H55" s="627"/>
      <c r="I55" s="627"/>
      <c r="J55" s="886"/>
      <c r="M55" s="640" t="s">
        <v>118</v>
      </c>
      <c r="N55" s="640"/>
    </row>
    <row r="56">
      <c r="A56" s="887">
        <v>1</v>
      </c>
      <c r="B56" s="627">
        <f>Parameter!B93</f>
      </c>
      <c r="C56" s="874" t="s">
        <v>0</v>
      </c>
      <c r="D56" s="1039"/>
      <c r="E56" s="1040"/>
      <c r="F56" s="1040"/>
      <c r="G56" s="1040"/>
      <c r="H56" s="1061"/>
      <c r="I56" s="627"/>
      <c r="J56" s="886"/>
      <c r="M56" s="640" t="s">
        <v>120</v>
      </c>
      <c r="N56" s="640"/>
    </row>
    <row r="57" ht="18" customHeight="1">
      <c r="A57" s="887">
        <v>2</v>
      </c>
      <c r="B57" s="627">
        <f>Parameter!B108</f>
      </c>
      <c r="C57" s="874" t="s">
        <v>0</v>
      </c>
      <c r="D57" s="1070"/>
      <c r="E57" s="1071"/>
      <c r="F57" s="1071"/>
      <c r="G57" s="1071"/>
      <c r="H57" s="1072"/>
      <c r="I57" s="627"/>
      <c r="J57" s="886"/>
      <c r="M57" s="640" t="s">
        <v>121</v>
      </c>
    </row>
    <row r="58" spans="1:14" ht="3" customHeight="1">
      <c r="A58" s="887"/>
      <c r="B58" s="627"/>
      <c r="C58" s="627"/>
      <c r="D58" s="627"/>
      <c r="E58" s="627"/>
      <c r="F58" s="627"/>
      <c r="G58" s="627"/>
      <c r="H58" s="627"/>
      <c r="I58" s="627"/>
      <c r="J58" s="886"/>
      <c r="K58" s="630"/>
      <c r="M58" s="640" t="s">
        <v>122</v>
      </c>
    </row>
    <row r="59" spans="1:14" ht="3" customHeight="1">
      <c r="A59" s="887"/>
      <c r="B59" s="627"/>
      <c r="C59" s="627"/>
      <c r="D59" s="627"/>
      <c r="E59" s="627"/>
      <c r="F59" s="627"/>
      <c r="G59" s="627"/>
      <c r="H59" s="627"/>
      <c r="I59" s="627"/>
      <c r="J59" s="886"/>
      <c r="K59" s="630"/>
      <c r="M59" s="640"/>
    </row>
    <row r="60" spans="1:14" ht="18">
      <c r="A60" s="1052" t="s">
        <v>641</v>
      </c>
      <c r="B60" s="1053"/>
      <c r="C60" s="1053"/>
      <c r="D60" s="1053"/>
      <c r="E60" s="1053"/>
      <c r="F60" s="1053"/>
      <c r="G60" s="1053"/>
      <c r="H60" s="1053"/>
      <c r="I60" s="1053"/>
      <c r="J60" s="1054"/>
      <c r="M60" s="640" t="s">
        <v>123</v>
      </c>
    </row>
    <row r="61" spans="1:14" ht="3" customHeight="1">
      <c r="A61" s="898"/>
      <c r="B61" s="641"/>
      <c r="C61" s="641"/>
      <c r="D61" s="641"/>
      <c r="E61" s="641"/>
      <c r="F61" s="641"/>
      <c r="G61" s="641"/>
      <c r="H61" s="627"/>
      <c r="I61" s="627"/>
      <c r="J61" s="886"/>
      <c r="M61" s="640" t="s">
        <v>124</v>
      </c>
    </row>
    <row r="62" ht="18" customHeight="1">
      <c r="A62" s="921">
        <v>1</v>
      </c>
      <c r="B62" s="916" t="s">
        <v>837</v>
      </c>
      <c r="C62" s="874" t="s">
        <v>0</v>
      </c>
      <c r="D62" s="642"/>
      <c r="E62" s="770">
        <f>IF(D62="",0,Parameter!T135)</f>
      </c>
      <c r="F62" s="627"/>
      <c r="G62" s="627"/>
      <c r="H62" s="627"/>
      <c r="I62" s="627"/>
      <c r="J62" s="886"/>
      <c r="M62" s="640" t="s">
        <v>125</v>
      </c>
    </row>
    <row r="63" ht="27" customHeight="1">
      <c r="A63" s="921">
        <f>A62+1</f>
      </c>
      <c r="B63" s="922" t="s">
        <v>961</v>
      </c>
      <c r="C63" s="874"/>
      <c r="D63" s="1064"/>
      <c r="E63" s="1065"/>
      <c r="F63" s="627"/>
      <c r="G63" s="627"/>
      <c r="H63" s="627"/>
      <c r="I63" s="627"/>
      <c r="J63" s="886"/>
      <c r="M63" s="640"/>
    </row>
    <row r="64" ht="18" customHeight="1">
      <c r="A64" s="921">
        <f t="shared" ref="A64:A71" si="1">A63+1</f>
      </c>
      <c r="B64" s="916" t="s">
        <v>1055</v>
      </c>
      <c r="C64" s="874" t="s">
        <v>0</v>
      </c>
      <c r="D64" s="1066"/>
      <c r="E64" s="1067"/>
      <c r="F64" s="627"/>
      <c r="G64" s="627"/>
      <c r="H64" s="627"/>
      <c r="I64" s="627"/>
      <c r="J64" s="886"/>
      <c r="M64" s="640" t="s">
        <v>125</v>
      </c>
    </row>
    <row r="65" ht="18" customHeight="1">
      <c r="A65" s="921">
        <f t="shared" si="1"/>
      </c>
      <c r="B65" s="916" t="s">
        <v>1046</v>
      </c>
      <c r="C65" s="874" t="s">
        <v>0</v>
      </c>
      <c r="D65" s="643"/>
      <c r="E65" s="771" t="s">
        <v>4</v>
      </c>
      <c r="F65" s="879"/>
      <c r="G65" s="880"/>
      <c r="H65" s="627"/>
      <c r="I65" s="627"/>
      <c r="J65" s="886"/>
      <c r="M65" s="640" t="s">
        <v>126</v>
      </c>
      <c r="O65" s="626" t="s">
        <v>629</v>
      </c>
    </row>
    <row r="66" ht="18" customHeight="1">
      <c r="A66" s="921">
        <f t="shared" si="1"/>
      </c>
      <c r="B66" s="916">
        <f>"Penawaran Setara "&amp;'Usulan Pembiayaan'!AD19&amp;"/Bulan"</f>
      </c>
      <c r="C66" s="874"/>
      <c r="D66" s="763"/>
      <c r="E66" s="772"/>
      <c r="F66" s="879"/>
      <c r="G66" s="880"/>
      <c r="H66" s="627"/>
      <c r="I66" s="627"/>
      <c r="J66" s="886"/>
      <c r="M66" s="640"/>
    </row>
    <row r="67" ht="18" customHeight="1">
      <c r="A67" s="921">
        <f t="shared" si="1"/>
      </c>
      <c r="B67" s="916" t="s">
        <v>1057</v>
      </c>
      <c r="C67" s="874" t="s">
        <v>0</v>
      </c>
      <c r="D67" s="1068"/>
      <c r="E67" s="1069"/>
      <c r="F67" s="881"/>
      <c r="G67" s="881"/>
      <c r="H67" s="627"/>
      <c r="I67" s="627"/>
      <c r="J67" s="886"/>
      <c r="M67" s="640" t="s">
        <v>127</v>
      </c>
      <c r="O67" s="626" t="s">
        <v>628</v>
      </c>
    </row>
    <row r="68" ht="18" customHeight="1">
      <c r="A68" s="921">
        <f t="shared" si="1"/>
      </c>
      <c r="B68" s="916" t="s">
        <v>816</v>
      </c>
      <c r="C68" s="874" t="s">
        <v>0</v>
      </c>
      <c r="D68" s="1062"/>
      <c r="E68" s="1063"/>
      <c r="F68" s="881"/>
      <c r="G68" s="881"/>
      <c r="H68" s="627"/>
      <c r="I68" s="627"/>
      <c r="J68" s="886"/>
      <c r="M68" s="640"/>
    </row>
    <row r="69" ht="18" customHeight="1">
      <c r="A69" s="921">
        <f t="shared" si="1"/>
      </c>
      <c r="B69" s="916" t="s">
        <v>817</v>
      </c>
      <c r="C69" s="874" t="s">
        <v>0</v>
      </c>
      <c r="D69" s="1110"/>
      <c r="E69" s="1111"/>
      <c r="F69" s="881"/>
      <c r="G69" s="881"/>
      <c r="H69" s="627"/>
      <c r="I69" s="627"/>
      <c r="J69" s="886"/>
      <c r="M69" s="640"/>
    </row>
    <row r="70" ht="29.25" customHeight="1">
      <c r="A70" s="921">
        <v>9</v>
      </c>
      <c r="B70" s="916" t="s">
        <v>1056</v>
      </c>
      <c r="C70" s="874" t="s">
        <v>0</v>
      </c>
      <c r="D70" s="1046"/>
      <c r="E70" s="1047"/>
      <c r="F70" s="627"/>
      <c r="G70" s="627"/>
      <c r="H70" s="627"/>
      <c r="I70" s="627"/>
      <c r="J70" s="886"/>
      <c r="M70" s="626" t="s">
        <v>491</v>
      </c>
      <c r="N70" s="644">
        <v>2</v>
      </c>
    </row>
    <row r="71">
      <c r="A71" s="923">
        <f t="shared" si="1"/>
      </c>
      <c r="B71" s="916" t="s">
        <v>838</v>
      </c>
      <c r="C71" s="874" t="s">
        <v>0</v>
      </c>
      <c r="D71" s="1112"/>
      <c r="E71" s="1113"/>
      <c r="F71" s="627"/>
      <c r="G71" s="627"/>
      <c r="H71" s="627"/>
      <c r="I71" s="627"/>
      <c r="J71" s="886"/>
      <c r="M71" s="626" t="s">
        <v>877</v>
      </c>
      <c r="N71" s="644">
        <v>3</v>
      </c>
    </row>
    <row r="72" spans="1:15">
      <c r="A72" s="887"/>
      <c r="B72" s="627"/>
      <c r="C72" s="874"/>
      <c r="D72" s="882"/>
      <c r="E72" s="882"/>
      <c r="F72" s="627"/>
      <c r="G72" s="627"/>
      <c r="H72" s="627"/>
      <c r="I72" s="627"/>
      <c r="J72" s="886"/>
      <c r="N72" s="644"/>
    </row>
    <row r="73" spans="1:15" ht="15.75" customHeight="1">
      <c r="A73" s="887"/>
      <c r="B73" s="1036" t="s">
        <v>735</v>
      </c>
      <c r="C73" s="1036"/>
      <c r="D73" s="1036"/>
      <c r="E73" s="1036"/>
      <c r="F73" s="1036"/>
      <c r="G73" s="627"/>
      <c r="H73" s="1034" t="s">
        <v>693</v>
      </c>
      <c r="I73" s="1034"/>
      <c r="J73" s="1035"/>
    </row>
    <row r="74" spans="1:15">
      <c r="A74" s="887"/>
      <c r="B74" s="627"/>
      <c r="C74" s="627"/>
      <c r="D74" s="883"/>
      <c r="E74" s="883"/>
      <c r="F74" s="627"/>
      <c r="G74" s="627"/>
      <c r="H74" s="627"/>
      <c r="I74" s="627"/>
      <c r="J74" s="886"/>
    </row>
    <row r="75" spans="1:15">
      <c r="A75" s="887"/>
      <c r="B75" s="627"/>
      <c r="C75" s="627"/>
      <c r="D75" s="883"/>
      <c r="E75" s="883"/>
      <c r="F75" s="627"/>
      <c r="G75" s="627"/>
      <c r="H75" s="884"/>
      <c r="I75" s="884"/>
      <c r="J75" s="886"/>
    </row>
    <row r="76">
      <c r="A76" s="887"/>
      <c r="B76" s="899"/>
      <c r="C76" s="627"/>
      <c r="D76" s="1032"/>
      <c r="E76" s="1032"/>
      <c r="F76" s="1032"/>
      <c r="G76" s="627"/>
      <c r="H76" s="1044">
        <f>D6</f>
      </c>
      <c r="I76" s="1044"/>
      <c r="J76" s="1045"/>
    </row>
    <row r="77" ht="13.5" customHeight="1">
      <c r="A77" s="892"/>
      <c r="B77" s="899" t="s">
        <v>608</v>
      </c>
      <c r="C77" s="637"/>
      <c r="D77" s="1033"/>
      <c r="E77" s="1033"/>
      <c r="F77" s="1033"/>
      <c r="G77" s="637"/>
      <c r="H77" s="1030" t="s">
        <v>635</v>
      </c>
      <c r="I77" s="1030"/>
      <c r="J77" s="1031"/>
    </row>
    <row r="79" spans="1:15" ht="17.399999999999999">
      <c r="B79" s="646" t="s">
        <v>850</v>
      </c>
    </row>
    <row r="80" spans="1:15">
      <c r="B80" s="647" t="s">
        <v>1044</v>
      </c>
    </row>
    <row r="81" spans="2:2">
      <c r="B81" s="647" t="s">
        <v>1043</v>
      </c>
    </row>
    <row r="82" spans="2:2">
      <c r="B82" s="647" t="s">
        <v>1045</v>
      </c>
    </row>
    <row r="83" spans="2:2">
      <c r="B83" s="647" t="s">
        <v>851</v>
      </c>
    </row>
    <row r="84" spans="2:2">
      <c r="B84" s="647" t="s">
        <v>1189</v>
      </c>
    </row>
    <row r="309" spans="3:13">
      <c r="C309" s="648"/>
      <c r="M309" s="649" t="s">
        <v>710</v>
      </c>
    </row>
    <row r="310" spans="3:13">
      <c r="C310" s="648"/>
      <c r="M310" s="649" t="s">
        <v>711</v>
      </c>
    </row>
    <row r="311" spans="3:13">
      <c r="C311" s="648"/>
      <c r="M311" s="649" t="s">
        <v>712</v>
      </c>
    </row>
    <row r="312" spans="3:13">
      <c r="C312" s="648"/>
      <c r="M312" s="649" t="s">
        <v>713</v>
      </c>
    </row>
    <row r="313" spans="3:13">
      <c r="C313" s="648"/>
      <c r="M313" s="649" t="s">
        <v>714</v>
      </c>
    </row>
    <row r="314" spans="3:13">
      <c r="C314" s="648"/>
      <c r="M314" s="649" t="s">
        <v>893</v>
      </c>
    </row>
    <row r="315" spans="3:13">
      <c r="C315" s="648"/>
      <c r="M315" s="649" t="s">
        <v>719</v>
      </c>
    </row>
    <row r="316" spans="3:13">
      <c r="C316" s="648"/>
      <c r="M316" s="649" t="s">
        <v>716</v>
      </c>
    </row>
    <row r="317" spans="3:13">
      <c r="C317" s="648"/>
      <c r="M317" s="649" t="s">
        <v>715</v>
      </c>
    </row>
    <row r="318" spans="3:13">
      <c r="C318" s="648"/>
      <c r="M318" s="649" t="s">
        <v>720</v>
      </c>
    </row>
    <row r="319" spans="3:13">
      <c r="C319" s="648"/>
      <c r="M319" s="649" t="s">
        <v>721</v>
      </c>
    </row>
    <row r="320" spans="3:13">
      <c r="C320" s="648"/>
      <c r="M320" s="649" t="s">
        <v>717</v>
      </c>
    </row>
    <row r="321" spans="3:13">
      <c r="C321" s="648"/>
      <c r="M321" s="649" t="s">
        <v>718</v>
      </c>
    </row>
    <row r="360" spans="13:13">
      <c r="M360" s="626" t="s">
        <v>652</v>
      </c>
    </row>
    <row r="361" spans="13:13">
      <c r="M361" s="626" t="s">
        <v>653</v>
      </c>
    </row>
    <row r="362" spans="13:13">
      <c r="M362" s="626" t="s">
        <v>654</v>
      </c>
    </row>
    <row r="363" spans="13:13">
      <c r="M363" s="626" t="s">
        <v>655</v>
      </c>
    </row>
    <row r="364" spans="13:13">
      <c r="M364" s="626" t="s">
        <v>656</v>
      </c>
    </row>
    <row r="365" spans="13:13">
      <c r="M365" s="626" t="s">
        <v>657</v>
      </c>
    </row>
    <row r="366" spans="13:13">
      <c r="M366" s="626" t="s">
        <v>658</v>
      </c>
    </row>
    <row r="367" spans="13:13">
      <c r="M367" s="626" t="s">
        <v>651</v>
      </c>
    </row>
    <row r="368" spans="13:13">
      <c r="M368" s="626" t="s">
        <v>659</v>
      </c>
    </row>
    <row r="369" spans="13:13">
      <c r="M369" s="626" t="s">
        <v>661</v>
      </c>
    </row>
    <row r="370" spans="13:13">
      <c r="M370" s="626" t="s">
        <v>660</v>
      </c>
    </row>
    <row r="410" spans="13:13">
      <c r="M410" s="626" t="s">
        <v>663</v>
      </c>
    </row>
    <row r="411" spans="13:13">
      <c r="M411" s="626" t="s">
        <v>664</v>
      </c>
    </row>
    <row r="412" spans="13:13">
      <c r="M412" s="626" t="s">
        <v>665</v>
      </c>
    </row>
  </sheetData>
  <dataConsolidate topLabels="1">
    <dataRefs count="2">
      <dataRef ref="K11:K12" sheet="Informasi Pokok"/>
      <dataRef ref="E6:E9" sheet="Parameter"/>
    </dataRefs>
  </dataConsolidate>
  <mergeCells count="66">
    <mergeCell ref="D4:G4"/>
    <mergeCell ref="A1:J1"/>
    <mergeCell ref="D69:E69"/>
    <mergeCell ref="D71:E71"/>
    <mergeCell ref="D3:G3"/>
    <mergeCell ref="D6:G6"/>
    <mergeCell ref="D7:G7"/>
    <mergeCell ref="A9:J9"/>
    <mergeCell ref="D5:G5"/>
    <mergeCell ref="D16:J17"/>
    <mergeCell ref="F18:G18"/>
    <mergeCell ref="I18:J18"/>
    <mergeCell ref="F19:G19"/>
    <mergeCell ref="I19:J19"/>
    <mergeCell ref="D14:F14"/>
    <mergeCell ref="G14:H14"/>
    <mergeCell ref="I14:J14"/>
    <mergeCell ref="D15:F15"/>
    <mergeCell ref="G15:H15"/>
    <mergeCell ref="I15:J15"/>
    <mergeCell ref="D20:J20"/>
    <mergeCell ref="D22:G22"/>
    <mergeCell ref="D24:G24"/>
    <mergeCell ref="D21:G21"/>
    <mergeCell ref="D23:G23"/>
    <mergeCell ref="D25:J25"/>
    <mergeCell ref="D26:J26"/>
    <mergeCell ref="D43:E43"/>
    <mergeCell ref="D27:J27"/>
    <mergeCell ref="D28:J28"/>
    <mergeCell ref="D29:J29"/>
    <mergeCell ref="D32:G32"/>
    <mergeCell ref="D37:G37"/>
    <mergeCell ref="D36:G36"/>
    <mergeCell ref="D38:H38"/>
    <mergeCell ref="D39:J39"/>
    <mergeCell ref="D52:J52"/>
    <mergeCell ref="D50:G50"/>
    <mergeCell ref="D68:E68"/>
    <mergeCell ref="D51:J51"/>
    <mergeCell ref="D63:E63"/>
    <mergeCell ref="D64:E64"/>
    <mergeCell ref="D67:E67"/>
    <mergeCell ref="D56:H56"/>
    <mergeCell ref="D57:H57"/>
    <mergeCell ref="D44:E44"/>
    <mergeCell ref="D13:E13"/>
    <mergeCell ref="D11:E11"/>
    <mergeCell ref="F11:G11"/>
    <mergeCell ref="H76:J76"/>
    <mergeCell ref="D70:E70"/>
    <mergeCell ref="D12:J12"/>
    <mergeCell ref="D30:J31"/>
    <mergeCell ref="A60:J60"/>
    <mergeCell ref="A34:J34"/>
    <mergeCell ref="A41:J41"/>
    <mergeCell ref="A54:J54"/>
    <mergeCell ref="D45:G45"/>
    <mergeCell ref="D47:G47"/>
    <mergeCell ref="D48:G48"/>
    <mergeCell ref="D49:G49"/>
    <mergeCell ref="H77:J77"/>
    <mergeCell ref="D76:F76"/>
    <mergeCell ref="D77:F77"/>
    <mergeCell ref="H73:J73"/>
    <mergeCell ref="B73:F73"/>
  </mergeCells>
  <conditionalFormatting sqref="F11:G11">
    <cfRule type="expression" dxfId="2" priority="1">
      <formula>$F$11="Nama :"</formula>
    </cfRule>
  </conditionalFormatting>
  <dataValidations xWindow="1335" yWindow="613" count="43">
    <dataValidation type="list" allowBlank="1" showInputMessage="1" showErrorMessage="1" promptTitle="Tujuan Penggunaan" prompt="Diisi Tujuan Penggunaan dari Fasilitas Kredit yang dimohonkan." sqref="IY65604:JC65604 SU65604:SY65604 ACQ65604:ACU65604 AMM65604:AMQ65604 AWI65604:AWM65604 BGE65604:BGI65604 BQA65604:BQE65604 BZW65604:CAA65604 CJS65604:CJW65604 CTO65604:CTS65604 DDK65604:DDO65604 DNG65604:DNK65604 DXC65604:DXG65604 EGY65604:EHC65604 EQU65604:EQY65604 FAQ65604:FAU65604 FKM65604:FKQ65604 FUI65604:FUM65604 GEE65604:GEI65604 GOA65604:GOE65604 GXW65604:GYA65604 HHS65604:HHW65604 HRO65604:HRS65604 IBK65604:IBO65604 ILG65604:ILK65604 IVC65604:IVG65604 JEY65604:JFC65604 JOU65604:JOY65604 JYQ65604:JYU65604 KIM65604:KIQ65604 KSI65604:KSM65604 LCE65604:LCI65604 LMA65604:LME65604 LVW65604:LWA65604 MFS65604:MFW65604 MPO65604:MPS65604 MZK65604:MZO65604 NJG65604:NJK65604 NTC65604:NTG65604 OCY65604:ODC65604 OMU65604:OMY65604 OWQ65604:OWU65604 PGM65604:PGQ65604 PQI65604:PQM65604 QAE65604:QAI65604 QKA65604:QKE65604 QTW65604:QUA65604 RDS65604:RDW65604 RNO65604:RNS65604 RXK65604:RXO65604 SHG65604:SHK65604 SRC65604:SRG65604 TAY65604:TBC65604 TKU65604:TKY65604 TUQ65604:TUU65604 UEM65604:UEQ65604 UOI65604:UOM65604 UYE65604:UYI65604 VIA65604:VIE65604 VRW65604:VSA65604 WBS65604:WBW65604 WLO65604:WLS65604 WVK65604:WVO65604 IY131140:JC131140 SU131140:SY131140 ACQ131140:ACU131140 AMM131140:AMQ131140 AWI131140:AWM131140 BGE131140:BGI131140 BQA131140:BQE131140 BZW131140:CAA131140 CJS131140:CJW131140 CTO131140:CTS131140 DDK131140:DDO131140 DNG131140:DNK131140 DXC131140:DXG131140 EGY131140:EHC131140 EQU131140:EQY131140 FAQ131140:FAU131140 FKM131140:FKQ131140 FUI131140:FUM131140 GEE131140:GEI131140 GOA131140:GOE131140 GXW131140:GYA131140 HHS131140:HHW131140 HRO131140:HRS131140 IBK131140:IBO131140 ILG131140:ILK131140 IVC131140:IVG131140 JEY131140:JFC131140 JOU131140:JOY131140 JYQ131140:JYU131140 KIM131140:KIQ131140 KSI131140:KSM131140 LCE131140:LCI131140 LMA131140:LME131140 LVW131140:LWA131140 MFS131140:MFW131140 MPO131140:MPS131140 MZK131140:MZO131140 NJG131140:NJK131140 NTC131140:NTG131140 OCY131140:ODC131140 OMU131140:OMY131140 OWQ131140:OWU131140 PGM131140:PGQ131140 PQI131140:PQM131140 QAE131140:QAI131140 QKA131140:QKE131140 QTW131140:QUA131140 RDS131140:RDW131140 RNO131140:RNS131140 RXK131140:RXO131140 SHG131140:SHK131140 SRC131140:SRG131140 TAY131140:TBC131140 TKU131140:TKY131140 TUQ131140:TUU131140 UEM131140:UEQ131140 UOI131140:UOM131140 UYE131140:UYI131140 VIA131140:VIE131140 VRW131140:VSA131140 WBS131140:WBW131140 WLO131140:WLS131140 WVK131140:WVO131140 IY196676:JC196676 SU196676:SY196676 ACQ196676:ACU196676 AMM196676:AMQ196676 AWI196676:AWM196676 BGE196676:BGI196676 BQA196676:BQE196676 BZW196676:CAA196676 CJS196676:CJW196676 CTO196676:CTS196676 DDK196676:DDO196676 DNG196676:DNK196676 DXC196676:DXG196676 EGY196676:EHC196676 EQU196676:EQY196676 FAQ196676:FAU196676 FKM196676:FKQ196676 FUI196676:FUM196676 GEE196676:GEI196676 GOA196676:GOE196676 GXW196676:GYA196676 HHS196676:HHW196676 HRO196676:HRS196676 IBK196676:IBO196676 ILG196676:ILK196676 IVC196676:IVG196676 JEY196676:JFC196676 JOU196676:JOY196676 JYQ196676:JYU196676 KIM196676:KIQ196676 KSI196676:KSM196676 LCE196676:LCI196676 LMA196676:LME196676 LVW196676:LWA196676 MFS196676:MFW196676 MPO196676:MPS196676 MZK196676:MZO196676 NJG196676:NJK196676 NTC196676:NTG196676 OCY196676:ODC196676 OMU196676:OMY196676 OWQ196676:OWU196676 PGM196676:PGQ196676 PQI196676:PQM196676 QAE196676:QAI196676 QKA196676:QKE196676 QTW196676:QUA196676 RDS196676:RDW196676 RNO196676:RNS196676 RXK196676:RXO196676 SHG196676:SHK196676 SRC196676:SRG196676 TAY196676:TBC196676 TKU196676:TKY196676 TUQ196676:TUU196676 UEM196676:UEQ196676 UOI196676:UOM196676 UYE196676:UYI196676 VIA196676:VIE196676 VRW196676:VSA196676 WBS196676:WBW196676 WLO196676:WLS196676 WVK196676:WVO196676 IY262212:JC262212 SU262212:SY262212 ACQ262212:ACU262212 AMM262212:AMQ262212 AWI262212:AWM262212 BGE262212:BGI262212 BQA262212:BQE262212 BZW262212:CAA262212 CJS262212:CJW262212 CTO262212:CTS262212 DDK262212:DDO262212 DNG262212:DNK262212 DXC262212:DXG262212 EGY262212:EHC262212 EQU262212:EQY262212 FAQ262212:FAU262212 FKM262212:FKQ262212 FUI262212:FUM262212 GEE262212:GEI262212 GOA262212:GOE262212 GXW262212:GYA262212 HHS262212:HHW262212 HRO262212:HRS262212 IBK262212:IBO262212 ILG262212:ILK262212 IVC262212:IVG262212 JEY262212:JFC262212 JOU262212:JOY262212 JYQ262212:JYU262212 KIM262212:KIQ262212 KSI262212:KSM262212 LCE262212:LCI262212 LMA262212:LME262212 LVW262212:LWA262212 MFS262212:MFW262212 MPO262212:MPS262212 MZK262212:MZO262212 NJG262212:NJK262212 NTC262212:NTG262212 OCY262212:ODC262212 OMU262212:OMY262212 OWQ262212:OWU262212 PGM262212:PGQ262212 PQI262212:PQM262212 QAE262212:QAI262212 QKA262212:QKE262212 QTW262212:QUA262212 RDS262212:RDW262212 RNO262212:RNS262212 RXK262212:RXO262212 SHG262212:SHK262212 SRC262212:SRG262212 TAY262212:TBC262212 TKU262212:TKY262212 TUQ262212:TUU262212 UEM262212:UEQ262212 UOI262212:UOM262212 UYE262212:UYI262212 VIA262212:VIE262212 VRW262212:VSA262212 WBS262212:WBW262212 WLO262212:WLS262212 WVK262212:WVO262212 IY327748:JC327748 SU327748:SY327748 ACQ327748:ACU327748 AMM327748:AMQ327748 AWI327748:AWM327748 BGE327748:BGI327748 BQA327748:BQE327748 BZW327748:CAA327748 CJS327748:CJW327748 CTO327748:CTS327748 DDK327748:DDO327748 DNG327748:DNK327748 DXC327748:DXG327748 EGY327748:EHC327748 EQU327748:EQY327748 FAQ327748:FAU327748 FKM327748:FKQ327748 FUI327748:FUM327748 GEE327748:GEI327748 GOA327748:GOE327748 GXW327748:GYA327748 HHS327748:HHW327748 HRO327748:HRS327748 IBK327748:IBO327748 ILG327748:ILK327748 IVC327748:IVG327748 JEY327748:JFC327748 JOU327748:JOY327748 JYQ327748:JYU327748 KIM327748:KIQ327748 KSI327748:KSM327748 LCE327748:LCI327748 LMA327748:LME327748 LVW327748:LWA327748 MFS327748:MFW327748 MPO327748:MPS327748 MZK327748:MZO327748 NJG327748:NJK327748 NTC327748:NTG327748 OCY327748:ODC327748 OMU327748:OMY327748 OWQ327748:OWU327748 PGM327748:PGQ327748 PQI327748:PQM327748 QAE327748:QAI327748 QKA327748:QKE327748 QTW327748:QUA327748 RDS327748:RDW327748 RNO327748:RNS327748 RXK327748:RXO327748 SHG327748:SHK327748 SRC327748:SRG327748 TAY327748:TBC327748 TKU327748:TKY327748 TUQ327748:TUU327748 UEM327748:UEQ327748 UOI327748:UOM327748 UYE327748:UYI327748 VIA327748:VIE327748 VRW327748:VSA327748 WBS327748:WBW327748 WLO327748:WLS327748 WVK327748:WVO327748 IY393284:JC393284 SU393284:SY393284 ACQ393284:ACU393284 AMM393284:AMQ393284 AWI393284:AWM393284 BGE393284:BGI393284 BQA393284:BQE393284 BZW393284:CAA393284 CJS393284:CJW393284 CTO393284:CTS393284 DDK393284:DDO393284 DNG393284:DNK393284 DXC393284:DXG393284 EGY393284:EHC393284 EQU393284:EQY393284 FAQ393284:FAU393284 FKM393284:FKQ393284 FUI393284:FUM393284 GEE393284:GEI393284 GOA393284:GOE393284 GXW393284:GYA393284 HHS393284:HHW393284 HRO393284:HRS393284 IBK393284:IBO393284 ILG393284:ILK393284 IVC393284:IVG393284 JEY393284:JFC393284 JOU393284:JOY393284 JYQ393284:JYU393284 KIM393284:KIQ393284 KSI393284:KSM393284 LCE393284:LCI393284 LMA393284:LME393284 LVW393284:LWA393284 MFS393284:MFW393284 MPO393284:MPS393284 MZK393284:MZO393284 NJG393284:NJK393284 NTC393284:NTG393284 OCY393284:ODC393284 OMU393284:OMY393284 OWQ393284:OWU393284 PGM393284:PGQ393284 PQI393284:PQM393284 QAE393284:QAI393284 QKA393284:QKE393284 QTW393284:QUA393284 RDS393284:RDW393284 RNO393284:RNS393284 RXK393284:RXO393284 SHG393284:SHK393284 SRC393284:SRG393284 TAY393284:TBC393284 TKU393284:TKY393284 TUQ393284:TUU393284 UEM393284:UEQ393284 UOI393284:UOM393284 UYE393284:UYI393284 VIA393284:VIE393284 VRW393284:VSA393284 WBS393284:WBW393284 WLO393284:WLS393284 WVK393284:WVO393284 IY458820:JC458820 SU458820:SY458820 ACQ458820:ACU458820 AMM458820:AMQ458820 AWI458820:AWM458820 BGE458820:BGI458820 BQA458820:BQE458820 BZW458820:CAA458820 CJS458820:CJW458820 CTO458820:CTS458820 DDK458820:DDO458820 DNG458820:DNK458820 DXC458820:DXG458820 EGY458820:EHC458820 EQU458820:EQY458820 FAQ458820:FAU458820 FKM458820:FKQ458820 FUI458820:FUM458820 GEE458820:GEI458820 GOA458820:GOE458820 GXW458820:GYA458820 HHS458820:HHW458820 HRO458820:HRS458820 IBK458820:IBO458820 ILG458820:ILK458820 IVC458820:IVG458820 JEY458820:JFC458820 JOU458820:JOY458820 JYQ458820:JYU458820 KIM458820:KIQ458820 KSI458820:KSM458820 LCE458820:LCI458820 LMA458820:LME458820 LVW458820:LWA458820 MFS458820:MFW458820 MPO458820:MPS458820 MZK458820:MZO458820 NJG458820:NJK458820 NTC458820:NTG458820 OCY458820:ODC458820 OMU458820:OMY458820 OWQ458820:OWU458820 PGM458820:PGQ458820 PQI458820:PQM458820 QAE458820:QAI458820 QKA458820:QKE458820 QTW458820:QUA458820 RDS458820:RDW458820 RNO458820:RNS458820 RXK458820:RXO458820 SHG458820:SHK458820 SRC458820:SRG458820 TAY458820:TBC458820 TKU458820:TKY458820 TUQ458820:TUU458820 UEM458820:UEQ458820 UOI458820:UOM458820 UYE458820:UYI458820 VIA458820:VIE458820 VRW458820:VSA458820 WBS458820:WBW458820 WLO458820:WLS458820 WVK458820:WVO458820 IY524356:JC524356 SU524356:SY524356 ACQ524356:ACU524356 AMM524356:AMQ524356 AWI524356:AWM524356 BGE524356:BGI524356 BQA524356:BQE524356 BZW524356:CAA524356 CJS524356:CJW524356 CTO524356:CTS524356 DDK524356:DDO524356 DNG524356:DNK524356 DXC524356:DXG524356 EGY524356:EHC524356 EQU524356:EQY524356 FAQ524356:FAU524356 FKM524356:FKQ524356 FUI524356:FUM524356 GEE524356:GEI524356 GOA524356:GOE524356 GXW524356:GYA524356 HHS524356:HHW524356 HRO524356:HRS524356 IBK524356:IBO524356 ILG524356:ILK524356 IVC524356:IVG524356 JEY524356:JFC524356 JOU524356:JOY524356 JYQ524356:JYU524356 KIM524356:KIQ524356 KSI524356:KSM524356 LCE524356:LCI524356 LMA524356:LME524356 LVW524356:LWA524356 MFS524356:MFW524356 MPO524356:MPS524356 MZK524356:MZO524356 NJG524356:NJK524356 NTC524356:NTG524356 OCY524356:ODC524356 OMU524356:OMY524356 OWQ524356:OWU524356 PGM524356:PGQ524356 PQI524356:PQM524356 QAE524356:QAI524356 QKA524356:QKE524356 QTW524356:QUA524356 RDS524356:RDW524356 RNO524356:RNS524356 RXK524356:RXO524356 SHG524356:SHK524356 SRC524356:SRG524356 TAY524356:TBC524356 TKU524356:TKY524356 TUQ524356:TUU524356 UEM524356:UEQ524356 UOI524356:UOM524356 UYE524356:UYI524356 VIA524356:VIE524356 VRW524356:VSA524356 WBS524356:WBW524356 WLO524356:WLS524356 WVK524356:WVO524356 IY589892:JC589892 SU589892:SY589892 ACQ589892:ACU589892 AMM589892:AMQ589892 AWI589892:AWM589892 BGE589892:BGI589892 BQA589892:BQE589892 BZW589892:CAA589892 CJS589892:CJW589892 CTO589892:CTS589892 DDK589892:DDO589892 DNG589892:DNK589892 DXC589892:DXG589892 EGY589892:EHC589892 EQU589892:EQY589892 FAQ589892:FAU589892 FKM589892:FKQ589892 FUI589892:FUM589892 GEE589892:GEI589892 GOA589892:GOE589892 GXW589892:GYA589892 HHS589892:HHW589892 HRO589892:HRS589892 IBK589892:IBO589892 ILG589892:ILK589892 IVC589892:IVG589892 JEY589892:JFC589892 JOU589892:JOY589892 JYQ589892:JYU589892 KIM589892:KIQ589892 KSI589892:KSM589892 LCE589892:LCI589892 LMA589892:LME589892 LVW589892:LWA589892 MFS589892:MFW589892 MPO589892:MPS589892 MZK589892:MZO589892 NJG589892:NJK589892 NTC589892:NTG589892 OCY589892:ODC589892 OMU589892:OMY589892 OWQ589892:OWU589892 PGM589892:PGQ589892 PQI589892:PQM589892 QAE589892:QAI589892 QKA589892:QKE589892 QTW589892:QUA589892 RDS589892:RDW589892 RNO589892:RNS589892 RXK589892:RXO589892 SHG589892:SHK589892 SRC589892:SRG589892 TAY589892:TBC589892 TKU589892:TKY589892 TUQ589892:TUU589892 UEM589892:UEQ589892 UOI589892:UOM589892 UYE589892:UYI589892 VIA589892:VIE589892 VRW589892:VSA589892 WBS589892:WBW589892 WLO589892:WLS589892 WVK589892:WVO589892 IY655428:JC655428 SU655428:SY655428 ACQ655428:ACU655428 AMM655428:AMQ655428 AWI655428:AWM655428 BGE655428:BGI655428 BQA655428:BQE655428 BZW655428:CAA655428 CJS655428:CJW655428 CTO655428:CTS655428 DDK655428:DDO655428 DNG655428:DNK655428 DXC655428:DXG655428 EGY655428:EHC655428 EQU655428:EQY655428 FAQ655428:FAU655428 FKM655428:FKQ655428 FUI655428:FUM655428 GEE655428:GEI655428 GOA655428:GOE655428 GXW655428:GYA655428 HHS655428:HHW655428 HRO655428:HRS655428 IBK655428:IBO655428 ILG655428:ILK655428 IVC655428:IVG655428 JEY655428:JFC655428 JOU655428:JOY655428 JYQ655428:JYU655428 KIM655428:KIQ655428 KSI655428:KSM655428 LCE655428:LCI655428 LMA655428:LME655428 LVW655428:LWA655428 MFS655428:MFW655428 MPO655428:MPS655428 MZK655428:MZO655428 NJG655428:NJK655428 NTC655428:NTG655428 OCY655428:ODC655428 OMU655428:OMY655428 OWQ655428:OWU655428 PGM655428:PGQ655428 PQI655428:PQM655428 QAE655428:QAI655428 QKA655428:QKE655428 QTW655428:QUA655428 RDS655428:RDW655428 RNO655428:RNS655428 RXK655428:RXO655428 SHG655428:SHK655428 SRC655428:SRG655428 TAY655428:TBC655428 TKU655428:TKY655428 TUQ655428:TUU655428 UEM655428:UEQ655428 UOI655428:UOM655428 UYE655428:UYI655428 VIA655428:VIE655428 VRW655428:VSA655428 WBS655428:WBW655428 WLO655428:WLS655428 WVK655428:WVO655428 IY720964:JC720964 SU720964:SY720964 ACQ720964:ACU720964 AMM720964:AMQ720964 AWI720964:AWM720964 BGE720964:BGI720964 BQA720964:BQE720964 BZW720964:CAA720964 CJS720964:CJW720964 CTO720964:CTS720964 DDK720964:DDO720964 DNG720964:DNK720964 DXC720964:DXG720964 EGY720964:EHC720964 EQU720964:EQY720964 FAQ720964:FAU720964 FKM720964:FKQ720964 FUI720964:FUM720964 GEE720964:GEI720964 GOA720964:GOE720964 GXW720964:GYA720964 HHS720964:HHW720964 HRO720964:HRS720964 IBK720964:IBO720964 ILG720964:ILK720964 IVC720964:IVG720964 JEY720964:JFC720964 JOU720964:JOY720964 JYQ720964:JYU720964 KIM720964:KIQ720964 KSI720964:KSM720964 LCE720964:LCI720964 LMA720964:LME720964 LVW720964:LWA720964 MFS720964:MFW720964 MPO720964:MPS720964 MZK720964:MZO720964 NJG720964:NJK720964 NTC720964:NTG720964 OCY720964:ODC720964 OMU720964:OMY720964 OWQ720964:OWU720964 PGM720964:PGQ720964 PQI720964:PQM720964 QAE720964:QAI720964 QKA720964:QKE720964 QTW720964:QUA720964 RDS720964:RDW720964 RNO720964:RNS720964 RXK720964:RXO720964 SHG720964:SHK720964 SRC720964:SRG720964 TAY720964:TBC720964 TKU720964:TKY720964 TUQ720964:TUU720964 UEM720964:UEQ720964 UOI720964:UOM720964 UYE720964:UYI720964 VIA720964:VIE720964 VRW720964:VSA720964 WBS720964:WBW720964 WLO720964:WLS720964 WVK720964:WVO720964 IY786500:JC786500 SU786500:SY786500 ACQ786500:ACU786500 AMM786500:AMQ786500 AWI786500:AWM786500 BGE786500:BGI786500 BQA786500:BQE786500 BZW786500:CAA786500 CJS786500:CJW786500 CTO786500:CTS786500 DDK786500:DDO786500 DNG786500:DNK786500 DXC786500:DXG786500 EGY786500:EHC786500 EQU786500:EQY786500 FAQ786500:FAU786500 FKM786500:FKQ786500 FUI786500:FUM786500 GEE786500:GEI786500 GOA786500:GOE786500 GXW786500:GYA786500 HHS786500:HHW786500 HRO786500:HRS786500 IBK786500:IBO786500 ILG786500:ILK786500 IVC786500:IVG786500 JEY786500:JFC786500 JOU786500:JOY786500 JYQ786500:JYU786500 KIM786500:KIQ786500 KSI786500:KSM786500 LCE786500:LCI786500 LMA786500:LME786500 LVW786500:LWA786500 MFS786500:MFW786500 MPO786500:MPS786500 MZK786500:MZO786500 NJG786500:NJK786500 NTC786500:NTG786500 OCY786500:ODC786500 OMU786500:OMY786500 OWQ786500:OWU786500 PGM786500:PGQ786500 PQI786500:PQM786500 QAE786500:QAI786500 QKA786500:QKE786500 QTW786500:QUA786500 RDS786500:RDW786500 RNO786500:RNS786500 RXK786500:RXO786500 SHG786500:SHK786500 SRC786500:SRG786500 TAY786500:TBC786500 TKU786500:TKY786500 TUQ786500:TUU786500 UEM786500:UEQ786500 UOI786500:UOM786500 UYE786500:UYI786500 VIA786500:VIE786500 VRW786500:VSA786500 WBS786500:WBW786500 WLO786500:WLS786500 WVK786500:WVO786500 IY852036:JC852036 SU852036:SY852036 ACQ852036:ACU852036 AMM852036:AMQ852036 AWI852036:AWM852036 BGE852036:BGI852036 BQA852036:BQE852036 BZW852036:CAA852036 CJS852036:CJW852036 CTO852036:CTS852036 DDK852036:DDO852036 DNG852036:DNK852036 DXC852036:DXG852036 EGY852036:EHC852036 EQU852036:EQY852036 FAQ852036:FAU852036 FKM852036:FKQ852036 FUI852036:FUM852036 GEE852036:GEI852036 GOA852036:GOE852036 GXW852036:GYA852036 HHS852036:HHW852036 HRO852036:HRS852036 IBK852036:IBO852036 ILG852036:ILK852036 IVC852036:IVG852036 JEY852036:JFC852036 JOU852036:JOY852036 JYQ852036:JYU852036 KIM852036:KIQ852036 KSI852036:KSM852036 LCE852036:LCI852036 LMA852036:LME852036 LVW852036:LWA852036 MFS852036:MFW852036 MPO852036:MPS852036 MZK852036:MZO852036 NJG852036:NJK852036 NTC852036:NTG852036 OCY852036:ODC852036 OMU852036:OMY852036 OWQ852036:OWU852036 PGM852036:PGQ852036 PQI852036:PQM852036 QAE852036:QAI852036 QKA852036:QKE852036 QTW852036:QUA852036 RDS852036:RDW852036 RNO852036:RNS852036 RXK852036:RXO852036 SHG852036:SHK852036 SRC852036:SRG852036 TAY852036:TBC852036 TKU852036:TKY852036 TUQ852036:TUU852036 UEM852036:UEQ852036 UOI852036:UOM852036 UYE852036:UYI852036 VIA852036:VIE852036 VRW852036:VSA852036 WBS852036:WBW852036 WLO852036:WLS852036 WVK852036:WVO852036 IY917572:JC917572 SU917572:SY917572 ACQ917572:ACU917572 AMM917572:AMQ917572 AWI917572:AWM917572 BGE917572:BGI917572 BQA917572:BQE917572 BZW917572:CAA917572 CJS917572:CJW917572 CTO917572:CTS917572 DDK917572:DDO917572 DNG917572:DNK917572 DXC917572:DXG917572 EGY917572:EHC917572 EQU917572:EQY917572 FAQ917572:FAU917572 FKM917572:FKQ917572 FUI917572:FUM917572 GEE917572:GEI917572 GOA917572:GOE917572 GXW917572:GYA917572 HHS917572:HHW917572 HRO917572:HRS917572 IBK917572:IBO917572 ILG917572:ILK917572 IVC917572:IVG917572 JEY917572:JFC917572 JOU917572:JOY917572 JYQ917572:JYU917572 KIM917572:KIQ917572 KSI917572:KSM917572 LCE917572:LCI917572 LMA917572:LME917572 LVW917572:LWA917572 MFS917572:MFW917572 MPO917572:MPS917572 MZK917572:MZO917572 NJG917572:NJK917572 NTC917572:NTG917572 OCY917572:ODC917572 OMU917572:OMY917572 OWQ917572:OWU917572 PGM917572:PGQ917572 PQI917572:PQM917572 QAE917572:QAI917572 QKA917572:QKE917572 QTW917572:QUA917572 RDS917572:RDW917572 RNO917572:RNS917572 RXK917572:RXO917572 SHG917572:SHK917572 SRC917572:SRG917572 TAY917572:TBC917572 TKU917572:TKY917572 TUQ917572:TUU917572 UEM917572:UEQ917572 UOI917572:UOM917572 UYE917572:UYI917572 VIA917572:VIE917572 VRW917572:VSA917572 WBS917572:WBW917572 WLO917572:WLS917572 WVK917572:WVO917572 IY983108:JC983108 SU983108:SY983108 ACQ983108:ACU983108 AMM983108:AMQ983108 AWI983108:AWM983108 BGE983108:BGI983108 BQA983108:BQE983108 BZW983108:CAA983108 CJS983108:CJW983108 CTO983108:CTS983108 DDK983108:DDO983108 DNG983108:DNK983108 DXC983108:DXG983108 EGY983108:EHC983108 EQU983108:EQY983108 FAQ983108:FAU983108 FKM983108:FKQ983108 FUI983108:FUM983108 GEE983108:GEI983108 GOA983108:GOE983108 GXW983108:GYA983108 HHS983108:HHW983108 HRO983108:HRS983108 IBK983108:IBO983108 ILG983108:ILK983108 IVC983108:IVG983108 JEY983108:JFC983108 JOU983108:JOY983108 JYQ983108:JYU983108 KIM983108:KIQ983108 KSI983108:KSM983108 LCE983108:LCI983108 LMA983108:LME983108 LVW983108:LWA983108 MFS983108:MFW983108 MPO983108:MPS983108 MZK983108:MZO983108 NJG983108:NJK983108 NTC983108:NTG983108 OCY983108:ODC983108 OMU983108:OMY983108 OWQ983108:OWU983108 PGM983108:PGQ983108 PQI983108:PQM983108 QAE983108:QAI983108 QKA983108:QKE983108 QTW983108:QUA983108 RDS983108:RDW983108 RNO983108:RNS983108 RXK983108:RXO983108 SHG983108:SHK983108 SRC983108:SRG983108 TAY983108:TBC983108 TKU983108:TKY983108 TUQ983108:TUU983108 UEM983108:UEQ983108 UOI983108:UOM983108 UYE983108:UYI983108 VIA983108:VIE983108 VRW983108:VSA983108 WBS983108:WBW983108 WLO983108:WLS983108 WVK983108:WVO983108 D983108:H983108 D917572:H917572 D852036:H852036 D786500:H786500 D720964:H720964 D655428:H655428 D589892:H589892 D524356:H524356 D458820:H458820 D393284:H393284 D327748:H327748 D262212:H262212 D196676:H196676 D131140:H131140 D65604:H65604">
      <formula1>#REF!</formula1>
    </dataValidation>
    <dataValidation allowBlank="1" showInputMessage="1" showErrorMessage="1" promptTitle="Tanggal Permohonan" prompt="Diisi tanggal permohonan sebagaimana yang tertera dalam Formulir Permohonan KMU atau tanggal lain saat persyaratan administrasi untuk keperluan pemrosesan permohonan kredit dinyatakan lengkap._x000a_Format Penulisan : DD/MM/YYYY" sqref="IY57 SU57 ACQ57 AMM57 AWI57 BGE57 BQA57 BZW57 CJS57 CTO57 DDK57 DNG57 DXC57 EGY57 EQU57 FAQ57 FKM57 FUI57 GEE57 GOA57 GXW57 HHS57 HRO57 IBK57 ILG57 IVC57 JEY57 JOU57 JYQ57 KIM57 KSI57 LCE57 LMA57 LVW57 MFS57 MPO57 MZK57 NJG57 NTC57 OCY57 OMU57 OWQ57 PGM57 PQI57 QAE57 QKA57 QTW57 RDS57 RNO57 RXK57 SHG57 SRC57 TAY57 TKU57 TUQ57 UEM57 UOI57 UYE57 VIA57 VRW57 WBS57 WLO57 WVK57 D65605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D131141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D196677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D262213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D327749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D393285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D458821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D524357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D589893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D655429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D720965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D786501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D852037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D917573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D983109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dataValidation allowBlank="1" showInputMessage="1" showErrorMessage="1" promptTitle="Tempat Lahir" prompt="Ketik Tempat Lahir Pemohon sesuai KTP yang masih berlaku" sqref="D14:F14 IY14:JA14 SU14:SW14 ACQ14:ACS14 AMM14:AMO14 AWI14:AWK14 BGE14:BGG14 BQA14:BQC14 BZW14:BZY14 CJS14:CJU14 CTO14:CTQ14 DDK14:DDM14 DNG14:DNI14 DXC14:DXE14 EGY14:EHA14 EQU14:EQW14 FAQ14:FAS14 FKM14:FKO14 FUI14:FUK14 GEE14:GEG14 GOA14:GOC14 GXW14:GXY14 HHS14:HHU14 HRO14:HRQ14 IBK14:IBM14 ILG14:ILI14 IVC14:IVE14 JEY14:JFA14 JOU14:JOW14 JYQ14:JYS14 KIM14:KIO14 KSI14:KSK14 LCE14:LCG14 LMA14:LMC14 LVW14:LVY14 MFS14:MFU14 MPO14:MPQ14 MZK14:MZM14 NJG14:NJI14 NTC14:NTE14 OCY14:ODA14 OMU14:OMW14 OWQ14:OWS14 PGM14:PGO14 PQI14:PQK14 QAE14:QAG14 QKA14:QKC14 QTW14:QTY14 RDS14:RDU14 RNO14:RNQ14 RXK14:RXM14 SHG14:SHI14 SRC14:SRE14 TAY14:TBA14 TKU14:TKW14 TUQ14:TUS14 UEM14:UEO14 UOI14:UOK14 UYE14:UYG14 VIA14:VIC14 VRW14:VRY14 WBS14:WBU14 WLO14:WLQ14 WVK14:WVM14 D65540:F65540 IY65540:JA65540 SU65540:SW65540 ACQ65540:ACS65540 AMM65540:AMO65540 AWI65540:AWK65540 BGE65540:BGG65540 BQA65540:BQC65540 BZW65540:BZY65540 CJS65540:CJU65540 CTO65540:CTQ65540 DDK65540:DDM65540 DNG65540:DNI65540 DXC65540:DXE65540 EGY65540:EHA65540 EQU65540:EQW65540 FAQ65540:FAS65540 FKM65540:FKO65540 FUI65540:FUK65540 GEE65540:GEG65540 GOA65540:GOC65540 GXW65540:GXY65540 HHS65540:HHU65540 HRO65540:HRQ65540 IBK65540:IBM65540 ILG65540:ILI65540 IVC65540:IVE65540 JEY65540:JFA65540 JOU65540:JOW65540 JYQ65540:JYS65540 KIM65540:KIO65540 KSI65540:KSK65540 LCE65540:LCG65540 LMA65540:LMC65540 LVW65540:LVY65540 MFS65540:MFU65540 MPO65540:MPQ65540 MZK65540:MZM65540 NJG65540:NJI65540 NTC65540:NTE65540 OCY65540:ODA65540 OMU65540:OMW65540 OWQ65540:OWS65540 PGM65540:PGO65540 PQI65540:PQK65540 QAE65540:QAG65540 QKA65540:QKC65540 QTW65540:QTY65540 RDS65540:RDU65540 RNO65540:RNQ65540 RXK65540:RXM65540 SHG65540:SHI65540 SRC65540:SRE65540 TAY65540:TBA65540 TKU65540:TKW65540 TUQ65540:TUS65540 UEM65540:UEO65540 UOI65540:UOK65540 UYE65540:UYG65540 VIA65540:VIC65540 VRW65540:VRY65540 WBS65540:WBU65540 WLO65540:WLQ65540 WVK65540:WVM65540 D131076:F131076 IY131076:JA131076 SU131076:SW131076 ACQ131076:ACS131076 AMM131076:AMO131076 AWI131076:AWK131076 BGE131076:BGG131076 BQA131076:BQC131076 BZW131076:BZY131076 CJS131076:CJU131076 CTO131076:CTQ131076 DDK131076:DDM131076 DNG131076:DNI131076 DXC131076:DXE131076 EGY131076:EHA131076 EQU131076:EQW131076 FAQ131076:FAS131076 FKM131076:FKO131076 FUI131076:FUK131076 GEE131076:GEG131076 GOA131076:GOC131076 GXW131076:GXY131076 HHS131076:HHU131076 HRO131076:HRQ131076 IBK131076:IBM131076 ILG131076:ILI131076 IVC131076:IVE131076 JEY131076:JFA131076 JOU131076:JOW131076 JYQ131076:JYS131076 KIM131076:KIO131076 KSI131076:KSK131076 LCE131076:LCG131076 LMA131076:LMC131076 LVW131076:LVY131076 MFS131076:MFU131076 MPO131076:MPQ131076 MZK131076:MZM131076 NJG131076:NJI131076 NTC131076:NTE131076 OCY131076:ODA131076 OMU131076:OMW131076 OWQ131076:OWS131076 PGM131076:PGO131076 PQI131076:PQK131076 QAE131076:QAG131076 QKA131076:QKC131076 QTW131076:QTY131076 RDS131076:RDU131076 RNO131076:RNQ131076 RXK131076:RXM131076 SHG131076:SHI131076 SRC131076:SRE131076 TAY131076:TBA131076 TKU131076:TKW131076 TUQ131076:TUS131076 UEM131076:UEO131076 UOI131076:UOK131076 UYE131076:UYG131076 VIA131076:VIC131076 VRW131076:VRY131076 WBS131076:WBU131076 WLO131076:WLQ131076 WVK131076:WVM131076 D196612:F196612 IY196612:JA196612 SU196612:SW196612 ACQ196612:ACS196612 AMM196612:AMO196612 AWI196612:AWK196612 BGE196612:BGG196612 BQA196612:BQC196612 BZW196612:BZY196612 CJS196612:CJU196612 CTO196612:CTQ196612 DDK196612:DDM196612 DNG196612:DNI196612 DXC196612:DXE196612 EGY196612:EHA196612 EQU196612:EQW196612 FAQ196612:FAS196612 FKM196612:FKO196612 FUI196612:FUK196612 GEE196612:GEG196612 GOA196612:GOC196612 GXW196612:GXY196612 HHS196612:HHU196612 HRO196612:HRQ196612 IBK196612:IBM196612 ILG196612:ILI196612 IVC196612:IVE196612 JEY196612:JFA196612 JOU196612:JOW196612 JYQ196612:JYS196612 KIM196612:KIO196612 KSI196612:KSK196612 LCE196612:LCG196612 LMA196612:LMC196612 LVW196612:LVY196612 MFS196612:MFU196612 MPO196612:MPQ196612 MZK196612:MZM196612 NJG196612:NJI196612 NTC196612:NTE196612 OCY196612:ODA196612 OMU196612:OMW196612 OWQ196612:OWS196612 PGM196612:PGO196612 PQI196612:PQK196612 QAE196612:QAG196612 QKA196612:QKC196612 QTW196612:QTY196612 RDS196612:RDU196612 RNO196612:RNQ196612 RXK196612:RXM196612 SHG196612:SHI196612 SRC196612:SRE196612 TAY196612:TBA196612 TKU196612:TKW196612 TUQ196612:TUS196612 UEM196612:UEO196612 UOI196612:UOK196612 UYE196612:UYG196612 VIA196612:VIC196612 VRW196612:VRY196612 WBS196612:WBU196612 WLO196612:WLQ196612 WVK196612:WVM196612 D262148:F262148 IY262148:JA262148 SU262148:SW262148 ACQ262148:ACS262148 AMM262148:AMO262148 AWI262148:AWK262148 BGE262148:BGG262148 BQA262148:BQC262148 BZW262148:BZY262148 CJS262148:CJU262148 CTO262148:CTQ262148 DDK262148:DDM262148 DNG262148:DNI262148 DXC262148:DXE262148 EGY262148:EHA262148 EQU262148:EQW262148 FAQ262148:FAS262148 FKM262148:FKO262148 FUI262148:FUK262148 GEE262148:GEG262148 GOA262148:GOC262148 GXW262148:GXY262148 HHS262148:HHU262148 HRO262148:HRQ262148 IBK262148:IBM262148 ILG262148:ILI262148 IVC262148:IVE262148 JEY262148:JFA262148 JOU262148:JOW262148 JYQ262148:JYS262148 KIM262148:KIO262148 KSI262148:KSK262148 LCE262148:LCG262148 LMA262148:LMC262148 LVW262148:LVY262148 MFS262148:MFU262148 MPO262148:MPQ262148 MZK262148:MZM262148 NJG262148:NJI262148 NTC262148:NTE262148 OCY262148:ODA262148 OMU262148:OMW262148 OWQ262148:OWS262148 PGM262148:PGO262148 PQI262148:PQK262148 QAE262148:QAG262148 QKA262148:QKC262148 QTW262148:QTY262148 RDS262148:RDU262148 RNO262148:RNQ262148 RXK262148:RXM262148 SHG262148:SHI262148 SRC262148:SRE262148 TAY262148:TBA262148 TKU262148:TKW262148 TUQ262148:TUS262148 UEM262148:UEO262148 UOI262148:UOK262148 UYE262148:UYG262148 VIA262148:VIC262148 VRW262148:VRY262148 WBS262148:WBU262148 WLO262148:WLQ262148 WVK262148:WVM262148 D327684:F327684 IY327684:JA327684 SU327684:SW327684 ACQ327684:ACS327684 AMM327684:AMO327684 AWI327684:AWK327684 BGE327684:BGG327684 BQA327684:BQC327684 BZW327684:BZY327684 CJS327684:CJU327684 CTO327684:CTQ327684 DDK327684:DDM327684 DNG327684:DNI327684 DXC327684:DXE327684 EGY327684:EHA327684 EQU327684:EQW327684 FAQ327684:FAS327684 FKM327684:FKO327684 FUI327684:FUK327684 GEE327684:GEG327684 GOA327684:GOC327684 GXW327684:GXY327684 HHS327684:HHU327684 HRO327684:HRQ327684 IBK327684:IBM327684 ILG327684:ILI327684 IVC327684:IVE327684 JEY327684:JFA327684 JOU327684:JOW327684 JYQ327684:JYS327684 KIM327684:KIO327684 KSI327684:KSK327684 LCE327684:LCG327684 LMA327684:LMC327684 LVW327684:LVY327684 MFS327684:MFU327684 MPO327684:MPQ327684 MZK327684:MZM327684 NJG327684:NJI327684 NTC327684:NTE327684 OCY327684:ODA327684 OMU327684:OMW327684 OWQ327684:OWS327684 PGM327684:PGO327684 PQI327684:PQK327684 QAE327684:QAG327684 QKA327684:QKC327684 QTW327684:QTY327684 RDS327684:RDU327684 RNO327684:RNQ327684 RXK327684:RXM327684 SHG327684:SHI327684 SRC327684:SRE327684 TAY327684:TBA327684 TKU327684:TKW327684 TUQ327684:TUS327684 UEM327684:UEO327684 UOI327684:UOK327684 UYE327684:UYG327684 VIA327684:VIC327684 VRW327684:VRY327684 WBS327684:WBU327684 WLO327684:WLQ327684 WVK327684:WVM327684 D393220:F393220 IY393220:JA393220 SU393220:SW393220 ACQ393220:ACS393220 AMM393220:AMO393220 AWI393220:AWK393220 BGE393220:BGG393220 BQA393220:BQC393220 BZW393220:BZY393220 CJS393220:CJU393220 CTO393220:CTQ393220 DDK393220:DDM393220 DNG393220:DNI393220 DXC393220:DXE393220 EGY393220:EHA393220 EQU393220:EQW393220 FAQ393220:FAS393220 FKM393220:FKO393220 FUI393220:FUK393220 GEE393220:GEG393220 GOA393220:GOC393220 GXW393220:GXY393220 HHS393220:HHU393220 HRO393220:HRQ393220 IBK393220:IBM393220 ILG393220:ILI393220 IVC393220:IVE393220 JEY393220:JFA393220 JOU393220:JOW393220 JYQ393220:JYS393220 KIM393220:KIO393220 KSI393220:KSK393220 LCE393220:LCG393220 LMA393220:LMC393220 LVW393220:LVY393220 MFS393220:MFU393220 MPO393220:MPQ393220 MZK393220:MZM393220 NJG393220:NJI393220 NTC393220:NTE393220 OCY393220:ODA393220 OMU393220:OMW393220 OWQ393220:OWS393220 PGM393220:PGO393220 PQI393220:PQK393220 QAE393220:QAG393220 QKA393220:QKC393220 QTW393220:QTY393220 RDS393220:RDU393220 RNO393220:RNQ393220 RXK393220:RXM393220 SHG393220:SHI393220 SRC393220:SRE393220 TAY393220:TBA393220 TKU393220:TKW393220 TUQ393220:TUS393220 UEM393220:UEO393220 UOI393220:UOK393220 UYE393220:UYG393220 VIA393220:VIC393220 VRW393220:VRY393220 WBS393220:WBU393220 WLO393220:WLQ393220 WVK393220:WVM393220 D458756:F458756 IY458756:JA458756 SU458756:SW458756 ACQ458756:ACS458756 AMM458756:AMO458756 AWI458756:AWK458756 BGE458756:BGG458756 BQA458756:BQC458756 BZW458756:BZY458756 CJS458756:CJU458756 CTO458756:CTQ458756 DDK458756:DDM458756 DNG458756:DNI458756 DXC458756:DXE458756 EGY458756:EHA458756 EQU458756:EQW458756 FAQ458756:FAS458756 FKM458756:FKO458756 FUI458756:FUK458756 GEE458756:GEG458756 GOA458756:GOC458756 GXW458756:GXY458756 HHS458756:HHU458756 HRO458756:HRQ458756 IBK458756:IBM458756 ILG458756:ILI458756 IVC458756:IVE458756 JEY458756:JFA458756 JOU458756:JOW458756 JYQ458756:JYS458756 KIM458756:KIO458756 KSI458756:KSK458756 LCE458756:LCG458756 LMA458756:LMC458756 LVW458756:LVY458756 MFS458756:MFU458756 MPO458756:MPQ458756 MZK458756:MZM458756 NJG458756:NJI458756 NTC458756:NTE458756 OCY458756:ODA458756 OMU458756:OMW458756 OWQ458756:OWS458756 PGM458756:PGO458756 PQI458756:PQK458756 QAE458756:QAG458756 QKA458756:QKC458756 QTW458756:QTY458756 RDS458756:RDU458756 RNO458756:RNQ458756 RXK458756:RXM458756 SHG458756:SHI458756 SRC458756:SRE458756 TAY458756:TBA458756 TKU458756:TKW458756 TUQ458756:TUS458756 UEM458756:UEO458756 UOI458756:UOK458756 UYE458756:UYG458756 VIA458756:VIC458756 VRW458756:VRY458756 WBS458756:WBU458756 WLO458756:WLQ458756 WVK458756:WVM458756 D524292:F524292 IY524292:JA524292 SU524292:SW524292 ACQ524292:ACS524292 AMM524292:AMO524292 AWI524292:AWK524292 BGE524292:BGG524292 BQA524292:BQC524292 BZW524292:BZY524292 CJS524292:CJU524292 CTO524292:CTQ524292 DDK524292:DDM524292 DNG524292:DNI524292 DXC524292:DXE524292 EGY524292:EHA524292 EQU524292:EQW524292 FAQ524292:FAS524292 FKM524292:FKO524292 FUI524292:FUK524292 GEE524292:GEG524292 GOA524292:GOC524292 GXW524292:GXY524292 HHS524292:HHU524292 HRO524292:HRQ524292 IBK524292:IBM524292 ILG524292:ILI524292 IVC524292:IVE524292 JEY524292:JFA524292 JOU524292:JOW524292 JYQ524292:JYS524292 KIM524292:KIO524292 KSI524292:KSK524292 LCE524292:LCG524292 LMA524292:LMC524292 LVW524292:LVY524292 MFS524292:MFU524292 MPO524292:MPQ524292 MZK524292:MZM524292 NJG524292:NJI524292 NTC524292:NTE524292 OCY524292:ODA524292 OMU524292:OMW524292 OWQ524292:OWS524292 PGM524292:PGO524292 PQI524292:PQK524292 QAE524292:QAG524292 QKA524292:QKC524292 QTW524292:QTY524292 RDS524292:RDU524292 RNO524292:RNQ524292 RXK524292:RXM524292 SHG524292:SHI524292 SRC524292:SRE524292 TAY524292:TBA524292 TKU524292:TKW524292 TUQ524292:TUS524292 UEM524292:UEO524292 UOI524292:UOK524292 UYE524292:UYG524292 VIA524292:VIC524292 VRW524292:VRY524292 WBS524292:WBU524292 WLO524292:WLQ524292 WVK524292:WVM524292 D589828:F589828 IY589828:JA589828 SU589828:SW589828 ACQ589828:ACS589828 AMM589828:AMO589828 AWI589828:AWK589828 BGE589828:BGG589828 BQA589828:BQC589828 BZW589828:BZY589828 CJS589828:CJU589828 CTO589828:CTQ589828 DDK589828:DDM589828 DNG589828:DNI589828 DXC589828:DXE589828 EGY589828:EHA589828 EQU589828:EQW589828 FAQ589828:FAS589828 FKM589828:FKO589828 FUI589828:FUK589828 GEE589828:GEG589828 GOA589828:GOC589828 GXW589828:GXY589828 HHS589828:HHU589828 HRO589828:HRQ589828 IBK589828:IBM589828 ILG589828:ILI589828 IVC589828:IVE589828 JEY589828:JFA589828 JOU589828:JOW589828 JYQ589828:JYS589828 KIM589828:KIO589828 KSI589828:KSK589828 LCE589828:LCG589828 LMA589828:LMC589828 LVW589828:LVY589828 MFS589828:MFU589828 MPO589828:MPQ589828 MZK589828:MZM589828 NJG589828:NJI589828 NTC589828:NTE589828 OCY589828:ODA589828 OMU589828:OMW589828 OWQ589828:OWS589828 PGM589828:PGO589828 PQI589828:PQK589828 QAE589828:QAG589828 QKA589828:QKC589828 QTW589828:QTY589828 RDS589828:RDU589828 RNO589828:RNQ589828 RXK589828:RXM589828 SHG589828:SHI589828 SRC589828:SRE589828 TAY589828:TBA589828 TKU589828:TKW589828 TUQ589828:TUS589828 UEM589828:UEO589828 UOI589828:UOK589828 UYE589828:UYG589828 VIA589828:VIC589828 VRW589828:VRY589828 WBS589828:WBU589828 WLO589828:WLQ589828 WVK589828:WVM589828 D655364:F655364 IY655364:JA655364 SU655364:SW655364 ACQ655364:ACS655364 AMM655364:AMO655364 AWI655364:AWK655364 BGE655364:BGG655364 BQA655364:BQC655364 BZW655364:BZY655364 CJS655364:CJU655364 CTO655364:CTQ655364 DDK655364:DDM655364 DNG655364:DNI655364 DXC655364:DXE655364 EGY655364:EHA655364 EQU655364:EQW655364 FAQ655364:FAS655364 FKM655364:FKO655364 FUI655364:FUK655364 GEE655364:GEG655364 GOA655364:GOC655364 GXW655364:GXY655364 HHS655364:HHU655364 HRO655364:HRQ655364 IBK655364:IBM655364 ILG655364:ILI655364 IVC655364:IVE655364 JEY655364:JFA655364 JOU655364:JOW655364 JYQ655364:JYS655364 KIM655364:KIO655364 KSI655364:KSK655364 LCE655364:LCG655364 LMA655364:LMC655364 LVW655364:LVY655364 MFS655364:MFU655364 MPO655364:MPQ655364 MZK655364:MZM655364 NJG655364:NJI655364 NTC655364:NTE655364 OCY655364:ODA655364 OMU655364:OMW655364 OWQ655364:OWS655364 PGM655364:PGO655364 PQI655364:PQK655364 QAE655364:QAG655364 QKA655364:QKC655364 QTW655364:QTY655364 RDS655364:RDU655364 RNO655364:RNQ655364 RXK655364:RXM655364 SHG655364:SHI655364 SRC655364:SRE655364 TAY655364:TBA655364 TKU655364:TKW655364 TUQ655364:TUS655364 UEM655364:UEO655364 UOI655364:UOK655364 UYE655364:UYG655364 VIA655364:VIC655364 VRW655364:VRY655364 WBS655364:WBU655364 WLO655364:WLQ655364 WVK655364:WVM655364 D720900:F720900 IY720900:JA720900 SU720900:SW720900 ACQ720900:ACS720900 AMM720900:AMO720900 AWI720900:AWK720900 BGE720900:BGG720900 BQA720900:BQC720900 BZW720900:BZY720900 CJS720900:CJU720900 CTO720900:CTQ720900 DDK720900:DDM720900 DNG720900:DNI720900 DXC720900:DXE720900 EGY720900:EHA720900 EQU720900:EQW720900 FAQ720900:FAS720900 FKM720900:FKO720900 FUI720900:FUK720900 GEE720900:GEG720900 GOA720900:GOC720900 GXW720900:GXY720900 HHS720900:HHU720900 HRO720900:HRQ720900 IBK720900:IBM720900 ILG720900:ILI720900 IVC720900:IVE720900 JEY720900:JFA720900 JOU720900:JOW720900 JYQ720900:JYS720900 KIM720900:KIO720900 KSI720900:KSK720900 LCE720900:LCG720900 LMA720900:LMC720900 LVW720900:LVY720900 MFS720900:MFU720900 MPO720900:MPQ720900 MZK720900:MZM720900 NJG720900:NJI720900 NTC720900:NTE720900 OCY720900:ODA720900 OMU720900:OMW720900 OWQ720900:OWS720900 PGM720900:PGO720900 PQI720900:PQK720900 QAE720900:QAG720900 QKA720900:QKC720900 QTW720900:QTY720900 RDS720900:RDU720900 RNO720900:RNQ720900 RXK720900:RXM720900 SHG720900:SHI720900 SRC720900:SRE720900 TAY720900:TBA720900 TKU720900:TKW720900 TUQ720900:TUS720900 UEM720900:UEO720900 UOI720900:UOK720900 UYE720900:UYG720900 VIA720900:VIC720900 VRW720900:VRY720900 WBS720900:WBU720900 WLO720900:WLQ720900 WVK720900:WVM720900 D786436:F786436 IY786436:JA786436 SU786436:SW786436 ACQ786436:ACS786436 AMM786436:AMO786436 AWI786436:AWK786436 BGE786436:BGG786436 BQA786436:BQC786436 BZW786436:BZY786436 CJS786436:CJU786436 CTO786436:CTQ786436 DDK786436:DDM786436 DNG786436:DNI786436 DXC786436:DXE786436 EGY786436:EHA786436 EQU786436:EQW786436 FAQ786436:FAS786436 FKM786436:FKO786436 FUI786436:FUK786436 GEE786436:GEG786436 GOA786436:GOC786436 GXW786436:GXY786436 HHS786436:HHU786436 HRO786436:HRQ786436 IBK786436:IBM786436 ILG786436:ILI786436 IVC786436:IVE786436 JEY786436:JFA786436 JOU786436:JOW786436 JYQ786436:JYS786436 KIM786436:KIO786436 KSI786436:KSK786436 LCE786436:LCG786436 LMA786436:LMC786436 LVW786436:LVY786436 MFS786436:MFU786436 MPO786436:MPQ786436 MZK786436:MZM786436 NJG786436:NJI786436 NTC786436:NTE786436 OCY786436:ODA786436 OMU786436:OMW786436 OWQ786436:OWS786436 PGM786436:PGO786436 PQI786436:PQK786436 QAE786436:QAG786436 QKA786436:QKC786436 QTW786436:QTY786436 RDS786436:RDU786436 RNO786436:RNQ786436 RXK786436:RXM786436 SHG786436:SHI786436 SRC786436:SRE786436 TAY786436:TBA786436 TKU786436:TKW786436 TUQ786436:TUS786436 UEM786436:UEO786436 UOI786436:UOK786436 UYE786436:UYG786436 VIA786436:VIC786436 VRW786436:VRY786436 WBS786436:WBU786436 WLO786436:WLQ786436 WVK786436:WVM786436 D851972:F851972 IY851972:JA851972 SU851972:SW851972 ACQ851972:ACS851972 AMM851972:AMO851972 AWI851972:AWK851972 BGE851972:BGG851972 BQA851972:BQC851972 BZW851972:BZY851972 CJS851972:CJU851972 CTO851972:CTQ851972 DDK851972:DDM851972 DNG851972:DNI851972 DXC851972:DXE851972 EGY851972:EHA851972 EQU851972:EQW851972 FAQ851972:FAS851972 FKM851972:FKO851972 FUI851972:FUK851972 GEE851972:GEG851972 GOA851972:GOC851972 GXW851972:GXY851972 HHS851972:HHU851972 HRO851972:HRQ851972 IBK851972:IBM851972 ILG851972:ILI851972 IVC851972:IVE851972 JEY851972:JFA851972 JOU851972:JOW851972 JYQ851972:JYS851972 KIM851972:KIO851972 KSI851972:KSK851972 LCE851972:LCG851972 LMA851972:LMC851972 LVW851972:LVY851972 MFS851972:MFU851972 MPO851972:MPQ851972 MZK851972:MZM851972 NJG851972:NJI851972 NTC851972:NTE851972 OCY851972:ODA851972 OMU851972:OMW851972 OWQ851972:OWS851972 PGM851972:PGO851972 PQI851972:PQK851972 QAE851972:QAG851972 QKA851972:QKC851972 QTW851972:QTY851972 RDS851972:RDU851972 RNO851972:RNQ851972 RXK851972:RXM851972 SHG851972:SHI851972 SRC851972:SRE851972 TAY851972:TBA851972 TKU851972:TKW851972 TUQ851972:TUS851972 UEM851972:UEO851972 UOI851972:UOK851972 UYE851972:UYG851972 VIA851972:VIC851972 VRW851972:VRY851972 WBS851972:WBU851972 WLO851972:WLQ851972 WVK851972:WVM851972 D917508:F917508 IY917508:JA917508 SU917508:SW917508 ACQ917508:ACS917508 AMM917508:AMO917508 AWI917508:AWK917508 BGE917508:BGG917508 BQA917508:BQC917508 BZW917508:BZY917508 CJS917508:CJU917508 CTO917508:CTQ917508 DDK917508:DDM917508 DNG917508:DNI917508 DXC917508:DXE917508 EGY917508:EHA917508 EQU917508:EQW917508 FAQ917508:FAS917508 FKM917508:FKO917508 FUI917508:FUK917508 GEE917508:GEG917508 GOA917508:GOC917508 GXW917508:GXY917508 HHS917508:HHU917508 HRO917508:HRQ917508 IBK917508:IBM917508 ILG917508:ILI917508 IVC917508:IVE917508 JEY917508:JFA917508 JOU917508:JOW917508 JYQ917508:JYS917508 KIM917508:KIO917508 KSI917508:KSK917508 LCE917508:LCG917508 LMA917508:LMC917508 LVW917508:LVY917508 MFS917508:MFU917508 MPO917508:MPQ917508 MZK917508:MZM917508 NJG917508:NJI917508 NTC917508:NTE917508 OCY917508:ODA917508 OMU917508:OMW917508 OWQ917508:OWS917508 PGM917508:PGO917508 PQI917508:PQK917508 QAE917508:QAG917508 QKA917508:QKC917508 QTW917508:QTY917508 RDS917508:RDU917508 RNO917508:RNQ917508 RXK917508:RXM917508 SHG917508:SHI917508 SRC917508:SRE917508 TAY917508:TBA917508 TKU917508:TKW917508 TUQ917508:TUS917508 UEM917508:UEO917508 UOI917508:UOK917508 UYE917508:UYG917508 VIA917508:VIC917508 VRW917508:VRY917508 WBS917508:WBU917508 WLO917508:WLQ917508 WVK917508:WVM917508 D983044:F983044 IY983044:JA983044 SU983044:SW983044 ACQ983044:ACS983044 AMM983044:AMO983044 AWI983044:AWK983044 BGE983044:BGG983044 BQA983044:BQC983044 BZW983044:BZY983044 CJS983044:CJU983044 CTO983044:CTQ983044 DDK983044:DDM983044 DNG983044:DNI983044 DXC983044:DXE983044 EGY983044:EHA983044 EQU983044:EQW983044 FAQ983044:FAS983044 FKM983044:FKO983044 FUI983044:FUK983044 GEE983044:GEG983044 GOA983044:GOC983044 GXW983044:GXY983044 HHS983044:HHU983044 HRO983044:HRQ983044 IBK983044:IBM983044 ILG983044:ILI983044 IVC983044:IVE983044 JEY983044:JFA983044 JOU983044:JOW983044 JYQ983044:JYS983044 KIM983044:KIO983044 KSI983044:KSK983044 LCE983044:LCG983044 LMA983044:LMC983044 LVW983044:LVY983044 MFS983044:MFU983044 MPO983044:MPQ983044 MZK983044:MZM983044 NJG983044:NJI983044 NTC983044:NTE983044 OCY983044:ODA983044 OMU983044:OMW983044 OWQ983044:OWS983044 PGM983044:PGO983044 PQI983044:PQK983044 QAE983044:QAG983044 QKA983044:QKC983044 QTW983044:QTY983044 RDS983044:RDU983044 RNO983044:RNQ983044 RXK983044:RXM983044 SHG983044:SHI983044 SRC983044:SRE983044 TAY983044:TBA983044 TKU983044:TKW983044 TUQ983044:TUS983044 UEM983044:UEO983044 UOI983044:UOK983044 UYE983044:UYG983044 VIA983044:VIC983044 VRW983044:VRY983044 WBS983044:WBU983044 WLO983044:WLQ983044 WVK983044:WVM983044"/>
    <dataValidation allowBlank="1" showInputMessage="1" showErrorMessage="1" promptTitle="Tanggal Lahir" prompt="Ketik Tanggal Lahir Pemohon sesuai KTP yang masih berlaku" sqref="I14:J14 JD14:JE14 SZ14:TA14 ACV14:ACW14 AMR14:AMS14 AWN14:AWO14 BGJ14:BGK14 BQF14:BQG14 CAB14:CAC14 CJX14:CJY14 CTT14:CTU14 DDP14:DDQ14 DNL14:DNM14 DXH14:DXI14 EHD14:EHE14 EQZ14:ERA14 FAV14:FAW14 FKR14:FKS14 FUN14:FUO14 GEJ14:GEK14 GOF14:GOG14 GYB14:GYC14 HHX14:HHY14 HRT14:HRU14 IBP14:IBQ14 ILL14:ILM14 IVH14:IVI14 JFD14:JFE14 JOZ14:JPA14 JYV14:JYW14 KIR14:KIS14 KSN14:KSO14 LCJ14:LCK14 LMF14:LMG14 LWB14:LWC14 MFX14:MFY14 MPT14:MPU14 MZP14:MZQ14 NJL14:NJM14 NTH14:NTI14 ODD14:ODE14 OMZ14:ONA14 OWV14:OWW14 PGR14:PGS14 PQN14:PQO14 QAJ14:QAK14 QKF14:QKG14 QUB14:QUC14 RDX14:RDY14 RNT14:RNU14 RXP14:RXQ14 SHL14:SHM14 SRH14:SRI14 TBD14:TBE14 TKZ14:TLA14 TUV14:TUW14 UER14:UES14 UON14:UOO14 UYJ14:UYK14 VIF14:VIG14 VSB14:VSC14 WBX14:WBY14 WLT14:WLU14 WVP14:WVQ14 I65540:J65540 JD65540:JE65540 SZ65540:TA65540 ACV65540:ACW65540 AMR65540:AMS65540 AWN65540:AWO65540 BGJ65540:BGK65540 BQF65540:BQG65540 CAB65540:CAC65540 CJX65540:CJY65540 CTT65540:CTU65540 DDP65540:DDQ65540 DNL65540:DNM65540 DXH65540:DXI65540 EHD65540:EHE65540 EQZ65540:ERA65540 FAV65540:FAW65540 FKR65540:FKS65540 FUN65540:FUO65540 GEJ65540:GEK65540 GOF65540:GOG65540 GYB65540:GYC65540 HHX65540:HHY65540 HRT65540:HRU65540 IBP65540:IBQ65540 ILL65540:ILM65540 IVH65540:IVI65540 JFD65540:JFE65540 JOZ65540:JPA65540 JYV65540:JYW65540 KIR65540:KIS65540 KSN65540:KSO65540 LCJ65540:LCK65540 LMF65540:LMG65540 LWB65540:LWC65540 MFX65540:MFY65540 MPT65540:MPU65540 MZP65540:MZQ65540 NJL65540:NJM65540 NTH65540:NTI65540 ODD65540:ODE65540 OMZ65540:ONA65540 OWV65540:OWW65540 PGR65540:PGS65540 PQN65540:PQO65540 QAJ65540:QAK65540 QKF65540:QKG65540 QUB65540:QUC65540 RDX65540:RDY65540 RNT65540:RNU65540 RXP65540:RXQ65540 SHL65540:SHM65540 SRH65540:SRI65540 TBD65540:TBE65540 TKZ65540:TLA65540 TUV65540:TUW65540 UER65540:UES65540 UON65540:UOO65540 UYJ65540:UYK65540 VIF65540:VIG65540 VSB65540:VSC65540 WBX65540:WBY65540 WLT65540:WLU65540 WVP65540:WVQ65540 I131076:J131076 JD131076:JE131076 SZ131076:TA131076 ACV131076:ACW131076 AMR131076:AMS131076 AWN131076:AWO131076 BGJ131076:BGK131076 BQF131076:BQG131076 CAB131076:CAC131076 CJX131076:CJY131076 CTT131076:CTU131076 DDP131076:DDQ131076 DNL131076:DNM131076 DXH131076:DXI131076 EHD131076:EHE131076 EQZ131076:ERA131076 FAV131076:FAW131076 FKR131076:FKS131076 FUN131076:FUO131076 GEJ131076:GEK131076 GOF131076:GOG131076 GYB131076:GYC131076 HHX131076:HHY131076 HRT131076:HRU131076 IBP131076:IBQ131076 ILL131076:ILM131076 IVH131076:IVI131076 JFD131076:JFE131076 JOZ131076:JPA131076 JYV131076:JYW131076 KIR131076:KIS131076 KSN131076:KSO131076 LCJ131076:LCK131076 LMF131076:LMG131076 LWB131076:LWC131076 MFX131076:MFY131076 MPT131076:MPU131076 MZP131076:MZQ131076 NJL131076:NJM131076 NTH131076:NTI131076 ODD131076:ODE131076 OMZ131076:ONA131076 OWV131076:OWW131076 PGR131076:PGS131076 PQN131076:PQO131076 QAJ131076:QAK131076 QKF131076:QKG131076 QUB131076:QUC131076 RDX131076:RDY131076 RNT131076:RNU131076 RXP131076:RXQ131076 SHL131076:SHM131076 SRH131076:SRI131076 TBD131076:TBE131076 TKZ131076:TLA131076 TUV131076:TUW131076 UER131076:UES131076 UON131076:UOO131076 UYJ131076:UYK131076 VIF131076:VIG131076 VSB131076:VSC131076 WBX131076:WBY131076 WLT131076:WLU131076 WVP131076:WVQ131076 I196612:J196612 JD196612:JE196612 SZ196612:TA196612 ACV196612:ACW196612 AMR196612:AMS196612 AWN196612:AWO196612 BGJ196612:BGK196612 BQF196612:BQG196612 CAB196612:CAC196612 CJX196612:CJY196612 CTT196612:CTU196612 DDP196612:DDQ196612 DNL196612:DNM196612 DXH196612:DXI196612 EHD196612:EHE196612 EQZ196612:ERA196612 FAV196612:FAW196612 FKR196612:FKS196612 FUN196612:FUO196612 GEJ196612:GEK196612 GOF196612:GOG196612 GYB196612:GYC196612 HHX196612:HHY196612 HRT196612:HRU196612 IBP196612:IBQ196612 ILL196612:ILM196612 IVH196612:IVI196612 JFD196612:JFE196612 JOZ196612:JPA196612 JYV196612:JYW196612 KIR196612:KIS196612 KSN196612:KSO196612 LCJ196612:LCK196612 LMF196612:LMG196612 LWB196612:LWC196612 MFX196612:MFY196612 MPT196612:MPU196612 MZP196612:MZQ196612 NJL196612:NJM196612 NTH196612:NTI196612 ODD196612:ODE196612 OMZ196612:ONA196612 OWV196612:OWW196612 PGR196612:PGS196612 PQN196612:PQO196612 QAJ196612:QAK196612 QKF196612:QKG196612 QUB196612:QUC196612 RDX196612:RDY196612 RNT196612:RNU196612 RXP196612:RXQ196612 SHL196612:SHM196612 SRH196612:SRI196612 TBD196612:TBE196612 TKZ196612:TLA196612 TUV196612:TUW196612 UER196612:UES196612 UON196612:UOO196612 UYJ196612:UYK196612 VIF196612:VIG196612 VSB196612:VSC196612 WBX196612:WBY196612 WLT196612:WLU196612 WVP196612:WVQ196612 I262148:J262148 JD262148:JE262148 SZ262148:TA262148 ACV262148:ACW262148 AMR262148:AMS262148 AWN262148:AWO262148 BGJ262148:BGK262148 BQF262148:BQG262148 CAB262148:CAC262148 CJX262148:CJY262148 CTT262148:CTU262148 DDP262148:DDQ262148 DNL262148:DNM262148 DXH262148:DXI262148 EHD262148:EHE262148 EQZ262148:ERA262148 FAV262148:FAW262148 FKR262148:FKS262148 FUN262148:FUO262148 GEJ262148:GEK262148 GOF262148:GOG262148 GYB262148:GYC262148 HHX262148:HHY262148 HRT262148:HRU262148 IBP262148:IBQ262148 ILL262148:ILM262148 IVH262148:IVI262148 JFD262148:JFE262148 JOZ262148:JPA262148 JYV262148:JYW262148 KIR262148:KIS262148 KSN262148:KSO262148 LCJ262148:LCK262148 LMF262148:LMG262148 LWB262148:LWC262148 MFX262148:MFY262148 MPT262148:MPU262148 MZP262148:MZQ262148 NJL262148:NJM262148 NTH262148:NTI262148 ODD262148:ODE262148 OMZ262148:ONA262148 OWV262148:OWW262148 PGR262148:PGS262148 PQN262148:PQO262148 QAJ262148:QAK262148 QKF262148:QKG262148 QUB262148:QUC262148 RDX262148:RDY262148 RNT262148:RNU262148 RXP262148:RXQ262148 SHL262148:SHM262148 SRH262148:SRI262148 TBD262148:TBE262148 TKZ262148:TLA262148 TUV262148:TUW262148 UER262148:UES262148 UON262148:UOO262148 UYJ262148:UYK262148 VIF262148:VIG262148 VSB262148:VSC262148 WBX262148:WBY262148 WLT262148:WLU262148 WVP262148:WVQ262148 I327684:J327684 JD327684:JE327684 SZ327684:TA327684 ACV327684:ACW327684 AMR327684:AMS327684 AWN327684:AWO327684 BGJ327684:BGK327684 BQF327684:BQG327684 CAB327684:CAC327684 CJX327684:CJY327684 CTT327684:CTU327684 DDP327684:DDQ327684 DNL327684:DNM327684 DXH327684:DXI327684 EHD327684:EHE327684 EQZ327684:ERA327684 FAV327684:FAW327684 FKR327684:FKS327684 FUN327684:FUO327684 GEJ327684:GEK327684 GOF327684:GOG327684 GYB327684:GYC327684 HHX327684:HHY327684 HRT327684:HRU327684 IBP327684:IBQ327684 ILL327684:ILM327684 IVH327684:IVI327684 JFD327684:JFE327684 JOZ327684:JPA327684 JYV327684:JYW327684 KIR327684:KIS327684 KSN327684:KSO327684 LCJ327684:LCK327684 LMF327684:LMG327684 LWB327684:LWC327684 MFX327684:MFY327684 MPT327684:MPU327684 MZP327684:MZQ327684 NJL327684:NJM327684 NTH327684:NTI327684 ODD327684:ODE327684 OMZ327684:ONA327684 OWV327684:OWW327684 PGR327684:PGS327684 PQN327684:PQO327684 QAJ327684:QAK327684 QKF327684:QKG327684 QUB327684:QUC327684 RDX327684:RDY327684 RNT327684:RNU327684 RXP327684:RXQ327684 SHL327684:SHM327684 SRH327684:SRI327684 TBD327684:TBE327684 TKZ327684:TLA327684 TUV327684:TUW327684 UER327684:UES327684 UON327684:UOO327684 UYJ327684:UYK327684 VIF327684:VIG327684 VSB327684:VSC327684 WBX327684:WBY327684 WLT327684:WLU327684 WVP327684:WVQ327684 I393220:J393220 JD393220:JE393220 SZ393220:TA393220 ACV393220:ACW393220 AMR393220:AMS393220 AWN393220:AWO393220 BGJ393220:BGK393220 BQF393220:BQG393220 CAB393220:CAC393220 CJX393220:CJY393220 CTT393220:CTU393220 DDP393220:DDQ393220 DNL393220:DNM393220 DXH393220:DXI393220 EHD393220:EHE393220 EQZ393220:ERA393220 FAV393220:FAW393220 FKR393220:FKS393220 FUN393220:FUO393220 GEJ393220:GEK393220 GOF393220:GOG393220 GYB393220:GYC393220 HHX393220:HHY393220 HRT393220:HRU393220 IBP393220:IBQ393220 ILL393220:ILM393220 IVH393220:IVI393220 JFD393220:JFE393220 JOZ393220:JPA393220 JYV393220:JYW393220 KIR393220:KIS393220 KSN393220:KSO393220 LCJ393220:LCK393220 LMF393220:LMG393220 LWB393220:LWC393220 MFX393220:MFY393220 MPT393220:MPU393220 MZP393220:MZQ393220 NJL393220:NJM393220 NTH393220:NTI393220 ODD393220:ODE393220 OMZ393220:ONA393220 OWV393220:OWW393220 PGR393220:PGS393220 PQN393220:PQO393220 QAJ393220:QAK393220 QKF393220:QKG393220 QUB393220:QUC393220 RDX393220:RDY393220 RNT393220:RNU393220 RXP393220:RXQ393220 SHL393220:SHM393220 SRH393220:SRI393220 TBD393220:TBE393220 TKZ393220:TLA393220 TUV393220:TUW393220 UER393220:UES393220 UON393220:UOO393220 UYJ393220:UYK393220 VIF393220:VIG393220 VSB393220:VSC393220 WBX393220:WBY393220 WLT393220:WLU393220 WVP393220:WVQ393220 I458756:J458756 JD458756:JE458756 SZ458756:TA458756 ACV458756:ACW458756 AMR458756:AMS458756 AWN458756:AWO458756 BGJ458756:BGK458756 BQF458756:BQG458756 CAB458756:CAC458756 CJX458756:CJY458756 CTT458756:CTU458756 DDP458756:DDQ458756 DNL458756:DNM458756 DXH458756:DXI458756 EHD458756:EHE458756 EQZ458756:ERA458756 FAV458756:FAW458756 FKR458756:FKS458756 FUN458756:FUO458756 GEJ458756:GEK458756 GOF458756:GOG458756 GYB458756:GYC458756 HHX458756:HHY458756 HRT458756:HRU458756 IBP458756:IBQ458756 ILL458756:ILM458756 IVH458756:IVI458756 JFD458756:JFE458756 JOZ458756:JPA458756 JYV458756:JYW458756 KIR458756:KIS458756 KSN458756:KSO458756 LCJ458756:LCK458756 LMF458756:LMG458756 LWB458756:LWC458756 MFX458756:MFY458756 MPT458756:MPU458756 MZP458756:MZQ458756 NJL458756:NJM458756 NTH458756:NTI458756 ODD458756:ODE458756 OMZ458756:ONA458756 OWV458756:OWW458756 PGR458756:PGS458756 PQN458756:PQO458756 QAJ458756:QAK458756 QKF458756:QKG458756 QUB458756:QUC458756 RDX458756:RDY458756 RNT458756:RNU458756 RXP458756:RXQ458756 SHL458756:SHM458756 SRH458756:SRI458756 TBD458756:TBE458756 TKZ458756:TLA458756 TUV458756:TUW458756 UER458756:UES458756 UON458756:UOO458756 UYJ458756:UYK458756 VIF458756:VIG458756 VSB458756:VSC458756 WBX458756:WBY458756 WLT458756:WLU458756 WVP458756:WVQ458756 I524292:J524292 JD524292:JE524292 SZ524292:TA524292 ACV524292:ACW524292 AMR524292:AMS524292 AWN524292:AWO524292 BGJ524292:BGK524292 BQF524292:BQG524292 CAB524292:CAC524292 CJX524292:CJY524292 CTT524292:CTU524292 DDP524292:DDQ524292 DNL524292:DNM524292 DXH524292:DXI524292 EHD524292:EHE524292 EQZ524292:ERA524292 FAV524292:FAW524292 FKR524292:FKS524292 FUN524292:FUO524292 GEJ524292:GEK524292 GOF524292:GOG524292 GYB524292:GYC524292 HHX524292:HHY524292 HRT524292:HRU524292 IBP524292:IBQ524292 ILL524292:ILM524292 IVH524292:IVI524292 JFD524292:JFE524292 JOZ524292:JPA524292 JYV524292:JYW524292 KIR524292:KIS524292 KSN524292:KSO524292 LCJ524292:LCK524292 LMF524292:LMG524292 LWB524292:LWC524292 MFX524292:MFY524292 MPT524292:MPU524292 MZP524292:MZQ524292 NJL524292:NJM524292 NTH524292:NTI524292 ODD524292:ODE524292 OMZ524292:ONA524292 OWV524292:OWW524292 PGR524292:PGS524292 PQN524292:PQO524292 QAJ524292:QAK524292 QKF524292:QKG524292 QUB524292:QUC524292 RDX524292:RDY524292 RNT524292:RNU524292 RXP524292:RXQ524292 SHL524292:SHM524292 SRH524292:SRI524292 TBD524292:TBE524292 TKZ524292:TLA524292 TUV524292:TUW524292 UER524292:UES524292 UON524292:UOO524292 UYJ524292:UYK524292 VIF524292:VIG524292 VSB524292:VSC524292 WBX524292:WBY524292 WLT524292:WLU524292 WVP524292:WVQ524292 I589828:J589828 JD589828:JE589828 SZ589828:TA589828 ACV589828:ACW589828 AMR589828:AMS589828 AWN589828:AWO589828 BGJ589828:BGK589828 BQF589828:BQG589828 CAB589828:CAC589828 CJX589828:CJY589828 CTT589828:CTU589828 DDP589828:DDQ589828 DNL589828:DNM589828 DXH589828:DXI589828 EHD589828:EHE589828 EQZ589828:ERA589828 FAV589828:FAW589828 FKR589828:FKS589828 FUN589828:FUO589828 GEJ589828:GEK589828 GOF589828:GOG589828 GYB589828:GYC589828 HHX589828:HHY589828 HRT589828:HRU589828 IBP589828:IBQ589828 ILL589828:ILM589828 IVH589828:IVI589828 JFD589828:JFE589828 JOZ589828:JPA589828 JYV589828:JYW589828 KIR589828:KIS589828 KSN589828:KSO589828 LCJ589828:LCK589828 LMF589828:LMG589828 LWB589828:LWC589828 MFX589828:MFY589828 MPT589828:MPU589828 MZP589828:MZQ589828 NJL589828:NJM589828 NTH589828:NTI589828 ODD589828:ODE589828 OMZ589828:ONA589828 OWV589828:OWW589828 PGR589828:PGS589828 PQN589828:PQO589828 QAJ589828:QAK589828 QKF589828:QKG589828 QUB589828:QUC589828 RDX589828:RDY589828 RNT589828:RNU589828 RXP589828:RXQ589828 SHL589828:SHM589828 SRH589828:SRI589828 TBD589828:TBE589828 TKZ589828:TLA589828 TUV589828:TUW589828 UER589828:UES589828 UON589828:UOO589828 UYJ589828:UYK589828 VIF589828:VIG589828 VSB589828:VSC589828 WBX589828:WBY589828 WLT589828:WLU589828 WVP589828:WVQ589828 I655364:J655364 JD655364:JE655364 SZ655364:TA655364 ACV655364:ACW655364 AMR655364:AMS655364 AWN655364:AWO655364 BGJ655364:BGK655364 BQF655364:BQG655364 CAB655364:CAC655364 CJX655364:CJY655364 CTT655364:CTU655364 DDP655364:DDQ655364 DNL655364:DNM655364 DXH655364:DXI655364 EHD655364:EHE655364 EQZ655364:ERA655364 FAV655364:FAW655364 FKR655364:FKS655364 FUN655364:FUO655364 GEJ655364:GEK655364 GOF655364:GOG655364 GYB655364:GYC655364 HHX655364:HHY655364 HRT655364:HRU655364 IBP655364:IBQ655364 ILL655364:ILM655364 IVH655364:IVI655364 JFD655364:JFE655364 JOZ655364:JPA655364 JYV655364:JYW655364 KIR655364:KIS655364 KSN655364:KSO655364 LCJ655364:LCK655364 LMF655364:LMG655364 LWB655364:LWC655364 MFX655364:MFY655364 MPT655364:MPU655364 MZP655364:MZQ655364 NJL655364:NJM655364 NTH655364:NTI655364 ODD655364:ODE655364 OMZ655364:ONA655364 OWV655364:OWW655364 PGR655364:PGS655364 PQN655364:PQO655364 QAJ655364:QAK655364 QKF655364:QKG655364 QUB655364:QUC655364 RDX655364:RDY655364 RNT655364:RNU655364 RXP655364:RXQ655364 SHL655364:SHM655364 SRH655364:SRI655364 TBD655364:TBE655364 TKZ655364:TLA655364 TUV655364:TUW655364 UER655364:UES655364 UON655364:UOO655364 UYJ655364:UYK655364 VIF655364:VIG655364 VSB655364:VSC655364 WBX655364:WBY655364 WLT655364:WLU655364 WVP655364:WVQ655364 I720900:J720900 JD720900:JE720900 SZ720900:TA720900 ACV720900:ACW720900 AMR720900:AMS720900 AWN720900:AWO720900 BGJ720900:BGK720900 BQF720900:BQG720900 CAB720900:CAC720900 CJX720900:CJY720900 CTT720900:CTU720900 DDP720900:DDQ720900 DNL720900:DNM720900 DXH720900:DXI720900 EHD720900:EHE720900 EQZ720900:ERA720900 FAV720900:FAW720900 FKR720900:FKS720900 FUN720900:FUO720900 GEJ720900:GEK720900 GOF720900:GOG720900 GYB720900:GYC720900 HHX720900:HHY720900 HRT720900:HRU720900 IBP720900:IBQ720900 ILL720900:ILM720900 IVH720900:IVI720900 JFD720900:JFE720900 JOZ720900:JPA720900 JYV720900:JYW720900 KIR720900:KIS720900 KSN720900:KSO720900 LCJ720900:LCK720900 LMF720900:LMG720900 LWB720900:LWC720900 MFX720900:MFY720900 MPT720900:MPU720900 MZP720900:MZQ720900 NJL720900:NJM720900 NTH720900:NTI720900 ODD720900:ODE720900 OMZ720900:ONA720900 OWV720900:OWW720900 PGR720900:PGS720900 PQN720900:PQO720900 QAJ720900:QAK720900 QKF720900:QKG720900 QUB720900:QUC720900 RDX720900:RDY720900 RNT720900:RNU720900 RXP720900:RXQ720900 SHL720900:SHM720900 SRH720900:SRI720900 TBD720900:TBE720900 TKZ720900:TLA720900 TUV720900:TUW720900 UER720900:UES720900 UON720900:UOO720900 UYJ720900:UYK720900 VIF720900:VIG720900 VSB720900:VSC720900 WBX720900:WBY720900 WLT720900:WLU720900 WVP720900:WVQ720900 I786436:J786436 JD786436:JE786436 SZ786436:TA786436 ACV786436:ACW786436 AMR786436:AMS786436 AWN786436:AWO786436 BGJ786436:BGK786436 BQF786436:BQG786436 CAB786436:CAC786436 CJX786436:CJY786436 CTT786436:CTU786436 DDP786436:DDQ786436 DNL786436:DNM786436 DXH786436:DXI786436 EHD786436:EHE786436 EQZ786436:ERA786436 FAV786436:FAW786436 FKR786436:FKS786436 FUN786436:FUO786436 GEJ786436:GEK786436 GOF786436:GOG786436 GYB786436:GYC786436 HHX786436:HHY786436 HRT786436:HRU786436 IBP786436:IBQ786436 ILL786436:ILM786436 IVH786436:IVI786436 JFD786436:JFE786436 JOZ786436:JPA786436 JYV786436:JYW786436 KIR786436:KIS786436 KSN786436:KSO786436 LCJ786436:LCK786436 LMF786436:LMG786436 LWB786436:LWC786436 MFX786436:MFY786436 MPT786436:MPU786436 MZP786436:MZQ786436 NJL786436:NJM786436 NTH786436:NTI786436 ODD786436:ODE786436 OMZ786436:ONA786436 OWV786436:OWW786436 PGR786436:PGS786436 PQN786436:PQO786436 QAJ786436:QAK786436 QKF786436:QKG786436 QUB786436:QUC786436 RDX786436:RDY786436 RNT786436:RNU786436 RXP786436:RXQ786436 SHL786436:SHM786436 SRH786436:SRI786436 TBD786436:TBE786436 TKZ786436:TLA786436 TUV786436:TUW786436 UER786436:UES786436 UON786436:UOO786436 UYJ786436:UYK786436 VIF786436:VIG786436 VSB786436:VSC786436 WBX786436:WBY786436 WLT786436:WLU786436 WVP786436:WVQ786436 I851972:J851972 JD851972:JE851972 SZ851972:TA851972 ACV851972:ACW851972 AMR851972:AMS851972 AWN851972:AWO851972 BGJ851972:BGK851972 BQF851972:BQG851972 CAB851972:CAC851972 CJX851972:CJY851972 CTT851972:CTU851972 DDP851972:DDQ851972 DNL851972:DNM851972 DXH851972:DXI851972 EHD851972:EHE851972 EQZ851972:ERA851972 FAV851972:FAW851972 FKR851972:FKS851972 FUN851972:FUO851972 GEJ851972:GEK851972 GOF851972:GOG851972 GYB851972:GYC851972 HHX851972:HHY851972 HRT851972:HRU851972 IBP851972:IBQ851972 ILL851972:ILM851972 IVH851972:IVI851972 JFD851972:JFE851972 JOZ851972:JPA851972 JYV851972:JYW851972 KIR851972:KIS851972 KSN851972:KSO851972 LCJ851972:LCK851972 LMF851972:LMG851972 LWB851972:LWC851972 MFX851972:MFY851972 MPT851972:MPU851972 MZP851972:MZQ851972 NJL851972:NJM851972 NTH851972:NTI851972 ODD851972:ODE851972 OMZ851972:ONA851972 OWV851972:OWW851972 PGR851972:PGS851972 PQN851972:PQO851972 QAJ851972:QAK851972 QKF851972:QKG851972 QUB851972:QUC851972 RDX851972:RDY851972 RNT851972:RNU851972 RXP851972:RXQ851972 SHL851972:SHM851972 SRH851972:SRI851972 TBD851972:TBE851972 TKZ851972:TLA851972 TUV851972:TUW851972 UER851972:UES851972 UON851972:UOO851972 UYJ851972:UYK851972 VIF851972:VIG851972 VSB851972:VSC851972 WBX851972:WBY851972 WLT851972:WLU851972 WVP851972:WVQ851972 I917508:J917508 JD917508:JE917508 SZ917508:TA917508 ACV917508:ACW917508 AMR917508:AMS917508 AWN917508:AWO917508 BGJ917508:BGK917508 BQF917508:BQG917508 CAB917508:CAC917508 CJX917508:CJY917508 CTT917508:CTU917508 DDP917508:DDQ917508 DNL917508:DNM917508 DXH917508:DXI917508 EHD917508:EHE917508 EQZ917508:ERA917508 FAV917508:FAW917508 FKR917508:FKS917508 FUN917508:FUO917508 GEJ917508:GEK917508 GOF917508:GOG917508 GYB917508:GYC917508 HHX917508:HHY917508 HRT917508:HRU917508 IBP917508:IBQ917508 ILL917508:ILM917508 IVH917508:IVI917508 JFD917508:JFE917508 JOZ917508:JPA917508 JYV917508:JYW917508 KIR917508:KIS917508 KSN917508:KSO917508 LCJ917508:LCK917508 LMF917508:LMG917508 LWB917508:LWC917508 MFX917508:MFY917508 MPT917508:MPU917508 MZP917508:MZQ917508 NJL917508:NJM917508 NTH917508:NTI917508 ODD917508:ODE917508 OMZ917508:ONA917508 OWV917508:OWW917508 PGR917508:PGS917508 PQN917508:PQO917508 QAJ917508:QAK917508 QKF917508:QKG917508 QUB917508:QUC917508 RDX917508:RDY917508 RNT917508:RNU917508 RXP917508:RXQ917508 SHL917508:SHM917508 SRH917508:SRI917508 TBD917508:TBE917508 TKZ917508:TLA917508 TUV917508:TUW917508 UER917508:UES917508 UON917508:UOO917508 UYJ917508:UYK917508 VIF917508:VIG917508 VSB917508:VSC917508 WBX917508:WBY917508 WLT917508:WLU917508 WVP917508:WVQ917508 I983044:J983044 JD983044:JE983044 SZ983044:TA983044 ACV983044:ACW983044 AMR983044:AMS983044 AWN983044:AWO983044 BGJ983044:BGK983044 BQF983044:BQG983044 CAB983044:CAC983044 CJX983044:CJY983044 CTT983044:CTU983044 DDP983044:DDQ983044 DNL983044:DNM983044 DXH983044:DXI983044 EHD983044:EHE983044 EQZ983044:ERA983044 FAV983044:FAW983044 FKR983044:FKS983044 FUN983044:FUO983044 GEJ983044:GEK983044 GOF983044:GOG983044 GYB983044:GYC983044 HHX983044:HHY983044 HRT983044:HRU983044 IBP983044:IBQ983044 ILL983044:ILM983044 IVH983044:IVI983044 JFD983044:JFE983044 JOZ983044:JPA983044 JYV983044:JYW983044 KIR983044:KIS983044 KSN983044:KSO983044 LCJ983044:LCK983044 LMF983044:LMG983044 LWB983044:LWC983044 MFX983044:MFY983044 MPT983044:MPU983044 MZP983044:MZQ983044 NJL983044:NJM983044 NTH983044:NTI983044 ODD983044:ODE983044 OMZ983044:ONA983044 OWV983044:OWW983044 PGR983044:PGS983044 PQN983044:PQO983044 QAJ983044:QAK983044 QKF983044:QKG983044 QUB983044:QUC983044 RDX983044:RDY983044 RNT983044:RNU983044 RXP983044:RXQ983044 SHL983044:SHM983044 SRH983044:SRI983044 TBD983044:TBE983044 TKZ983044:TLA983044 TUV983044:TUW983044 UER983044:UES983044 UON983044:UOO983044 UYJ983044:UYK983044 VIF983044:VIG983044 VSB983044:VSC983044 WBX983044:WBY983044 WLT983044:WLU983044 WVP983044:WVQ983044"/>
    <dataValidation allowBlank="1" showInputMessage="1" showErrorMessage="1" promptTitle="Masa Berlaku KTP" prompt="Ketik masa berlaku KTP pemohon" sqref="WVP983045:WVQ983045 JD15:JE15 SZ15:TA15 ACV15:ACW15 AMR15:AMS15 AWN15:AWO15 BGJ15:BGK15 BQF15:BQG15 CAB15:CAC15 CJX15:CJY15 CTT15:CTU15 DDP15:DDQ15 DNL15:DNM15 DXH15:DXI15 EHD15:EHE15 EQZ15:ERA15 FAV15:FAW15 FKR15:FKS15 FUN15:FUO15 GEJ15:GEK15 GOF15:GOG15 GYB15:GYC15 HHX15:HHY15 HRT15:HRU15 IBP15:IBQ15 ILL15:ILM15 IVH15:IVI15 JFD15:JFE15 JOZ15:JPA15 JYV15:JYW15 KIR15:KIS15 KSN15:KSO15 LCJ15:LCK15 LMF15:LMG15 LWB15:LWC15 MFX15:MFY15 MPT15:MPU15 MZP15:MZQ15 NJL15:NJM15 NTH15:NTI15 ODD15:ODE15 OMZ15:ONA15 OWV15:OWW15 PGR15:PGS15 PQN15:PQO15 QAJ15:QAK15 QKF15:QKG15 QUB15:QUC15 RDX15:RDY15 RNT15:RNU15 RXP15:RXQ15 SHL15:SHM15 SRH15:SRI15 TBD15:TBE15 TKZ15:TLA15 TUV15:TUW15 UER15:UES15 UON15:UOO15 UYJ15:UYK15 VIF15:VIG15 VSB15:VSC15 WBX15:WBY15 WLT15:WLU15 WVP15:WVQ15 I65541:J65541 JD65541:JE65541 SZ65541:TA65541 ACV65541:ACW65541 AMR65541:AMS65541 AWN65541:AWO65541 BGJ65541:BGK65541 BQF65541:BQG65541 CAB65541:CAC65541 CJX65541:CJY65541 CTT65541:CTU65541 DDP65541:DDQ65541 DNL65541:DNM65541 DXH65541:DXI65541 EHD65541:EHE65541 EQZ65541:ERA65541 FAV65541:FAW65541 FKR65541:FKS65541 FUN65541:FUO65541 GEJ65541:GEK65541 GOF65541:GOG65541 GYB65541:GYC65541 HHX65541:HHY65541 HRT65541:HRU65541 IBP65541:IBQ65541 ILL65541:ILM65541 IVH65541:IVI65541 JFD65541:JFE65541 JOZ65541:JPA65541 JYV65541:JYW65541 KIR65541:KIS65541 KSN65541:KSO65541 LCJ65541:LCK65541 LMF65541:LMG65541 LWB65541:LWC65541 MFX65541:MFY65541 MPT65541:MPU65541 MZP65541:MZQ65541 NJL65541:NJM65541 NTH65541:NTI65541 ODD65541:ODE65541 OMZ65541:ONA65541 OWV65541:OWW65541 PGR65541:PGS65541 PQN65541:PQO65541 QAJ65541:QAK65541 QKF65541:QKG65541 QUB65541:QUC65541 RDX65541:RDY65541 RNT65541:RNU65541 RXP65541:RXQ65541 SHL65541:SHM65541 SRH65541:SRI65541 TBD65541:TBE65541 TKZ65541:TLA65541 TUV65541:TUW65541 UER65541:UES65541 UON65541:UOO65541 UYJ65541:UYK65541 VIF65541:VIG65541 VSB65541:VSC65541 WBX65541:WBY65541 WLT65541:WLU65541 WVP65541:WVQ65541 I131077:J131077 JD131077:JE131077 SZ131077:TA131077 ACV131077:ACW131077 AMR131077:AMS131077 AWN131077:AWO131077 BGJ131077:BGK131077 BQF131077:BQG131077 CAB131077:CAC131077 CJX131077:CJY131077 CTT131077:CTU131077 DDP131077:DDQ131077 DNL131077:DNM131077 DXH131077:DXI131077 EHD131077:EHE131077 EQZ131077:ERA131077 FAV131077:FAW131077 FKR131077:FKS131077 FUN131077:FUO131077 GEJ131077:GEK131077 GOF131077:GOG131077 GYB131077:GYC131077 HHX131077:HHY131077 HRT131077:HRU131077 IBP131077:IBQ131077 ILL131077:ILM131077 IVH131077:IVI131077 JFD131077:JFE131077 JOZ131077:JPA131077 JYV131077:JYW131077 KIR131077:KIS131077 KSN131077:KSO131077 LCJ131077:LCK131077 LMF131077:LMG131077 LWB131077:LWC131077 MFX131077:MFY131077 MPT131077:MPU131077 MZP131077:MZQ131077 NJL131077:NJM131077 NTH131077:NTI131077 ODD131077:ODE131077 OMZ131077:ONA131077 OWV131077:OWW131077 PGR131077:PGS131077 PQN131077:PQO131077 QAJ131077:QAK131077 QKF131077:QKG131077 QUB131077:QUC131077 RDX131077:RDY131077 RNT131077:RNU131077 RXP131077:RXQ131077 SHL131077:SHM131077 SRH131077:SRI131077 TBD131077:TBE131077 TKZ131077:TLA131077 TUV131077:TUW131077 UER131077:UES131077 UON131077:UOO131077 UYJ131077:UYK131077 VIF131077:VIG131077 VSB131077:VSC131077 WBX131077:WBY131077 WLT131077:WLU131077 WVP131077:WVQ131077 I196613:J196613 JD196613:JE196613 SZ196613:TA196613 ACV196613:ACW196613 AMR196613:AMS196613 AWN196613:AWO196613 BGJ196613:BGK196613 BQF196613:BQG196613 CAB196613:CAC196613 CJX196613:CJY196613 CTT196613:CTU196613 DDP196613:DDQ196613 DNL196613:DNM196613 DXH196613:DXI196613 EHD196613:EHE196613 EQZ196613:ERA196613 FAV196613:FAW196613 FKR196613:FKS196613 FUN196613:FUO196613 GEJ196613:GEK196613 GOF196613:GOG196613 GYB196613:GYC196613 HHX196613:HHY196613 HRT196613:HRU196613 IBP196613:IBQ196613 ILL196613:ILM196613 IVH196613:IVI196613 JFD196613:JFE196613 JOZ196613:JPA196613 JYV196613:JYW196613 KIR196613:KIS196613 KSN196613:KSO196613 LCJ196613:LCK196613 LMF196613:LMG196613 LWB196613:LWC196613 MFX196613:MFY196613 MPT196613:MPU196613 MZP196613:MZQ196613 NJL196613:NJM196613 NTH196613:NTI196613 ODD196613:ODE196613 OMZ196613:ONA196613 OWV196613:OWW196613 PGR196613:PGS196613 PQN196613:PQO196613 QAJ196613:QAK196613 QKF196613:QKG196613 QUB196613:QUC196613 RDX196613:RDY196613 RNT196613:RNU196613 RXP196613:RXQ196613 SHL196613:SHM196613 SRH196613:SRI196613 TBD196613:TBE196613 TKZ196613:TLA196613 TUV196613:TUW196613 UER196613:UES196613 UON196613:UOO196613 UYJ196613:UYK196613 VIF196613:VIG196613 VSB196613:VSC196613 WBX196613:WBY196613 WLT196613:WLU196613 WVP196613:WVQ196613 I262149:J262149 JD262149:JE262149 SZ262149:TA262149 ACV262149:ACW262149 AMR262149:AMS262149 AWN262149:AWO262149 BGJ262149:BGK262149 BQF262149:BQG262149 CAB262149:CAC262149 CJX262149:CJY262149 CTT262149:CTU262149 DDP262149:DDQ262149 DNL262149:DNM262149 DXH262149:DXI262149 EHD262149:EHE262149 EQZ262149:ERA262149 FAV262149:FAW262149 FKR262149:FKS262149 FUN262149:FUO262149 GEJ262149:GEK262149 GOF262149:GOG262149 GYB262149:GYC262149 HHX262149:HHY262149 HRT262149:HRU262149 IBP262149:IBQ262149 ILL262149:ILM262149 IVH262149:IVI262149 JFD262149:JFE262149 JOZ262149:JPA262149 JYV262149:JYW262149 KIR262149:KIS262149 KSN262149:KSO262149 LCJ262149:LCK262149 LMF262149:LMG262149 LWB262149:LWC262149 MFX262149:MFY262149 MPT262149:MPU262149 MZP262149:MZQ262149 NJL262149:NJM262149 NTH262149:NTI262149 ODD262149:ODE262149 OMZ262149:ONA262149 OWV262149:OWW262149 PGR262149:PGS262149 PQN262149:PQO262149 QAJ262149:QAK262149 QKF262149:QKG262149 QUB262149:QUC262149 RDX262149:RDY262149 RNT262149:RNU262149 RXP262149:RXQ262149 SHL262149:SHM262149 SRH262149:SRI262149 TBD262149:TBE262149 TKZ262149:TLA262149 TUV262149:TUW262149 UER262149:UES262149 UON262149:UOO262149 UYJ262149:UYK262149 VIF262149:VIG262149 VSB262149:VSC262149 WBX262149:WBY262149 WLT262149:WLU262149 WVP262149:WVQ262149 I327685:J327685 JD327685:JE327685 SZ327685:TA327685 ACV327685:ACW327685 AMR327685:AMS327685 AWN327685:AWO327685 BGJ327685:BGK327685 BQF327685:BQG327685 CAB327685:CAC327685 CJX327685:CJY327685 CTT327685:CTU327685 DDP327685:DDQ327685 DNL327685:DNM327685 DXH327685:DXI327685 EHD327685:EHE327685 EQZ327685:ERA327685 FAV327685:FAW327685 FKR327685:FKS327685 FUN327685:FUO327685 GEJ327685:GEK327685 GOF327685:GOG327685 GYB327685:GYC327685 HHX327685:HHY327685 HRT327685:HRU327685 IBP327685:IBQ327685 ILL327685:ILM327685 IVH327685:IVI327685 JFD327685:JFE327685 JOZ327685:JPA327685 JYV327685:JYW327685 KIR327685:KIS327685 KSN327685:KSO327685 LCJ327685:LCK327685 LMF327685:LMG327685 LWB327685:LWC327685 MFX327685:MFY327685 MPT327685:MPU327685 MZP327685:MZQ327685 NJL327685:NJM327685 NTH327685:NTI327685 ODD327685:ODE327685 OMZ327685:ONA327685 OWV327685:OWW327685 PGR327685:PGS327685 PQN327685:PQO327685 QAJ327685:QAK327685 QKF327685:QKG327685 QUB327685:QUC327685 RDX327685:RDY327685 RNT327685:RNU327685 RXP327685:RXQ327685 SHL327685:SHM327685 SRH327685:SRI327685 TBD327685:TBE327685 TKZ327685:TLA327685 TUV327685:TUW327685 UER327685:UES327685 UON327685:UOO327685 UYJ327685:UYK327685 VIF327685:VIG327685 VSB327685:VSC327685 WBX327685:WBY327685 WLT327685:WLU327685 WVP327685:WVQ327685 I393221:J393221 JD393221:JE393221 SZ393221:TA393221 ACV393221:ACW393221 AMR393221:AMS393221 AWN393221:AWO393221 BGJ393221:BGK393221 BQF393221:BQG393221 CAB393221:CAC393221 CJX393221:CJY393221 CTT393221:CTU393221 DDP393221:DDQ393221 DNL393221:DNM393221 DXH393221:DXI393221 EHD393221:EHE393221 EQZ393221:ERA393221 FAV393221:FAW393221 FKR393221:FKS393221 FUN393221:FUO393221 GEJ393221:GEK393221 GOF393221:GOG393221 GYB393221:GYC393221 HHX393221:HHY393221 HRT393221:HRU393221 IBP393221:IBQ393221 ILL393221:ILM393221 IVH393221:IVI393221 JFD393221:JFE393221 JOZ393221:JPA393221 JYV393221:JYW393221 KIR393221:KIS393221 KSN393221:KSO393221 LCJ393221:LCK393221 LMF393221:LMG393221 LWB393221:LWC393221 MFX393221:MFY393221 MPT393221:MPU393221 MZP393221:MZQ393221 NJL393221:NJM393221 NTH393221:NTI393221 ODD393221:ODE393221 OMZ393221:ONA393221 OWV393221:OWW393221 PGR393221:PGS393221 PQN393221:PQO393221 QAJ393221:QAK393221 QKF393221:QKG393221 QUB393221:QUC393221 RDX393221:RDY393221 RNT393221:RNU393221 RXP393221:RXQ393221 SHL393221:SHM393221 SRH393221:SRI393221 TBD393221:TBE393221 TKZ393221:TLA393221 TUV393221:TUW393221 UER393221:UES393221 UON393221:UOO393221 UYJ393221:UYK393221 VIF393221:VIG393221 VSB393221:VSC393221 WBX393221:WBY393221 WLT393221:WLU393221 WVP393221:WVQ393221 I458757:J458757 JD458757:JE458757 SZ458757:TA458757 ACV458757:ACW458757 AMR458757:AMS458757 AWN458757:AWO458757 BGJ458757:BGK458757 BQF458757:BQG458757 CAB458757:CAC458757 CJX458757:CJY458757 CTT458757:CTU458757 DDP458757:DDQ458757 DNL458757:DNM458757 DXH458757:DXI458757 EHD458757:EHE458757 EQZ458757:ERA458757 FAV458757:FAW458757 FKR458757:FKS458757 FUN458757:FUO458757 GEJ458757:GEK458757 GOF458757:GOG458757 GYB458757:GYC458757 HHX458757:HHY458757 HRT458757:HRU458757 IBP458757:IBQ458757 ILL458757:ILM458757 IVH458757:IVI458757 JFD458757:JFE458757 JOZ458757:JPA458757 JYV458757:JYW458757 KIR458757:KIS458757 KSN458757:KSO458757 LCJ458757:LCK458757 LMF458757:LMG458757 LWB458757:LWC458757 MFX458757:MFY458757 MPT458757:MPU458757 MZP458757:MZQ458757 NJL458757:NJM458757 NTH458757:NTI458757 ODD458757:ODE458757 OMZ458757:ONA458757 OWV458757:OWW458757 PGR458757:PGS458757 PQN458757:PQO458757 QAJ458757:QAK458757 QKF458757:QKG458757 QUB458757:QUC458757 RDX458757:RDY458757 RNT458757:RNU458757 RXP458757:RXQ458757 SHL458757:SHM458757 SRH458757:SRI458757 TBD458757:TBE458757 TKZ458757:TLA458757 TUV458757:TUW458757 UER458757:UES458757 UON458757:UOO458757 UYJ458757:UYK458757 VIF458757:VIG458757 VSB458757:VSC458757 WBX458757:WBY458757 WLT458757:WLU458757 WVP458757:WVQ458757 I524293:J524293 JD524293:JE524293 SZ524293:TA524293 ACV524293:ACW524293 AMR524293:AMS524293 AWN524293:AWO524293 BGJ524293:BGK524293 BQF524293:BQG524293 CAB524293:CAC524293 CJX524293:CJY524293 CTT524293:CTU524293 DDP524293:DDQ524293 DNL524293:DNM524293 DXH524293:DXI524293 EHD524293:EHE524293 EQZ524293:ERA524293 FAV524293:FAW524293 FKR524293:FKS524293 FUN524293:FUO524293 GEJ524293:GEK524293 GOF524293:GOG524293 GYB524293:GYC524293 HHX524293:HHY524293 HRT524293:HRU524293 IBP524293:IBQ524293 ILL524293:ILM524293 IVH524293:IVI524293 JFD524293:JFE524293 JOZ524293:JPA524293 JYV524293:JYW524293 KIR524293:KIS524293 KSN524293:KSO524293 LCJ524293:LCK524293 LMF524293:LMG524293 LWB524293:LWC524293 MFX524293:MFY524293 MPT524293:MPU524293 MZP524293:MZQ524293 NJL524293:NJM524293 NTH524293:NTI524293 ODD524293:ODE524293 OMZ524293:ONA524293 OWV524293:OWW524293 PGR524293:PGS524293 PQN524293:PQO524293 QAJ524293:QAK524293 QKF524293:QKG524293 QUB524293:QUC524293 RDX524293:RDY524293 RNT524293:RNU524293 RXP524293:RXQ524293 SHL524293:SHM524293 SRH524293:SRI524293 TBD524293:TBE524293 TKZ524293:TLA524293 TUV524293:TUW524293 UER524293:UES524293 UON524293:UOO524293 UYJ524293:UYK524293 VIF524293:VIG524293 VSB524293:VSC524293 WBX524293:WBY524293 WLT524293:WLU524293 WVP524293:WVQ524293 I589829:J589829 JD589829:JE589829 SZ589829:TA589829 ACV589829:ACW589829 AMR589829:AMS589829 AWN589829:AWO589829 BGJ589829:BGK589829 BQF589829:BQG589829 CAB589829:CAC589829 CJX589829:CJY589829 CTT589829:CTU589829 DDP589829:DDQ589829 DNL589829:DNM589829 DXH589829:DXI589829 EHD589829:EHE589829 EQZ589829:ERA589829 FAV589829:FAW589829 FKR589829:FKS589829 FUN589829:FUO589829 GEJ589829:GEK589829 GOF589829:GOG589829 GYB589829:GYC589829 HHX589829:HHY589829 HRT589829:HRU589829 IBP589829:IBQ589829 ILL589829:ILM589829 IVH589829:IVI589829 JFD589829:JFE589829 JOZ589829:JPA589829 JYV589829:JYW589829 KIR589829:KIS589829 KSN589829:KSO589829 LCJ589829:LCK589829 LMF589829:LMG589829 LWB589829:LWC589829 MFX589829:MFY589829 MPT589829:MPU589829 MZP589829:MZQ589829 NJL589829:NJM589829 NTH589829:NTI589829 ODD589829:ODE589829 OMZ589829:ONA589829 OWV589829:OWW589829 PGR589829:PGS589829 PQN589829:PQO589829 QAJ589829:QAK589829 QKF589829:QKG589829 QUB589829:QUC589829 RDX589829:RDY589829 RNT589829:RNU589829 RXP589829:RXQ589829 SHL589829:SHM589829 SRH589829:SRI589829 TBD589829:TBE589829 TKZ589829:TLA589829 TUV589829:TUW589829 UER589829:UES589829 UON589829:UOO589829 UYJ589829:UYK589829 VIF589829:VIG589829 VSB589829:VSC589829 WBX589829:WBY589829 WLT589829:WLU589829 WVP589829:WVQ589829 I655365:J655365 JD655365:JE655365 SZ655365:TA655365 ACV655365:ACW655365 AMR655365:AMS655365 AWN655365:AWO655365 BGJ655365:BGK655365 BQF655365:BQG655365 CAB655365:CAC655365 CJX655365:CJY655365 CTT655365:CTU655365 DDP655365:DDQ655365 DNL655365:DNM655365 DXH655365:DXI655365 EHD655365:EHE655365 EQZ655365:ERA655365 FAV655365:FAW655365 FKR655365:FKS655365 FUN655365:FUO655365 GEJ655365:GEK655365 GOF655365:GOG655365 GYB655365:GYC655365 HHX655365:HHY655365 HRT655365:HRU655365 IBP655365:IBQ655365 ILL655365:ILM655365 IVH655365:IVI655365 JFD655365:JFE655365 JOZ655365:JPA655365 JYV655365:JYW655365 KIR655365:KIS655365 KSN655365:KSO655365 LCJ655365:LCK655365 LMF655365:LMG655365 LWB655365:LWC655365 MFX655365:MFY655365 MPT655365:MPU655365 MZP655365:MZQ655365 NJL655365:NJM655365 NTH655365:NTI655365 ODD655365:ODE655365 OMZ655365:ONA655365 OWV655365:OWW655365 PGR655365:PGS655365 PQN655365:PQO655365 QAJ655365:QAK655365 QKF655365:QKG655365 QUB655365:QUC655365 RDX655365:RDY655365 RNT655365:RNU655365 RXP655365:RXQ655365 SHL655365:SHM655365 SRH655365:SRI655365 TBD655365:TBE655365 TKZ655365:TLA655365 TUV655365:TUW655365 UER655365:UES655365 UON655365:UOO655365 UYJ655365:UYK655365 VIF655365:VIG655365 VSB655365:VSC655365 WBX655365:WBY655365 WLT655365:WLU655365 WVP655365:WVQ655365 I720901:J720901 JD720901:JE720901 SZ720901:TA720901 ACV720901:ACW720901 AMR720901:AMS720901 AWN720901:AWO720901 BGJ720901:BGK720901 BQF720901:BQG720901 CAB720901:CAC720901 CJX720901:CJY720901 CTT720901:CTU720901 DDP720901:DDQ720901 DNL720901:DNM720901 DXH720901:DXI720901 EHD720901:EHE720901 EQZ720901:ERA720901 FAV720901:FAW720901 FKR720901:FKS720901 FUN720901:FUO720901 GEJ720901:GEK720901 GOF720901:GOG720901 GYB720901:GYC720901 HHX720901:HHY720901 HRT720901:HRU720901 IBP720901:IBQ720901 ILL720901:ILM720901 IVH720901:IVI720901 JFD720901:JFE720901 JOZ720901:JPA720901 JYV720901:JYW720901 KIR720901:KIS720901 KSN720901:KSO720901 LCJ720901:LCK720901 LMF720901:LMG720901 LWB720901:LWC720901 MFX720901:MFY720901 MPT720901:MPU720901 MZP720901:MZQ720901 NJL720901:NJM720901 NTH720901:NTI720901 ODD720901:ODE720901 OMZ720901:ONA720901 OWV720901:OWW720901 PGR720901:PGS720901 PQN720901:PQO720901 QAJ720901:QAK720901 QKF720901:QKG720901 QUB720901:QUC720901 RDX720901:RDY720901 RNT720901:RNU720901 RXP720901:RXQ720901 SHL720901:SHM720901 SRH720901:SRI720901 TBD720901:TBE720901 TKZ720901:TLA720901 TUV720901:TUW720901 UER720901:UES720901 UON720901:UOO720901 UYJ720901:UYK720901 VIF720901:VIG720901 VSB720901:VSC720901 WBX720901:WBY720901 WLT720901:WLU720901 WVP720901:WVQ720901 I786437:J786437 JD786437:JE786437 SZ786437:TA786437 ACV786437:ACW786437 AMR786437:AMS786437 AWN786437:AWO786437 BGJ786437:BGK786437 BQF786437:BQG786437 CAB786437:CAC786437 CJX786437:CJY786437 CTT786437:CTU786437 DDP786437:DDQ786437 DNL786437:DNM786437 DXH786437:DXI786437 EHD786437:EHE786437 EQZ786437:ERA786437 FAV786437:FAW786437 FKR786437:FKS786437 FUN786437:FUO786437 GEJ786437:GEK786437 GOF786437:GOG786437 GYB786437:GYC786437 HHX786437:HHY786437 HRT786437:HRU786437 IBP786437:IBQ786437 ILL786437:ILM786437 IVH786437:IVI786437 JFD786437:JFE786437 JOZ786437:JPA786437 JYV786437:JYW786437 KIR786437:KIS786437 KSN786437:KSO786437 LCJ786437:LCK786437 LMF786437:LMG786437 LWB786437:LWC786437 MFX786437:MFY786437 MPT786437:MPU786437 MZP786437:MZQ786437 NJL786437:NJM786437 NTH786437:NTI786437 ODD786437:ODE786437 OMZ786437:ONA786437 OWV786437:OWW786437 PGR786437:PGS786437 PQN786437:PQO786437 QAJ786437:QAK786437 QKF786437:QKG786437 QUB786437:QUC786437 RDX786437:RDY786437 RNT786437:RNU786437 RXP786437:RXQ786437 SHL786437:SHM786437 SRH786437:SRI786437 TBD786437:TBE786437 TKZ786437:TLA786437 TUV786437:TUW786437 UER786437:UES786437 UON786437:UOO786437 UYJ786437:UYK786437 VIF786437:VIG786437 VSB786437:VSC786437 WBX786437:WBY786437 WLT786437:WLU786437 WVP786437:WVQ786437 I851973:J851973 JD851973:JE851973 SZ851973:TA851973 ACV851973:ACW851973 AMR851973:AMS851973 AWN851973:AWO851973 BGJ851973:BGK851973 BQF851973:BQG851973 CAB851973:CAC851973 CJX851973:CJY851973 CTT851973:CTU851973 DDP851973:DDQ851973 DNL851973:DNM851973 DXH851973:DXI851973 EHD851973:EHE851973 EQZ851973:ERA851973 FAV851973:FAW851973 FKR851973:FKS851973 FUN851973:FUO851973 GEJ851973:GEK851973 GOF851973:GOG851973 GYB851973:GYC851973 HHX851973:HHY851973 HRT851973:HRU851973 IBP851973:IBQ851973 ILL851973:ILM851973 IVH851973:IVI851973 JFD851973:JFE851973 JOZ851973:JPA851973 JYV851973:JYW851973 KIR851973:KIS851973 KSN851973:KSO851973 LCJ851973:LCK851973 LMF851973:LMG851973 LWB851973:LWC851973 MFX851973:MFY851973 MPT851973:MPU851973 MZP851973:MZQ851973 NJL851973:NJM851973 NTH851973:NTI851973 ODD851973:ODE851973 OMZ851973:ONA851973 OWV851973:OWW851973 PGR851973:PGS851973 PQN851973:PQO851973 QAJ851973:QAK851973 QKF851973:QKG851973 QUB851973:QUC851973 RDX851973:RDY851973 RNT851973:RNU851973 RXP851973:RXQ851973 SHL851973:SHM851973 SRH851973:SRI851973 TBD851973:TBE851973 TKZ851973:TLA851973 TUV851973:TUW851973 UER851973:UES851973 UON851973:UOO851973 UYJ851973:UYK851973 VIF851973:VIG851973 VSB851973:VSC851973 WBX851973:WBY851973 WLT851973:WLU851973 WVP851973:WVQ851973 I917509:J917509 JD917509:JE917509 SZ917509:TA917509 ACV917509:ACW917509 AMR917509:AMS917509 AWN917509:AWO917509 BGJ917509:BGK917509 BQF917509:BQG917509 CAB917509:CAC917509 CJX917509:CJY917509 CTT917509:CTU917509 DDP917509:DDQ917509 DNL917509:DNM917509 DXH917509:DXI917509 EHD917509:EHE917509 EQZ917509:ERA917509 FAV917509:FAW917509 FKR917509:FKS917509 FUN917509:FUO917509 GEJ917509:GEK917509 GOF917509:GOG917509 GYB917509:GYC917509 HHX917509:HHY917509 HRT917509:HRU917509 IBP917509:IBQ917509 ILL917509:ILM917509 IVH917509:IVI917509 JFD917509:JFE917509 JOZ917509:JPA917509 JYV917509:JYW917509 KIR917509:KIS917509 KSN917509:KSO917509 LCJ917509:LCK917509 LMF917509:LMG917509 LWB917509:LWC917509 MFX917509:MFY917509 MPT917509:MPU917509 MZP917509:MZQ917509 NJL917509:NJM917509 NTH917509:NTI917509 ODD917509:ODE917509 OMZ917509:ONA917509 OWV917509:OWW917509 PGR917509:PGS917509 PQN917509:PQO917509 QAJ917509:QAK917509 QKF917509:QKG917509 QUB917509:QUC917509 RDX917509:RDY917509 RNT917509:RNU917509 RXP917509:RXQ917509 SHL917509:SHM917509 SRH917509:SRI917509 TBD917509:TBE917509 TKZ917509:TLA917509 TUV917509:TUW917509 UER917509:UES917509 UON917509:UOO917509 UYJ917509:UYK917509 VIF917509:VIG917509 VSB917509:VSC917509 WBX917509:WBY917509 WLT917509:WLU917509 WVP917509:WVQ917509 I983045:J983045 JD983045:JE983045 SZ983045:TA983045 ACV983045:ACW983045 AMR983045:AMS983045 AWN983045:AWO983045 BGJ983045:BGK983045 BQF983045:BQG983045 CAB983045:CAC983045 CJX983045:CJY983045 CTT983045:CTU983045 DDP983045:DDQ983045 DNL983045:DNM983045 DXH983045:DXI983045 EHD983045:EHE983045 EQZ983045:ERA983045 FAV983045:FAW983045 FKR983045:FKS983045 FUN983045:FUO983045 GEJ983045:GEK983045 GOF983045:GOG983045 GYB983045:GYC983045 HHX983045:HHY983045 HRT983045:HRU983045 IBP983045:IBQ983045 ILL983045:ILM983045 IVH983045:IVI983045 JFD983045:JFE983045 JOZ983045:JPA983045 JYV983045:JYW983045 KIR983045:KIS983045 KSN983045:KSO983045 LCJ983045:LCK983045 LMF983045:LMG983045 LWB983045:LWC983045 MFX983045:MFY983045 MPT983045:MPU983045 MZP983045:MZQ983045 NJL983045:NJM983045 NTH983045:NTI983045 ODD983045:ODE983045 OMZ983045:ONA983045 OWV983045:OWW983045 PGR983045:PGS983045 PQN983045:PQO983045 QAJ983045:QAK983045 QKF983045:QKG983045 QUB983045:QUC983045 RDX983045:RDY983045 RNT983045:RNU983045 RXP983045:RXQ983045 SHL983045:SHM983045 SRH983045:SRI983045 TBD983045:TBE983045 TKZ983045:TLA983045 TUV983045:TUW983045 UER983045:UES983045 UON983045:UOO983045 UYJ983045:UYK983045 VIF983045:VIG983045 VSB983045:VSC983045 WBX983045:WBY983045 WLT983045:WLU983045"/>
    <dataValidation allowBlank="1" showInputMessage="1" showErrorMessage="1" promptTitle="Nomor KTP" prompt="Ketik Nomor KTP yang tertera dalam KTP Pemohon yang masih berlaku" sqref="D1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D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D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D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D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D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D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D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D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D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D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D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D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D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D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D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G14:H15 JB14:JC15 SX14:SY15 ACT14:ACU15 AMP14:AMQ15 AWL14:AWM15 BGH14:BGI15 BQD14:BQE15 BZZ14:CAA15 CJV14:CJW15 CTR14:CTS15 DDN14:DDO15 DNJ14:DNK15 DXF14:DXG15 EHB14:EHC15 EQX14:EQY15 FAT14:FAU15 FKP14:FKQ15 FUL14:FUM15 GEH14:GEI15 GOD14:GOE15 GXZ14:GYA15 HHV14:HHW15 HRR14:HRS15 IBN14:IBO15 ILJ14:ILK15 IVF14:IVG15 JFB14:JFC15 JOX14:JOY15 JYT14:JYU15 KIP14:KIQ15 KSL14:KSM15 LCH14:LCI15 LMD14:LME15 LVZ14:LWA15 MFV14:MFW15 MPR14:MPS15 MZN14:MZO15 NJJ14:NJK15 NTF14:NTG15 ODB14:ODC15 OMX14:OMY15 OWT14:OWU15 PGP14:PGQ15 PQL14:PQM15 QAH14:QAI15 QKD14:QKE15 QTZ14:QUA15 RDV14:RDW15 RNR14:RNS15 RXN14:RXO15 SHJ14:SHK15 SRF14:SRG15 TBB14:TBC15 TKX14:TKY15 TUT14:TUU15 UEP14:UEQ15 UOL14:UOM15 UYH14:UYI15 VID14:VIE15 VRZ14:VSA15 WBV14:WBW15 WLR14:WLS15 WVN14:WVO15 JB65540:JC65541 SX65540:SY65541 ACT65540:ACU65541 AMP65540:AMQ65541 AWL65540:AWM65541 BGH65540:BGI65541 BQD65540:BQE65541 BZZ65540:CAA65541 CJV65540:CJW65541 CTR65540:CTS65541 DDN65540:DDO65541 DNJ65540:DNK65541 DXF65540:DXG65541 EHB65540:EHC65541 EQX65540:EQY65541 FAT65540:FAU65541 FKP65540:FKQ65541 FUL65540:FUM65541 GEH65540:GEI65541 GOD65540:GOE65541 GXZ65540:GYA65541 HHV65540:HHW65541 HRR65540:HRS65541 IBN65540:IBO65541 ILJ65540:ILK65541 IVF65540:IVG65541 JFB65540:JFC65541 JOX65540:JOY65541 JYT65540:JYU65541 KIP65540:KIQ65541 KSL65540:KSM65541 LCH65540:LCI65541 LMD65540:LME65541 LVZ65540:LWA65541 MFV65540:MFW65541 MPR65540:MPS65541 MZN65540:MZO65541 NJJ65540:NJK65541 NTF65540:NTG65541 ODB65540:ODC65541 OMX65540:OMY65541 OWT65540:OWU65541 PGP65540:PGQ65541 PQL65540:PQM65541 QAH65540:QAI65541 QKD65540:QKE65541 QTZ65540:QUA65541 RDV65540:RDW65541 RNR65540:RNS65541 RXN65540:RXO65541 SHJ65540:SHK65541 SRF65540:SRG65541 TBB65540:TBC65541 TKX65540:TKY65541 TUT65540:TUU65541 UEP65540:UEQ65541 UOL65540:UOM65541 UYH65540:UYI65541 VID65540:VIE65541 VRZ65540:VSA65541 WBV65540:WBW65541 WLR65540:WLS65541 WVN65540:WVO65541 JB131076:JC131077 SX131076:SY131077 ACT131076:ACU131077 AMP131076:AMQ131077 AWL131076:AWM131077 BGH131076:BGI131077 BQD131076:BQE131077 BZZ131076:CAA131077 CJV131076:CJW131077 CTR131076:CTS131077 DDN131076:DDO131077 DNJ131076:DNK131077 DXF131076:DXG131077 EHB131076:EHC131077 EQX131076:EQY131077 FAT131076:FAU131077 FKP131076:FKQ131077 FUL131076:FUM131077 GEH131076:GEI131077 GOD131076:GOE131077 GXZ131076:GYA131077 HHV131076:HHW131077 HRR131076:HRS131077 IBN131076:IBO131077 ILJ131076:ILK131077 IVF131076:IVG131077 JFB131076:JFC131077 JOX131076:JOY131077 JYT131076:JYU131077 KIP131076:KIQ131077 KSL131076:KSM131077 LCH131076:LCI131077 LMD131076:LME131077 LVZ131076:LWA131077 MFV131076:MFW131077 MPR131076:MPS131077 MZN131076:MZO131077 NJJ131076:NJK131077 NTF131076:NTG131077 ODB131076:ODC131077 OMX131076:OMY131077 OWT131076:OWU131077 PGP131076:PGQ131077 PQL131076:PQM131077 QAH131076:QAI131077 QKD131076:QKE131077 QTZ131076:QUA131077 RDV131076:RDW131077 RNR131076:RNS131077 RXN131076:RXO131077 SHJ131076:SHK131077 SRF131076:SRG131077 TBB131076:TBC131077 TKX131076:TKY131077 TUT131076:TUU131077 UEP131076:UEQ131077 UOL131076:UOM131077 UYH131076:UYI131077 VID131076:VIE131077 VRZ131076:VSA131077 WBV131076:WBW131077 WLR131076:WLS131077 WVN131076:WVO131077 JB196612:JC196613 SX196612:SY196613 ACT196612:ACU196613 AMP196612:AMQ196613 AWL196612:AWM196613 BGH196612:BGI196613 BQD196612:BQE196613 BZZ196612:CAA196613 CJV196612:CJW196613 CTR196612:CTS196613 DDN196612:DDO196613 DNJ196612:DNK196613 DXF196612:DXG196613 EHB196612:EHC196613 EQX196612:EQY196613 FAT196612:FAU196613 FKP196612:FKQ196613 FUL196612:FUM196613 GEH196612:GEI196613 GOD196612:GOE196613 GXZ196612:GYA196613 HHV196612:HHW196613 HRR196612:HRS196613 IBN196612:IBO196613 ILJ196612:ILK196613 IVF196612:IVG196613 JFB196612:JFC196613 JOX196612:JOY196613 JYT196612:JYU196613 KIP196612:KIQ196613 KSL196612:KSM196613 LCH196612:LCI196613 LMD196612:LME196613 LVZ196612:LWA196613 MFV196612:MFW196613 MPR196612:MPS196613 MZN196612:MZO196613 NJJ196612:NJK196613 NTF196612:NTG196613 ODB196612:ODC196613 OMX196612:OMY196613 OWT196612:OWU196613 PGP196612:PGQ196613 PQL196612:PQM196613 QAH196612:QAI196613 QKD196612:QKE196613 QTZ196612:QUA196613 RDV196612:RDW196613 RNR196612:RNS196613 RXN196612:RXO196613 SHJ196612:SHK196613 SRF196612:SRG196613 TBB196612:TBC196613 TKX196612:TKY196613 TUT196612:TUU196613 UEP196612:UEQ196613 UOL196612:UOM196613 UYH196612:UYI196613 VID196612:VIE196613 VRZ196612:VSA196613 WBV196612:WBW196613 WLR196612:WLS196613 WVN196612:WVO196613 JB262148:JC262149 SX262148:SY262149 ACT262148:ACU262149 AMP262148:AMQ262149 AWL262148:AWM262149 BGH262148:BGI262149 BQD262148:BQE262149 BZZ262148:CAA262149 CJV262148:CJW262149 CTR262148:CTS262149 DDN262148:DDO262149 DNJ262148:DNK262149 DXF262148:DXG262149 EHB262148:EHC262149 EQX262148:EQY262149 FAT262148:FAU262149 FKP262148:FKQ262149 FUL262148:FUM262149 GEH262148:GEI262149 GOD262148:GOE262149 GXZ262148:GYA262149 HHV262148:HHW262149 HRR262148:HRS262149 IBN262148:IBO262149 ILJ262148:ILK262149 IVF262148:IVG262149 JFB262148:JFC262149 JOX262148:JOY262149 JYT262148:JYU262149 KIP262148:KIQ262149 KSL262148:KSM262149 LCH262148:LCI262149 LMD262148:LME262149 LVZ262148:LWA262149 MFV262148:MFW262149 MPR262148:MPS262149 MZN262148:MZO262149 NJJ262148:NJK262149 NTF262148:NTG262149 ODB262148:ODC262149 OMX262148:OMY262149 OWT262148:OWU262149 PGP262148:PGQ262149 PQL262148:PQM262149 QAH262148:QAI262149 QKD262148:QKE262149 QTZ262148:QUA262149 RDV262148:RDW262149 RNR262148:RNS262149 RXN262148:RXO262149 SHJ262148:SHK262149 SRF262148:SRG262149 TBB262148:TBC262149 TKX262148:TKY262149 TUT262148:TUU262149 UEP262148:UEQ262149 UOL262148:UOM262149 UYH262148:UYI262149 VID262148:VIE262149 VRZ262148:VSA262149 WBV262148:WBW262149 WLR262148:WLS262149 WVN262148:WVO262149 JB327684:JC327685 SX327684:SY327685 ACT327684:ACU327685 AMP327684:AMQ327685 AWL327684:AWM327685 BGH327684:BGI327685 BQD327684:BQE327685 BZZ327684:CAA327685 CJV327684:CJW327685 CTR327684:CTS327685 DDN327684:DDO327685 DNJ327684:DNK327685 DXF327684:DXG327685 EHB327684:EHC327685 EQX327684:EQY327685 FAT327684:FAU327685 FKP327684:FKQ327685 FUL327684:FUM327685 GEH327684:GEI327685 GOD327684:GOE327685 GXZ327684:GYA327685 HHV327684:HHW327685 HRR327684:HRS327685 IBN327684:IBO327685 ILJ327684:ILK327685 IVF327684:IVG327685 JFB327684:JFC327685 JOX327684:JOY327685 JYT327684:JYU327685 KIP327684:KIQ327685 KSL327684:KSM327685 LCH327684:LCI327685 LMD327684:LME327685 LVZ327684:LWA327685 MFV327684:MFW327685 MPR327684:MPS327685 MZN327684:MZO327685 NJJ327684:NJK327685 NTF327684:NTG327685 ODB327684:ODC327685 OMX327684:OMY327685 OWT327684:OWU327685 PGP327684:PGQ327685 PQL327684:PQM327685 QAH327684:QAI327685 QKD327684:QKE327685 QTZ327684:QUA327685 RDV327684:RDW327685 RNR327684:RNS327685 RXN327684:RXO327685 SHJ327684:SHK327685 SRF327684:SRG327685 TBB327684:TBC327685 TKX327684:TKY327685 TUT327684:TUU327685 UEP327684:UEQ327685 UOL327684:UOM327685 UYH327684:UYI327685 VID327684:VIE327685 VRZ327684:VSA327685 WBV327684:WBW327685 WLR327684:WLS327685 WVN327684:WVO327685 JB393220:JC393221 SX393220:SY393221 ACT393220:ACU393221 AMP393220:AMQ393221 AWL393220:AWM393221 BGH393220:BGI393221 BQD393220:BQE393221 BZZ393220:CAA393221 CJV393220:CJW393221 CTR393220:CTS393221 DDN393220:DDO393221 DNJ393220:DNK393221 DXF393220:DXG393221 EHB393220:EHC393221 EQX393220:EQY393221 FAT393220:FAU393221 FKP393220:FKQ393221 FUL393220:FUM393221 GEH393220:GEI393221 GOD393220:GOE393221 GXZ393220:GYA393221 HHV393220:HHW393221 HRR393220:HRS393221 IBN393220:IBO393221 ILJ393220:ILK393221 IVF393220:IVG393221 JFB393220:JFC393221 JOX393220:JOY393221 JYT393220:JYU393221 KIP393220:KIQ393221 KSL393220:KSM393221 LCH393220:LCI393221 LMD393220:LME393221 LVZ393220:LWA393221 MFV393220:MFW393221 MPR393220:MPS393221 MZN393220:MZO393221 NJJ393220:NJK393221 NTF393220:NTG393221 ODB393220:ODC393221 OMX393220:OMY393221 OWT393220:OWU393221 PGP393220:PGQ393221 PQL393220:PQM393221 QAH393220:QAI393221 QKD393220:QKE393221 QTZ393220:QUA393221 RDV393220:RDW393221 RNR393220:RNS393221 RXN393220:RXO393221 SHJ393220:SHK393221 SRF393220:SRG393221 TBB393220:TBC393221 TKX393220:TKY393221 TUT393220:TUU393221 UEP393220:UEQ393221 UOL393220:UOM393221 UYH393220:UYI393221 VID393220:VIE393221 VRZ393220:VSA393221 WBV393220:WBW393221 WLR393220:WLS393221 WVN393220:WVO393221 JB458756:JC458757 SX458756:SY458757 ACT458756:ACU458757 AMP458756:AMQ458757 AWL458756:AWM458757 BGH458756:BGI458757 BQD458756:BQE458757 BZZ458756:CAA458757 CJV458756:CJW458757 CTR458756:CTS458757 DDN458756:DDO458757 DNJ458756:DNK458757 DXF458756:DXG458757 EHB458756:EHC458757 EQX458756:EQY458757 FAT458756:FAU458757 FKP458756:FKQ458757 FUL458756:FUM458757 GEH458756:GEI458757 GOD458756:GOE458757 GXZ458756:GYA458757 HHV458756:HHW458757 HRR458756:HRS458757 IBN458756:IBO458757 ILJ458756:ILK458757 IVF458756:IVG458757 JFB458756:JFC458757 JOX458756:JOY458757 JYT458756:JYU458757 KIP458756:KIQ458757 KSL458756:KSM458757 LCH458756:LCI458757 LMD458756:LME458757 LVZ458756:LWA458757 MFV458756:MFW458757 MPR458756:MPS458757 MZN458756:MZO458757 NJJ458756:NJK458757 NTF458756:NTG458757 ODB458756:ODC458757 OMX458756:OMY458757 OWT458756:OWU458757 PGP458756:PGQ458757 PQL458756:PQM458757 QAH458756:QAI458757 QKD458756:QKE458757 QTZ458756:QUA458757 RDV458756:RDW458757 RNR458756:RNS458757 RXN458756:RXO458757 SHJ458756:SHK458757 SRF458756:SRG458757 TBB458756:TBC458757 TKX458756:TKY458757 TUT458756:TUU458757 UEP458756:UEQ458757 UOL458756:UOM458757 UYH458756:UYI458757 VID458756:VIE458757 VRZ458756:VSA458757 WBV458756:WBW458757 WLR458756:WLS458757 WVN458756:WVO458757 JB524292:JC524293 SX524292:SY524293 ACT524292:ACU524293 AMP524292:AMQ524293 AWL524292:AWM524293 BGH524292:BGI524293 BQD524292:BQE524293 BZZ524292:CAA524293 CJV524292:CJW524293 CTR524292:CTS524293 DDN524292:DDO524293 DNJ524292:DNK524293 DXF524292:DXG524293 EHB524292:EHC524293 EQX524292:EQY524293 FAT524292:FAU524293 FKP524292:FKQ524293 FUL524292:FUM524293 GEH524292:GEI524293 GOD524292:GOE524293 GXZ524292:GYA524293 HHV524292:HHW524293 HRR524292:HRS524293 IBN524292:IBO524293 ILJ524292:ILK524293 IVF524292:IVG524293 JFB524292:JFC524293 JOX524292:JOY524293 JYT524292:JYU524293 KIP524292:KIQ524293 KSL524292:KSM524293 LCH524292:LCI524293 LMD524292:LME524293 LVZ524292:LWA524293 MFV524292:MFW524293 MPR524292:MPS524293 MZN524292:MZO524293 NJJ524292:NJK524293 NTF524292:NTG524293 ODB524292:ODC524293 OMX524292:OMY524293 OWT524292:OWU524293 PGP524292:PGQ524293 PQL524292:PQM524293 QAH524292:QAI524293 QKD524292:QKE524293 QTZ524292:QUA524293 RDV524292:RDW524293 RNR524292:RNS524293 RXN524292:RXO524293 SHJ524292:SHK524293 SRF524292:SRG524293 TBB524292:TBC524293 TKX524292:TKY524293 TUT524292:TUU524293 UEP524292:UEQ524293 UOL524292:UOM524293 UYH524292:UYI524293 VID524292:VIE524293 VRZ524292:VSA524293 WBV524292:WBW524293 WLR524292:WLS524293 WVN524292:WVO524293 JB589828:JC589829 SX589828:SY589829 ACT589828:ACU589829 AMP589828:AMQ589829 AWL589828:AWM589829 BGH589828:BGI589829 BQD589828:BQE589829 BZZ589828:CAA589829 CJV589828:CJW589829 CTR589828:CTS589829 DDN589828:DDO589829 DNJ589828:DNK589829 DXF589828:DXG589829 EHB589828:EHC589829 EQX589828:EQY589829 FAT589828:FAU589829 FKP589828:FKQ589829 FUL589828:FUM589829 GEH589828:GEI589829 GOD589828:GOE589829 GXZ589828:GYA589829 HHV589828:HHW589829 HRR589828:HRS589829 IBN589828:IBO589829 ILJ589828:ILK589829 IVF589828:IVG589829 JFB589828:JFC589829 JOX589828:JOY589829 JYT589828:JYU589829 KIP589828:KIQ589829 KSL589828:KSM589829 LCH589828:LCI589829 LMD589828:LME589829 LVZ589828:LWA589829 MFV589828:MFW589829 MPR589828:MPS589829 MZN589828:MZO589829 NJJ589828:NJK589829 NTF589828:NTG589829 ODB589828:ODC589829 OMX589828:OMY589829 OWT589828:OWU589829 PGP589828:PGQ589829 PQL589828:PQM589829 QAH589828:QAI589829 QKD589828:QKE589829 QTZ589828:QUA589829 RDV589828:RDW589829 RNR589828:RNS589829 RXN589828:RXO589829 SHJ589828:SHK589829 SRF589828:SRG589829 TBB589828:TBC589829 TKX589828:TKY589829 TUT589828:TUU589829 UEP589828:UEQ589829 UOL589828:UOM589829 UYH589828:UYI589829 VID589828:VIE589829 VRZ589828:VSA589829 WBV589828:WBW589829 WLR589828:WLS589829 WVN589828:WVO589829 JB655364:JC655365 SX655364:SY655365 ACT655364:ACU655365 AMP655364:AMQ655365 AWL655364:AWM655365 BGH655364:BGI655365 BQD655364:BQE655365 BZZ655364:CAA655365 CJV655364:CJW655365 CTR655364:CTS655365 DDN655364:DDO655365 DNJ655364:DNK655365 DXF655364:DXG655365 EHB655364:EHC655365 EQX655364:EQY655365 FAT655364:FAU655365 FKP655364:FKQ655365 FUL655364:FUM655365 GEH655364:GEI655365 GOD655364:GOE655365 GXZ655364:GYA655365 HHV655364:HHW655365 HRR655364:HRS655365 IBN655364:IBO655365 ILJ655364:ILK655365 IVF655364:IVG655365 JFB655364:JFC655365 JOX655364:JOY655365 JYT655364:JYU655365 KIP655364:KIQ655365 KSL655364:KSM655365 LCH655364:LCI655365 LMD655364:LME655365 LVZ655364:LWA655365 MFV655364:MFW655365 MPR655364:MPS655365 MZN655364:MZO655365 NJJ655364:NJK655365 NTF655364:NTG655365 ODB655364:ODC655365 OMX655364:OMY655365 OWT655364:OWU655365 PGP655364:PGQ655365 PQL655364:PQM655365 QAH655364:QAI655365 QKD655364:QKE655365 QTZ655364:QUA655365 RDV655364:RDW655365 RNR655364:RNS655365 RXN655364:RXO655365 SHJ655364:SHK655365 SRF655364:SRG655365 TBB655364:TBC655365 TKX655364:TKY655365 TUT655364:TUU655365 UEP655364:UEQ655365 UOL655364:UOM655365 UYH655364:UYI655365 VID655364:VIE655365 VRZ655364:VSA655365 WBV655364:WBW655365 WLR655364:WLS655365 WVN655364:WVO655365 JB720900:JC720901 SX720900:SY720901 ACT720900:ACU720901 AMP720900:AMQ720901 AWL720900:AWM720901 BGH720900:BGI720901 BQD720900:BQE720901 BZZ720900:CAA720901 CJV720900:CJW720901 CTR720900:CTS720901 DDN720900:DDO720901 DNJ720900:DNK720901 DXF720900:DXG720901 EHB720900:EHC720901 EQX720900:EQY720901 FAT720900:FAU720901 FKP720900:FKQ720901 FUL720900:FUM720901 GEH720900:GEI720901 GOD720900:GOE720901 GXZ720900:GYA720901 HHV720900:HHW720901 HRR720900:HRS720901 IBN720900:IBO720901 ILJ720900:ILK720901 IVF720900:IVG720901 JFB720900:JFC720901 JOX720900:JOY720901 JYT720900:JYU720901 KIP720900:KIQ720901 KSL720900:KSM720901 LCH720900:LCI720901 LMD720900:LME720901 LVZ720900:LWA720901 MFV720900:MFW720901 MPR720900:MPS720901 MZN720900:MZO720901 NJJ720900:NJK720901 NTF720900:NTG720901 ODB720900:ODC720901 OMX720900:OMY720901 OWT720900:OWU720901 PGP720900:PGQ720901 PQL720900:PQM720901 QAH720900:QAI720901 QKD720900:QKE720901 QTZ720900:QUA720901 RDV720900:RDW720901 RNR720900:RNS720901 RXN720900:RXO720901 SHJ720900:SHK720901 SRF720900:SRG720901 TBB720900:TBC720901 TKX720900:TKY720901 TUT720900:TUU720901 UEP720900:UEQ720901 UOL720900:UOM720901 UYH720900:UYI720901 VID720900:VIE720901 VRZ720900:VSA720901 WBV720900:WBW720901 WLR720900:WLS720901 WVN720900:WVO720901 JB786436:JC786437 SX786436:SY786437 ACT786436:ACU786437 AMP786436:AMQ786437 AWL786436:AWM786437 BGH786436:BGI786437 BQD786436:BQE786437 BZZ786436:CAA786437 CJV786436:CJW786437 CTR786436:CTS786437 DDN786436:DDO786437 DNJ786436:DNK786437 DXF786436:DXG786437 EHB786436:EHC786437 EQX786436:EQY786437 FAT786436:FAU786437 FKP786436:FKQ786437 FUL786436:FUM786437 GEH786436:GEI786437 GOD786436:GOE786437 GXZ786436:GYA786437 HHV786436:HHW786437 HRR786436:HRS786437 IBN786436:IBO786437 ILJ786436:ILK786437 IVF786436:IVG786437 JFB786436:JFC786437 JOX786436:JOY786437 JYT786436:JYU786437 KIP786436:KIQ786437 KSL786436:KSM786437 LCH786436:LCI786437 LMD786436:LME786437 LVZ786436:LWA786437 MFV786436:MFW786437 MPR786436:MPS786437 MZN786436:MZO786437 NJJ786436:NJK786437 NTF786436:NTG786437 ODB786436:ODC786437 OMX786436:OMY786437 OWT786436:OWU786437 PGP786436:PGQ786437 PQL786436:PQM786437 QAH786436:QAI786437 QKD786436:QKE786437 QTZ786436:QUA786437 RDV786436:RDW786437 RNR786436:RNS786437 RXN786436:RXO786437 SHJ786436:SHK786437 SRF786436:SRG786437 TBB786436:TBC786437 TKX786436:TKY786437 TUT786436:TUU786437 UEP786436:UEQ786437 UOL786436:UOM786437 UYH786436:UYI786437 VID786436:VIE786437 VRZ786436:VSA786437 WBV786436:WBW786437 WLR786436:WLS786437 WVN786436:WVO786437 JB851972:JC851973 SX851972:SY851973 ACT851972:ACU851973 AMP851972:AMQ851973 AWL851972:AWM851973 BGH851972:BGI851973 BQD851972:BQE851973 BZZ851972:CAA851973 CJV851972:CJW851973 CTR851972:CTS851973 DDN851972:DDO851973 DNJ851972:DNK851973 DXF851972:DXG851973 EHB851972:EHC851973 EQX851972:EQY851973 FAT851972:FAU851973 FKP851972:FKQ851973 FUL851972:FUM851973 GEH851972:GEI851973 GOD851972:GOE851973 GXZ851972:GYA851973 HHV851972:HHW851973 HRR851972:HRS851973 IBN851972:IBO851973 ILJ851972:ILK851973 IVF851972:IVG851973 JFB851972:JFC851973 JOX851972:JOY851973 JYT851972:JYU851973 KIP851972:KIQ851973 KSL851972:KSM851973 LCH851972:LCI851973 LMD851972:LME851973 LVZ851972:LWA851973 MFV851972:MFW851973 MPR851972:MPS851973 MZN851972:MZO851973 NJJ851972:NJK851973 NTF851972:NTG851973 ODB851972:ODC851973 OMX851972:OMY851973 OWT851972:OWU851973 PGP851972:PGQ851973 PQL851972:PQM851973 QAH851972:QAI851973 QKD851972:QKE851973 QTZ851972:QUA851973 RDV851972:RDW851973 RNR851972:RNS851973 RXN851972:RXO851973 SHJ851972:SHK851973 SRF851972:SRG851973 TBB851972:TBC851973 TKX851972:TKY851973 TUT851972:TUU851973 UEP851972:UEQ851973 UOL851972:UOM851973 UYH851972:UYI851973 VID851972:VIE851973 VRZ851972:VSA851973 WBV851972:WBW851973 WLR851972:WLS851973 WVN851972:WVO851973 JB917508:JC917509 SX917508:SY917509 ACT917508:ACU917509 AMP917508:AMQ917509 AWL917508:AWM917509 BGH917508:BGI917509 BQD917508:BQE917509 BZZ917508:CAA917509 CJV917508:CJW917509 CTR917508:CTS917509 DDN917508:DDO917509 DNJ917508:DNK917509 DXF917508:DXG917509 EHB917508:EHC917509 EQX917508:EQY917509 FAT917508:FAU917509 FKP917508:FKQ917509 FUL917508:FUM917509 GEH917508:GEI917509 GOD917508:GOE917509 GXZ917508:GYA917509 HHV917508:HHW917509 HRR917508:HRS917509 IBN917508:IBO917509 ILJ917508:ILK917509 IVF917508:IVG917509 JFB917508:JFC917509 JOX917508:JOY917509 JYT917508:JYU917509 KIP917508:KIQ917509 KSL917508:KSM917509 LCH917508:LCI917509 LMD917508:LME917509 LVZ917508:LWA917509 MFV917508:MFW917509 MPR917508:MPS917509 MZN917508:MZO917509 NJJ917508:NJK917509 NTF917508:NTG917509 ODB917508:ODC917509 OMX917508:OMY917509 OWT917508:OWU917509 PGP917508:PGQ917509 PQL917508:PQM917509 QAH917508:QAI917509 QKD917508:QKE917509 QTZ917508:QUA917509 RDV917508:RDW917509 RNR917508:RNS917509 RXN917508:RXO917509 SHJ917508:SHK917509 SRF917508:SRG917509 TBB917508:TBC917509 TKX917508:TKY917509 TUT917508:TUU917509 UEP917508:UEQ917509 UOL917508:UOM917509 UYH917508:UYI917509 VID917508:VIE917509 VRZ917508:VSA917509 WBV917508:WBW917509 WLR917508:WLS917509 WVN917508:WVO917509 JB983044:JC983045 SX983044:SY983045 ACT983044:ACU983045 AMP983044:AMQ983045 AWL983044:AWM983045 BGH983044:BGI983045 BQD983044:BQE983045 BZZ983044:CAA983045 CJV983044:CJW983045 CTR983044:CTS983045 DDN983044:DDO983045 DNJ983044:DNK983045 DXF983044:DXG983045 EHB983044:EHC983045 EQX983044:EQY983045 FAT983044:FAU983045 FKP983044:FKQ983045 FUL983044:FUM983045 GEH983044:GEI983045 GOD983044:GOE983045 GXZ983044:GYA983045 HHV983044:HHW983045 HRR983044:HRS983045 IBN983044:IBO983045 ILJ983044:ILK983045 IVF983044:IVG983045 JFB983044:JFC983045 JOX983044:JOY983045 JYT983044:JYU983045 KIP983044:KIQ983045 KSL983044:KSM983045 LCH983044:LCI983045 LMD983044:LME983045 LVZ983044:LWA983045 MFV983044:MFW983045 MPR983044:MPS983045 MZN983044:MZO983045 NJJ983044:NJK983045 NTF983044:NTG983045 ODB983044:ODC983045 OMX983044:OMY983045 OWT983044:OWU983045 PGP983044:PGQ983045 PQL983044:PQM983045 QAH983044:QAI983045 QKD983044:QKE983045 QTZ983044:QUA983045 RDV983044:RDW983045 RNR983044:RNS983045 RXN983044:RXO983045 SHJ983044:SHK983045 SRF983044:SRG983045 TBB983044:TBC983045 TKX983044:TKY983045 TUT983044:TUU983045 UEP983044:UEQ983045 UOL983044:UOM983045 UYH983044:UYI983045 VID983044:VIE983045 VRZ983044:VSA983045 WBV983044:WBW983045 WLR983044:WLS983045 WVN983044:WVO983045 G983044:H983045 G917508:H917509 G851972:H851973 G786436:H786437 G720900:H720901 G655364:H655365 G589828:H589829 G524292:H524293 G458756:H458757 G393220:H393221 G327684:H327685 G262148:H262149 G196612:H196613 G131076:H131077 G65540:H65541"/>
    <dataValidation allowBlank="1" showInputMessage="1" showErrorMessage="1" promptTitle="Nama" prompt="Ketik Nama Lengkap Pemohon sesuai dengan KTP yang masih berlaku" sqref="IY12:JE13 SU12:TA13 ACQ12:ACW13 AMM12:AMS13 AWI12:AWO13 BGE12:BGK13 BQA12:BQG13 BZW12:CAC13 CJS12:CJY13 CTO12:CTU13 DDK12:DDQ13 DNG12:DNM13 DXC12:DXI13 EGY12:EHE13 EQU12:ERA13 FAQ12:FAW13 FKM12:FKS13 FUI12:FUO13 GEE12:GEK13 GOA12:GOG13 GXW12:GYC13 HHS12:HHY13 HRO12:HRU13 IBK12:IBQ13 ILG12:ILM13 IVC12:IVI13 JEY12:JFE13 JOU12:JPA13 JYQ12:JYW13 KIM12:KIS13 KSI12:KSO13 LCE12:LCK13 LMA12:LMG13 LVW12:LWC13 MFS12:MFY13 MPO12:MPU13 MZK12:MZQ13 NJG12:NJM13 NTC12:NTI13 OCY12:ODE13 OMU12:ONA13 OWQ12:OWW13 PGM12:PGS13 PQI12:PQO13 QAE12:QAK13 QKA12:QKG13 QTW12:QUC13 RDS12:RDY13 RNO12:RNU13 RXK12:RXQ13 SHG12:SHM13 SRC12:SRI13 TAY12:TBE13 TKU12:TLA13 TUQ12:TUW13 UEM12:UES13 UOI12:UOO13 UYE12:UYK13 VIA12:VIG13 VRW12:VSC13 WBS12:WBY13 WLO12:WLU13 WVK12:WVQ13 IY65539:JE65539 SU65539:TA65539 ACQ65539:ACW65539 AMM65539:AMS65539 AWI65539:AWO65539 BGE65539:BGK65539 BQA65539:BQG65539 BZW65539:CAC65539 CJS65539:CJY65539 CTO65539:CTU65539 DDK65539:DDQ65539 DNG65539:DNM65539 DXC65539:DXI65539 EGY65539:EHE65539 EQU65539:ERA65539 FAQ65539:FAW65539 FKM65539:FKS65539 FUI65539:FUO65539 GEE65539:GEK65539 GOA65539:GOG65539 GXW65539:GYC65539 HHS65539:HHY65539 HRO65539:HRU65539 IBK65539:IBQ65539 ILG65539:ILM65539 IVC65539:IVI65539 JEY65539:JFE65539 JOU65539:JPA65539 JYQ65539:JYW65539 KIM65539:KIS65539 KSI65539:KSO65539 LCE65539:LCK65539 LMA65539:LMG65539 LVW65539:LWC65539 MFS65539:MFY65539 MPO65539:MPU65539 MZK65539:MZQ65539 NJG65539:NJM65539 NTC65539:NTI65539 OCY65539:ODE65539 OMU65539:ONA65539 OWQ65539:OWW65539 PGM65539:PGS65539 PQI65539:PQO65539 QAE65539:QAK65539 QKA65539:QKG65539 QTW65539:QUC65539 RDS65539:RDY65539 RNO65539:RNU65539 RXK65539:RXQ65539 SHG65539:SHM65539 SRC65539:SRI65539 TAY65539:TBE65539 TKU65539:TLA65539 TUQ65539:TUW65539 UEM65539:UES65539 UOI65539:UOO65539 UYE65539:UYK65539 VIA65539:VIG65539 VRW65539:VSC65539 WBS65539:WBY65539 WLO65539:WLU65539 WVK65539:WVQ65539 IY131075:JE131075 SU131075:TA131075 ACQ131075:ACW131075 AMM131075:AMS131075 AWI131075:AWO131075 BGE131075:BGK131075 BQA131075:BQG131075 BZW131075:CAC131075 CJS131075:CJY131075 CTO131075:CTU131075 DDK131075:DDQ131075 DNG131075:DNM131075 DXC131075:DXI131075 EGY131075:EHE131075 EQU131075:ERA131075 FAQ131075:FAW131075 FKM131075:FKS131075 FUI131075:FUO131075 GEE131075:GEK131075 GOA131075:GOG131075 GXW131075:GYC131075 HHS131075:HHY131075 HRO131075:HRU131075 IBK131075:IBQ131075 ILG131075:ILM131075 IVC131075:IVI131075 JEY131075:JFE131075 JOU131075:JPA131075 JYQ131075:JYW131075 KIM131075:KIS131075 KSI131075:KSO131075 LCE131075:LCK131075 LMA131075:LMG131075 LVW131075:LWC131075 MFS131075:MFY131075 MPO131075:MPU131075 MZK131075:MZQ131075 NJG131075:NJM131075 NTC131075:NTI131075 OCY131075:ODE131075 OMU131075:ONA131075 OWQ131075:OWW131075 PGM131075:PGS131075 PQI131075:PQO131075 QAE131075:QAK131075 QKA131075:QKG131075 QTW131075:QUC131075 RDS131075:RDY131075 RNO131075:RNU131075 RXK131075:RXQ131075 SHG131075:SHM131075 SRC131075:SRI131075 TAY131075:TBE131075 TKU131075:TLA131075 TUQ131075:TUW131075 UEM131075:UES131075 UOI131075:UOO131075 UYE131075:UYK131075 VIA131075:VIG131075 VRW131075:VSC131075 WBS131075:WBY131075 WLO131075:WLU131075 WVK131075:WVQ131075 IY196611:JE196611 SU196611:TA196611 ACQ196611:ACW196611 AMM196611:AMS196611 AWI196611:AWO196611 BGE196611:BGK196611 BQA196611:BQG196611 BZW196611:CAC196611 CJS196611:CJY196611 CTO196611:CTU196611 DDK196611:DDQ196611 DNG196611:DNM196611 DXC196611:DXI196611 EGY196611:EHE196611 EQU196611:ERA196611 FAQ196611:FAW196611 FKM196611:FKS196611 FUI196611:FUO196611 GEE196611:GEK196611 GOA196611:GOG196611 GXW196611:GYC196611 HHS196611:HHY196611 HRO196611:HRU196611 IBK196611:IBQ196611 ILG196611:ILM196611 IVC196611:IVI196611 JEY196611:JFE196611 JOU196611:JPA196611 JYQ196611:JYW196611 KIM196611:KIS196611 KSI196611:KSO196611 LCE196611:LCK196611 LMA196611:LMG196611 LVW196611:LWC196611 MFS196611:MFY196611 MPO196611:MPU196611 MZK196611:MZQ196611 NJG196611:NJM196611 NTC196611:NTI196611 OCY196611:ODE196611 OMU196611:ONA196611 OWQ196611:OWW196611 PGM196611:PGS196611 PQI196611:PQO196611 QAE196611:QAK196611 QKA196611:QKG196611 QTW196611:QUC196611 RDS196611:RDY196611 RNO196611:RNU196611 RXK196611:RXQ196611 SHG196611:SHM196611 SRC196611:SRI196611 TAY196611:TBE196611 TKU196611:TLA196611 TUQ196611:TUW196611 UEM196611:UES196611 UOI196611:UOO196611 UYE196611:UYK196611 VIA196611:VIG196611 VRW196611:VSC196611 WBS196611:WBY196611 WLO196611:WLU196611 WVK196611:WVQ196611 IY262147:JE262147 SU262147:TA262147 ACQ262147:ACW262147 AMM262147:AMS262147 AWI262147:AWO262147 BGE262147:BGK262147 BQA262147:BQG262147 BZW262147:CAC262147 CJS262147:CJY262147 CTO262147:CTU262147 DDK262147:DDQ262147 DNG262147:DNM262147 DXC262147:DXI262147 EGY262147:EHE262147 EQU262147:ERA262147 FAQ262147:FAW262147 FKM262147:FKS262147 FUI262147:FUO262147 GEE262147:GEK262147 GOA262147:GOG262147 GXW262147:GYC262147 HHS262147:HHY262147 HRO262147:HRU262147 IBK262147:IBQ262147 ILG262147:ILM262147 IVC262147:IVI262147 JEY262147:JFE262147 JOU262147:JPA262147 JYQ262147:JYW262147 KIM262147:KIS262147 KSI262147:KSO262147 LCE262147:LCK262147 LMA262147:LMG262147 LVW262147:LWC262147 MFS262147:MFY262147 MPO262147:MPU262147 MZK262147:MZQ262147 NJG262147:NJM262147 NTC262147:NTI262147 OCY262147:ODE262147 OMU262147:ONA262147 OWQ262147:OWW262147 PGM262147:PGS262147 PQI262147:PQO262147 QAE262147:QAK262147 QKA262147:QKG262147 QTW262147:QUC262147 RDS262147:RDY262147 RNO262147:RNU262147 RXK262147:RXQ262147 SHG262147:SHM262147 SRC262147:SRI262147 TAY262147:TBE262147 TKU262147:TLA262147 TUQ262147:TUW262147 UEM262147:UES262147 UOI262147:UOO262147 UYE262147:UYK262147 VIA262147:VIG262147 VRW262147:VSC262147 WBS262147:WBY262147 WLO262147:WLU262147 WVK262147:WVQ262147 IY327683:JE327683 SU327683:TA327683 ACQ327683:ACW327683 AMM327683:AMS327683 AWI327683:AWO327683 BGE327683:BGK327683 BQA327683:BQG327683 BZW327683:CAC327683 CJS327683:CJY327683 CTO327683:CTU327683 DDK327683:DDQ327683 DNG327683:DNM327683 DXC327683:DXI327683 EGY327683:EHE327683 EQU327683:ERA327683 FAQ327683:FAW327683 FKM327683:FKS327683 FUI327683:FUO327683 GEE327683:GEK327683 GOA327683:GOG327683 GXW327683:GYC327683 HHS327683:HHY327683 HRO327683:HRU327683 IBK327683:IBQ327683 ILG327683:ILM327683 IVC327683:IVI327683 JEY327683:JFE327683 JOU327683:JPA327683 JYQ327683:JYW327683 KIM327683:KIS327683 KSI327683:KSO327683 LCE327683:LCK327683 LMA327683:LMG327683 LVW327683:LWC327683 MFS327683:MFY327683 MPO327683:MPU327683 MZK327683:MZQ327683 NJG327683:NJM327683 NTC327683:NTI327683 OCY327683:ODE327683 OMU327683:ONA327683 OWQ327683:OWW327683 PGM327683:PGS327683 PQI327683:PQO327683 QAE327683:QAK327683 QKA327683:QKG327683 QTW327683:QUC327683 RDS327683:RDY327683 RNO327683:RNU327683 RXK327683:RXQ327683 SHG327683:SHM327683 SRC327683:SRI327683 TAY327683:TBE327683 TKU327683:TLA327683 TUQ327683:TUW327683 UEM327683:UES327683 UOI327683:UOO327683 UYE327683:UYK327683 VIA327683:VIG327683 VRW327683:VSC327683 WBS327683:WBY327683 WLO327683:WLU327683 WVK327683:WVQ327683 IY393219:JE393219 SU393219:TA393219 ACQ393219:ACW393219 AMM393219:AMS393219 AWI393219:AWO393219 BGE393219:BGK393219 BQA393219:BQG393219 BZW393219:CAC393219 CJS393219:CJY393219 CTO393219:CTU393219 DDK393219:DDQ393219 DNG393219:DNM393219 DXC393219:DXI393219 EGY393219:EHE393219 EQU393219:ERA393219 FAQ393219:FAW393219 FKM393219:FKS393219 FUI393219:FUO393219 GEE393219:GEK393219 GOA393219:GOG393219 GXW393219:GYC393219 HHS393219:HHY393219 HRO393219:HRU393219 IBK393219:IBQ393219 ILG393219:ILM393219 IVC393219:IVI393219 JEY393219:JFE393219 JOU393219:JPA393219 JYQ393219:JYW393219 KIM393219:KIS393219 KSI393219:KSO393219 LCE393219:LCK393219 LMA393219:LMG393219 LVW393219:LWC393219 MFS393219:MFY393219 MPO393219:MPU393219 MZK393219:MZQ393219 NJG393219:NJM393219 NTC393219:NTI393219 OCY393219:ODE393219 OMU393219:ONA393219 OWQ393219:OWW393219 PGM393219:PGS393219 PQI393219:PQO393219 QAE393219:QAK393219 QKA393219:QKG393219 QTW393219:QUC393219 RDS393219:RDY393219 RNO393219:RNU393219 RXK393219:RXQ393219 SHG393219:SHM393219 SRC393219:SRI393219 TAY393219:TBE393219 TKU393219:TLA393219 TUQ393219:TUW393219 UEM393219:UES393219 UOI393219:UOO393219 UYE393219:UYK393219 VIA393219:VIG393219 VRW393219:VSC393219 WBS393219:WBY393219 WLO393219:WLU393219 WVK393219:WVQ393219 IY458755:JE458755 SU458755:TA458755 ACQ458755:ACW458755 AMM458755:AMS458755 AWI458755:AWO458755 BGE458755:BGK458755 BQA458755:BQG458755 BZW458755:CAC458755 CJS458755:CJY458755 CTO458755:CTU458755 DDK458755:DDQ458755 DNG458755:DNM458755 DXC458755:DXI458755 EGY458755:EHE458755 EQU458755:ERA458755 FAQ458755:FAW458755 FKM458755:FKS458755 FUI458755:FUO458755 GEE458755:GEK458755 GOA458755:GOG458755 GXW458755:GYC458755 HHS458755:HHY458755 HRO458755:HRU458755 IBK458755:IBQ458755 ILG458755:ILM458755 IVC458755:IVI458755 JEY458755:JFE458755 JOU458755:JPA458755 JYQ458755:JYW458755 KIM458755:KIS458755 KSI458755:KSO458755 LCE458755:LCK458755 LMA458755:LMG458755 LVW458755:LWC458755 MFS458755:MFY458755 MPO458755:MPU458755 MZK458755:MZQ458755 NJG458755:NJM458755 NTC458755:NTI458755 OCY458755:ODE458755 OMU458755:ONA458755 OWQ458755:OWW458755 PGM458755:PGS458755 PQI458755:PQO458755 QAE458755:QAK458755 QKA458755:QKG458755 QTW458755:QUC458755 RDS458755:RDY458755 RNO458755:RNU458755 RXK458755:RXQ458755 SHG458755:SHM458755 SRC458755:SRI458755 TAY458755:TBE458755 TKU458755:TLA458755 TUQ458755:TUW458755 UEM458755:UES458755 UOI458755:UOO458755 UYE458755:UYK458755 VIA458755:VIG458755 VRW458755:VSC458755 WBS458755:WBY458755 WLO458755:WLU458755 WVK458755:WVQ458755 IY524291:JE524291 SU524291:TA524291 ACQ524291:ACW524291 AMM524291:AMS524291 AWI524291:AWO524291 BGE524291:BGK524291 BQA524291:BQG524291 BZW524291:CAC524291 CJS524291:CJY524291 CTO524291:CTU524291 DDK524291:DDQ524291 DNG524291:DNM524291 DXC524291:DXI524291 EGY524291:EHE524291 EQU524291:ERA524291 FAQ524291:FAW524291 FKM524291:FKS524291 FUI524291:FUO524291 GEE524291:GEK524291 GOA524291:GOG524291 GXW524291:GYC524291 HHS524291:HHY524291 HRO524291:HRU524291 IBK524291:IBQ524291 ILG524291:ILM524291 IVC524291:IVI524291 JEY524291:JFE524291 JOU524291:JPA524291 JYQ524291:JYW524291 KIM524291:KIS524291 KSI524291:KSO524291 LCE524291:LCK524291 LMA524291:LMG524291 LVW524291:LWC524291 MFS524291:MFY524291 MPO524291:MPU524291 MZK524291:MZQ524291 NJG524291:NJM524291 NTC524291:NTI524291 OCY524291:ODE524291 OMU524291:ONA524291 OWQ524291:OWW524291 PGM524291:PGS524291 PQI524291:PQO524291 QAE524291:QAK524291 QKA524291:QKG524291 QTW524291:QUC524291 RDS524291:RDY524291 RNO524291:RNU524291 RXK524291:RXQ524291 SHG524291:SHM524291 SRC524291:SRI524291 TAY524291:TBE524291 TKU524291:TLA524291 TUQ524291:TUW524291 UEM524291:UES524291 UOI524291:UOO524291 UYE524291:UYK524291 VIA524291:VIG524291 VRW524291:VSC524291 WBS524291:WBY524291 WLO524291:WLU524291 WVK524291:WVQ524291 IY589827:JE589827 SU589827:TA589827 ACQ589827:ACW589827 AMM589827:AMS589827 AWI589827:AWO589827 BGE589827:BGK589827 BQA589827:BQG589827 BZW589827:CAC589827 CJS589827:CJY589827 CTO589827:CTU589827 DDK589827:DDQ589827 DNG589827:DNM589827 DXC589827:DXI589827 EGY589827:EHE589827 EQU589827:ERA589827 FAQ589827:FAW589827 FKM589827:FKS589827 FUI589827:FUO589827 GEE589827:GEK589827 GOA589827:GOG589827 GXW589827:GYC589827 HHS589827:HHY589827 HRO589827:HRU589827 IBK589827:IBQ589827 ILG589827:ILM589827 IVC589827:IVI589827 JEY589827:JFE589827 JOU589827:JPA589827 JYQ589827:JYW589827 KIM589827:KIS589827 KSI589827:KSO589827 LCE589827:LCK589827 LMA589827:LMG589827 LVW589827:LWC589827 MFS589827:MFY589827 MPO589827:MPU589827 MZK589827:MZQ589827 NJG589827:NJM589827 NTC589827:NTI589827 OCY589827:ODE589827 OMU589827:ONA589827 OWQ589827:OWW589827 PGM589827:PGS589827 PQI589827:PQO589827 QAE589827:QAK589827 QKA589827:QKG589827 QTW589827:QUC589827 RDS589827:RDY589827 RNO589827:RNU589827 RXK589827:RXQ589827 SHG589827:SHM589827 SRC589827:SRI589827 TAY589827:TBE589827 TKU589827:TLA589827 TUQ589827:TUW589827 UEM589827:UES589827 UOI589827:UOO589827 UYE589827:UYK589827 VIA589827:VIG589827 VRW589827:VSC589827 WBS589827:WBY589827 WLO589827:WLU589827 WVK589827:WVQ589827 IY655363:JE655363 SU655363:TA655363 ACQ655363:ACW655363 AMM655363:AMS655363 AWI655363:AWO655363 BGE655363:BGK655363 BQA655363:BQG655363 BZW655363:CAC655363 CJS655363:CJY655363 CTO655363:CTU655363 DDK655363:DDQ655363 DNG655363:DNM655363 DXC655363:DXI655363 EGY655363:EHE655363 EQU655363:ERA655363 FAQ655363:FAW655363 FKM655363:FKS655363 FUI655363:FUO655363 GEE655363:GEK655363 GOA655363:GOG655363 GXW655363:GYC655363 HHS655363:HHY655363 HRO655363:HRU655363 IBK655363:IBQ655363 ILG655363:ILM655363 IVC655363:IVI655363 JEY655363:JFE655363 JOU655363:JPA655363 JYQ655363:JYW655363 KIM655363:KIS655363 KSI655363:KSO655363 LCE655363:LCK655363 LMA655363:LMG655363 LVW655363:LWC655363 MFS655363:MFY655363 MPO655363:MPU655363 MZK655363:MZQ655363 NJG655363:NJM655363 NTC655363:NTI655363 OCY655363:ODE655363 OMU655363:ONA655363 OWQ655363:OWW655363 PGM655363:PGS655363 PQI655363:PQO655363 QAE655363:QAK655363 QKA655363:QKG655363 QTW655363:QUC655363 RDS655363:RDY655363 RNO655363:RNU655363 RXK655363:RXQ655363 SHG655363:SHM655363 SRC655363:SRI655363 TAY655363:TBE655363 TKU655363:TLA655363 TUQ655363:TUW655363 UEM655363:UES655363 UOI655363:UOO655363 UYE655363:UYK655363 VIA655363:VIG655363 VRW655363:VSC655363 WBS655363:WBY655363 WLO655363:WLU655363 WVK655363:WVQ655363 IY720899:JE720899 SU720899:TA720899 ACQ720899:ACW720899 AMM720899:AMS720899 AWI720899:AWO720899 BGE720899:BGK720899 BQA720899:BQG720899 BZW720899:CAC720899 CJS720899:CJY720899 CTO720899:CTU720899 DDK720899:DDQ720899 DNG720899:DNM720899 DXC720899:DXI720899 EGY720899:EHE720899 EQU720899:ERA720899 FAQ720899:FAW720899 FKM720899:FKS720899 FUI720899:FUO720899 GEE720899:GEK720899 GOA720899:GOG720899 GXW720899:GYC720899 HHS720899:HHY720899 HRO720899:HRU720899 IBK720899:IBQ720899 ILG720899:ILM720899 IVC720899:IVI720899 JEY720899:JFE720899 JOU720899:JPA720899 JYQ720899:JYW720899 KIM720899:KIS720899 KSI720899:KSO720899 LCE720899:LCK720899 LMA720899:LMG720899 LVW720899:LWC720899 MFS720899:MFY720899 MPO720899:MPU720899 MZK720899:MZQ720899 NJG720899:NJM720899 NTC720899:NTI720899 OCY720899:ODE720899 OMU720899:ONA720899 OWQ720899:OWW720899 PGM720899:PGS720899 PQI720899:PQO720899 QAE720899:QAK720899 QKA720899:QKG720899 QTW720899:QUC720899 RDS720899:RDY720899 RNO720899:RNU720899 RXK720899:RXQ720899 SHG720899:SHM720899 SRC720899:SRI720899 TAY720899:TBE720899 TKU720899:TLA720899 TUQ720899:TUW720899 UEM720899:UES720899 UOI720899:UOO720899 UYE720899:UYK720899 VIA720899:VIG720899 VRW720899:VSC720899 WBS720899:WBY720899 WLO720899:WLU720899 WVK720899:WVQ720899 IY786435:JE786435 SU786435:TA786435 ACQ786435:ACW786435 AMM786435:AMS786435 AWI786435:AWO786435 BGE786435:BGK786435 BQA786435:BQG786435 BZW786435:CAC786435 CJS786435:CJY786435 CTO786435:CTU786435 DDK786435:DDQ786435 DNG786435:DNM786435 DXC786435:DXI786435 EGY786435:EHE786435 EQU786435:ERA786435 FAQ786435:FAW786435 FKM786435:FKS786435 FUI786435:FUO786435 GEE786435:GEK786435 GOA786435:GOG786435 GXW786435:GYC786435 HHS786435:HHY786435 HRO786435:HRU786435 IBK786435:IBQ786435 ILG786435:ILM786435 IVC786435:IVI786435 JEY786435:JFE786435 JOU786435:JPA786435 JYQ786435:JYW786435 KIM786435:KIS786435 KSI786435:KSO786435 LCE786435:LCK786435 LMA786435:LMG786435 LVW786435:LWC786435 MFS786435:MFY786435 MPO786435:MPU786435 MZK786435:MZQ786435 NJG786435:NJM786435 NTC786435:NTI786435 OCY786435:ODE786435 OMU786435:ONA786435 OWQ786435:OWW786435 PGM786435:PGS786435 PQI786435:PQO786435 QAE786435:QAK786435 QKA786435:QKG786435 QTW786435:QUC786435 RDS786435:RDY786435 RNO786435:RNU786435 RXK786435:RXQ786435 SHG786435:SHM786435 SRC786435:SRI786435 TAY786435:TBE786435 TKU786435:TLA786435 TUQ786435:TUW786435 UEM786435:UES786435 UOI786435:UOO786435 UYE786435:UYK786435 VIA786435:VIG786435 VRW786435:VSC786435 WBS786435:WBY786435 WLO786435:WLU786435 WVK786435:WVQ786435 IY851971:JE851971 SU851971:TA851971 ACQ851971:ACW851971 AMM851971:AMS851971 AWI851971:AWO851971 BGE851971:BGK851971 BQA851971:BQG851971 BZW851971:CAC851971 CJS851971:CJY851971 CTO851971:CTU851971 DDK851971:DDQ851971 DNG851971:DNM851971 DXC851971:DXI851971 EGY851971:EHE851971 EQU851971:ERA851971 FAQ851971:FAW851971 FKM851971:FKS851971 FUI851971:FUO851971 GEE851971:GEK851971 GOA851971:GOG851971 GXW851971:GYC851971 HHS851971:HHY851971 HRO851971:HRU851971 IBK851971:IBQ851971 ILG851971:ILM851971 IVC851971:IVI851971 JEY851971:JFE851971 JOU851971:JPA851971 JYQ851971:JYW851971 KIM851971:KIS851971 KSI851971:KSO851971 LCE851971:LCK851971 LMA851971:LMG851971 LVW851971:LWC851971 MFS851971:MFY851971 MPO851971:MPU851971 MZK851971:MZQ851971 NJG851971:NJM851971 NTC851971:NTI851971 OCY851971:ODE851971 OMU851971:ONA851971 OWQ851971:OWW851971 PGM851971:PGS851971 PQI851971:PQO851971 QAE851971:QAK851971 QKA851971:QKG851971 QTW851971:QUC851971 RDS851971:RDY851971 RNO851971:RNU851971 RXK851971:RXQ851971 SHG851971:SHM851971 SRC851971:SRI851971 TAY851971:TBE851971 TKU851971:TLA851971 TUQ851971:TUW851971 UEM851971:UES851971 UOI851971:UOO851971 UYE851971:UYK851971 VIA851971:VIG851971 VRW851971:VSC851971 WBS851971:WBY851971 WLO851971:WLU851971 WVK851971:WVQ851971 IY917507:JE917507 SU917507:TA917507 ACQ917507:ACW917507 AMM917507:AMS917507 AWI917507:AWO917507 BGE917507:BGK917507 BQA917507:BQG917507 BZW917507:CAC917507 CJS917507:CJY917507 CTO917507:CTU917507 DDK917507:DDQ917507 DNG917507:DNM917507 DXC917507:DXI917507 EGY917507:EHE917507 EQU917507:ERA917507 FAQ917507:FAW917507 FKM917507:FKS917507 FUI917507:FUO917507 GEE917507:GEK917507 GOA917507:GOG917507 GXW917507:GYC917507 HHS917507:HHY917507 HRO917507:HRU917507 IBK917507:IBQ917507 ILG917507:ILM917507 IVC917507:IVI917507 JEY917507:JFE917507 JOU917507:JPA917507 JYQ917507:JYW917507 KIM917507:KIS917507 KSI917507:KSO917507 LCE917507:LCK917507 LMA917507:LMG917507 LVW917507:LWC917507 MFS917507:MFY917507 MPO917507:MPU917507 MZK917507:MZQ917507 NJG917507:NJM917507 NTC917507:NTI917507 OCY917507:ODE917507 OMU917507:ONA917507 OWQ917507:OWW917507 PGM917507:PGS917507 PQI917507:PQO917507 QAE917507:QAK917507 QKA917507:QKG917507 QTW917507:QUC917507 RDS917507:RDY917507 RNO917507:RNU917507 RXK917507:RXQ917507 SHG917507:SHM917507 SRC917507:SRI917507 TAY917507:TBE917507 TKU917507:TLA917507 TUQ917507:TUW917507 UEM917507:UES917507 UOI917507:UOO917507 UYE917507:UYK917507 VIA917507:VIG917507 VRW917507:VSC917507 WBS917507:WBY917507 WLO917507:WLU917507 WVK917507:WVQ917507 IY983043:JE983043 SU983043:TA983043 ACQ983043:ACW983043 AMM983043:AMS983043 AWI983043:AWO983043 BGE983043:BGK983043 BQA983043:BQG983043 BZW983043:CAC983043 CJS983043:CJY983043 CTO983043:CTU983043 DDK983043:DDQ983043 DNG983043:DNM983043 DXC983043:DXI983043 EGY983043:EHE983043 EQU983043:ERA983043 FAQ983043:FAW983043 FKM983043:FKS983043 FUI983043:FUO983043 GEE983043:GEK983043 GOA983043:GOG983043 GXW983043:GYC983043 HHS983043:HHY983043 HRO983043:HRU983043 IBK983043:IBQ983043 ILG983043:ILM983043 IVC983043:IVI983043 JEY983043:JFE983043 JOU983043:JPA983043 JYQ983043:JYW983043 KIM983043:KIS983043 KSI983043:KSO983043 LCE983043:LCK983043 LMA983043:LMG983043 LVW983043:LWC983043 MFS983043:MFY983043 MPO983043:MPU983043 MZK983043:MZQ983043 NJG983043:NJM983043 NTC983043:NTI983043 OCY983043:ODE983043 OMU983043:ONA983043 OWQ983043:OWW983043 PGM983043:PGS983043 PQI983043:PQO983043 QAE983043:QAK983043 QKA983043:QKG983043 QTW983043:QUC983043 RDS983043:RDY983043 RNO983043:RNU983043 RXK983043:RXQ983043 SHG983043:SHM983043 SRC983043:SRI983043 TAY983043:TBE983043 TKU983043:TLA983043 TUQ983043:TUW983043 UEM983043:UES983043 UOI983043:UOO983043 UYE983043:UYK983043 VIA983043:VIG983043 VRW983043:VSC983043 WBS983043:WBY983043 WLO983043:WLU983043 WVK983043:WVQ983043 D65539:J65539 D983043:J983043 D917507:J917507 D851971:J851971 D786435:J786435 D720899:J720899 D655363:J655363 D589827:J589827 D524291:J524291 D458755:J458755 D393219:J393219 D327683:J327683 D262147:J262147 D196611:J196611 D131075:J131075 D10"/>
    <dataValidation allowBlank="1" showInputMessage="1" showErrorMessage="1" promptTitle="Alamat" prompt="Ketik Alamat Lengkap Pemohon sesuai KTP atau Kartu Keluarga atau Bukti Identitas lain yang telah diverifikasi dan masih berlaku" sqref="IY16:JE17 SU16:TA17 ACQ16:ACW17 AMM16:AMS17 AWI16:AWO17 BGE16:BGK17 BQA16:BQG17 BZW16:CAC17 CJS16:CJY17 CTO16:CTU17 DDK16:DDQ17 DNG16:DNM17 DXC16:DXI17 EGY16:EHE17 EQU16:ERA17 FAQ16:FAW17 FKM16:FKS17 FUI16:FUO17 GEE16:GEK17 GOA16:GOG17 GXW16:GYC17 HHS16:HHY17 HRO16:HRU17 IBK16:IBQ17 ILG16:ILM17 IVC16:IVI17 JEY16:JFE17 JOU16:JPA17 JYQ16:JYW17 KIM16:KIS17 KSI16:KSO17 LCE16:LCK17 LMA16:LMG17 LVW16:LWC17 MFS16:MFY17 MPO16:MPU17 MZK16:MZQ17 NJG16:NJM17 NTC16:NTI17 OCY16:ODE17 OMU16:ONA17 OWQ16:OWW17 PGM16:PGS17 PQI16:PQO17 QAE16:QAK17 QKA16:QKG17 QTW16:QUC17 RDS16:RDY17 RNO16:RNU17 RXK16:RXQ17 SHG16:SHM17 SRC16:SRI17 TAY16:TBE17 TKU16:TLA17 TUQ16:TUW17 UEM16:UES17 UOI16:UOO17 UYE16:UYK17 VIA16:VIG17 VRW16:VSC17 WBS16:WBY17 WLO16:WLU17 WVK16:WVQ17 IY65542:JE65543 SU65542:TA65543 ACQ65542:ACW65543 AMM65542:AMS65543 AWI65542:AWO65543 BGE65542:BGK65543 BQA65542:BQG65543 BZW65542:CAC65543 CJS65542:CJY65543 CTO65542:CTU65543 DDK65542:DDQ65543 DNG65542:DNM65543 DXC65542:DXI65543 EGY65542:EHE65543 EQU65542:ERA65543 FAQ65542:FAW65543 FKM65542:FKS65543 FUI65542:FUO65543 GEE65542:GEK65543 GOA65542:GOG65543 GXW65542:GYC65543 HHS65542:HHY65543 HRO65542:HRU65543 IBK65542:IBQ65543 ILG65542:ILM65543 IVC65542:IVI65543 JEY65542:JFE65543 JOU65542:JPA65543 JYQ65542:JYW65543 KIM65542:KIS65543 KSI65542:KSO65543 LCE65542:LCK65543 LMA65542:LMG65543 LVW65542:LWC65543 MFS65542:MFY65543 MPO65542:MPU65543 MZK65542:MZQ65543 NJG65542:NJM65543 NTC65542:NTI65543 OCY65542:ODE65543 OMU65542:ONA65543 OWQ65542:OWW65543 PGM65542:PGS65543 PQI65542:PQO65543 QAE65542:QAK65543 QKA65542:QKG65543 QTW65542:QUC65543 RDS65542:RDY65543 RNO65542:RNU65543 RXK65542:RXQ65543 SHG65542:SHM65543 SRC65542:SRI65543 TAY65542:TBE65543 TKU65542:TLA65543 TUQ65542:TUW65543 UEM65542:UES65543 UOI65542:UOO65543 UYE65542:UYK65543 VIA65542:VIG65543 VRW65542:VSC65543 WBS65542:WBY65543 WLO65542:WLU65543 WVK65542:WVQ65543 IY131078:JE131079 SU131078:TA131079 ACQ131078:ACW131079 AMM131078:AMS131079 AWI131078:AWO131079 BGE131078:BGK131079 BQA131078:BQG131079 BZW131078:CAC131079 CJS131078:CJY131079 CTO131078:CTU131079 DDK131078:DDQ131079 DNG131078:DNM131079 DXC131078:DXI131079 EGY131078:EHE131079 EQU131078:ERA131079 FAQ131078:FAW131079 FKM131078:FKS131079 FUI131078:FUO131079 GEE131078:GEK131079 GOA131078:GOG131079 GXW131078:GYC131079 HHS131078:HHY131079 HRO131078:HRU131079 IBK131078:IBQ131079 ILG131078:ILM131079 IVC131078:IVI131079 JEY131078:JFE131079 JOU131078:JPA131079 JYQ131078:JYW131079 KIM131078:KIS131079 KSI131078:KSO131079 LCE131078:LCK131079 LMA131078:LMG131079 LVW131078:LWC131079 MFS131078:MFY131079 MPO131078:MPU131079 MZK131078:MZQ131079 NJG131078:NJM131079 NTC131078:NTI131079 OCY131078:ODE131079 OMU131078:ONA131079 OWQ131078:OWW131079 PGM131078:PGS131079 PQI131078:PQO131079 QAE131078:QAK131079 QKA131078:QKG131079 QTW131078:QUC131079 RDS131078:RDY131079 RNO131078:RNU131079 RXK131078:RXQ131079 SHG131078:SHM131079 SRC131078:SRI131079 TAY131078:TBE131079 TKU131078:TLA131079 TUQ131078:TUW131079 UEM131078:UES131079 UOI131078:UOO131079 UYE131078:UYK131079 VIA131078:VIG131079 VRW131078:VSC131079 WBS131078:WBY131079 WLO131078:WLU131079 WVK131078:WVQ131079 IY196614:JE196615 SU196614:TA196615 ACQ196614:ACW196615 AMM196614:AMS196615 AWI196614:AWO196615 BGE196614:BGK196615 BQA196614:BQG196615 BZW196614:CAC196615 CJS196614:CJY196615 CTO196614:CTU196615 DDK196614:DDQ196615 DNG196614:DNM196615 DXC196614:DXI196615 EGY196614:EHE196615 EQU196614:ERA196615 FAQ196614:FAW196615 FKM196614:FKS196615 FUI196614:FUO196615 GEE196614:GEK196615 GOA196614:GOG196615 GXW196614:GYC196615 HHS196614:HHY196615 HRO196614:HRU196615 IBK196614:IBQ196615 ILG196614:ILM196615 IVC196614:IVI196615 JEY196614:JFE196615 JOU196614:JPA196615 JYQ196614:JYW196615 KIM196614:KIS196615 KSI196614:KSO196615 LCE196614:LCK196615 LMA196614:LMG196615 LVW196614:LWC196615 MFS196614:MFY196615 MPO196614:MPU196615 MZK196614:MZQ196615 NJG196614:NJM196615 NTC196614:NTI196615 OCY196614:ODE196615 OMU196614:ONA196615 OWQ196614:OWW196615 PGM196614:PGS196615 PQI196614:PQO196615 QAE196614:QAK196615 QKA196614:QKG196615 QTW196614:QUC196615 RDS196614:RDY196615 RNO196614:RNU196615 RXK196614:RXQ196615 SHG196614:SHM196615 SRC196614:SRI196615 TAY196614:TBE196615 TKU196614:TLA196615 TUQ196614:TUW196615 UEM196614:UES196615 UOI196614:UOO196615 UYE196614:UYK196615 VIA196614:VIG196615 VRW196614:VSC196615 WBS196614:WBY196615 WLO196614:WLU196615 WVK196614:WVQ196615 IY262150:JE262151 SU262150:TA262151 ACQ262150:ACW262151 AMM262150:AMS262151 AWI262150:AWO262151 BGE262150:BGK262151 BQA262150:BQG262151 BZW262150:CAC262151 CJS262150:CJY262151 CTO262150:CTU262151 DDK262150:DDQ262151 DNG262150:DNM262151 DXC262150:DXI262151 EGY262150:EHE262151 EQU262150:ERA262151 FAQ262150:FAW262151 FKM262150:FKS262151 FUI262150:FUO262151 GEE262150:GEK262151 GOA262150:GOG262151 GXW262150:GYC262151 HHS262150:HHY262151 HRO262150:HRU262151 IBK262150:IBQ262151 ILG262150:ILM262151 IVC262150:IVI262151 JEY262150:JFE262151 JOU262150:JPA262151 JYQ262150:JYW262151 KIM262150:KIS262151 KSI262150:KSO262151 LCE262150:LCK262151 LMA262150:LMG262151 LVW262150:LWC262151 MFS262150:MFY262151 MPO262150:MPU262151 MZK262150:MZQ262151 NJG262150:NJM262151 NTC262150:NTI262151 OCY262150:ODE262151 OMU262150:ONA262151 OWQ262150:OWW262151 PGM262150:PGS262151 PQI262150:PQO262151 QAE262150:QAK262151 QKA262150:QKG262151 QTW262150:QUC262151 RDS262150:RDY262151 RNO262150:RNU262151 RXK262150:RXQ262151 SHG262150:SHM262151 SRC262150:SRI262151 TAY262150:TBE262151 TKU262150:TLA262151 TUQ262150:TUW262151 UEM262150:UES262151 UOI262150:UOO262151 UYE262150:UYK262151 VIA262150:VIG262151 VRW262150:VSC262151 WBS262150:WBY262151 WLO262150:WLU262151 WVK262150:WVQ262151 IY327686:JE327687 SU327686:TA327687 ACQ327686:ACW327687 AMM327686:AMS327687 AWI327686:AWO327687 BGE327686:BGK327687 BQA327686:BQG327687 BZW327686:CAC327687 CJS327686:CJY327687 CTO327686:CTU327687 DDK327686:DDQ327687 DNG327686:DNM327687 DXC327686:DXI327687 EGY327686:EHE327687 EQU327686:ERA327687 FAQ327686:FAW327687 FKM327686:FKS327687 FUI327686:FUO327687 GEE327686:GEK327687 GOA327686:GOG327687 GXW327686:GYC327687 HHS327686:HHY327687 HRO327686:HRU327687 IBK327686:IBQ327687 ILG327686:ILM327687 IVC327686:IVI327687 JEY327686:JFE327687 JOU327686:JPA327687 JYQ327686:JYW327687 KIM327686:KIS327687 KSI327686:KSO327687 LCE327686:LCK327687 LMA327686:LMG327687 LVW327686:LWC327687 MFS327686:MFY327687 MPO327686:MPU327687 MZK327686:MZQ327687 NJG327686:NJM327687 NTC327686:NTI327687 OCY327686:ODE327687 OMU327686:ONA327687 OWQ327686:OWW327687 PGM327686:PGS327687 PQI327686:PQO327687 QAE327686:QAK327687 QKA327686:QKG327687 QTW327686:QUC327687 RDS327686:RDY327687 RNO327686:RNU327687 RXK327686:RXQ327687 SHG327686:SHM327687 SRC327686:SRI327687 TAY327686:TBE327687 TKU327686:TLA327687 TUQ327686:TUW327687 UEM327686:UES327687 UOI327686:UOO327687 UYE327686:UYK327687 VIA327686:VIG327687 VRW327686:VSC327687 WBS327686:WBY327687 WLO327686:WLU327687 WVK327686:WVQ327687 IY393222:JE393223 SU393222:TA393223 ACQ393222:ACW393223 AMM393222:AMS393223 AWI393222:AWO393223 BGE393222:BGK393223 BQA393222:BQG393223 BZW393222:CAC393223 CJS393222:CJY393223 CTO393222:CTU393223 DDK393222:DDQ393223 DNG393222:DNM393223 DXC393222:DXI393223 EGY393222:EHE393223 EQU393222:ERA393223 FAQ393222:FAW393223 FKM393222:FKS393223 FUI393222:FUO393223 GEE393222:GEK393223 GOA393222:GOG393223 GXW393222:GYC393223 HHS393222:HHY393223 HRO393222:HRU393223 IBK393222:IBQ393223 ILG393222:ILM393223 IVC393222:IVI393223 JEY393222:JFE393223 JOU393222:JPA393223 JYQ393222:JYW393223 KIM393222:KIS393223 KSI393222:KSO393223 LCE393222:LCK393223 LMA393222:LMG393223 LVW393222:LWC393223 MFS393222:MFY393223 MPO393222:MPU393223 MZK393222:MZQ393223 NJG393222:NJM393223 NTC393222:NTI393223 OCY393222:ODE393223 OMU393222:ONA393223 OWQ393222:OWW393223 PGM393222:PGS393223 PQI393222:PQO393223 QAE393222:QAK393223 QKA393222:QKG393223 QTW393222:QUC393223 RDS393222:RDY393223 RNO393222:RNU393223 RXK393222:RXQ393223 SHG393222:SHM393223 SRC393222:SRI393223 TAY393222:TBE393223 TKU393222:TLA393223 TUQ393222:TUW393223 UEM393222:UES393223 UOI393222:UOO393223 UYE393222:UYK393223 VIA393222:VIG393223 VRW393222:VSC393223 WBS393222:WBY393223 WLO393222:WLU393223 WVK393222:WVQ393223 IY458758:JE458759 SU458758:TA458759 ACQ458758:ACW458759 AMM458758:AMS458759 AWI458758:AWO458759 BGE458758:BGK458759 BQA458758:BQG458759 BZW458758:CAC458759 CJS458758:CJY458759 CTO458758:CTU458759 DDK458758:DDQ458759 DNG458758:DNM458759 DXC458758:DXI458759 EGY458758:EHE458759 EQU458758:ERA458759 FAQ458758:FAW458759 FKM458758:FKS458759 FUI458758:FUO458759 GEE458758:GEK458759 GOA458758:GOG458759 GXW458758:GYC458759 HHS458758:HHY458759 HRO458758:HRU458759 IBK458758:IBQ458759 ILG458758:ILM458759 IVC458758:IVI458759 JEY458758:JFE458759 JOU458758:JPA458759 JYQ458758:JYW458759 KIM458758:KIS458759 KSI458758:KSO458759 LCE458758:LCK458759 LMA458758:LMG458759 LVW458758:LWC458759 MFS458758:MFY458759 MPO458758:MPU458759 MZK458758:MZQ458759 NJG458758:NJM458759 NTC458758:NTI458759 OCY458758:ODE458759 OMU458758:ONA458759 OWQ458758:OWW458759 PGM458758:PGS458759 PQI458758:PQO458759 QAE458758:QAK458759 QKA458758:QKG458759 QTW458758:QUC458759 RDS458758:RDY458759 RNO458758:RNU458759 RXK458758:RXQ458759 SHG458758:SHM458759 SRC458758:SRI458759 TAY458758:TBE458759 TKU458758:TLA458759 TUQ458758:TUW458759 UEM458758:UES458759 UOI458758:UOO458759 UYE458758:UYK458759 VIA458758:VIG458759 VRW458758:VSC458759 WBS458758:WBY458759 WLO458758:WLU458759 WVK458758:WVQ458759 IY524294:JE524295 SU524294:TA524295 ACQ524294:ACW524295 AMM524294:AMS524295 AWI524294:AWO524295 BGE524294:BGK524295 BQA524294:BQG524295 BZW524294:CAC524295 CJS524294:CJY524295 CTO524294:CTU524295 DDK524294:DDQ524295 DNG524294:DNM524295 DXC524294:DXI524295 EGY524294:EHE524295 EQU524294:ERA524295 FAQ524294:FAW524295 FKM524294:FKS524295 FUI524294:FUO524295 GEE524294:GEK524295 GOA524294:GOG524295 GXW524294:GYC524295 HHS524294:HHY524295 HRO524294:HRU524295 IBK524294:IBQ524295 ILG524294:ILM524295 IVC524294:IVI524295 JEY524294:JFE524295 JOU524294:JPA524295 JYQ524294:JYW524295 KIM524294:KIS524295 KSI524294:KSO524295 LCE524294:LCK524295 LMA524294:LMG524295 LVW524294:LWC524295 MFS524294:MFY524295 MPO524294:MPU524295 MZK524294:MZQ524295 NJG524294:NJM524295 NTC524294:NTI524295 OCY524294:ODE524295 OMU524294:ONA524295 OWQ524294:OWW524295 PGM524294:PGS524295 PQI524294:PQO524295 QAE524294:QAK524295 QKA524294:QKG524295 QTW524294:QUC524295 RDS524294:RDY524295 RNO524294:RNU524295 RXK524294:RXQ524295 SHG524294:SHM524295 SRC524294:SRI524295 TAY524294:TBE524295 TKU524294:TLA524295 TUQ524294:TUW524295 UEM524294:UES524295 UOI524294:UOO524295 UYE524294:UYK524295 VIA524294:VIG524295 VRW524294:VSC524295 WBS524294:WBY524295 WLO524294:WLU524295 WVK524294:WVQ524295 IY589830:JE589831 SU589830:TA589831 ACQ589830:ACW589831 AMM589830:AMS589831 AWI589830:AWO589831 BGE589830:BGK589831 BQA589830:BQG589831 BZW589830:CAC589831 CJS589830:CJY589831 CTO589830:CTU589831 DDK589830:DDQ589831 DNG589830:DNM589831 DXC589830:DXI589831 EGY589830:EHE589831 EQU589830:ERA589831 FAQ589830:FAW589831 FKM589830:FKS589831 FUI589830:FUO589831 GEE589830:GEK589831 GOA589830:GOG589831 GXW589830:GYC589831 HHS589830:HHY589831 HRO589830:HRU589831 IBK589830:IBQ589831 ILG589830:ILM589831 IVC589830:IVI589831 JEY589830:JFE589831 JOU589830:JPA589831 JYQ589830:JYW589831 KIM589830:KIS589831 KSI589830:KSO589831 LCE589830:LCK589831 LMA589830:LMG589831 LVW589830:LWC589831 MFS589830:MFY589831 MPO589830:MPU589831 MZK589830:MZQ589831 NJG589830:NJM589831 NTC589830:NTI589831 OCY589830:ODE589831 OMU589830:ONA589831 OWQ589830:OWW589831 PGM589830:PGS589831 PQI589830:PQO589831 QAE589830:QAK589831 QKA589830:QKG589831 QTW589830:QUC589831 RDS589830:RDY589831 RNO589830:RNU589831 RXK589830:RXQ589831 SHG589830:SHM589831 SRC589830:SRI589831 TAY589830:TBE589831 TKU589830:TLA589831 TUQ589830:TUW589831 UEM589830:UES589831 UOI589830:UOO589831 UYE589830:UYK589831 VIA589830:VIG589831 VRW589830:VSC589831 WBS589830:WBY589831 WLO589830:WLU589831 WVK589830:WVQ589831 IY655366:JE655367 SU655366:TA655367 ACQ655366:ACW655367 AMM655366:AMS655367 AWI655366:AWO655367 BGE655366:BGK655367 BQA655366:BQG655367 BZW655366:CAC655367 CJS655366:CJY655367 CTO655366:CTU655367 DDK655366:DDQ655367 DNG655366:DNM655367 DXC655366:DXI655367 EGY655366:EHE655367 EQU655366:ERA655367 FAQ655366:FAW655367 FKM655366:FKS655367 FUI655366:FUO655367 GEE655366:GEK655367 GOA655366:GOG655367 GXW655366:GYC655367 HHS655366:HHY655367 HRO655366:HRU655367 IBK655366:IBQ655367 ILG655366:ILM655367 IVC655366:IVI655367 JEY655366:JFE655367 JOU655366:JPA655367 JYQ655366:JYW655367 KIM655366:KIS655367 KSI655366:KSO655367 LCE655366:LCK655367 LMA655366:LMG655367 LVW655366:LWC655367 MFS655366:MFY655367 MPO655366:MPU655367 MZK655366:MZQ655367 NJG655366:NJM655367 NTC655366:NTI655367 OCY655366:ODE655367 OMU655366:ONA655367 OWQ655366:OWW655367 PGM655366:PGS655367 PQI655366:PQO655367 QAE655366:QAK655367 QKA655366:QKG655367 QTW655366:QUC655367 RDS655366:RDY655367 RNO655366:RNU655367 RXK655366:RXQ655367 SHG655366:SHM655367 SRC655366:SRI655367 TAY655366:TBE655367 TKU655366:TLA655367 TUQ655366:TUW655367 UEM655366:UES655367 UOI655366:UOO655367 UYE655366:UYK655367 VIA655366:VIG655367 VRW655366:VSC655367 WBS655366:WBY655367 WLO655366:WLU655367 WVK655366:WVQ655367 IY720902:JE720903 SU720902:TA720903 ACQ720902:ACW720903 AMM720902:AMS720903 AWI720902:AWO720903 BGE720902:BGK720903 BQA720902:BQG720903 BZW720902:CAC720903 CJS720902:CJY720903 CTO720902:CTU720903 DDK720902:DDQ720903 DNG720902:DNM720903 DXC720902:DXI720903 EGY720902:EHE720903 EQU720902:ERA720903 FAQ720902:FAW720903 FKM720902:FKS720903 FUI720902:FUO720903 GEE720902:GEK720903 GOA720902:GOG720903 GXW720902:GYC720903 HHS720902:HHY720903 HRO720902:HRU720903 IBK720902:IBQ720903 ILG720902:ILM720903 IVC720902:IVI720903 JEY720902:JFE720903 JOU720902:JPA720903 JYQ720902:JYW720903 KIM720902:KIS720903 KSI720902:KSO720903 LCE720902:LCK720903 LMA720902:LMG720903 LVW720902:LWC720903 MFS720902:MFY720903 MPO720902:MPU720903 MZK720902:MZQ720903 NJG720902:NJM720903 NTC720902:NTI720903 OCY720902:ODE720903 OMU720902:ONA720903 OWQ720902:OWW720903 PGM720902:PGS720903 PQI720902:PQO720903 QAE720902:QAK720903 QKA720902:QKG720903 QTW720902:QUC720903 RDS720902:RDY720903 RNO720902:RNU720903 RXK720902:RXQ720903 SHG720902:SHM720903 SRC720902:SRI720903 TAY720902:TBE720903 TKU720902:TLA720903 TUQ720902:TUW720903 UEM720902:UES720903 UOI720902:UOO720903 UYE720902:UYK720903 VIA720902:VIG720903 VRW720902:VSC720903 WBS720902:WBY720903 WLO720902:WLU720903 WVK720902:WVQ720903 IY786438:JE786439 SU786438:TA786439 ACQ786438:ACW786439 AMM786438:AMS786439 AWI786438:AWO786439 BGE786438:BGK786439 BQA786438:BQG786439 BZW786438:CAC786439 CJS786438:CJY786439 CTO786438:CTU786439 DDK786438:DDQ786439 DNG786438:DNM786439 DXC786438:DXI786439 EGY786438:EHE786439 EQU786438:ERA786439 FAQ786438:FAW786439 FKM786438:FKS786439 FUI786438:FUO786439 GEE786438:GEK786439 GOA786438:GOG786439 GXW786438:GYC786439 HHS786438:HHY786439 HRO786438:HRU786439 IBK786438:IBQ786439 ILG786438:ILM786439 IVC786438:IVI786439 JEY786438:JFE786439 JOU786438:JPA786439 JYQ786438:JYW786439 KIM786438:KIS786439 KSI786438:KSO786439 LCE786438:LCK786439 LMA786438:LMG786439 LVW786438:LWC786439 MFS786438:MFY786439 MPO786438:MPU786439 MZK786438:MZQ786439 NJG786438:NJM786439 NTC786438:NTI786439 OCY786438:ODE786439 OMU786438:ONA786439 OWQ786438:OWW786439 PGM786438:PGS786439 PQI786438:PQO786439 QAE786438:QAK786439 QKA786438:QKG786439 QTW786438:QUC786439 RDS786438:RDY786439 RNO786438:RNU786439 RXK786438:RXQ786439 SHG786438:SHM786439 SRC786438:SRI786439 TAY786438:TBE786439 TKU786438:TLA786439 TUQ786438:TUW786439 UEM786438:UES786439 UOI786438:UOO786439 UYE786438:UYK786439 VIA786438:VIG786439 VRW786438:VSC786439 WBS786438:WBY786439 WLO786438:WLU786439 WVK786438:WVQ786439 IY851974:JE851975 SU851974:TA851975 ACQ851974:ACW851975 AMM851974:AMS851975 AWI851974:AWO851975 BGE851974:BGK851975 BQA851974:BQG851975 BZW851974:CAC851975 CJS851974:CJY851975 CTO851974:CTU851975 DDK851974:DDQ851975 DNG851974:DNM851975 DXC851974:DXI851975 EGY851974:EHE851975 EQU851974:ERA851975 FAQ851974:FAW851975 FKM851974:FKS851975 FUI851974:FUO851975 GEE851974:GEK851975 GOA851974:GOG851975 GXW851974:GYC851975 HHS851974:HHY851975 HRO851974:HRU851975 IBK851974:IBQ851975 ILG851974:ILM851975 IVC851974:IVI851975 JEY851974:JFE851975 JOU851974:JPA851975 JYQ851974:JYW851975 KIM851974:KIS851975 KSI851974:KSO851975 LCE851974:LCK851975 LMA851974:LMG851975 LVW851974:LWC851975 MFS851974:MFY851975 MPO851974:MPU851975 MZK851974:MZQ851975 NJG851974:NJM851975 NTC851974:NTI851975 OCY851974:ODE851975 OMU851974:ONA851975 OWQ851974:OWW851975 PGM851974:PGS851975 PQI851974:PQO851975 QAE851974:QAK851975 QKA851974:QKG851975 QTW851974:QUC851975 RDS851974:RDY851975 RNO851974:RNU851975 RXK851974:RXQ851975 SHG851974:SHM851975 SRC851974:SRI851975 TAY851974:TBE851975 TKU851974:TLA851975 TUQ851974:TUW851975 UEM851974:UES851975 UOI851974:UOO851975 UYE851974:UYK851975 VIA851974:VIG851975 VRW851974:VSC851975 WBS851974:WBY851975 WLO851974:WLU851975 WVK851974:WVQ851975 IY917510:JE917511 SU917510:TA917511 ACQ917510:ACW917511 AMM917510:AMS917511 AWI917510:AWO917511 BGE917510:BGK917511 BQA917510:BQG917511 BZW917510:CAC917511 CJS917510:CJY917511 CTO917510:CTU917511 DDK917510:DDQ917511 DNG917510:DNM917511 DXC917510:DXI917511 EGY917510:EHE917511 EQU917510:ERA917511 FAQ917510:FAW917511 FKM917510:FKS917511 FUI917510:FUO917511 GEE917510:GEK917511 GOA917510:GOG917511 GXW917510:GYC917511 HHS917510:HHY917511 HRO917510:HRU917511 IBK917510:IBQ917511 ILG917510:ILM917511 IVC917510:IVI917511 JEY917510:JFE917511 JOU917510:JPA917511 JYQ917510:JYW917511 KIM917510:KIS917511 KSI917510:KSO917511 LCE917510:LCK917511 LMA917510:LMG917511 LVW917510:LWC917511 MFS917510:MFY917511 MPO917510:MPU917511 MZK917510:MZQ917511 NJG917510:NJM917511 NTC917510:NTI917511 OCY917510:ODE917511 OMU917510:ONA917511 OWQ917510:OWW917511 PGM917510:PGS917511 PQI917510:PQO917511 QAE917510:QAK917511 QKA917510:QKG917511 QTW917510:QUC917511 RDS917510:RDY917511 RNO917510:RNU917511 RXK917510:RXQ917511 SHG917510:SHM917511 SRC917510:SRI917511 TAY917510:TBE917511 TKU917510:TLA917511 TUQ917510:TUW917511 UEM917510:UES917511 UOI917510:UOO917511 UYE917510:UYK917511 VIA917510:VIG917511 VRW917510:VSC917511 WBS917510:WBY917511 WLO917510:WLU917511 WVK917510:WVQ917511 IY983046:JE983047 SU983046:TA983047 ACQ983046:ACW983047 AMM983046:AMS983047 AWI983046:AWO983047 BGE983046:BGK983047 BQA983046:BQG983047 BZW983046:CAC983047 CJS983046:CJY983047 CTO983046:CTU983047 DDK983046:DDQ983047 DNG983046:DNM983047 DXC983046:DXI983047 EGY983046:EHE983047 EQU983046:ERA983047 FAQ983046:FAW983047 FKM983046:FKS983047 FUI983046:FUO983047 GEE983046:GEK983047 GOA983046:GOG983047 GXW983046:GYC983047 HHS983046:HHY983047 HRO983046:HRU983047 IBK983046:IBQ983047 ILG983046:ILM983047 IVC983046:IVI983047 JEY983046:JFE983047 JOU983046:JPA983047 JYQ983046:JYW983047 KIM983046:KIS983047 KSI983046:KSO983047 LCE983046:LCK983047 LMA983046:LMG983047 LVW983046:LWC983047 MFS983046:MFY983047 MPO983046:MPU983047 MZK983046:MZQ983047 NJG983046:NJM983047 NTC983046:NTI983047 OCY983046:ODE983047 OMU983046:ONA983047 OWQ983046:OWW983047 PGM983046:PGS983047 PQI983046:PQO983047 QAE983046:QAK983047 QKA983046:QKG983047 QTW983046:QUC983047 RDS983046:RDY983047 RNO983046:RNU983047 RXK983046:RXQ983047 SHG983046:SHM983047 SRC983046:SRI983047 TAY983046:TBE983047 TKU983046:TLA983047 TUQ983046:TUW983047 UEM983046:UES983047 UOI983046:UOO983047 UYE983046:UYK983047 VIA983046:VIG983047 VRW983046:VSC983047 WBS983046:WBY983047 WLO983046:WLU983047 WVK983046:WVQ983047 D983046:J983047 D917510:J917511 D851974:J851975 D786438:J786439 D720902:J720903 D655366:J655367 D589830:J589831 D524294:J524295 D458758:J458759 D393222:J393223 D327686:J327687 D262150:J262151 D196614:J196615 D131078:J131079 D65542:J65543 D16"/>
    <dataValidation allowBlank="1" showInputMessage="1" showErrorMessage="1" promptTitle="Handphone" prompt="Diisi Nomor Handphone Pemohon (apabila memiliki) dan diisi 'N/A' apabila tidak memiliki HP. Untuk Pemohon yang memiliki lebih dari 1 nomor HP agar diinput seluruhnya dengan format penulisan {HP1} / {HP2} / {HP3} / .....dst" sqref="WVK983051:WVN983051 IY21:JB21 SU21:SX21 ACQ21:ACT21 AMM21:AMP21 AWI21:AWL21 BGE21:BGH21 BQA21:BQD21 BZW21:BZZ21 CJS21:CJV21 CTO21:CTR21 DDK21:DDN21 DNG21:DNJ21 DXC21:DXF21 EGY21:EHB21 EQU21:EQX21 FAQ21:FAT21 FKM21:FKP21 FUI21:FUL21 GEE21:GEH21 GOA21:GOD21 GXW21:GXZ21 HHS21:HHV21 HRO21:HRR21 IBK21:IBN21 ILG21:ILJ21 IVC21:IVF21 JEY21:JFB21 JOU21:JOX21 JYQ21:JYT21 KIM21:KIP21 KSI21:KSL21 LCE21:LCH21 LMA21:LMD21 LVW21:LVZ21 MFS21:MFV21 MPO21:MPR21 MZK21:MZN21 NJG21:NJJ21 NTC21:NTF21 OCY21:ODB21 OMU21:OMX21 OWQ21:OWT21 PGM21:PGP21 PQI21:PQL21 QAE21:QAH21 QKA21:QKD21 QTW21:QTZ21 RDS21:RDV21 RNO21:RNR21 RXK21:RXN21 SHG21:SHJ21 SRC21:SRF21 TAY21:TBB21 TKU21:TKX21 TUQ21:TUT21 UEM21:UEP21 UOI21:UOL21 UYE21:UYH21 VIA21:VID21 VRW21:VRZ21 WBS21:WBV21 WLO21:WLR21 WVK21:WVN21 D65547:G65547 IY65547:JB65547 SU65547:SX65547 ACQ65547:ACT65547 AMM65547:AMP65547 AWI65547:AWL65547 BGE65547:BGH65547 BQA65547:BQD65547 BZW65547:BZZ65547 CJS65547:CJV65547 CTO65547:CTR65547 DDK65547:DDN65547 DNG65547:DNJ65547 DXC65547:DXF65547 EGY65547:EHB65547 EQU65547:EQX65547 FAQ65547:FAT65547 FKM65547:FKP65547 FUI65547:FUL65547 GEE65547:GEH65547 GOA65547:GOD65547 GXW65547:GXZ65547 HHS65547:HHV65547 HRO65547:HRR65547 IBK65547:IBN65547 ILG65547:ILJ65547 IVC65547:IVF65547 JEY65547:JFB65547 JOU65547:JOX65547 JYQ65547:JYT65547 KIM65547:KIP65547 KSI65547:KSL65547 LCE65547:LCH65547 LMA65547:LMD65547 LVW65547:LVZ65547 MFS65547:MFV65547 MPO65547:MPR65547 MZK65547:MZN65547 NJG65547:NJJ65547 NTC65547:NTF65547 OCY65547:ODB65547 OMU65547:OMX65547 OWQ65547:OWT65547 PGM65547:PGP65547 PQI65547:PQL65547 QAE65547:QAH65547 QKA65547:QKD65547 QTW65547:QTZ65547 RDS65547:RDV65547 RNO65547:RNR65547 RXK65547:RXN65547 SHG65547:SHJ65547 SRC65547:SRF65547 TAY65547:TBB65547 TKU65547:TKX65547 TUQ65547:TUT65547 UEM65547:UEP65547 UOI65547:UOL65547 UYE65547:UYH65547 VIA65547:VID65547 VRW65547:VRZ65547 WBS65547:WBV65547 WLO65547:WLR65547 WVK65547:WVN65547 D131083:G131083 IY131083:JB131083 SU131083:SX131083 ACQ131083:ACT131083 AMM131083:AMP131083 AWI131083:AWL131083 BGE131083:BGH131083 BQA131083:BQD131083 BZW131083:BZZ131083 CJS131083:CJV131083 CTO131083:CTR131083 DDK131083:DDN131083 DNG131083:DNJ131083 DXC131083:DXF131083 EGY131083:EHB131083 EQU131083:EQX131083 FAQ131083:FAT131083 FKM131083:FKP131083 FUI131083:FUL131083 GEE131083:GEH131083 GOA131083:GOD131083 GXW131083:GXZ131083 HHS131083:HHV131083 HRO131083:HRR131083 IBK131083:IBN131083 ILG131083:ILJ131083 IVC131083:IVF131083 JEY131083:JFB131083 JOU131083:JOX131083 JYQ131083:JYT131083 KIM131083:KIP131083 KSI131083:KSL131083 LCE131083:LCH131083 LMA131083:LMD131083 LVW131083:LVZ131083 MFS131083:MFV131083 MPO131083:MPR131083 MZK131083:MZN131083 NJG131083:NJJ131083 NTC131083:NTF131083 OCY131083:ODB131083 OMU131083:OMX131083 OWQ131083:OWT131083 PGM131083:PGP131083 PQI131083:PQL131083 QAE131083:QAH131083 QKA131083:QKD131083 QTW131083:QTZ131083 RDS131083:RDV131083 RNO131083:RNR131083 RXK131083:RXN131083 SHG131083:SHJ131083 SRC131083:SRF131083 TAY131083:TBB131083 TKU131083:TKX131083 TUQ131083:TUT131083 UEM131083:UEP131083 UOI131083:UOL131083 UYE131083:UYH131083 VIA131083:VID131083 VRW131083:VRZ131083 WBS131083:WBV131083 WLO131083:WLR131083 WVK131083:WVN131083 D196619:G196619 IY196619:JB196619 SU196619:SX196619 ACQ196619:ACT196619 AMM196619:AMP196619 AWI196619:AWL196619 BGE196619:BGH196619 BQA196619:BQD196619 BZW196619:BZZ196619 CJS196619:CJV196619 CTO196619:CTR196619 DDK196619:DDN196619 DNG196619:DNJ196619 DXC196619:DXF196619 EGY196619:EHB196619 EQU196619:EQX196619 FAQ196619:FAT196619 FKM196619:FKP196619 FUI196619:FUL196619 GEE196619:GEH196619 GOA196619:GOD196619 GXW196619:GXZ196619 HHS196619:HHV196619 HRO196619:HRR196619 IBK196619:IBN196619 ILG196619:ILJ196619 IVC196619:IVF196619 JEY196619:JFB196619 JOU196619:JOX196619 JYQ196619:JYT196619 KIM196619:KIP196619 KSI196619:KSL196619 LCE196619:LCH196619 LMA196619:LMD196619 LVW196619:LVZ196619 MFS196619:MFV196619 MPO196619:MPR196619 MZK196619:MZN196619 NJG196619:NJJ196619 NTC196619:NTF196619 OCY196619:ODB196619 OMU196619:OMX196619 OWQ196619:OWT196619 PGM196619:PGP196619 PQI196619:PQL196619 QAE196619:QAH196619 QKA196619:QKD196619 QTW196619:QTZ196619 RDS196619:RDV196619 RNO196619:RNR196619 RXK196619:RXN196619 SHG196619:SHJ196619 SRC196619:SRF196619 TAY196619:TBB196619 TKU196619:TKX196619 TUQ196619:TUT196619 UEM196619:UEP196619 UOI196619:UOL196619 UYE196619:UYH196619 VIA196619:VID196619 VRW196619:VRZ196619 WBS196619:WBV196619 WLO196619:WLR196619 WVK196619:WVN196619 D262155:G262155 IY262155:JB262155 SU262155:SX262155 ACQ262155:ACT262155 AMM262155:AMP262155 AWI262155:AWL262155 BGE262155:BGH262155 BQA262155:BQD262155 BZW262155:BZZ262155 CJS262155:CJV262155 CTO262155:CTR262155 DDK262155:DDN262155 DNG262155:DNJ262155 DXC262155:DXF262155 EGY262155:EHB262155 EQU262155:EQX262155 FAQ262155:FAT262155 FKM262155:FKP262155 FUI262155:FUL262155 GEE262155:GEH262155 GOA262155:GOD262155 GXW262155:GXZ262155 HHS262155:HHV262155 HRO262155:HRR262155 IBK262155:IBN262155 ILG262155:ILJ262155 IVC262155:IVF262155 JEY262155:JFB262155 JOU262155:JOX262155 JYQ262155:JYT262155 KIM262155:KIP262155 KSI262155:KSL262155 LCE262155:LCH262155 LMA262155:LMD262155 LVW262155:LVZ262155 MFS262155:MFV262155 MPO262155:MPR262155 MZK262155:MZN262155 NJG262155:NJJ262155 NTC262155:NTF262155 OCY262155:ODB262155 OMU262155:OMX262155 OWQ262155:OWT262155 PGM262155:PGP262155 PQI262155:PQL262155 QAE262155:QAH262155 QKA262155:QKD262155 QTW262155:QTZ262155 RDS262155:RDV262155 RNO262155:RNR262155 RXK262155:RXN262155 SHG262155:SHJ262155 SRC262155:SRF262155 TAY262155:TBB262155 TKU262155:TKX262155 TUQ262155:TUT262155 UEM262155:UEP262155 UOI262155:UOL262155 UYE262155:UYH262155 VIA262155:VID262155 VRW262155:VRZ262155 WBS262155:WBV262155 WLO262155:WLR262155 WVK262155:WVN262155 D327691:G327691 IY327691:JB327691 SU327691:SX327691 ACQ327691:ACT327691 AMM327691:AMP327691 AWI327691:AWL327691 BGE327691:BGH327691 BQA327691:BQD327691 BZW327691:BZZ327691 CJS327691:CJV327691 CTO327691:CTR327691 DDK327691:DDN327691 DNG327691:DNJ327691 DXC327691:DXF327691 EGY327691:EHB327691 EQU327691:EQX327691 FAQ327691:FAT327691 FKM327691:FKP327691 FUI327691:FUL327691 GEE327691:GEH327691 GOA327691:GOD327691 GXW327691:GXZ327691 HHS327691:HHV327691 HRO327691:HRR327691 IBK327691:IBN327691 ILG327691:ILJ327691 IVC327691:IVF327691 JEY327691:JFB327691 JOU327691:JOX327691 JYQ327691:JYT327691 KIM327691:KIP327691 KSI327691:KSL327691 LCE327691:LCH327691 LMA327691:LMD327691 LVW327691:LVZ327691 MFS327691:MFV327691 MPO327691:MPR327691 MZK327691:MZN327691 NJG327691:NJJ327691 NTC327691:NTF327691 OCY327691:ODB327691 OMU327691:OMX327691 OWQ327691:OWT327691 PGM327691:PGP327691 PQI327691:PQL327691 QAE327691:QAH327691 QKA327691:QKD327691 QTW327691:QTZ327691 RDS327691:RDV327691 RNO327691:RNR327691 RXK327691:RXN327691 SHG327691:SHJ327691 SRC327691:SRF327691 TAY327691:TBB327691 TKU327691:TKX327691 TUQ327691:TUT327691 UEM327691:UEP327691 UOI327691:UOL327691 UYE327691:UYH327691 VIA327691:VID327691 VRW327691:VRZ327691 WBS327691:WBV327691 WLO327691:WLR327691 WVK327691:WVN327691 D393227:G393227 IY393227:JB393227 SU393227:SX393227 ACQ393227:ACT393227 AMM393227:AMP393227 AWI393227:AWL393227 BGE393227:BGH393227 BQA393227:BQD393227 BZW393227:BZZ393227 CJS393227:CJV393227 CTO393227:CTR393227 DDK393227:DDN393227 DNG393227:DNJ393227 DXC393227:DXF393227 EGY393227:EHB393227 EQU393227:EQX393227 FAQ393227:FAT393227 FKM393227:FKP393227 FUI393227:FUL393227 GEE393227:GEH393227 GOA393227:GOD393227 GXW393227:GXZ393227 HHS393227:HHV393227 HRO393227:HRR393227 IBK393227:IBN393227 ILG393227:ILJ393227 IVC393227:IVF393227 JEY393227:JFB393227 JOU393227:JOX393227 JYQ393227:JYT393227 KIM393227:KIP393227 KSI393227:KSL393227 LCE393227:LCH393227 LMA393227:LMD393227 LVW393227:LVZ393227 MFS393227:MFV393227 MPO393227:MPR393227 MZK393227:MZN393227 NJG393227:NJJ393227 NTC393227:NTF393227 OCY393227:ODB393227 OMU393227:OMX393227 OWQ393227:OWT393227 PGM393227:PGP393227 PQI393227:PQL393227 QAE393227:QAH393227 QKA393227:QKD393227 QTW393227:QTZ393227 RDS393227:RDV393227 RNO393227:RNR393227 RXK393227:RXN393227 SHG393227:SHJ393227 SRC393227:SRF393227 TAY393227:TBB393227 TKU393227:TKX393227 TUQ393227:TUT393227 UEM393227:UEP393227 UOI393227:UOL393227 UYE393227:UYH393227 VIA393227:VID393227 VRW393227:VRZ393227 WBS393227:WBV393227 WLO393227:WLR393227 WVK393227:WVN393227 D458763:G458763 IY458763:JB458763 SU458763:SX458763 ACQ458763:ACT458763 AMM458763:AMP458763 AWI458763:AWL458763 BGE458763:BGH458763 BQA458763:BQD458763 BZW458763:BZZ458763 CJS458763:CJV458763 CTO458763:CTR458763 DDK458763:DDN458763 DNG458763:DNJ458763 DXC458763:DXF458763 EGY458763:EHB458763 EQU458763:EQX458763 FAQ458763:FAT458763 FKM458763:FKP458763 FUI458763:FUL458763 GEE458763:GEH458763 GOA458763:GOD458763 GXW458763:GXZ458763 HHS458763:HHV458763 HRO458763:HRR458763 IBK458763:IBN458763 ILG458763:ILJ458763 IVC458763:IVF458763 JEY458763:JFB458763 JOU458763:JOX458763 JYQ458763:JYT458763 KIM458763:KIP458763 KSI458763:KSL458763 LCE458763:LCH458763 LMA458763:LMD458763 LVW458763:LVZ458763 MFS458763:MFV458763 MPO458763:MPR458763 MZK458763:MZN458763 NJG458763:NJJ458763 NTC458763:NTF458763 OCY458763:ODB458763 OMU458763:OMX458763 OWQ458763:OWT458763 PGM458763:PGP458763 PQI458763:PQL458763 QAE458763:QAH458763 QKA458763:QKD458763 QTW458763:QTZ458763 RDS458763:RDV458763 RNO458763:RNR458763 RXK458763:RXN458763 SHG458763:SHJ458763 SRC458763:SRF458763 TAY458763:TBB458763 TKU458763:TKX458763 TUQ458763:TUT458763 UEM458763:UEP458763 UOI458763:UOL458763 UYE458763:UYH458763 VIA458763:VID458763 VRW458763:VRZ458763 WBS458763:WBV458763 WLO458763:WLR458763 WVK458763:WVN458763 D524299:G524299 IY524299:JB524299 SU524299:SX524299 ACQ524299:ACT524299 AMM524299:AMP524299 AWI524299:AWL524299 BGE524299:BGH524299 BQA524299:BQD524299 BZW524299:BZZ524299 CJS524299:CJV524299 CTO524299:CTR524299 DDK524299:DDN524299 DNG524299:DNJ524299 DXC524299:DXF524299 EGY524299:EHB524299 EQU524299:EQX524299 FAQ524299:FAT524299 FKM524299:FKP524299 FUI524299:FUL524299 GEE524299:GEH524299 GOA524299:GOD524299 GXW524299:GXZ524299 HHS524299:HHV524299 HRO524299:HRR524299 IBK524299:IBN524299 ILG524299:ILJ524299 IVC524299:IVF524299 JEY524299:JFB524299 JOU524299:JOX524299 JYQ524299:JYT524299 KIM524299:KIP524299 KSI524299:KSL524299 LCE524299:LCH524299 LMA524299:LMD524299 LVW524299:LVZ524299 MFS524299:MFV524299 MPO524299:MPR524299 MZK524299:MZN524299 NJG524299:NJJ524299 NTC524299:NTF524299 OCY524299:ODB524299 OMU524299:OMX524299 OWQ524299:OWT524299 PGM524299:PGP524299 PQI524299:PQL524299 QAE524299:QAH524299 QKA524299:QKD524299 QTW524299:QTZ524299 RDS524299:RDV524299 RNO524299:RNR524299 RXK524299:RXN524299 SHG524299:SHJ524299 SRC524299:SRF524299 TAY524299:TBB524299 TKU524299:TKX524299 TUQ524299:TUT524299 UEM524299:UEP524299 UOI524299:UOL524299 UYE524299:UYH524299 VIA524299:VID524299 VRW524299:VRZ524299 WBS524299:WBV524299 WLO524299:WLR524299 WVK524299:WVN524299 D589835:G589835 IY589835:JB589835 SU589835:SX589835 ACQ589835:ACT589835 AMM589835:AMP589835 AWI589835:AWL589835 BGE589835:BGH589835 BQA589835:BQD589835 BZW589835:BZZ589835 CJS589835:CJV589835 CTO589835:CTR589835 DDK589835:DDN589835 DNG589835:DNJ589835 DXC589835:DXF589835 EGY589835:EHB589835 EQU589835:EQX589835 FAQ589835:FAT589835 FKM589835:FKP589835 FUI589835:FUL589835 GEE589835:GEH589835 GOA589835:GOD589835 GXW589835:GXZ589835 HHS589835:HHV589835 HRO589835:HRR589835 IBK589835:IBN589835 ILG589835:ILJ589835 IVC589835:IVF589835 JEY589835:JFB589835 JOU589835:JOX589835 JYQ589835:JYT589835 KIM589835:KIP589835 KSI589835:KSL589835 LCE589835:LCH589835 LMA589835:LMD589835 LVW589835:LVZ589835 MFS589835:MFV589835 MPO589835:MPR589835 MZK589835:MZN589835 NJG589835:NJJ589835 NTC589835:NTF589835 OCY589835:ODB589835 OMU589835:OMX589835 OWQ589835:OWT589835 PGM589835:PGP589835 PQI589835:PQL589835 QAE589835:QAH589835 QKA589835:QKD589835 QTW589835:QTZ589835 RDS589835:RDV589835 RNO589835:RNR589835 RXK589835:RXN589835 SHG589835:SHJ589835 SRC589835:SRF589835 TAY589835:TBB589835 TKU589835:TKX589835 TUQ589835:TUT589835 UEM589835:UEP589835 UOI589835:UOL589835 UYE589835:UYH589835 VIA589835:VID589835 VRW589835:VRZ589835 WBS589835:WBV589835 WLO589835:WLR589835 WVK589835:WVN589835 D655371:G655371 IY655371:JB655371 SU655371:SX655371 ACQ655371:ACT655371 AMM655371:AMP655371 AWI655371:AWL655371 BGE655371:BGH655371 BQA655371:BQD655371 BZW655371:BZZ655371 CJS655371:CJV655371 CTO655371:CTR655371 DDK655371:DDN655371 DNG655371:DNJ655371 DXC655371:DXF655371 EGY655371:EHB655371 EQU655371:EQX655371 FAQ655371:FAT655371 FKM655371:FKP655371 FUI655371:FUL655371 GEE655371:GEH655371 GOA655371:GOD655371 GXW655371:GXZ655371 HHS655371:HHV655371 HRO655371:HRR655371 IBK655371:IBN655371 ILG655371:ILJ655371 IVC655371:IVF655371 JEY655371:JFB655371 JOU655371:JOX655371 JYQ655371:JYT655371 KIM655371:KIP655371 KSI655371:KSL655371 LCE655371:LCH655371 LMA655371:LMD655371 LVW655371:LVZ655371 MFS655371:MFV655371 MPO655371:MPR655371 MZK655371:MZN655371 NJG655371:NJJ655371 NTC655371:NTF655371 OCY655371:ODB655371 OMU655371:OMX655371 OWQ655371:OWT655371 PGM655371:PGP655371 PQI655371:PQL655371 QAE655371:QAH655371 QKA655371:QKD655371 QTW655371:QTZ655371 RDS655371:RDV655371 RNO655371:RNR655371 RXK655371:RXN655371 SHG655371:SHJ655371 SRC655371:SRF655371 TAY655371:TBB655371 TKU655371:TKX655371 TUQ655371:TUT655371 UEM655371:UEP655371 UOI655371:UOL655371 UYE655371:UYH655371 VIA655371:VID655371 VRW655371:VRZ655371 WBS655371:WBV655371 WLO655371:WLR655371 WVK655371:WVN655371 D720907:G720907 IY720907:JB720907 SU720907:SX720907 ACQ720907:ACT720907 AMM720907:AMP720907 AWI720907:AWL720907 BGE720907:BGH720907 BQA720907:BQD720907 BZW720907:BZZ720907 CJS720907:CJV720907 CTO720907:CTR720907 DDK720907:DDN720907 DNG720907:DNJ720907 DXC720907:DXF720907 EGY720907:EHB720907 EQU720907:EQX720907 FAQ720907:FAT720907 FKM720907:FKP720907 FUI720907:FUL720907 GEE720907:GEH720907 GOA720907:GOD720907 GXW720907:GXZ720907 HHS720907:HHV720907 HRO720907:HRR720907 IBK720907:IBN720907 ILG720907:ILJ720907 IVC720907:IVF720907 JEY720907:JFB720907 JOU720907:JOX720907 JYQ720907:JYT720907 KIM720907:KIP720907 KSI720907:KSL720907 LCE720907:LCH720907 LMA720907:LMD720907 LVW720907:LVZ720907 MFS720907:MFV720907 MPO720907:MPR720907 MZK720907:MZN720907 NJG720907:NJJ720907 NTC720907:NTF720907 OCY720907:ODB720907 OMU720907:OMX720907 OWQ720907:OWT720907 PGM720907:PGP720907 PQI720907:PQL720907 QAE720907:QAH720907 QKA720907:QKD720907 QTW720907:QTZ720907 RDS720907:RDV720907 RNO720907:RNR720907 RXK720907:RXN720907 SHG720907:SHJ720907 SRC720907:SRF720907 TAY720907:TBB720907 TKU720907:TKX720907 TUQ720907:TUT720907 UEM720907:UEP720907 UOI720907:UOL720907 UYE720907:UYH720907 VIA720907:VID720907 VRW720907:VRZ720907 WBS720907:WBV720907 WLO720907:WLR720907 WVK720907:WVN720907 D786443:G786443 IY786443:JB786443 SU786443:SX786443 ACQ786443:ACT786443 AMM786443:AMP786443 AWI786443:AWL786443 BGE786443:BGH786443 BQA786443:BQD786443 BZW786443:BZZ786443 CJS786443:CJV786443 CTO786443:CTR786443 DDK786443:DDN786443 DNG786443:DNJ786443 DXC786443:DXF786443 EGY786443:EHB786443 EQU786443:EQX786443 FAQ786443:FAT786443 FKM786443:FKP786443 FUI786443:FUL786443 GEE786443:GEH786443 GOA786443:GOD786443 GXW786443:GXZ786443 HHS786443:HHV786443 HRO786443:HRR786443 IBK786443:IBN786443 ILG786443:ILJ786443 IVC786443:IVF786443 JEY786443:JFB786443 JOU786443:JOX786443 JYQ786443:JYT786443 KIM786443:KIP786443 KSI786443:KSL786443 LCE786443:LCH786443 LMA786443:LMD786443 LVW786443:LVZ786443 MFS786443:MFV786443 MPO786443:MPR786443 MZK786443:MZN786443 NJG786443:NJJ786443 NTC786443:NTF786443 OCY786443:ODB786443 OMU786443:OMX786443 OWQ786443:OWT786443 PGM786443:PGP786443 PQI786443:PQL786443 QAE786443:QAH786443 QKA786443:QKD786443 QTW786443:QTZ786443 RDS786443:RDV786443 RNO786443:RNR786443 RXK786443:RXN786443 SHG786443:SHJ786443 SRC786443:SRF786443 TAY786443:TBB786443 TKU786443:TKX786443 TUQ786443:TUT786443 UEM786443:UEP786443 UOI786443:UOL786443 UYE786443:UYH786443 VIA786443:VID786443 VRW786443:VRZ786443 WBS786443:WBV786443 WLO786443:WLR786443 WVK786443:WVN786443 D851979:G851979 IY851979:JB851979 SU851979:SX851979 ACQ851979:ACT851979 AMM851979:AMP851979 AWI851979:AWL851979 BGE851979:BGH851979 BQA851979:BQD851979 BZW851979:BZZ851979 CJS851979:CJV851979 CTO851979:CTR851979 DDK851979:DDN851979 DNG851979:DNJ851979 DXC851979:DXF851979 EGY851979:EHB851979 EQU851979:EQX851979 FAQ851979:FAT851979 FKM851979:FKP851979 FUI851979:FUL851979 GEE851979:GEH851979 GOA851979:GOD851979 GXW851979:GXZ851979 HHS851979:HHV851979 HRO851979:HRR851979 IBK851979:IBN851979 ILG851979:ILJ851979 IVC851979:IVF851979 JEY851979:JFB851979 JOU851979:JOX851979 JYQ851979:JYT851979 KIM851979:KIP851979 KSI851979:KSL851979 LCE851979:LCH851979 LMA851979:LMD851979 LVW851979:LVZ851979 MFS851979:MFV851979 MPO851979:MPR851979 MZK851979:MZN851979 NJG851979:NJJ851979 NTC851979:NTF851979 OCY851979:ODB851979 OMU851979:OMX851979 OWQ851979:OWT851979 PGM851979:PGP851979 PQI851979:PQL851979 QAE851979:QAH851979 QKA851979:QKD851979 QTW851979:QTZ851979 RDS851979:RDV851979 RNO851979:RNR851979 RXK851979:RXN851979 SHG851979:SHJ851979 SRC851979:SRF851979 TAY851979:TBB851979 TKU851979:TKX851979 TUQ851979:TUT851979 UEM851979:UEP851979 UOI851979:UOL851979 UYE851979:UYH851979 VIA851979:VID851979 VRW851979:VRZ851979 WBS851979:WBV851979 WLO851979:WLR851979 WVK851979:WVN851979 D917515:G917515 IY917515:JB917515 SU917515:SX917515 ACQ917515:ACT917515 AMM917515:AMP917515 AWI917515:AWL917515 BGE917515:BGH917515 BQA917515:BQD917515 BZW917515:BZZ917515 CJS917515:CJV917515 CTO917515:CTR917515 DDK917515:DDN917515 DNG917515:DNJ917515 DXC917515:DXF917515 EGY917515:EHB917515 EQU917515:EQX917515 FAQ917515:FAT917515 FKM917515:FKP917515 FUI917515:FUL917515 GEE917515:GEH917515 GOA917515:GOD917515 GXW917515:GXZ917515 HHS917515:HHV917515 HRO917515:HRR917515 IBK917515:IBN917515 ILG917515:ILJ917515 IVC917515:IVF917515 JEY917515:JFB917515 JOU917515:JOX917515 JYQ917515:JYT917515 KIM917515:KIP917515 KSI917515:KSL917515 LCE917515:LCH917515 LMA917515:LMD917515 LVW917515:LVZ917515 MFS917515:MFV917515 MPO917515:MPR917515 MZK917515:MZN917515 NJG917515:NJJ917515 NTC917515:NTF917515 OCY917515:ODB917515 OMU917515:OMX917515 OWQ917515:OWT917515 PGM917515:PGP917515 PQI917515:PQL917515 QAE917515:QAH917515 QKA917515:QKD917515 QTW917515:QTZ917515 RDS917515:RDV917515 RNO917515:RNR917515 RXK917515:RXN917515 SHG917515:SHJ917515 SRC917515:SRF917515 TAY917515:TBB917515 TKU917515:TKX917515 TUQ917515:TUT917515 UEM917515:UEP917515 UOI917515:UOL917515 UYE917515:UYH917515 VIA917515:VID917515 VRW917515:VRZ917515 WBS917515:WBV917515 WLO917515:WLR917515 WVK917515:WVN917515 D983051:G983051 IY983051:JB983051 SU983051:SX983051 ACQ983051:ACT983051 AMM983051:AMP983051 AWI983051:AWL983051 BGE983051:BGH983051 BQA983051:BQD983051 BZW983051:BZZ983051 CJS983051:CJV983051 CTO983051:CTR983051 DDK983051:DDN983051 DNG983051:DNJ983051 DXC983051:DXF983051 EGY983051:EHB983051 EQU983051:EQX983051 FAQ983051:FAT983051 FKM983051:FKP983051 FUI983051:FUL983051 GEE983051:GEH983051 GOA983051:GOD983051 GXW983051:GXZ983051 HHS983051:HHV983051 HRO983051:HRR983051 IBK983051:IBN983051 ILG983051:ILJ983051 IVC983051:IVF983051 JEY983051:JFB983051 JOU983051:JOX983051 JYQ983051:JYT983051 KIM983051:KIP983051 KSI983051:KSL983051 LCE983051:LCH983051 LMA983051:LMD983051 LVW983051:LVZ983051 MFS983051:MFV983051 MPO983051:MPR983051 MZK983051:MZN983051 NJG983051:NJJ983051 NTC983051:NTF983051 OCY983051:ODB983051 OMU983051:OMX983051 OWQ983051:OWT983051 PGM983051:PGP983051 PQI983051:PQL983051 QAE983051:QAH983051 QKA983051:QKD983051 QTW983051:QTZ983051 RDS983051:RDV983051 RNO983051:RNR983051 RXK983051:RXN983051 SHG983051:SHJ983051 SRC983051:SRF983051 TAY983051:TBB983051 TKU983051:TKX983051 TUQ983051:TUT983051 UEM983051:UEP983051 UOI983051:UOL983051 UYE983051:UYH983051 VIA983051:VID983051 VRW983051:VRZ983051 WBS983051:WBV983051 WLO983051:WLR983051"/>
    <dataValidation allowBlank="1" showInputMessage="1" showErrorMessage="1" promptTitle="Telpon Rumah" prompt="Diisi Nomor Telpon Rumah Pemohon (apabila memiliki telpon) dan diisi dengan ' N/A' apabila tidak memiliki telpon rumah" sqref="D20:J20 IY20:JE20 SU20:TA20 ACQ20:ACW20 AMM20:AMS20 AWI20:AWO20 BGE20:BGK20 BQA20:BQG20 BZW20:CAC20 CJS20:CJY20 CTO20:CTU20 DDK20:DDQ20 DNG20:DNM20 DXC20:DXI20 EGY20:EHE20 EQU20:ERA20 FAQ20:FAW20 FKM20:FKS20 FUI20:FUO20 GEE20:GEK20 GOA20:GOG20 GXW20:GYC20 HHS20:HHY20 HRO20:HRU20 IBK20:IBQ20 ILG20:ILM20 IVC20:IVI20 JEY20:JFE20 JOU20:JPA20 JYQ20:JYW20 KIM20:KIS20 KSI20:KSO20 LCE20:LCK20 LMA20:LMG20 LVW20:LWC20 MFS20:MFY20 MPO20:MPU20 MZK20:MZQ20 NJG20:NJM20 NTC20:NTI20 OCY20:ODE20 OMU20:ONA20 OWQ20:OWW20 PGM20:PGS20 PQI20:PQO20 QAE20:QAK20 QKA20:QKG20 QTW20:QUC20 RDS20:RDY20 RNO20:RNU20 RXK20:RXQ20 SHG20:SHM20 SRC20:SRI20 TAY20:TBE20 TKU20:TLA20 TUQ20:TUW20 UEM20:UES20 UOI20:UOO20 UYE20:UYK20 VIA20:VIG20 VRW20:VSC20 WBS20:WBY20 WLO20:WLU20 WVK20:WVQ20 IY65546:JE65546 SU65546:TA65546 ACQ65546:ACW65546 AMM65546:AMS65546 AWI65546:AWO65546 BGE65546:BGK65546 BQA65546:BQG65546 BZW65546:CAC65546 CJS65546:CJY65546 CTO65546:CTU65546 DDK65546:DDQ65546 DNG65546:DNM65546 DXC65546:DXI65546 EGY65546:EHE65546 EQU65546:ERA65546 FAQ65546:FAW65546 FKM65546:FKS65546 FUI65546:FUO65546 GEE65546:GEK65546 GOA65546:GOG65546 GXW65546:GYC65546 HHS65546:HHY65546 HRO65546:HRU65546 IBK65546:IBQ65546 ILG65546:ILM65546 IVC65546:IVI65546 JEY65546:JFE65546 JOU65546:JPA65546 JYQ65546:JYW65546 KIM65546:KIS65546 KSI65546:KSO65546 LCE65546:LCK65546 LMA65546:LMG65546 LVW65546:LWC65546 MFS65546:MFY65546 MPO65546:MPU65546 MZK65546:MZQ65546 NJG65546:NJM65546 NTC65546:NTI65546 OCY65546:ODE65546 OMU65546:ONA65546 OWQ65546:OWW65546 PGM65546:PGS65546 PQI65546:PQO65546 QAE65546:QAK65546 QKA65546:QKG65546 QTW65546:QUC65546 RDS65546:RDY65546 RNO65546:RNU65546 RXK65546:RXQ65546 SHG65546:SHM65546 SRC65546:SRI65546 TAY65546:TBE65546 TKU65546:TLA65546 TUQ65546:TUW65546 UEM65546:UES65546 UOI65546:UOO65546 UYE65546:UYK65546 VIA65546:VIG65546 VRW65546:VSC65546 WBS65546:WBY65546 WLO65546:WLU65546 WVK65546:WVQ65546 IY131082:JE131082 SU131082:TA131082 ACQ131082:ACW131082 AMM131082:AMS131082 AWI131082:AWO131082 BGE131082:BGK131082 BQA131082:BQG131082 BZW131082:CAC131082 CJS131082:CJY131082 CTO131082:CTU131082 DDK131082:DDQ131082 DNG131082:DNM131082 DXC131082:DXI131082 EGY131082:EHE131082 EQU131082:ERA131082 FAQ131082:FAW131082 FKM131082:FKS131082 FUI131082:FUO131082 GEE131082:GEK131082 GOA131082:GOG131082 GXW131082:GYC131082 HHS131082:HHY131082 HRO131082:HRU131082 IBK131082:IBQ131082 ILG131082:ILM131082 IVC131082:IVI131082 JEY131082:JFE131082 JOU131082:JPA131082 JYQ131082:JYW131082 KIM131082:KIS131082 KSI131082:KSO131082 LCE131082:LCK131082 LMA131082:LMG131082 LVW131082:LWC131082 MFS131082:MFY131082 MPO131082:MPU131082 MZK131082:MZQ131082 NJG131082:NJM131082 NTC131082:NTI131082 OCY131082:ODE131082 OMU131082:ONA131082 OWQ131082:OWW131082 PGM131082:PGS131082 PQI131082:PQO131082 QAE131082:QAK131082 QKA131082:QKG131082 QTW131082:QUC131082 RDS131082:RDY131082 RNO131082:RNU131082 RXK131082:RXQ131082 SHG131082:SHM131082 SRC131082:SRI131082 TAY131082:TBE131082 TKU131082:TLA131082 TUQ131082:TUW131082 UEM131082:UES131082 UOI131082:UOO131082 UYE131082:UYK131082 VIA131082:VIG131082 VRW131082:VSC131082 WBS131082:WBY131082 WLO131082:WLU131082 WVK131082:WVQ131082 IY196618:JE196618 SU196618:TA196618 ACQ196618:ACW196618 AMM196618:AMS196618 AWI196618:AWO196618 BGE196618:BGK196618 BQA196618:BQG196618 BZW196618:CAC196618 CJS196618:CJY196618 CTO196618:CTU196618 DDK196618:DDQ196618 DNG196618:DNM196618 DXC196618:DXI196618 EGY196618:EHE196618 EQU196618:ERA196618 FAQ196618:FAW196618 FKM196618:FKS196618 FUI196618:FUO196618 GEE196618:GEK196618 GOA196618:GOG196618 GXW196618:GYC196618 HHS196618:HHY196618 HRO196618:HRU196618 IBK196618:IBQ196618 ILG196618:ILM196618 IVC196618:IVI196618 JEY196618:JFE196618 JOU196618:JPA196618 JYQ196618:JYW196618 KIM196618:KIS196618 KSI196618:KSO196618 LCE196618:LCK196618 LMA196618:LMG196618 LVW196618:LWC196618 MFS196618:MFY196618 MPO196618:MPU196618 MZK196618:MZQ196618 NJG196618:NJM196618 NTC196618:NTI196618 OCY196618:ODE196618 OMU196618:ONA196618 OWQ196618:OWW196618 PGM196618:PGS196618 PQI196618:PQO196618 QAE196618:QAK196618 QKA196618:QKG196618 QTW196618:QUC196618 RDS196618:RDY196618 RNO196618:RNU196618 RXK196618:RXQ196618 SHG196618:SHM196618 SRC196618:SRI196618 TAY196618:TBE196618 TKU196618:TLA196618 TUQ196618:TUW196618 UEM196618:UES196618 UOI196618:UOO196618 UYE196618:UYK196618 VIA196618:VIG196618 VRW196618:VSC196618 WBS196618:WBY196618 WLO196618:WLU196618 WVK196618:WVQ196618 IY262154:JE262154 SU262154:TA262154 ACQ262154:ACW262154 AMM262154:AMS262154 AWI262154:AWO262154 BGE262154:BGK262154 BQA262154:BQG262154 BZW262154:CAC262154 CJS262154:CJY262154 CTO262154:CTU262154 DDK262154:DDQ262154 DNG262154:DNM262154 DXC262154:DXI262154 EGY262154:EHE262154 EQU262154:ERA262154 FAQ262154:FAW262154 FKM262154:FKS262154 FUI262154:FUO262154 GEE262154:GEK262154 GOA262154:GOG262154 GXW262154:GYC262154 HHS262154:HHY262154 HRO262154:HRU262154 IBK262154:IBQ262154 ILG262154:ILM262154 IVC262154:IVI262154 JEY262154:JFE262154 JOU262154:JPA262154 JYQ262154:JYW262154 KIM262154:KIS262154 KSI262154:KSO262154 LCE262154:LCK262154 LMA262154:LMG262154 LVW262154:LWC262154 MFS262154:MFY262154 MPO262154:MPU262154 MZK262154:MZQ262154 NJG262154:NJM262154 NTC262154:NTI262154 OCY262154:ODE262154 OMU262154:ONA262154 OWQ262154:OWW262154 PGM262154:PGS262154 PQI262154:PQO262154 QAE262154:QAK262154 QKA262154:QKG262154 QTW262154:QUC262154 RDS262154:RDY262154 RNO262154:RNU262154 RXK262154:RXQ262154 SHG262154:SHM262154 SRC262154:SRI262154 TAY262154:TBE262154 TKU262154:TLA262154 TUQ262154:TUW262154 UEM262154:UES262154 UOI262154:UOO262154 UYE262154:UYK262154 VIA262154:VIG262154 VRW262154:VSC262154 WBS262154:WBY262154 WLO262154:WLU262154 WVK262154:WVQ262154 IY327690:JE327690 SU327690:TA327690 ACQ327690:ACW327690 AMM327690:AMS327690 AWI327690:AWO327690 BGE327690:BGK327690 BQA327690:BQG327690 BZW327690:CAC327690 CJS327690:CJY327690 CTO327690:CTU327690 DDK327690:DDQ327690 DNG327690:DNM327690 DXC327690:DXI327690 EGY327690:EHE327690 EQU327690:ERA327690 FAQ327690:FAW327690 FKM327690:FKS327690 FUI327690:FUO327690 GEE327690:GEK327690 GOA327690:GOG327690 GXW327690:GYC327690 HHS327690:HHY327690 HRO327690:HRU327690 IBK327690:IBQ327690 ILG327690:ILM327690 IVC327690:IVI327690 JEY327690:JFE327690 JOU327690:JPA327690 JYQ327690:JYW327690 KIM327690:KIS327690 KSI327690:KSO327690 LCE327690:LCK327690 LMA327690:LMG327690 LVW327690:LWC327690 MFS327690:MFY327690 MPO327690:MPU327690 MZK327690:MZQ327690 NJG327690:NJM327690 NTC327690:NTI327690 OCY327690:ODE327690 OMU327690:ONA327690 OWQ327690:OWW327690 PGM327690:PGS327690 PQI327690:PQO327690 QAE327690:QAK327690 QKA327690:QKG327690 QTW327690:QUC327690 RDS327690:RDY327690 RNO327690:RNU327690 RXK327690:RXQ327690 SHG327690:SHM327690 SRC327690:SRI327690 TAY327690:TBE327690 TKU327690:TLA327690 TUQ327690:TUW327690 UEM327690:UES327690 UOI327690:UOO327690 UYE327690:UYK327690 VIA327690:VIG327690 VRW327690:VSC327690 WBS327690:WBY327690 WLO327690:WLU327690 WVK327690:WVQ327690 IY393226:JE393226 SU393226:TA393226 ACQ393226:ACW393226 AMM393226:AMS393226 AWI393226:AWO393226 BGE393226:BGK393226 BQA393226:BQG393226 BZW393226:CAC393226 CJS393226:CJY393226 CTO393226:CTU393226 DDK393226:DDQ393226 DNG393226:DNM393226 DXC393226:DXI393226 EGY393226:EHE393226 EQU393226:ERA393226 FAQ393226:FAW393226 FKM393226:FKS393226 FUI393226:FUO393226 GEE393226:GEK393226 GOA393226:GOG393226 GXW393226:GYC393226 HHS393226:HHY393226 HRO393226:HRU393226 IBK393226:IBQ393226 ILG393226:ILM393226 IVC393226:IVI393226 JEY393226:JFE393226 JOU393226:JPA393226 JYQ393226:JYW393226 KIM393226:KIS393226 KSI393226:KSO393226 LCE393226:LCK393226 LMA393226:LMG393226 LVW393226:LWC393226 MFS393226:MFY393226 MPO393226:MPU393226 MZK393226:MZQ393226 NJG393226:NJM393226 NTC393226:NTI393226 OCY393226:ODE393226 OMU393226:ONA393226 OWQ393226:OWW393226 PGM393226:PGS393226 PQI393226:PQO393226 QAE393226:QAK393226 QKA393226:QKG393226 QTW393226:QUC393226 RDS393226:RDY393226 RNO393226:RNU393226 RXK393226:RXQ393226 SHG393226:SHM393226 SRC393226:SRI393226 TAY393226:TBE393226 TKU393226:TLA393226 TUQ393226:TUW393226 UEM393226:UES393226 UOI393226:UOO393226 UYE393226:UYK393226 VIA393226:VIG393226 VRW393226:VSC393226 WBS393226:WBY393226 WLO393226:WLU393226 WVK393226:WVQ393226 IY458762:JE458762 SU458762:TA458762 ACQ458762:ACW458762 AMM458762:AMS458762 AWI458762:AWO458762 BGE458762:BGK458762 BQA458762:BQG458762 BZW458762:CAC458762 CJS458762:CJY458762 CTO458762:CTU458762 DDK458762:DDQ458762 DNG458762:DNM458762 DXC458762:DXI458762 EGY458762:EHE458762 EQU458762:ERA458762 FAQ458762:FAW458762 FKM458762:FKS458762 FUI458762:FUO458762 GEE458762:GEK458762 GOA458762:GOG458762 GXW458762:GYC458762 HHS458762:HHY458762 HRO458762:HRU458762 IBK458762:IBQ458762 ILG458762:ILM458762 IVC458762:IVI458762 JEY458762:JFE458762 JOU458762:JPA458762 JYQ458762:JYW458762 KIM458762:KIS458762 KSI458762:KSO458762 LCE458762:LCK458762 LMA458762:LMG458762 LVW458762:LWC458762 MFS458762:MFY458762 MPO458762:MPU458762 MZK458762:MZQ458762 NJG458762:NJM458762 NTC458762:NTI458762 OCY458762:ODE458762 OMU458762:ONA458762 OWQ458762:OWW458762 PGM458762:PGS458762 PQI458762:PQO458762 QAE458762:QAK458762 QKA458762:QKG458762 QTW458762:QUC458762 RDS458762:RDY458762 RNO458762:RNU458762 RXK458762:RXQ458762 SHG458762:SHM458762 SRC458762:SRI458762 TAY458762:TBE458762 TKU458762:TLA458762 TUQ458762:TUW458762 UEM458762:UES458762 UOI458762:UOO458762 UYE458762:UYK458762 VIA458762:VIG458762 VRW458762:VSC458762 WBS458762:WBY458762 WLO458762:WLU458762 WVK458762:WVQ458762 IY524298:JE524298 SU524298:TA524298 ACQ524298:ACW524298 AMM524298:AMS524298 AWI524298:AWO524298 BGE524298:BGK524298 BQA524298:BQG524298 BZW524298:CAC524298 CJS524298:CJY524298 CTO524298:CTU524298 DDK524298:DDQ524298 DNG524298:DNM524298 DXC524298:DXI524298 EGY524298:EHE524298 EQU524298:ERA524298 FAQ524298:FAW524298 FKM524298:FKS524298 FUI524298:FUO524298 GEE524298:GEK524298 GOA524298:GOG524298 GXW524298:GYC524298 HHS524298:HHY524298 HRO524298:HRU524298 IBK524298:IBQ524298 ILG524298:ILM524298 IVC524298:IVI524298 JEY524298:JFE524298 JOU524298:JPA524298 JYQ524298:JYW524298 KIM524298:KIS524298 KSI524298:KSO524298 LCE524298:LCK524298 LMA524298:LMG524298 LVW524298:LWC524298 MFS524298:MFY524298 MPO524298:MPU524298 MZK524298:MZQ524298 NJG524298:NJM524298 NTC524298:NTI524298 OCY524298:ODE524298 OMU524298:ONA524298 OWQ524298:OWW524298 PGM524298:PGS524298 PQI524298:PQO524298 QAE524298:QAK524298 QKA524298:QKG524298 QTW524298:QUC524298 RDS524298:RDY524298 RNO524298:RNU524298 RXK524298:RXQ524298 SHG524298:SHM524298 SRC524298:SRI524298 TAY524298:TBE524298 TKU524298:TLA524298 TUQ524298:TUW524298 UEM524298:UES524298 UOI524298:UOO524298 UYE524298:UYK524298 VIA524298:VIG524298 VRW524298:VSC524298 WBS524298:WBY524298 WLO524298:WLU524298 WVK524298:WVQ524298 IY589834:JE589834 SU589834:TA589834 ACQ589834:ACW589834 AMM589834:AMS589834 AWI589834:AWO589834 BGE589834:BGK589834 BQA589834:BQG589834 BZW589834:CAC589834 CJS589834:CJY589834 CTO589834:CTU589834 DDK589834:DDQ589834 DNG589834:DNM589834 DXC589834:DXI589834 EGY589834:EHE589834 EQU589834:ERA589834 FAQ589834:FAW589834 FKM589834:FKS589834 FUI589834:FUO589834 GEE589834:GEK589834 GOA589834:GOG589834 GXW589834:GYC589834 HHS589834:HHY589834 HRO589834:HRU589834 IBK589834:IBQ589834 ILG589834:ILM589834 IVC589834:IVI589834 JEY589834:JFE589834 JOU589834:JPA589834 JYQ589834:JYW589834 KIM589834:KIS589834 KSI589834:KSO589834 LCE589834:LCK589834 LMA589834:LMG589834 LVW589834:LWC589834 MFS589834:MFY589834 MPO589834:MPU589834 MZK589834:MZQ589834 NJG589834:NJM589834 NTC589834:NTI589834 OCY589834:ODE589834 OMU589834:ONA589834 OWQ589834:OWW589834 PGM589834:PGS589834 PQI589834:PQO589834 QAE589834:QAK589834 QKA589834:QKG589834 QTW589834:QUC589834 RDS589834:RDY589834 RNO589834:RNU589834 RXK589834:RXQ589834 SHG589834:SHM589834 SRC589834:SRI589834 TAY589834:TBE589834 TKU589834:TLA589834 TUQ589834:TUW589834 UEM589834:UES589834 UOI589834:UOO589834 UYE589834:UYK589834 VIA589834:VIG589834 VRW589834:VSC589834 WBS589834:WBY589834 WLO589834:WLU589834 WVK589834:WVQ589834 IY655370:JE655370 SU655370:TA655370 ACQ655370:ACW655370 AMM655370:AMS655370 AWI655370:AWO655370 BGE655370:BGK655370 BQA655370:BQG655370 BZW655370:CAC655370 CJS655370:CJY655370 CTO655370:CTU655370 DDK655370:DDQ655370 DNG655370:DNM655370 DXC655370:DXI655370 EGY655370:EHE655370 EQU655370:ERA655370 FAQ655370:FAW655370 FKM655370:FKS655370 FUI655370:FUO655370 GEE655370:GEK655370 GOA655370:GOG655370 GXW655370:GYC655370 HHS655370:HHY655370 HRO655370:HRU655370 IBK655370:IBQ655370 ILG655370:ILM655370 IVC655370:IVI655370 JEY655370:JFE655370 JOU655370:JPA655370 JYQ655370:JYW655370 KIM655370:KIS655370 KSI655370:KSO655370 LCE655370:LCK655370 LMA655370:LMG655370 LVW655370:LWC655370 MFS655370:MFY655370 MPO655370:MPU655370 MZK655370:MZQ655370 NJG655370:NJM655370 NTC655370:NTI655370 OCY655370:ODE655370 OMU655370:ONA655370 OWQ655370:OWW655370 PGM655370:PGS655370 PQI655370:PQO655370 QAE655370:QAK655370 QKA655370:QKG655370 QTW655370:QUC655370 RDS655370:RDY655370 RNO655370:RNU655370 RXK655370:RXQ655370 SHG655370:SHM655370 SRC655370:SRI655370 TAY655370:TBE655370 TKU655370:TLA655370 TUQ655370:TUW655370 UEM655370:UES655370 UOI655370:UOO655370 UYE655370:UYK655370 VIA655370:VIG655370 VRW655370:VSC655370 WBS655370:WBY655370 WLO655370:WLU655370 WVK655370:WVQ655370 IY720906:JE720906 SU720906:TA720906 ACQ720906:ACW720906 AMM720906:AMS720906 AWI720906:AWO720906 BGE720906:BGK720906 BQA720906:BQG720906 BZW720906:CAC720906 CJS720906:CJY720906 CTO720906:CTU720906 DDK720906:DDQ720906 DNG720906:DNM720906 DXC720906:DXI720906 EGY720906:EHE720906 EQU720906:ERA720906 FAQ720906:FAW720906 FKM720906:FKS720906 FUI720906:FUO720906 GEE720906:GEK720906 GOA720906:GOG720906 GXW720906:GYC720906 HHS720906:HHY720906 HRO720906:HRU720906 IBK720906:IBQ720906 ILG720906:ILM720906 IVC720906:IVI720906 JEY720906:JFE720906 JOU720906:JPA720906 JYQ720906:JYW720906 KIM720906:KIS720906 KSI720906:KSO720906 LCE720906:LCK720906 LMA720906:LMG720906 LVW720906:LWC720906 MFS720906:MFY720906 MPO720906:MPU720906 MZK720906:MZQ720906 NJG720906:NJM720906 NTC720906:NTI720906 OCY720906:ODE720906 OMU720906:ONA720906 OWQ720906:OWW720906 PGM720906:PGS720906 PQI720906:PQO720906 QAE720906:QAK720906 QKA720906:QKG720906 QTW720906:QUC720906 RDS720906:RDY720906 RNO720906:RNU720906 RXK720906:RXQ720906 SHG720906:SHM720906 SRC720906:SRI720906 TAY720906:TBE720906 TKU720906:TLA720906 TUQ720906:TUW720906 UEM720906:UES720906 UOI720906:UOO720906 UYE720906:UYK720906 VIA720906:VIG720906 VRW720906:VSC720906 WBS720906:WBY720906 WLO720906:WLU720906 WVK720906:WVQ720906 IY786442:JE786442 SU786442:TA786442 ACQ786442:ACW786442 AMM786442:AMS786442 AWI786442:AWO786442 BGE786442:BGK786442 BQA786442:BQG786442 BZW786442:CAC786442 CJS786442:CJY786442 CTO786442:CTU786442 DDK786442:DDQ786442 DNG786442:DNM786442 DXC786442:DXI786442 EGY786442:EHE786442 EQU786442:ERA786442 FAQ786442:FAW786442 FKM786442:FKS786442 FUI786442:FUO786442 GEE786442:GEK786442 GOA786442:GOG786442 GXW786442:GYC786442 HHS786442:HHY786442 HRO786442:HRU786442 IBK786442:IBQ786442 ILG786442:ILM786442 IVC786442:IVI786442 JEY786442:JFE786442 JOU786442:JPA786442 JYQ786442:JYW786442 KIM786442:KIS786442 KSI786442:KSO786442 LCE786442:LCK786442 LMA786442:LMG786442 LVW786442:LWC786442 MFS786442:MFY786442 MPO786442:MPU786442 MZK786442:MZQ786442 NJG786442:NJM786442 NTC786442:NTI786442 OCY786442:ODE786442 OMU786442:ONA786442 OWQ786442:OWW786442 PGM786442:PGS786442 PQI786442:PQO786442 QAE786442:QAK786442 QKA786442:QKG786442 QTW786442:QUC786442 RDS786442:RDY786442 RNO786442:RNU786442 RXK786442:RXQ786442 SHG786442:SHM786442 SRC786442:SRI786442 TAY786442:TBE786442 TKU786442:TLA786442 TUQ786442:TUW786442 UEM786442:UES786442 UOI786442:UOO786442 UYE786442:UYK786442 VIA786442:VIG786442 VRW786442:VSC786442 WBS786442:WBY786442 WLO786442:WLU786442 WVK786442:WVQ786442 IY851978:JE851978 SU851978:TA851978 ACQ851978:ACW851978 AMM851978:AMS851978 AWI851978:AWO851978 BGE851978:BGK851978 BQA851978:BQG851978 BZW851978:CAC851978 CJS851978:CJY851978 CTO851978:CTU851978 DDK851978:DDQ851978 DNG851978:DNM851978 DXC851978:DXI851978 EGY851978:EHE851978 EQU851978:ERA851978 FAQ851978:FAW851978 FKM851978:FKS851978 FUI851978:FUO851978 GEE851978:GEK851978 GOA851978:GOG851978 GXW851978:GYC851978 HHS851978:HHY851978 HRO851978:HRU851978 IBK851978:IBQ851978 ILG851978:ILM851978 IVC851978:IVI851978 JEY851978:JFE851978 JOU851978:JPA851978 JYQ851978:JYW851978 KIM851978:KIS851978 KSI851978:KSO851978 LCE851978:LCK851978 LMA851978:LMG851978 LVW851978:LWC851978 MFS851978:MFY851978 MPO851978:MPU851978 MZK851978:MZQ851978 NJG851978:NJM851978 NTC851978:NTI851978 OCY851978:ODE851978 OMU851978:ONA851978 OWQ851978:OWW851978 PGM851978:PGS851978 PQI851978:PQO851978 QAE851978:QAK851978 QKA851978:QKG851978 QTW851978:QUC851978 RDS851978:RDY851978 RNO851978:RNU851978 RXK851978:RXQ851978 SHG851978:SHM851978 SRC851978:SRI851978 TAY851978:TBE851978 TKU851978:TLA851978 TUQ851978:TUW851978 UEM851978:UES851978 UOI851978:UOO851978 UYE851978:UYK851978 VIA851978:VIG851978 VRW851978:VSC851978 WBS851978:WBY851978 WLO851978:WLU851978 WVK851978:WVQ851978 IY917514:JE917514 SU917514:TA917514 ACQ917514:ACW917514 AMM917514:AMS917514 AWI917514:AWO917514 BGE917514:BGK917514 BQA917514:BQG917514 BZW917514:CAC917514 CJS917514:CJY917514 CTO917514:CTU917514 DDK917514:DDQ917514 DNG917514:DNM917514 DXC917514:DXI917514 EGY917514:EHE917514 EQU917514:ERA917514 FAQ917514:FAW917514 FKM917514:FKS917514 FUI917514:FUO917514 GEE917514:GEK917514 GOA917514:GOG917514 GXW917514:GYC917514 HHS917514:HHY917514 HRO917514:HRU917514 IBK917514:IBQ917514 ILG917514:ILM917514 IVC917514:IVI917514 JEY917514:JFE917514 JOU917514:JPA917514 JYQ917514:JYW917514 KIM917514:KIS917514 KSI917514:KSO917514 LCE917514:LCK917514 LMA917514:LMG917514 LVW917514:LWC917514 MFS917514:MFY917514 MPO917514:MPU917514 MZK917514:MZQ917514 NJG917514:NJM917514 NTC917514:NTI917514 OCY917514:ODE917514 OMU917514:ONA917514 OWQ917514:OWW917514 PGM917514:PGS917514 PQI917514:PQO917514 QAE917514:QAK917514 QKA917514:QKG917514 QTW917514:QUC917514 RDS917514:RDY917514 RNO917514:RNU917514 RXK917514:RXQ917514 SHG917514:SHM917514 SRC917514:SRI917514 TAY917514:TBE917514 TKU917514:TLA917514 TUQ917514:TUW917514 UEM917514:UES917514 UOI917514:UOO917514 UYE917514:UYK917514 VIA917514:VIG917514 VRW917514:VSC917514 WBS917514:WBY917514 WLO917514:WLU917514 WVK917514:WVQ917514 IY983050:JE983050 SU983050:TA983050 ACQ983050:ACW983050 AMM983050:AMS983050 AWI983050:AWO983050 BGE983050:BGK983050 BQA983050:BQG983050 BZW983050:CAC983050 CJS983050:CJY983050 CTO983050:CTU983050 DDK983050:DDQ983050 DNG983050:DNM983050 DXC983050:DXI983050 EGY983050:EHE983050 EQU983050:ERA983050 FAQ983050:FAW983050 FKM983050:FKS983050 FUI983050:FUO983050 GEE983050:GEK983050 GOA983050:GOG983050 GXW983050:GYC983050 HHS983050:HHY983050 HRO983050:HRU983050 IBK983050:IBQ983050 ILG983050:ILM983050 IVC983050:IVI983050 JEY983050:JFE983050 JOU983050:JPA983050 JYQ983050:JYW983050 KIM983050:KIS983050 KSI983050:KSO983050 LCE983050:LCK983050 LMA983050:LMG983050 LVW983050:LWC983050 MFS983050:MFY983050 MPO983050:MPU983050 MZK983050:MZQ983050 NJG983050:NJM983050 NTC983050:NTI983050 OCY983050:ODE983050 OMU983050:ONA983050 OWQ983050:OWW983050 PGM983050:PGS983050 PQI983050:PQO983050 QAE983050:QAK983050 QKA983050:QKG983050 QTW983050:QUC983050 RDS983050:RDY983050 RNO983050:RNU983050 RXK983050:RXQ983050 SHG983050:SHM983050 SRC983050:SRI983050 TAY983050:TBE983050 TKU983050:TLA983050 TUQ983050:TUW983050 UEM983050:UES983050 UOI983050:UOO983050 UYE983050:UYK983050 VIA983050:VIG983050 VRW983050:VSC983050 WBS983050:WBY983050 WLO983050:WLU983050 WVK983050:WVQ983050 D983050:J983050 D917514:J917514 D851978:J851978 D786442:J786442 D720906:J720906 D655370:J655370 D589834:J589834 D524298:J524298 D458762:J458762 D393226:J393226 D327690:J327690 D262154:J262154 D196618:J196618 D131082:J131082 D65546:J65546 D21"/>
    <dataValidation allowBlank="1" showInputMessage="1" showErrorMessage="1" promptTitle="Alamat Saudara Kandung" prompt="Diisi Alamat lengkap dari Saudara Kandung Pemohon yang dapat dihubungi dan tidak serumah dengan Pemohon" sqref="IY65558:JE65559 SU65558:TA65559 ACQ65558:ACW65559 AMM65558:AMS65559 AWI65558:AWO65559 BGE65558:BGK65559 BQA65558:BQG65559 BZW65558:CAC65559 CJS65558:CJY65559 CTO65558:CTU65559 DDK65558:DDQ65559 DNG65558:DNM65559 DXC65558:DXI65559 EGY65558:EHE65559 EQU65558:ERA65559 FAQ65558:FAW65559 FKM65558:FKS65559 FUI65558:FUO65559 GEE65558:GEK65559 GOA65558:GOG65559 GXW65558:GYC65559 HHS65558:HHY65559 HRO65558:HRU65559 IBK65558:IBQ65559 ILG65558:ILM65559 IVC65558:IVI65559 JEY65558:JFE65559 JOU65558:JPA65559 JYQ65558:JYW65559 KIM65558:KIS65559 KSI65558:KSO65559 LCE65558:LCK65559 LMA65558:LMG65559 LVW65558:LWC65559 MFS65558:MFY65559 MPO65558:MPU65559 MZK65558:MZQ65559 NJG65558:NJM65559 NTC65558:NTI65559 OCY65558:ODE65559 OMU65558:ONA65559 OWQ65558:OWW65559 PGM65558:PGS65559 PQI65558:PQO65559 QAE65558:QAK65559 QKA65558:QKG65559 QTW65558:QUC65559 RDS65558:RDY65559 RNO65558:RNU65559 RXK65558:RXQ65559 SHG65558:SHM65559 SRC65558:SRI65559 TAY65558:TBE65559 TKU65558:TLA65559 TUQ65558:TUW65559 UEM65558:UES65559 UOI65558:UOO65559 UYE65558:UYK65559 VIA65558:VIG65559 VRW65558:VSC65559 WBS65558:WBY65559 WLO65558:WLU65559 WVK65558:WVQ65559 IY131094:JE131095 SU131094:TA131095 ACQ131094:ACW131095 AMM131094:AMS131095 AWI131094:AWO131095 BGE131094:BGK131095 BQA131094:BQG131095 BZW131094:CAC131095 CJS131094:CJY131095 CTO131094:CTU131095 DDK131094:DDQ131095 DNG131094:DNM131095 DXC131094:DXI131095 EGY131094:EHE131095 EQU131094:ERA131095 FAQ131094:FAW131095 FKM131094:FKS131095 FUI131094:FUO131095 GEE131094:GEK131095 GOA131094:GOG131095 GXW131094:GYC131095 HHS131094:HHY131095 HRO131094:HRU131095 IBK131094:IBQ131095 ILG131094:ILM131095 IVC131094:IVI131095 JEY131094:JFE131095 JOU131094:JPA131095 JYQ131094:JYW131095 KIM131094:KIS131095 KSI131094:KSO131095 LCE131094:LCK131095 LMA131094:LMG131095 LVW131094:LWC131095 MFS131094:MFY131095 MPO131094:MPU131095 MZK131094:MZQ131095 NJG131094:NJM131095 NTC131094:NTI131095 OCY131094:ODE131095 OMU131094:ONA131095 OWQ131094:OWW131095 PGM131094:PGS131095 PQI131094:PQO131095 QAE131094:QAK131095 QKA131094:QKG131095 QTW131094:QUC131095 RDS131094:RDY131095 RNO131094:RNU131095 RXK131094:RXQ131095 SHG131094:SHM131095 SRC131094:SRI131095 TAY131094:TBE131095 TKU131094:TLA131095 TUQ131094:TUW131095 UEM131094:UES131095 UOI131094:UOO131095 UYE131094:UYK131095 VIA131094:VIG131095 VRW131094:VSC131095 WBS131094:WBY131095 WLO131094:WLU131095 WVK131094:WVQ131095 IY196630:JE196631 SU196630:TA196631 ACQ196630:ACW196631 AMM196630:AMS196631 AWI196630:AWO196631 BGE196630:BGK196631 BQA196630:BQG196631 BZW196630:CAC196631 CJS196630:CJY196631 CTO196630:CTU196631 DDK196630:DDQ196631 DNG196630:DNM196631 DXC196630:DXI196631 EGY196630:EHE196631 EQU196630:ERA196631 FAQ196630:FAW196631 FKM196630:FKS196631 FUI196630:FUO196631 GEE196630:GEK196631 GOA196630:GOG196631 GXW196630:GYC196631 HHS196630:HHY196631 HRO196630:HRU196631 IBK196630:IBQ196631 ILG196630:ILM196631 IVC196630:IVI196631 JEY196630:JFE196631 JOU196630:JPA196631 JYQ196630:JYW196631 KIM196630:KIS196631 KSI196630:KSO196631 LCE196630:LCK196631 LMA196630:LMG196631 LVW196630:LWC196631 MFS196630:MFY196631 MPO196630:MPU196631 MZK196630:MZQ196631 NJG196630:NJM196631 NTC196630:NTI196631 OCY196630:ODE196631 OMU196630:ONA196631 OWQ196630:OWW196631 PGM196630:PGS196631 PQI196630:PQO196631 QAE196630:QAK196631 QKA196630:QKG196631 QTW196630:QUC196631 RDS196630:RDY196631 RNO196630:RNU196631 RXK196630:RXQ196631 SHG196630:SHM196631 SRC196630:SRI196631 TAY196630:TBE196631 TKU196630:TLA196631 TUQ196630:TUW196631 UEM196630:UES196631 UOI196630:UOO196631 UYE196630:UYK196631 VIA196630:VIG196631 VRW196630:VSC196631 WBS196630:WBY196631 WLO196630:WLU196631 WVK196630:WVQ196631 IY262166:JE262167 SU262166:TA262167 ACQ262166:ACW262167 AMM262166:AMS262167 AWI262166:AWO262167 BGE262166:BGK262167 BQA262166:BQG262167 BZW262166:CAC262167 CJS262166:CJY262167 CTO262166:CTU262167 DDK262166:DDQ262167 DNG262166:DNM262167 DXC262166:DXI262167 EGY262166:EHE262167 EQU262166:ERA262167 FAQ262166:FAW262167 FKM262166:FKS262167 FUI262166:FUO262167 GEE262166:GEK262167 GOA262166:GOG262167 GXW262166:GYC262167 HHS262166:HHY262167 HRO262166:HRU262167 IBK262166:IBQ262167 ILG262166:ILM262167 IVC262166:IVI262167 JEY262166:JFE262167 JOU262166:JPA262167 JYQ262166:JYW262167 KIM262166:KIS262167 KSI262166:KSO262167 LCE262166:LCK262167 LMA262166:LMG262167 LVW262166:LWC262167 MFS262166:MFY262167 MPO262166:MPU262167 MZK262166:MZQ262167 NJG262166:NJM262167 NTC262166:NTI262167 OCY262166:ODE262167 OMU262166:ONA262167 OWQ262166:OWW262167 PGM262166:PGS262167 PQI262166:PQO262167 QAE262166:QAK262167 QKA262166:QKG262167 QTW262166:QUC262167 RDS262166:RDY262167 RNO262166:RNU262167 RXK262166:RXQ262167 SHG262166:SHM262167 SRC262166:SRI262167 TAY262166:TBE262167 TKU262166:TLA262167 TUQ262166:TUW262167 UEM262166:UES262167 UOI262166:UOO262167 UYE262166:UYK262167 VIA262166:VIG262167 VRW262166:VSC262167 WBS262166:WBY262167 WLO262166:WLU262167 WVK262166:WVQ262167 IY327702:JE327703 SU327702:TA327703 ACQ327702:ACW327703 AMM327702:AMS327703 AWI327702:AWO327703 BGE327702:BGK327703 BQA327702:BQG327703 BZW327702:CAC327703 CJS327702:CJY327703 CTO327702:CTU327703 DDK327702:DDQ327703 DNG327702:DNM327703 DXC327702:DXI327703 EGY327702:EHE327703 EQU327702:ERA327703 FAQ327702:FAW327703 FKM327702:FKS327703 FUI327702:FUO327703 GEE327702:GEK327703 GOA327702:GOG327703 GXW327702:GYC327703 HHS327702:HHY327703 HRO327702:HRU327703 IBK327702:IBQ327703 ILG327702:ILM327703 IVC327702:IVI327703 JEY327702:JFE327703 JOU327702:JPA327703 JYQ327702:JYW327703 KIM327702:KIS327703 KSI327702:KSO327703 LCE327702:LCK327703 LMA327702:LMG327703 LVW327702:LWC327703 MFS327702:MFY327703 MPO327702:MPU327703 MZK327702:MZQ327703 NJG327702:NJM327703 NTC327702:NTI327703 OCY327702:ODE327703 OMU327702:ONA327703 OWQ327702:OWW327703 PGM327702:PGS327703 PQI327702:PQO327703 QAE327702:QAK327703 QKA327702:QKG327703 QTW327702:QUC327703 RDS327702:RDY327703 RNO327702:RNU327703 RXK327702:RXQ327703 SHG327702:SHM327703 SRC327702:SRI327703 TAY327702:TBE327703 TKU327702:TLA327703 TUQ327702:TUW327703 UEM327702:UES327703 UOI327702:UOO327703 UYE327702:UYK327703 VIA327702:VIG327703 VRW327702:VSC327703 WBS327702:WBY327703 WLO327702:WLU327703 WVK327702:WVQ327703 IY393238:JE393239 SU393238:TA393239 ACQ393238:ACW393239 AMM393238:AMS393239 AWI393238:AWO393239 BGE393238:BGK393239 BQA393238:BQG393239 BZW393238:CAC393239 CJS393238:CJY393239 CTO393238:CTU393239 DDK393238:DDQ393239 DNG393238:DNM393239 DXC393238:DXI393239 EGY393238:EHE393239 EQU393238:ERA393239 FAQ393238:FAW393239 FKM393238:FKS393239 FUI393238:FUO393239 GEE393238:GEK393239 GOA393238:GOG393239 GXW393238:GYC393239 HHS393238:HHY393239 HRO393238:HRU393239 IBK393238:IBQ393239 ILG393238:ILM393239 IVC393238:IVI393239 JEY393238:JFE393239 JOU393238:JPA393239 JYQ393238:JYW393239 KIM393238:KIS393239 KSI393238:KSO393239 LCE393238:LCK393239 LMA393238:LMG393239 LVW393238:LWC393239 MFS393238:MFY393239 MPO393238:MPU393239 MZK393238:MZQ393239 NJG393238:NJM393239 NTC393238:NTI393239 OCY393238:ODE393239 OMU393238:ONA393239 OWQ393238:OWW393239 PGM393238:PGS393239 PQI393238:PQO393239 QAE393238:QAK393239 QKA393238:QKG393239 QTW393238:QUC393239 RDS393238:RDY393239 RNO393238:RNU393239 RXK393238:RXQ393239 SHG393238:SHM393239 SRC393238:SRI393239 TAY393238:TBE393239 TKU393238:TLA393239 TUQ393238:TUW393239 UEM393238:UES393239 UOI393238:UOO393239 UYE393238:UYK393239 VIA393238:VIG393239 VRW393238:VSC393239 WBS393238:WBY393239 WLO393238:WLU393239 WVK393238:WVQ393239 IY458774:JE458775 SU458774:TA458775 ACQ458774:ACW458775 AMM458774:AMS458775 AWI458774:AWO458775 BGE458774:BGK458775 BQA458774:BQG458775 BZW458774:CAC458775 CJS458774:CJY458775 CTO458774:CTU458775 DDK458774:DDQ458775 DNG458774:DNM458775 DXC458774:DXI458775 EGY458774:EHE458775 EQU458774:ERA458775 FAQ458774:FAW458775 FKM458774:FKS458775 FUI458774:FUO458775 GEE458774:GEK458775 GOA458774:GOG458775 GXW458774:GYC458775 HHS458774:HHY458775 HRO458774:HRU458775 IBK458774:IBQ458775 ILG458774:ILM458775 IVC458774:IVI458775 JEY458774:JFE458775 JOU458774:JPA458775 JYQ458774:JYW458775 KIM458774:KIS458775 KSI458774:KSO458775 LCE458774:LCK458775 LMA458774:LMG458775 LVW458774:LWC458775 MFS458774:MFY458775 MPO458774:MPU458775 MZK458774:MZQ458775 NJG458774:NJM458775 NTC458774:NTI458775 OCY458774:ODE458775 OMU458774:ONA458775 OWQ458774:OWW458775 PGM458774:PGS458775 PQI458774:PQO458775 QAE458774:QAK458775 QKA458774:QKG458775 QTW458774:QUC458775 RDS458774:RDY458775 RNO458774:RNU458775 RXK458774:RXQ458775 SHG458774:SHM458775 SRC458774:SRI458775 TAY458774:TBE458775 TKU458774:TLA458775 TUQ458774:TUW458775 UEM458774:UES458775 UOI458774:UOO458775 UYE458774:UYK458775 VIA458774:VIG458775 VRW458774:VSC458775 WBS458774:WBY458775 WLO458774:WLU458775 WVK458774:WVQ458775 IY524310:JE524311 SU524310:TA524311 ACQ524310:ACW524311 AMM524310:AMS524311 AWI524310:AWO524311 BGE524310:BGK524311 BQA524310:BQG524311 BZW524310:CAC524311 CJS524310:CJY524311 CTO524310:CTU524311 DDK524310:DDQ524311 DNG524310:DNM524311 DXC524310:DXI524311 EGY524310:EHE524311 EQU524310:ERA524311 FAQ524310:FAW524311 FKM524310:FKS524311 FUI524310:FUO524311 GEE524310:GEK524311 GOA524310:GOG524311 GXW524310:GYC524311 HHS524310:HHY524311 HRO524310:HRU524311 IBK524310:IBQ524311 ILG524310:ILM524311 IVC524310:IVI524311 JEY524310:JFE524311 JOU524310:JPA524311 JYQ524310:JYW524311 KIM524310:KIS524311 KSI524310:KSO524311 LCE524310:LCK524311 LMA524310:LMG524311 LVW524310:LWC524311 MFS524310:MFY524311 MPO524310:MPU524311 MZK524310:MZQ524311 NJG524310:NJM524311 NTC524310:NTI524311 OCY524310:ODE524311 OMU524310:ONA524311 OWQ524310:OWW524311 PGM524310:PGS524311 PQI524310:PQO524311 QAE524310:QAK524311 QKA524310:QKG524311 QTW524310:QUC524311 RDS524310:RDY524311 RNO524310:RNU524311 RXK524310:RXQ524311 SHG524310:SHM524311 SRC524310:SRI524311 TAY524310:TBE524311 TKU524310:TLA524311 TUQ524310:TUW524311 UEM524310:UES524311 UOI524310:UOO524311 UYE524310:UYK524311 VIA524310:VIG524311 VRW524310:VSC524311 WBS524310:WBY524311 WLO524310:WLU524311 WVK524310:WVQ524311 IY589846:JE589847 SU589846:TA589847 ACQ589846:ACW589847 AMM589846:AMS589847 AWI589846:AWO589847 BGE589846:BGK589847 BQA589846:BQG589847 BZW589846:CAC589847 CJS589846:CJY589847 CTO589846:CTU589847 DDK589846:DDQ589847 DNG589846:DNM589847 DXC589846:DXI589847 EGY589846:EHE589847 EQU589846:ERA589847 FAQ589846:FAW589847 FKM589846:FKS589847 FUI589846:FUO589847 GEE589846:GEK589847 GOA589846:GOG589847 GXW589846:GYC589847 HHS589846:HHY589847 HRO589846:HRU589847 IBK589846:IBQ589847 ILG589846:ILM589847 IVC589846:IVI589847 JEY589846:JFE589847 JOU589846:JPA589847 JYQ589846:JYW589847 KIM589846:KIS589847 KSI589846:KSO589847 LCE589846:LCK589847 LMA589846:LMG589847 LVW589846:LWC589847 MFS589846:MFY589847 MPO589846:MPU589847 MZK589846:MZQ589847 NJG589846:NJM589847 NTC589846:NTI589847 OCY589846:ODE589847 OMU589846:ONA589847 OWQ589846:OWW589847 PGM589846:PGS589847 PQI589846:PQO589847 QAE589846:QAK589847 QKA589846:QKG589847 QTW589846:QUC589847 RDS589846:RDY589847 RNO589846:RNU589847 RXK589846:RXQ589847 SHG589846:SHM589847 SRC589846:SRI589847 TAY589846:TBE589847 TKU589846:TLA589847 TUQ589846:TUW589847 UEM589846:UES589847 UOI589846:UOO589847 UYE589846:UYK589847 VIA589846:VIG589847 VRW589846:VSC589847 WBS589846:WBY589847 WLO589846:WLU589847 WVK589846:WVQ589847 IY655382:JE655383 SU655382:TA655383 ACQ655382:ACW655383 AMM655382:AMS655383 AWI655382:AWO655383 BGE655382:BGK655383 BQA655382:BQG655383 BZW655382:CAC655383 CJS655382:CJY655383 CTO655382:CTU655383 DDK655382:DDQ655383 DNG655382:DNM655383 DXC655382:DXI655383 EGY655382:EHE655383 EQU655382:ERA655383 FAQ655382:FAW655383 FKM655382:FKS655383 FUI655382:FUO655383 GEE655382:GEK655383 GOA655382:GOG655383 GXW655382:GYC655383 HHS655382:HHY655383 HRO655382:HRU655383 IBK655382:IBQ655383 ILG655382:ILM655383 IVC655382:IVI655383 JEY655382:JFE655383 JOU655382:JPA655383 JYQ655382:JYW655383 KIM655382:KIS655383 KSI655382:KSO655383 LCE655382:LCK655383 LMA655382:LMG655383 LVW655382:LWC655383 MFS655382:MFY655383 MPO655382:MPU655383 MZK655382:MZQ655383 NJG655382:NJM655383 NTC655382:NTI655383 OCY655382:ODE655383 OMU655382:ONA655383 OWQ655382:OWW655383 PGM655382:PGS655383 PQI655382:PQO655383 QAE655382:QAK655383 QKA655382:QKG655383 QTW655382:QUC655383 RDS655382:RDY655383 RNO655382:RNU655383 RXK655382:RXQ655383 SHG655382:SHM655383 SRC655382:SRI655383 TAY655382:TBE655383 TKU655382:TLA655383 TUQ655382:TUW655383 UEM655382:UES655383 UOI655382:UOO655383 UYE655382:UYK655383 VIA655382:VIG655383 VRW655382:VSC655383 WBS655382:WBY655383 WLO655382:WLU655383 WVK655382:WVQ655383 IY720918:JE720919 SU720918:TA720919 ACQ720918:ACW720919 AMM720918:AMS720919 AWI720918:AWO720919 BGE720918:BGK720919 BQA720918:BQG720919 BZW720918:CAC720919 CJS720918:CJY720919 CTO720918:CTU720919 DDK720918:DDQ720919 DNG720918:DNM720919 DXC720918:DXI720919 EGY720918:EHE720919 EQU720918:ERA720919 FAQ720918:FAW720919 FKM720918:FKS720919 FUI720918:FUO720919 GEE720918:GEK720919 GOA720918:GOG720919 GXW720918:GYC720919 HHS720918:HHY720919 HRO720918:HRU720919 IBK720918:IBQ720919 ILG720918:ILM720919 IVC720918:IVI720919 JEY720918:JFE720919 JOU720918:JPA720919 JYQ720918:JYW720919 KIM720918:KIS720919 KSI720918:KSO720919 LCE720918:LCK720919 LMA720918:LMG720919 LVW720918:LWC720919 MFS720918:MFY720919 MPO720918:MPU720919 MZK720918:MZQ720919 NJG720918:NJM720919 NTC720918:NTI720919 OCY720918:ODE720919 OMU720918:ONA720919 OWQ720918:OWW720919 PGM720918:PGS720919 PQI720918:PQO720919 QAE720918:QAK720919 QKA720918:QKG720919 QTW720918:QUC720919 RDS720918:RDY720919 RNO720918:RNU720919 RXK720918:RXQ720919 SHG720918:SHM720919 SRC720918:SRI720919 TAY720918:TBE720919 TKU720918:TLA720919 TUQ720918:TUW720919 UEM720918:UES720919 UOI720918:UOO720919 UYE720918:UYK720919 VIA720918:VIG720919 VRW720918:VSC720919 WBS720918:WBY720919 WLO720918:WLU720919 WVK720918:WVQ720919 IY786454:JE786455 SU786454:TA786455 ACQ786454:ACW786455 AMM786454:AMS786455 AWI786454:AWO786455 BGE786454:BGK786455 BQA786454:BQG786455 BZW786454:CAC786455 CJS786454:CJY786455 CTO786454:CTU786455 DDK786454:DDQ786455 DNG786454:DNM786455 DXC786454:DXI786455 EGY786454:EHE786455 EQU786454:ERA786455 FAQ786454:FAW786455 FKM786454:FKS786455 FUI786454:FUO786455 GEE786454:GEK786455 GOA786454:GOG786455 GXW786454:GYC786455 HHS786454:HHY786455 HRO786454:HRU786455 IBK786454:IBQ786455 ILG786454:ILM786455 IVC786454:IVI786455 JEY786454:JFE786455 JOU786454:JPA786455 JYQ786454:JYW786455 KIM786454:KIS786455 KSI786454:KSO786455 LCE786454:LCK786455 LMA786454:LMG786455 LVW786454:LWC786455 MFS786454:MFY786455 MPO786454:MPU786455 MZK786454:MZQ786455 NJG786454:NJM786455 NTC786454:NTI786455 OCY786454:ODE786455 OMU786454:ONA786455 OWQ786454:OWW786455 PGM786454:PGS786455 PQI786454:PQO786455 QAE786454:QAK786455 QKA786454:QKG786455 QTW786454:QUC786455 RDS786454:RDY786455 RNO786454:RNU786455 RXK786454:RXQ786455 SHG786454:SHM786455 SRC786454:SRI786455 TAY786454:TBE786455 TKU786454:TLA786455 TUQ786454:TUW786455 UEM786454:UES786455 UOI786454:UOO786455 UYE786454:UYK786455 VIA786454:VIG786455 VRW786454:VSC786455 WBS786454:WBY786455 WLO786454:WLU786455 WVK786454:WVQ786455 IY851990:JE851991 SU851990:TA851991 ACQ851990:ACW851991 AMM851990:AMS851991 AWI851990:AWO851991 BGE851990:BGK851991 BQA851990:BQG851991 BZW851990:CAC851991 CJS851990:CJY851991 CTO851990:CTU851991 DDK851990:DDQ851991 DNG851990:DNM851991 DXC851990:DXI851991 EGY851990:EHE851991 EQU851990:ERA851991 FAQ851990:FAW851991 FKM851990:FKS851991 FUI851990:FUO851991 GEE851990:GEK851991 GOA851990:GOG851991 GXW851990:GYC851991 HHS851990:HHY851991 HRO851990:HRU851991 IBK851990:IBQ851991 ILG851990:ILM851991 IVC851990:IVI851991 JEY851990:JFE851991 JOU851990:JPA851991 JYQ851990:JYW851991 KIM851990:KIS851991 KSI851990:KSO851991 LCE851990:LCK851991 LMA851990:LMG851991 LVW851990:LWC851991 MFS851990:MFY851991 MPO851990:MPU851991 MZK851990:MZQ851991 NJG851990:NJM851991 NTC851990:NTI851991 OCY851990:ODE851991 OMU851990:ONA851991 OWQ851990:OWW851991 PGM851990:PGS851991 PQI851990:PQO851991 QAE851990:QAK851991 QKA851990:QKG851991 QTW851990:QUC851991 RDS851990:RDY851991 RNO851990:RNU851991 RXK851990:RXQ851991 SHG851990:SHM851991 SRC851990:SRI851991 TAY851990:TBE851991 TKU851990:TLA851991 TUQ851990:TUW851991 UEM851990:UES851991 UOI851990:UOO851991 UYE851990:UYK851991 VIA851990:VIG851991 VRW851990:VSC851991 WBS851990:WBY851991 WLO851990:WLU851991 WVK851990:WVQ851991 IY917526:JE917527 SU917526:TA917527 ACQ917526:ACW917527 AMM917526:AMS917527 AWI917526:AWO917527 BGE917526:BGK917527 BQA917526:BQG917527 BZW917526:CAC917527 CJS917526:CJY917527 CTO917526:CTU917527 DDK917526:DDQ917527 DNG917526:DNM917527 DXC917526:DXI917527 EGY917526:EHE917527 EQU917526:ERA917527 FAQ917526:FAW917527 FKM917526:FKS917527 FUI917526:FUO917527 GEE917526:GEK917527 GOA917526:GOG917527 GXW917526:GYC917527 HHS917526:HHY917527 HRO917526:HRU917527 IBK917526:IBQ917527 ILG917526:ILM917527 IVC917526:IVI917527 JEY917526:JFE917527 JOU917526:JPA917527 JYQ917526:JYW917527 KIM917526:KIS917527 KSI917526:KSO917527 LCE917526:LCK917527 LMA917526:LMG917527 LVW917526:LWC917527 MFS917526:MFY917527 MPO917526:MPU917527 MZK917526:MZQ917527 NJG917526:NJM917527 NTC917526:NTI917527 OCY917526:ODE917527 OMU917526:ONA917527 OWQ917526:OWW917527 PGM917526:PGS917527 PQI917526:PQO917527 QAE917526:QAK917527 QKA917526:QKG917527 QTW917526:QUC917527 RDS917526:RDY917527 RNO917526:RNU917527 RXK917526:RXQ917527 SHG917526:SHM917527 SRC917526:SRI917527 TAY917526:TBE917527 TKU917526:TLA917527 TUQ917526:TUW917527 UEM917526:UES917527 UOI917526:UOO917527 UYE917526:UYK917527 VIA917526:VIG917527 VRW917526:VSC917527 WBS917526:WBY917527 WLO917526:WLU917527 WVK917526:WVQ917527 IY983062:JE983063 SU983062:TA983063 ACQ983062:ACW983063 AMM983062:AMS983063 AWI983062:AWO983063 BGE983062:BGK983063 BQA983062:BQG983063 BZW983062:CAC983063 CJS983062:CJY983063 CTO983062:CTU983063 DDK983062:DDQ983063 DNG983062:DNM983063 DXC983062:DXI983063 EGY983062:EHE983063 EQU983062:ERA983063 FAQ983062:FAW983063 FKM983062:FKS983063 FUI983062:FUO983063 GEE983062:GEK983063 GOA983062:GOG983063 GXW983062:GYC983063 HHS983062:HHY983063 HRO983062:HRU983063 IBK983062:IBQ983063 ILG983062:ILM983063 IVC983062:IVI983063 JEY983062:JFE983063 JOU983062:JPA983063 JYQ983062:JYW983063 KIM983062:KIS983063 KSI983062:KSO983063 LCE983062:LCK983063 LMA983062:LMG983063 LVW983062:LWC983063 MFS983062:MFY983063 MPO983062:MPU983063 MZK983062:MZQ983063 NJG983062:NJM983063 NTC983062:NTI983063 OCY983062:ODE983063 OMU983062:ONA983063 OWQ983062:OWW983063 PGM983062:PGS983063 PQI983062:PQO983063 QAE983062:QAK983063 QKA983062:QKG983063 QTW983062:QUC983063 RDS983062:RDY983063 RNO983062:RNU983063 RXK983062:RXQ983063 SHG983062:SHM983063 SRC983062:SRI983063 TAY983062:TBE983063 TKU983062:TLA983063 TUQ983062:TUW983063 UEM983062:UES983063 UOI983062:UOO983063 UYE983062:UYK983063 VIA983062:VIG983063 VRW983062:VSC983063 WBS983062:WBY983063 WLO983062:WLU983063 WVK983062:WVQ983063 D983062:J983063 D917526:J917527 D851990:J851991 D786454:J786455 D720918:J720919 D655382:J655383 D589846:J589847 D524310:J524311 D458774:J458775 D393238:J393239 D327702:J327703 D262166:J262167 D196630:J196631 D131094:J131095 D65558:J65559"/>
    <dataValidation allowBlank="1" showInputMessage="1" showErrorMessage="1" promptTitle="Saudara Kandung" prompt="Diisi Nama Lengkap Saudara Kandung dari Pemohon yang dapat dihubungi dan bertempat tinggal TIDAK SERUMAH dengan Pemohon" sqref="IY30:JE30 SU30:TA30 ACQ30:ACW30 AMM30:AMS30 AWI30:AWO30 BGE30:BGK30 BQA30:BQG30 BZW30:CAC30 CJS30:CJY30 CTO30:CTU30 DDK30:DDQ30 DNG30:DNM30 DXC30:DXI30 EGY30:EHE30 EQU30:ERA30 FAQ30:FAW30 FKM30:FKS30 FUI30:FUO30 GEE30:GEK30 GOA30:GOG30 GXW30:GYC30 HHS30:HHY30 HRO30:HRU30 IBK30:IBQ30 ILG30:ILM30 IVC30:IVI30 JEY30:JFE30 JOU30:JPA30 JYQ30:JYW30 KIM30:KIS30 KSI30:KSO30 LCE30:LCK30 LMA30:LMG30 LVW30:LWC30 MFS30:MFY30 MPO30:MPU30 MZK30:MZQ30 NJG30:NJM30 NTC30:NTI30 OCY30:ODE30 OMU30:ONA30 OWQ30:OWW30 PGM30:PGS30 PQI30:PQO30 QAE30:QAK30 QKA30:QKG30 QTW30:QUC30 RDS30:RDY30 RNO30:RNU30 RXK30:RXQ30 SHG30:SHM30 SRC30:SRI30 TAY30:TBE30 TKU30:TLA30 TUQ30:TUW30 UEM30:UES30 UOI30:UOO30 UYE30:UYK30 VIA30:VIG30 VRW30:VSC30 WBS30:WBY30 WLO30:WLU30 WVK30:WVQ30 IY65556:JE65556 SU65556:TA65556 ACQ65556:ACW65556 AMM65556:AMS65556 AWI65556:AWO65556 BGE65556:BGK65556 BQA65556:BQG65556 BZW65556:CAC65556 CJS65556:CJY65556 CTO65556:CTU65556 DDK65556:DDQ65556 DNG65556:DNM65556 DXC65556:DXI65556 EGY65556:EHE65556 EQU65556:ERA65556 FAQ65556:FAW65556 FKM65556:FKS65556 FUI65556:FUO65556 GEE65556:GEK65556 GOA65556:GOG65556 GXW65556:GYC65556 HHS65556:HHY65556 HRO65556:HRU65556 IBK65556:IBQ65556 ILG65556:ILM65556 IVC65556:IVI65556 JEY65556:JFE65556 JOU65556:JPA65556 JYQ65556:JYW65556 KIM65556:KIS65556 KSI65556:KSO65556 LCE65556:LCK65556 LMA65556:LMG65556 LVW65556:LWC65556 MFS65556:MFY65556 MPO65556:MPU65556 MZK65556:MZQ65556 NJG65556:NJM65556 NTC65556:NTI65556 OCY65556:ODE65556 OMU65556:ONA65556 OWQ65556:OWW65556 PGM65556:PGS65556 PQI65556:PQO65556 QAE65556:QAK65556 QKA65556:QKG65556 QTW65556:QUC65556 RDS65556:RDY65556 RNO65556:RNU65556 RXK65556:RXQ65556 SHG65556:SHM65556 SRC65556:SRI65556 TAY65556:TBE65556 TKU65556:TLA65556 TUQ65556:TUW65556 UEM65556:UES65556 UOI65556:UOO65556 UYE65556:UYK65556 VIA65556:VIG65556 VRW65556:VSC65556 WBS65556:WBY65556 WLO65556:WLU65556 WVK65556:WVQ65556 IY131092:JE131092 SU131092:TA131092 ACQ131092:ACW131092 AMM131092:AMS131092 AWI131092:AWO131092 BGE131092:BGK131092 BQA131092:BQG131092 BZW131092:CAC131092 CJS131092:CJY131092 CTO131092:CTU131092 DDK131092:DDQ131092 DNG131092:DNM131092 DXC131092:DXI131092 EGY131092:EHE131092 EQU131092:ERA131092 FAQ131092:FAW131092 FKM131092:FKS131092 FUI131092:FUO131092 GEE131092:GEK131092 GOA131092:GOG131092 GXW131092:GYC131092 HHS131092:HHY131092 HRO131092:HRU131092 IBK131092:IBQ131092 ILG131092:ILM131092 IVC131092:IVI131092 JEY131092:JFE131092 JOU131092:JPA131092 JYQ131092:JYW131092 KIM131092:KIS131092 KSI131092:KSO131092 LCE131092:LCK131092 LMA131092:LMG131092 LVW131092:LWC131092 MFS131092:MFY131092 MPO131092:MPU131092 MZK131092:MZQ131092 NJG131092:NJM131092 NTC131092:NTI131092 OCY131092:ODE131092 OMU131092:ONA131092 OWQ131092:OWW131092 PGM131092:PGS131092 PQI131092:PQO131092 QAE131092:QAK131092 QKA131092:QKG131092 QTW131092:QUC131092 RDS131092:RDY131092 RNO131092:RNU131092 RXK131092:RXQ131092 SHG131092:SHM131092 SRC131092:SRI131092 TAY131092:TBE131092 TKU131092:TLA131092 TUQ131092:TUW131092 UEM131092:UES131092 UOI131092:UOO131092 UYE131092:UYK131092 VIA131092:VIG131092 VRW131092:VSC131092 WBS131092:WBY131092 WLO131092:WLU131092 WVK131092:WVQ131092 IY196628:JE196628 SU196628:TA196628 ACQ196628:ACW196628 AMM196628:AMS196628 AWI196628:AWO196628 BGE196628:BGK196628 BQA196628:BQG196628 BZW196628:CAC196628 CJS196628:CJY196628 CTO196628:CTU196628 DDK196628:DDQ196628 DNG196628:DNM196628 DXC196628:DXI196628 EGY196628:EHE196628 EQU196628:ERA196628 FAQ196628:FAW196628 FKM196628:FKS196628 FUI196628:FUO196628 GEE196628:GEK196628 GOA196628:GOG196628 GXW196628:GYC196628 HHS196628:HHY196628 HRO196628:HRU196628 IBK196628:IBQ196628 ILG196628:ILM196628 IVC196628:IVI196628 JEY196628:JFE196628 JOU196628:JPA196628 JYQ196628:JYW196628 KIM196628:KIS196628 KSI196628:KSO196628 LCE196628:LCK196628 LMA196628:LMG196628 LVW196628:LWC196628 MFS196628:MFY196628 MPO196628:MPU196628 MZK196628:MZQ196628 NJG196628:NJM196628 NTC196628:NTI196628 OCY196628:ODE196628 OMU196628:ONA196628 OWQ196628:OWW196628 PGM196628:PGS196628 PQI196628:PQO196628 QAE196628:QAK196628 QKA196628:QKG196628 QTW196628:QUC196628 RDS196628:RDY196628 RNO196628:RNU196628 RXK196628:RXQ196628 SHG196628:SHM196628 SRC196628:SRI196628 TAY196628:TBE196628 TKU196628:TLA196628 TUQ196628:TUW196628 UEM196628:UES196628 UOI196628:UOO196628 UYE196628:UYK196628 VIA196628:VIG196628 VRW196628:VSC196628 WBS196628:WBY196628 WLO196628:WLU196628 WVK196628:WVQ196628 IY262164:JE262164 SU262164:TA262164 ACQ262164:ACW262164 AMM262164:AMS262164 AWI262164:AWO262164 BGE262164:BGK262164 BQA262164:BQG262164 BZW262164:CAC262164 CJS262164:CJY262164 CTO262164:CTU262164 DDK262164:DDQ262164 DNG262164:DNM262164 DXC262164:DXI262164 EGY262164:EHE262164 EQU262164:ERA262164 FAQ262164:FAW262164 FKM262164:FKS262164 FUI262164:FUO262164 GEE262164:GEK262164 GOA262164:GOG262164 GXW262164:GYC262164 HHS262164:HHY262164 HRO262164:HRU262164 IBK262164:IBQ262164 ILG262164:ILM262164 IVC262164:IVI262164 JEY262164:JFE262164 JOU262164:JPA262164 JYQ262164:JYW262164 KIM262164:KIS262164 KSI262164:KSO262164 LCE262164:LCK262164 LMA262164:LMG262164 LVW262164:LWC262164 MFS262164:MFY262164 MPO262164:MPU262164 MZK262164:MZQ262164 NJG262164:NJM262164 NTC262164:NTI262164 OCY262164:ODE262164 OMU262164:ONA262164 OWQ262164:OWW262164 PGM262164:PGS262164 PQI262164:PQO262164 QAE262164:QAK262164 QKA262164:QKG262164 QTW262164:QUC262164 RDS262164:RDY262164 RNO262164:RNU262164 RXK262164:RXQ262164 SHG262164:SHM262164 SRC262164:SRI262164 TAY262164:TBE262164 TKU262164:TLA262164 TUQ262164:TUW262164 UEM262164:UES262164 UOI262164:UOO262164 UYE262164:UYK262164 VIA262164:VIG262164 VRW262164:VSC262164 WBS262164:WBY262164 WLO262164:WLU262164 WVK262164:WVQ262164 IY327700:JE327700 SU327700:TA327700 ACQ327700:ACW327700 AMM327700:AMS327700 AWI327700:AWO327700 BGE327700:BGK327700 BQA327700:BQG327700 BZW327700:CAC327700 CJS327700:CJY327700 CTO327700:CTU327700 DDK327700:DDQ327700 DNG327700:DNM327700 DXC327700:DXI327700 EGY327700:EHE327700 EQU327700:ERA327700 FAQ327700:FAW327700 FKM327700:FKS327700 FUI327700:FUO327700 GEE327700:GEK327700 GOA327700:GOG327700 GXW327700:GYC327700 HHS327700:HHY327700 HRO327700:HRU327700 IBK327700:IBQ327700 ILG327700:ILM327700 IVC327700:IVI327700 JEY327700:JFE327700 JOU327700:JPA327700 JYQ327700:JYW327700 KIM327700:KIS327700 KSI327700:KSO327700 LCE327700:LCK327700 LMA327700:LMG327700 LVW327700:LWC327700 MFS327700:MFY327700 MPO327700:MPU327700 MZK327700:MZQ327700 NJG327700:NJM327700 NTC327700:NTI327700 OCY327700:ODE327700 OMU327700:ONA327700 OWQ327700:OWW327700 PGM327700:PGS327700 PQI327700:PQO327700 QAE327700:QAK327700 QKA327700:QKG327700 QTW327700:QUC327700 RDS327700:RDY327700 RNO327700:RNU327700 RXK327700:RXQ327700 SHG327700:SHM327700 SRC327700:SRI327700 TAY327700:TBE327700 TKU327700:TLA327700 TUQ327700:TUW327700 UEM327700:UES327700 UOI327700:UOO327700 UYE327700:UYK327700 VIA327700:VIG327700 VRW327700:VSC327700 WBS327700:WBY327700 WLO327700:WLU327700 WVK327700:WVQ327700 IY393236:JE393236 SU393236:TA393236 ACQ393236:ACW393236 AMM393236:AMS393236 AWI393236:AWO393236 BGE393236:BGK393236 BQA393236:BQG393236 BZW393236:CAC393236 CJS393236:CJY393236 CTO393236:CTU393236 DDK393236:DDQ393236 DNG393236:DNM393236 DXC393236:DXI393236 EGY393236:EHE393236 EQU393236:ERA393236 FAQ393236:FAW393236 FKM393236:FKS393236 FUI393236:FUO393236 GEE393236:GEK393236 GOA393236:GOG393236 GXW393236:GYC393236 HHS393236:HHY393236 HRO393236:HRU393236 IBK393236:IBQ393236 ILG393236:ILM393236 IVC393236:IVI393236 JEY393236:JFE393236 JOU393236:JPA393236 JYQ393236:JYW393236 KIM393236:KIS393236 KSI393236:KSO393236 LCE393236:LCK393236 LMA393236:LMG393236 LVW393236:LWC393236 MFS393236:MFY393236 MPO393236:MPU393236 MZK393236:MZQ393236 NJG393236:NJM393236 NTC393236:NTI393236 OCY393236:ODE393236 OMU393236:ONA393236 OWQ393236:OWW393236 PGM393236:PGS393236 PQI393236:PQO393236 QAE393236:QAK393236 QKA393236:QKG393236 QTW393236:QUC393236 RDS393236:RDY393236 RNO393236:RNU393236 RXK393236:RXQ393236 SHG393236:SHM393236 SRC393236:SRI393236 TAY393236:TBE393236 TKU393236:TLA393236 TUQ393236:TUW393236 UEM393236:UES393236 UOI393236:UOO393236 UYE393236:UYK393236 VIA393236:VIG393236 VRW393236:VSC393236 WBS393236:WBY393236 WLO393236:WLU393236 WVK393236:WVQ393236 IY458772:JE458772 SU458772:TA458772 ACQ458772:ACW458772 AMM458772:AMS458772 AWI458772:AWO458772 BGE458772:BGK458772 BQA458772:BQG458772 BZW458772:CAC458772 CJS458772:CJY458772 CTO458772:CTU458772 DDK458772:DDQ458772 DNG458772:DNM458772 DXC458772:DXI458772 EGY458772:EHE458772 EQU458772:ERA458772 FAQ458772:FAW458772 FKM458772:FKS458772 FUI458772:FUO458772 GEE458772:GEK458772 GOA458772:GOG458772 GXW458772:GYC458772 HHS458772:HHY458772 HRO458772:HRU458772 IBK458772:IBQ458772 ILG458772:ILM458772 IVC458772:IVI458772 JEY458772:JFE458772 JOU458772:JPA458772 JYQ458772:JYW458772 KIM458772:KIS458772 KSI458772:KSO458772 LCE458772:LCK458772 LMA458772:LMG458772 LVW458772:LWC458772 MFS458772:MFY458772 MPO458772:MPU458772 MZK458772:MZQ458772 NJG458772:NJM458772 NTC458772:NTI458772 OCY458772:ODE458772 OMU458772:ONA458772 OWQ458772:OWW458772 PGM458772:PGS458772 PQI458772:PQO458772 QAE458772:QAK458772 QKA458772:QKG458772 QTW458772:QUC458772 RDS458772:RDY458772 RNO458772:RNU458772 RXK458772:RXQ458772 SHG458772:SHM458772 SRC458772:SRI458772 TAY458772:TBE458772 TKU458772:TLA458772 TUQ458772:TUW458772 UEM458772:UES458772 UOI458772:UOO458772 UYE458772:UYK458772 VIA458772:VIG458772 VRW458772:VSC458772 WBS458772:WBY458772 WLO458772:WLU458772 WVK458772:WVQ458772 IY524308:JE524308 SU524308:TA524308 ACQ524308:ACW524308 AMM524308:AMS524308 AWI524308:AWO524308 BGE524308:BGK524308 BQA524308:BQG524308 BZW524308:CAC524308 CJS524308:CJY524308 CTO524308:CTU524308 DDK524308:DDQ524308 DNG524308:DNM524308 DXC524308:DXI524308 EGY524308:EHE524308 EQU524308:ERA524308 FAQ524308:FAW524308 FKM524308:FKS524308 FUI524308:FUO524308 GEE524308:GEK524308 GOA524308:GOG524308 GXW524308:GYC524308 HHS524308:HHY524308 HRO524308:HRU524308 IBK524308:IBQ524308 ILG524308:ILM524308 IVC524308:IVI524308 JEY524308:JFE524308 JOU524308:JPA524308 JYQ524308:JYW524308 KIM524308:KIS524308 KSI524308:KSO524308 LCE524308:LCK524308 LMA524308:LMG524308 LVW524308:LWC524308 MFS524308:MFY524308 MPO524308:MPU524308 MZK524308:MZQ524308 NJG524308:NJM524308 NTC524308:NTI524308 OCY524308:ODE524308 OMU524308:ONA524308 OWQ524308:OWW524308 PGM524308:PGS524308 PQI524308:PQO524308 QAE524308:QAK524308 QKA524308:QKG524308 QTW524308:QUC524308 RDS524308:RDY524308 RNO524308:RNU524308 RXK524308:RXQ524308 SHG524308:SHM524308 SRC524308:SRI524308 TAY524308:TBE524308 TKU524308:TLA524308 TUQ524308:TUW524308 UEM524308:UES524308 UOI524308:UOO524308 UYE524308:UYK524308 VIA524308:VIG524308 VRW524308:VSC524308 WBS524308:WBY524308 WLO524308:WLU524308 WVK524308:WVQ524308 IY589844:JE589844 SU589844:TA589844 ACQ589844:ACW589844 AMM589844:AMS589844 AWI589844:AWO589844 BGE589844:BGK589844 BQA589844:BQG589844 BZW589844:CAC589844 CJS589844:CJY589844 CTO589844:CTU589844 DDK589844:DDQ589844 DNG589844:DNM589844 DXC589844:DXI589844 EGY589844:EHE589844 EQU589844:ERA589844 FAQ589844:FAW589844 FKM589844:FKS589844 FUI589844:FUO589844 GEE589844:GEK589844 GOA589844:GOG589844 GXW589844:GYC589844 HHS589844:HHY589844 HRO589844:HRU589844 IBK589844:IBQ589844 ILG589844:ILM589844 IVC589844:IVI589844 JEY589844:JFE589844 JOU589844:JPA589844 JYQ589844:JYW589844 KIM589844:KIS589844 KSI589844:KSO589844 LCE589844:LCK589844 LMA589844:LMG589844 LVW589844:LWC589844 MFS589844:MFY589844 MPO589844:MPU589844 MZK589844:MZQ589844 NJG589844:NJM589844 NTC589844:NTI589844 OCY589844:ODE589844 OMU589844:ONA589844 OWQ589844:OWW589844 PGM589844:PGS589844 PQI589844:PQO589844 QAE589844:QAK589844 QKA589844:QKG589844 QTW589844:QUC589844 RDS589844:RDY589844 RNO589844:RNU589844 RXK589844:RXQ589844 SHG589844:SHM589844 SRC589844:SRI589844 TAY589844:TBE589844 TKU589844:TLA589844 TUQ589844:TUW589844 UEM589844:UES589844 UOI589844:UOO589844 UYE589844:UYK589844 VIA589844:VIG589844 VRW589844:VSC589844 WBS589844:WBY589844 WLO589844:WLU589844 WVK589844:WVQ589844 IY655380:JE655380 SU655380:TA655380 ACQ655380:ACW655380 AMM655380:AMS655380 AWI655380:AWO655380 BGE655380:BGK655380 BQA655380:BQG655380 BZW655380:CAC655380 CJS655380:CJY655380 CTO655380:CTU655380 DDK655380:DDQ655380 DNG655380:DNM655380 DXC655380:DXI655380 EGY655380:EHE655380 EQU655380:ERA655380 FAQ655380:FAW655380 FKM655380:FKS655380 FUI655380:FUO655380 GEE655380:GEK655380 GOA655380:GOG655380 GXW655380:GYC655380 HHS655380:HHY655380 HRO655380:HRU655380 IBK655380:IBQ655380 ILG655380:ILM655380 IVC655380:IVI655380 JEY655380:JFE655380 JOU655380:JPA655380 JYQ655380:JYW655380 KIM655380:KIS655380 KSI655380:KSO655380 LCE655380:LCK655380 LMA655380:LMG655380 LVW655380:LWC655380 MFS655380:MFY655380 MPO655380:MPU655380 MZK655380:MZQ655380 NJG655380:NJM655380 NTC655380:NTI655380 OCY655380:ODE655380 OMU655380:ONA655380 OWQ655380:OWW655380 PGM655380:PGS655380 PQI655380:PQO655380 QAE655380:QAK655380 QKA655380:QKG655380 QTW655380:QUC655380 RDS655380:RDY655380 RNO655380:RNU655380 RXK655380:RXQ655380 SHG655380:SHM655380 SRC655380:SRI655380 TAY655380:TBE655380 TKU655380:TLA655380 TUQ655380:TUW655380 UEM655380:UES655380 UOI655380:UOO655380 UYE655380:UYK655380 VIA655380:VIG655380 VRW655380:VSC655380 WBS655380:WBY655380 WLO655380:WLU655380 WVK655380:WVQ655380 IY720916:JE720916 SU720916:TA720916 ACQ720916:ACW720916 AMM720916:AMS720916 AWI720916:AWO720916 BGE720916:BGK720916 BQA720916:BQG720916 BZW720916:CAC720916 CJS720916:CJY720916 CTO720916:CTU720916 DDK720916:DDQ720916 DNG720916:DNM720916 DXC720916:DXI720916 EGY720916:EHE720916 EQU720916:ERA720916 FAQ720916:FAW720916 FKM720916:FKS720916 FUI720916:FUO720916 GEE720916:GEK720916 GOA720916:GOG720916 GXW720916:GYC720916 HHS720916:HHY720916 HRO720916:HRU720916 IBK720916:IBQ720916 ILG720916:ILM720916 IVC720916:IVI720916 JEY720916:JFE720916 JOU720916:JPA720916 JYQ720916:JYW720916 KIM720916:KIS720916 KSI720916:KSO720916 LCE720916:LCK720916 LMA720916:LMG720916 LVW720916:LWC720916 MFS720916:MFY720916 MPO720916:MPU720916 MZK720916:MZQ720916 NJG720916:NJM720916 NTC720916:NTI720916 OCY720916:ODE720916 OMU720916:ONA720916 OWQ720916:OWW720916 PGM720916:PGS720916 PQI720916:PQO720916 QAE720916:QAK720916 QKA720916:QKG720916 QTW720916:QUC720916 RDS720916:RDY720916 RNO720916:RNU720916 RXK720916:RXQ720916 SHG720916:SHM720916 SRC720916:SRI720916 TAY720916:TBE720916 TKU720916:TLA720916 TUQ720916:TUW720916 UEM720916:UES720916 UOI720916:UOO720916 UYE720916:UYK720916 VIA720916:VIG720916 VRW720916:VSC720916 WBS720916:WBY720916 WLO720916:WLU720916 WVK720916:WVQ720916 IY786452:JE786452 SU786452:TA786452 ACQ786452:ACW786452 AMM786452:AMS786452 AWI786452:AWO786452 BGE786452:BGK786452 BQA786452:BQG786452 BZW786452:CAC786452 CJS786452:CJY786452 CTO786452:CTU786452 DDK786452:DDQ786452 DNG786452:DNM786452 DXC786452:DXI786452 EGY786452:EHE786452 EQU786452:ERA786452 FAQ786452:FAW786452 FKM786452:FKS786452 FUI786452:FUO786452 GEE786452:GEK786452 GOA786452:GOG786452 GXW786452:GYC786452 HHS786452:HHY786452 HRO786452:HRU786452 IBK786452:IBQ786452 ILG786452:ILM786452 IVC786452:IVI786452 JEY786452:JFE786452 JOU786452:JPA786452 JYQ786452:JYW786452 KIM786452:KIS786452 KSI786452:KSO786452 LCE786452:LCK786452 LMA786452:LMG786452 LVW786452:LWC786452 MFS786452:MFY786452 MPO786452:MPU786452 MZK786452:MZQ786452 NJG786452:NJM786452 NTC786452:NTI786452 OCY786452:ODE786452 OMU786452:ONA786452 OWQ786452:OWW786452 PGM786452:PGS786452 PQI786452:PQO786452 QAE786452:QAK786452 QKA786452:QKG786452 QTW786452:QUC786452 RDS786452:RDY786452 RNO786452:RNU786452 RXK786452:RXQ786452 SHG786452:SHM786452 SRC786452:SRI786452 TAY786452:TBE786452 TKU786452:TLA786452 TUQ786452:TUW786452 UEM786452:UES786452 UOI786452:UOO786452 UYE786452:UYK786452 VIA786452:VIG786452 VRW786452:VSC786452 WBS786452:WBY786452 WLO786452:WLU786452 WVK786452:WVQ786452 IY851988:JE851988 SU851988:TA851988 ACQ851988:ACW851988 AMM851988:AMS851988 AWI851988:AWO851988 BGE851988:BGK851988 BQA851988:BQG851988 BZW851988:CAC851988 CJS851988:CJY851988 CTO851988:CTU851988 DDK851988:DDQ851988 DNG851988:DNM851988 DXC851988:DXI851988 EGY851988:EHE851988 EQU851988:ERA851988 FAQ851988:FAW851988 FKM851988:FKS851988 FUI851988:FUO851988 GEE851988:GEK851988 GOA851988:GOG851988 GXW851988:GYC851988 HHS851988:HHY851988 HRO851988:HRU851988 IBK851988:IBQ851988 ILG851988:ILM851988 IVC851988:IVI851988 JEY851988:JFE851988 JOU851988:JPA851988 JYQ851988:JYW851988 KIM851988:KIS851988 KSI851988:KSO851988 LCE851988:LCK851988 LMA851988:LMG851988 LVW851988:LWC851988 MFS851988:MFY851988 MPO851988:MPU851988 MZK851988:MZQ851988 NJG851988:NJM851988 NTC851988:NTI851988 OCY851988:ODE851988 OMU851988:ONA851988 OWQ851988:OWW851988 PGM851988:PGS851988 PQI851988:PQO851988 QAE851988:QAK851988 QKA851988:QKG851988 QTW851988:QUC851988 RDS851988:RDY851988 RNO851988:RNU851988 RXK851988:RXQ851988 SHG851988:SHM851988 SRC851988:SRI851988 TAY851988:TBE851988 TKU851988:TLA851988 TUQ851988:TUW851988 UEM851988:UES851988 UOI851988:UOO851988 UYE851988:UYK851988 VIA851988:VIG851988 VRW851988:VSC851988 WBS851988:WBY851988 WLO851988:WLU851988 WVK851988:WVQ851988 IY917524:JE917524 SU917524:TA917524 ACQ917524:ACW917524 AMM917524:AMS917524 AWI917524:AWO917524 BGE917524:BGK917524 BQA917524:BQG917524 BZW917524:CAC917524 CJS917524:CJY917524 CTO917524:CTU917524 DDK917524:DDQ917524 DNG917524:DNM917524 DXC917524:DXI917524 EGY917524:EHE917524 EQU917524:ERA917524 FAQ917524:FAW917524 FKM917524:FKS917524 FUI917524:FUO917524 GEE917524:GEK917524 GOA917524:GOG917524 GXW917524:GYC917524 HHS917524:HHY917524 HRO917524:HRU917524 IBK917524:IBQ917524 ILG917524:ILM917524 IVC917524:IVI917524 JEY917524:JFE917524 JOU917524:JPA917524 JYQ917524:JYW917524 KIM917524:KIS917524 KSI917524:KSO917524 LCE917524:LCK917524 LMA917524:LMG917524 LVW917524:LWC917524 MFS917524:MFY917524 MPO917524:MPU917524 MZK917524:MZQ917524 NJG917524:NJM917524 NTC917524:NTI917524 OCY917524:ODE917524 OMU917524:ONA917524 OWQ917524:OWW917524 PGM917524:PGS917524 PQI917524:PQO917524 QAE917524:QAK917524 QKA917524:QKG917524 QTW917524:QUC917524 RDS917524:RDY917524 RNO917524:RNU917524 RXK917524:RXQ917524 SHG917524:SHM917524 SRC917524:SRI917524 TAY917524:TBE917524 TKU917524:TLA917524 TUQ917524:TUW917524 UEM917524:UES917524 UOI917524:UOO917524 UYE917524:UYK917524 VIA917524:VIG917524 VRW917524:VSC917524 WBS917524:WBY917524 WLO917524:WLU917524 WVK917524:WVQ917524 IY983060:JE983060 SU983060:TA983060 ACQ983060:ACW983060 AMM983060:AMS983060 AWI983060:AWO983060 BGE983060:BGK983060 BQA983060:BQG983060 BZW983060:CAC983060 CJS983060:CJY983060 CTO983060:CTU983060 DDK983060:DDQ983060 DNG983060:DNM983060 DXC983060:DXI983060 EGY983060:EHE983060 EQU983060:ERA983060 FAQ983060:FAW983060 FKM983060:FKS983060 FUI983060:FUO983060 GEE983060:GEK983060 GOA983060:GOG983060 GXW983060:GYC983060 HHS983060:HHY983060 HRO983060:HRU983060 IBK983060:IBQ983060 ILG983060:ILM983060 IVC983060:IVI983060 JEY983060:JFE983060 JOU983060:JPA983060 JYQ983060:JYW983060 KIM983060:KIS983060 KSI983060:KSO983060 LCE983060:LCK983060 LMA983060:LMG983060 LVW983060:LWC983060 MFS983060:MFY983060 MPO983060:MPU983060 MZK983060:MZQ983060 NJG983060:NJM983060 NTC983060:NTI983060 OCY983060:ODE983060 OMU983060:ONA983060 OWQ983060:OWW983060 PGM983060:PGS983060 PQI983060:PQO983060 QAE983060:QAK983060 QKA983060:QKG983060 QTW983060:QUC983060 RDS983060:RDY983060 RNO983060:RNU983060 RXK983060:RXQ983060 SHG983060:SHM983060 SRC983060:SRI983060 TAY983060:TBE983060 TKU983060:TLA983060 TUQ983060:TUW983060 UEM983060:UES983060 UOI983060:UOO983060 UYE983060:UYK983060 VIA983060:VIG983060 VRW983060:VSC983060 WBS983060:WBY983060 WLO983060:WLU983060 WVK983060:WVQ983060 D983060:J983060 D917524:J917524 D851988:J851988 D786452:J786452 D720916:J720916 D655380:J655380 D589844:J589844 D524308:J524308 D458772:J458772 D393236:J393236 D327700:J327700 D262164:J262164 D196628:J196628 D131092:J131092 D65556:J65556 D30"/>
    <dataValidation allowBlank="1" showInputMessage="1" showErrorMessage="1" promptTitle="Ibu Kandung" prompt="Diisi nama lengkap ibu kandung Pemohon. Penulisan dilakukan tanpa gelar dan apabila ybs telah meninggal dunia diberikan keterangan 'Alm'_x000a_Contoh : Siti Muriawati (Alm)" sqref="IY25:JE29 SU25:TA29 ACQ25:ACW29 AMM25:AMS29 AWI25:AWO29 BGE25:BGK29 BQA25:BQG29 BZW25:CAC29 CJS25:CJY29 CTO25:CTU29 DDK25:DDQ29 DNG25:DNM29 DXC25:DXI29 EGY25:EHE29 EQU25:ERA29 FAQ25:FAW29 FKM25:FKS29 FUI25:FUO29 GEE25:GEK29 GOA25:GOG29 GXW25:GYC29 HHS25:HHY29 HRO25:HRU29 IBK25:IBQ29 ILG25:ILM29 IVC25:IVI29 JEY25:JFE29 JOU25:JPA29 JYQ25:JYW29 KIM25:KIS29 KSI25:KSO29 LCE25:LCK29 LMA25:LMG29 LVW25:LWC29 MFS25:MFY29 MPO25:MPU29 MZK25:MZQ29 NJG25:NJM29 NTC25:NTI29 OCY25:ODE29 OMU25:ONA29 OWQ25:OWW29 PGM25:PGS29 PQI25:PQO29 QAE25:QAK29 QKA25:QKG29 QTW25:QUC29 RDS25:RDY29 RNO25:RNU29 RXK25:RXQ29 SHG25:SHM29 SRC25:SRI29 TAY25:TBE29 TKU25:TLA29 TUQ25:TUW29 UEM25:UES29 UOI25:UOO29 UYE25:UYK29 VIA25:VIG29 VRW25:VSC29 WBS25:WBY29 WLO25:WLU29 WVK25:WVQ29 IY65551:JE65555 SU65551:TA65555 ACQ65551:ACW65555 AMM65551:AMS65555 AWI65551:AWO65555 BGE65551:BGK65555 BQA65551:BQG65555 BZW65551:CAC65555 CJS65551:CJY65555 CTO65551:CTU65555 DDK65551:DDQ65555 DNG65551:DNM65555 DXC65551:DXI65555 EGY65551:EHE65555 EQU65551:ERA65555 FAQ65551:FAW65555 FKM65551:FKS65555 FUI65551:FUO65555 GEE65551:GEK65555 GOA65551:GOG65555 GXW65551:GYC65555 HHS65551:HHY65555 HRO65551:HRU65555 IBK65551:IBQ65555 ILG65551:ILM65555 IVC65551:IVI65555 JEY65551:JFE65555 JOU65551:JPA65555 JYQ65551:JYW65555 KIM65551:KIS65555 KSI65551:KSO65555 LCE65551:LCK65555 LMA65551:LMG65555 LVW65551:LWC65555 MFS65551:MFY65555 MPO65551:MPU65555 MZK65551:MZQ65555 NJG65551:NJM65555 NTC65551:NTI65555 OCY65551:ODE65555 OMU65551:ONA65555 OWQ65551:OWW65555 PGM65551:PGS65555 PQI65551:PQO65555 QAE65551:QAK65555 QKA65551:QKG65555 QTW65551:QUC65555 RDS65551:RDY65555 RNO65551:RNU65555 RXK65551:RXQ65555 SHG65551:SHM65555 SRC65551:SRI65555 TAY65551:TBE65555 TKU65551:TLA65555 TUQ65551:TUW65555 UEM65551:UES65555 UOI65551:UOO65555 UYE65551:UYK65555 VIA65551:VIG65555 VRW65551:VSC65555 WBS65551:WBY65555 WLO65551:WLU65555 WVK65551:WVQ65555 IY131087:JE131091 SU131087:TA131091 ACQ131087:ACW131091 AMM131087:AMS131091 AWI131087:AWO131091 BGE131087:BGK131091 BQA131087:BQG131091 BZW131087:CAC131091 CJS131087:CJY131091 CTO131087:CTU131091 DDK131087:DDQ131091 DNG131087:DNM131091 DXC131087:DXI131091 EGY131087:EHE131091 EQU131087:ERA131091 FAQ131087:FAW131091 FKM131087:FKS131091 FUI131087:FUO131091 GEE131087:GEK131091 GOA131087:GOG131091 GXW131087:GYC131091 HHS131087:HHY131091 HRO131087:HRU131091 IBK131087:IBQ131091 ILG131087:ILM131091 IVC131087:IVI131091 JEY131087:JFE131091 JOU131087:JPA131091 JYQ131087:JYW131091 KIM131087:KIS131091 KSI131087:KSO131091 LCE131087:LCK131091 LMA131087:LMG131091 LVW131087:LWC131091 MFS131087:MFY131091 MPO131087:MPU131091 MZK131087:MZQ131091 NJG131087:NJM131091 NTC131087:NTI131091 OCY131087:ODE131091 OMU131087:ONA131091 OWQ131087:OWW131091 PGM131087:PGS131091 PQI131087:PQO131091 QAE131087:QAK131091 QKA131087:QKG131091 QTW131087:QUC131091 RDS131087:RDY131091 RNO131087:RNU131091 RXK131087:RXQ131091 SHG131087:SHM131091 SRC131087:SRI131091 TAY131087:TBE131091 TKU131087:TLA131091 TUQ131087:TUW131091 UEM131087:UES131091 UOI131087:UOO131091 UYE131087:UYK131091 VIA131087:VIG131091 VRW131087:VSC131091 WBS131087:WBY131091 WLO131087:WLU131091 WVK131087:WVQ131091 IY196623:JE196627 SU196623:TA196627 ACQ196623:ACW196627 AMM196623:AMS196627 AWI196623:AWO196627 BGE196623:BGK196627 BQA196623:BQG196627 BZW196623:CAC196627 CJS196623:CJY196627 CTO196623:CTU196627 DDK196623:DDQ196627 DNG196623:DNM196627 DXC196623:DXI196627 EGY196623:EHE196627 EQU196623:ERA196627 FAQ196623:FAW196627 FKM196623:FKS196627 FUI196623:FUO196627 GEE196623:GEK196627 GOA196623:GOG196627 GXW196623:GYC196627 HHS196623:HHY196627 HRO196623:HRU196627 IBK196623:IBQ196627 ILG196623:ILM196627 IVC196623:IVI196627 JEY196623:JFE196627 JOU196623:JPA196627 JYQ196623:JYW196627 KIM196623:KIS196627 KSI196623:KSO196627 LCE196623:LCK196627 LMA196623:LMG196627 LVW196623:LWC196627 MFS196623:MFY196627 MPO196623:MPU196627 MZK196623:MZQ196627 NJG196623:NJM196627 NTC196623:NTI196627 OCY196623:ODE196627 OMU196623:ONA196627 OWQ196623:OWW196627 PGM196623:PGS196627 PQI196623:PQO196627 QAE196623:QAK196627 QKA196623:QKG196627 QTW196623:QUC196627 RDS196623:RDY196627 RNO196623:RNU196627 RXK196623:RXQ196627 SHG196623:SHM196627 SRC196623:SRI196627 TAY196623:TBE196627 TKU196623:TLA196627 TUQ196623:TUW196627 UEM196623:UES196627 UOI196623:UOO196627 UYE196623:UYK196627 VIA196623:VIG196627 VRW196623:VSC196627 WBS196623:WBY196627 WLO196623:WLU196627 WVK196623:WVQ196627 IY262159:JE262163 SU262159:TA262163 ACQ262159:ACW262163 AMM262159:AMS262163 AWI262159:AWO262163 BGE262159:BGK262163 BQA262159:BQG262163 BZW262159:CAC262163 CJS262159:CJY262163 CTO262159:CTU262163 DDK262159:DDQ262163 DNG262159:DNM262163 DXC262159:DXI262163 EGY262159:EHE262163 EQU262159:ERA262163 FAQ262159:FAW262163 FKM262159:FKS262163 FUI262159:FUO262163 GEE262159:GEK262163 GOA262159:GOG262163 GXW262159:GYC262163 HHS262159:HHY262163 HRO262159:HRU262163 IBK262159:IBQ262163 ILG262159:ILM262163 IVC262159:IVI262163 JEY262159:JFE262163 JOU262159:JPA262163 JYQ262159:JYW262163 KIM262159:KIS262163 KSI262159:KSO262163 LCE262159:LCK262163 LMA262159:LMG262163 LVW262159:LWC262163 MFS262159:MFY262163 MPO262159:MPU262163 MZK262159:MZQ262163 NJG262159:NJM262163 NTC262159:NTI262163 OCY262159:ODE262163 OMU262159:ONA262163 OWQ262159:OWW262163 PGM262159:PGS262163 PQI262159:PQO262163 QAE262159:QAK262163 QKA262159:QKG262163 QTW262159:QUC262163 RDS262159:RDY262163 RNO262159:RNU262163 RXK262159:RXQ262163 SHG262159:SHM262163 SRC262159:SRI262163 TAY262159:TBE262163 TKU262159:TLA262163 TUQ262159:TUW262163 UEM262159:UES262163 UOI262159:UOO262163 UYE262159:UYK262163 VIA262159:VIG262163 VRW262159:VSC262163 WBS262159:WBY262163 WLO262159:WLU262163 WVK262159:WVQ262163 IY327695:JE327699 SU327695:TA327699 ACQ327695:ACW327699 AMM327695:AMS327699 AWI327695:AWO327699 BGE327695:BGK327699 BQA327695:BQG327699 BZW327695:CAC327699 CJS327695:CJY327699 CTO327695:CTU327699 DDK327695:DDQ327699 DNG327695:DNM327699 DXC327695:DXI327699 EGY327695:EHE327699 EQU327695:ERA327699 FAQ327695:FAW327699 FKM327695:FKS327699 FUI327695:FUO327699 GEE327695:GEK327699 GOA327695:GOG327699 GXW327695:GYC327699 HHS327695:HHY327699 HRO327695:HRU327699 IBK327695:IBQ327699 ILG327695:ILM327699 IVC327695:IVI327699 JEY327695:JFE327699 JOU327695:JPA327699 JYQ327695:JYW327699 KIM327695:KIS327699 KSI327695:KSO327699 LCE327695:LCK327699 LMA327695:LMG327699 LVW327695:LWC327699 MFS327695:MFY327699 MPO327695:MPU327699 MZK327695:MZQ327699 NJG327695:NJM327699 NTC327695:NTI327699 OCY327695:ODE327699 OMU327695:ONA327699 OWQ327695:OWW327699 PGM327695:PGS327699 PQI327695:PQO327699 QAE327695:QAK327699 QKA327695:QKG327699 QTW327695:QUC327699 RDS327695:RDY327699 RNO327695:RNU327699 RXK327695:RXQ327699 SHG327695:SHM327699 SRC327695:SRI327699 TAY327695:TBE327699 TKU327695:TLA327699 TUQ327695:TUW327699 UEM327695:UES327699 UOI327695:UOO327699 UYE327695:UYK327699 VIA327695:VIG327699 VRW327695:VSC327699 WBS327695:WBY327699 WLO327695:WLU327699 WVK327695:WVQ327699 IY393231:JE393235 SU393231:TA393235 ACQ393231:ACW393235 AMM393231:AMS393235 AWI393231:AWO393235 BGE393231:BGK393235 BQA393231:BQG393235 BZW393231:CAC393235 CJS393231:CJY393235 CTO393231:CTU393235 DDK393231:DDQ393235 DNG393231:DNM393235 DXC393231:DXI393235 EGY393231:EHE393235 EQU393231:ERA393235 FAQ393231:FAW393235 FKM393231:FKS393235 FUI393231:FUO393235 GEE393231:GEK393235 GOA393231:GOG393235 GXW393231:GYC393235 HHS393231:HHY393235 HRO393231:HRU393235 IBK393231:IBQ393235 ILG393231:ILM393235 IVC393231:IVI393235 JEY393231:JFE393235 JOU393231:JPA393235 JYQ393231:JYW393235 KIM393231:KIS393235 KSI393231:KSO393235 LCE393231:LCK393235 LMA393231:LMG393235 LVW393231:LWC393235 MFS393231:MFY393235 MPO393231:MPU393235 MZK393231:MZQ393235 NJG393231:NJM393235 NTC393231:NTI393235 OCY393231:ODE393235 OMU393231:ONA393235 OWQ393231:OWW393235 PGM393231:PGS393235 PQI393231:PQO393235 QAE393231:QAK393235 QKA393231:QKG393235 QTW393231:QUC393235 RDS393231:RDY393235 RNO393231:RNU393235 RXK393231:RXQ393235 SHG393231:SHM393235 SRC393231:SRI393235 TAY393231:TBE393235 TKU393231:TLA393235 TUQ393231:TUW393235 UEM393231:UES393235 UOI393231:UOO393235 UYE393231:UYK393235 VIA393231:VIG393235 VRW393231:VSC393235 WBS393231:WBY393235 WLO393231:WLU393235 WVK393231:WVQ393235 IY458767:JE458771 SU458767:TA458771 ACQ458767:ACW458771 AMM458767:AMS458771 AWI458767:AWO458771 BGE458767:BGK458771 BQA458767:BQG458771 BZW458767:CAC458771 CJS458767:CJY458771 CTO458767:CTU458771 DDK458767:DDQ458771 DNG458767:DNM458771 DXC458767:DXI458771 EGY458767:EHE458771 EQU458767:ERA458771 FAQ458767:FAW458771 FKM458767:FKS458771 FUI458767:FUO458771 GEE458767:GEK458771 GOA458767:GOG458771 GXW458767:GYC458771 HHS458767:HHY458771 HRO458767:HRU458771 IBK458767:IBQ458771 ILG458767:ILM458771 IVC458767:IVI458771 JEY458767:JFE458771 JOU458767:JPA458771 JYQ458767:JYW458771 KIM458767:KIS458771 KSI458767:KSO458771 LCE458767:LCK458771 LMA458767:LMG458771 LVW458767:LWC458771 MFS458767:MFY458771 MPO458767:MPU458771 MZK458767:MZQ458771 NJG458767:NJM458771 NTC458767:NTI458771 OCY458767:ODE458771 OMU458767:ONA458771 OWQ458767:OWW458771 PGM458767:PGS458771 PQI458767:PQO458771 QAE458767:QAK458771 QKA458767:QKG458771 QTW458767:QUC458771 RDS458767:RDY458771 RNO458767:RNU458771 RXK458767:RXQ458771 SHG458767:SHM458771 SRC458767:SRI458771 TAY458767:TBE458771 TKU458767:TLA458771 TUQ458767:TUW458771 UEM458767:UES458771 UOI458767:UOO458771 UYE458767:UYK458771 VIA458767:VIG458771 VRW458767:VSC458771 WBS458767:WBY458771 WLO458767:WLU458771 WVK458767:WVQ458771 IY524303:JE524307 SU524303:TA524307 ACQ524303:ACW524307 AMM524303:AMS524307 AWI524303:AWO524307 BGE524303:BGK524307 BQA524303:BQG524307 BZW524303:CAC524307 CJS524303:CJY524307 CTO524303:CTU524307 DDK524303:DDQ524307 DNG524303:DNM524307 DXC524303:DXI524307 EGY524303:EHE524307 EQU524303:ERA524307 FAQ524303:FAW524307 FKM524303:FKS524307 FUI524303:FUO524307 GEE524303:GEK524307 GOA524303:GOG524307 GXW524303:GYC524307 HHS524303:HHY524307 HRO524303:HRU524307 IBK524303:IBQ524307 ILG524303:ILM524307 IVC524303:IVI524307 JEY524303:JFE524307 JOU524303:JPA524307 JYQ524303:JYW524307 KIM524303:KIS524307 KSI524303:KSO524307 LCE524303:LCK524307 LMA524303:LMG524307 LVW524303:LWC524307 MFS524303:MFY524307 MPO524303:MPU524307 MZK524303:MZQ524307 NJG524303:NJM524307 NTC524303:NTI524307 OCY524303:ODE524307 OMU524303:ONA524307 OWQ524303:OWW524307 PGM524303:PGS524307 PQI524303:PQO524307 QAE524303:QAK524307 QKA524303:QKG524307 QTW524303:QUC524307 RDS524303:RDY524307 RNO524303:RNU524307 RXK524303:RXQ524307 SHG524303:SHM524307 SRC524303:SRI524307 TAY524303:TBE524307 TKU524303:TLA524307 TUQ524303:TUW524307 UEM524303:UES524307 UOI524303:UOO524307 UYE524303:UYK524307 VIA524303:VIG524307 VRW524303:VSC524307 WBS524303:WBY524307 WLO524303:WLU524307 WVK524303:WVQ524307 IY589839:JE589843 SU589839:TA589843 ACQ589839:ACW589843 AMM589839:AMS589843 AWI589839:AWO589843 BGE589839:BGK589843 BQA589839:BQG589843 BZW589839:CAC589843 CJS589839:CJY589843 CTO589839:CTU589843 DDK589839:DDQ589843 DNG589839:DNM589843 DXC589839:DXI589843 EGY589839:EHE589843 EQU589839:ERA589843 FAQ589839:FAW589843 FKM589839:FKS589843 FUI589839:FUO589843 GEE589839:GEK589843 GOA589839:GOG589843 GXW589839:GYC589843 HHS589839:HHY589843 HRO589839:HRU589843 IBK589839:IBQ589843 ILG589839:ILM589843 IVC589839:IVI589843 JEY589839:JFE589843 JOU589839:JPA589843 JYQ589839:JYW589843 KIM589839:KIS589843 KSI589839:KSO589843 LCE589839:LCK589843 LMA589839:LMG589843 LVW589839:LWC589843 MFS589839:MFY589843 MPO589839:MPU589843 MZK589839:MZQ589843 NJG589839:NJM589843 NTC589839:NTI589843 OCY589839:ODE589843 OMU589839:ONA589843 OWQ589839:OWW589843 PGM589839:PGS589843 PQI589839:PQO589843 QAE589839:QAK589843 QKA589839:QKG589843 QTW589839:QUC589843 RDS589839:RDY589843 RNO589839:RNU589843 RXK589839:RXQ589843 SHG589839:SHM589843 SRC589839:SRI589843 TAY589839:TBE589843 TKU589839:TLA589843 TUQ589839:TUW589843 UEM589839:UES589843 UOI589839:UOO589843 UYE589839:UYK589843 VIA589839:VIG589843 VRW589839:VSC589843 WBS589839:WBY589843 WLO589839:WLU589843 WVK589839:WVQ589843 IY655375:JE655379 SU655375:TA655379 ACQ655375:ACW655379 AMM655375:AMS655379 AWI655375:AWO655379 BGE655375:BGK655379 BQA655375:BQG655379 BZW655375:CAC655379 CJS655375:CJY655379 CTO655375:CTU655379 DDK655375:DDQ655379 DNG655375:DNM655379 DXC655375:DXI655379 EGY655375:EHE655379 EQU655375:ERA655379 FAQ655375:FAW655379 FKM655375:FKS655379 FUI655375:FUO655379 GEE655375:GEK655379 GOA655375:GOG655379 GXW655375:GYC655379 HHS655375:HHY655379 HRO655375:HRU655379 IBK655375:IBQ655379 ILG655375:ILM655379 IVC655375:IVI655379 JEY655375:JFE655379 JOU655375:JPA655379 JYQ655375:JYW655379 KIM655375:KIS655379 KSI655375:KSO655379 LCE655375:LCK655379 LMA655375:LMG655379 LVW655375:LWC655379 MFS655375:MFY655379 MPO655375:MPU655379 MZK655375:MZQ655379 NJG655375:NJM655379 NTC655375:NTI655379 OCY655375:ODE655379 OMU655375:ONA655379 OWQ655375:OWW655379 PGM655375:PGS655379 PQI655375:PQO655379 QAE655375:QAK655379 QKA655375:QKG655379 QTW655375:QUC655379 RDS655375:RDY655379 RNO655375:RNU655379 RXK655375:RXQ655379 SHG655375:SHM655379 SRC655375:SRI655379 TAY655375:TBE655379 TKU655375:TLA655379 TUQ655375:TUW655379 UEM655375:UES655379 UOI655375:UOO655379 UYE655375:UYK655379 VIA655375:VIG655379 VRW655375:VSC655379 WBS655375:WBY655379 WLO655375:WLU655379 WVK655375:WVQ655379 IY720911:JE720915 SU720911:TA720915 ACQ720911:ACW720915 AMM720911:AMS720915 AWI720911:AWO720915 BGE720911:BGK720915 BQA720911:BQG720915 BZW720911:CAC720915 CJS720911:CJY720915 CTO720911:CTU720915 DDK720911:DDQ720915 DNG720911:DNM720915 DXC720911:DXI720915 EGY720911:EHE720915 EQU720911:ERA720915 FAQ720911:FAW720915 FKM720911:FKS720915 FUI720911:FUO720915 GEE720911:GEK720915 GOA720911:GOG720915 GXW720911:GYC720915 HHS720911:HHY720915 HRO720911:HRU720915 IBK720911:IBQ720915 ILG720911:ILM720915 IVC720911:IVI720915 JEY720911:JFE720915 JOU720911:JPA720915 JYQ720911:JYW720915 KIM720911:KIS720915 KSI720911:KSO720915 LCE720911:LCK720915 LMA720911:LMG720915 LVW720911:LWC720915 MFS720911:MFY720915 MPO720911:MPU720915 MZK720911:MZQ720915 NJG720911:NJM720915 NTC720911:NTI720915 OCY720911:ODE720915 OMU720911:ONA720915 OWQ720911:OWW720915 PGM720911:PGS720915 PQI720911:PQO720915 QAE720911:QAK720915 QKA720911:QKG720915 QTW720911:QUC720915 RDS720911:RDY720915 RNO720911:RNU720915 RXK720911:RXQ720915 SHG720911:SHM720915 SRC720911:SRI720915 TAY720911:TBE720915 TKU720911:TLA720915 TUQ720911:TUW720915 UEM720911:UES720915 UOI720911:UOO720915 UYE720911:UYK720915 VIA720911:VIG720915 VRW720911:VSC720915 WBS720911:WBY720915 WLO720911:WLU720915 WVK720911:WVQ720915 IY786447:JE786451 SU786447:TA786451 ACQ786447:ACW786451 AMM786447:AMS786451 AWI786447:AWO786451 BGE786447:BGK786451 BQA786447:BQG786451 BZW786447:CAC786451 CJS786447:CJY786451 CTO786447:CTU786451 DDK786447:DDQ786451 DNG786447:DNM786451 DXC786447:DXI786451 EGY786447:EHE786451 EQU786447:ERA786451 FAQ786447:FAW786451 FKM786447:FKS786451 FUI786447:FUO786451 GEE786447:GEK786451 GOA786447:GOG786451 GXW786447:GYC786451 HHS786447:HHY786451 HRO786447:HRU786451 IBK786447:IBQ786451 ILG786447:ILM786451 IVC786447:IVI786451 JEY786447:JFE786451 JOU786447:JPA786451 JYQ786447:JYW786451 KIM786447:KIS786451 KSI786447:KSO786451 LCE786447:LCK786451 LMA786447:LMG786451 LVW786447:LWC786451 MFS786447:MFY786451 MPO786447:MPU786451 MZK786447:MZQ786451 NJG786447:NJM786451 NTC786447:NTI786451 OCY786447:ODE786451 OMU786447:ONA786451 OWQ786447:OWW786451 PGM786447:PGS786451 PQI786447:PQO786451 QAE786447:QAK786451 QKA786447:QKG786451 QTW786447:QUC786451 RDS786447:RDY786451 RNO786447:RNU786451 RXK786447:RXQ786451 SHG786447:SHM786451 SRC786447:SRI786451 TAY786447:TBE786451 TKU786447:TLA786451 TUQ786447:TUW786451 UEM786447:UES786451 UOI786447:UOO786451 UYE786447:UYK786451 VIA786447:VIG786451 VRW786447:VSC786451 WBS786447:WBY786451 WLO786447:WLU786451 WVK786447:WVQ786451 IY851983:JE851987 SU851983:TA851987 ACQ851983:ACW851987 AMM851983:AMS851987 AWI851983:AWO851987 BGE851983:BGK851987 BQA851983:BQG851987 BZW851983:CAC851987 CJS851983:CJY851987 CTO851983:CTU851987 DDK851983:DDQ851987 DNG851983:DNM851987 DXC851983:DXI851987 EGY851983:EHE851987 EQU851983:ERA851987 FAQ851983:FAW851987 FKM851983:FKS851987 FUI851983:FUO851987 GEE851983:GEK851987 GOA851983:GOG851987 GXW851983:GYC851987 HHS851983:HHY851987 HRO851983:HRU851987 IBK851983:IBQ851987 ILG851983:ILM851987 IVC851983:IVI851987 JEY851983:JFE851987 JOU851983:JPA851987 JYQ851983:JYW851987 KIM851983:KIS851987 KSI851983:KSO851987 LCE851983:LCK851987 LMA851983:LMG851987 LVW851983:LWC851987 MFS851983:MFY851987 MPO851983:MPU851987 MZK851983:MZQ851987 NJG851983:NJM851987 NTC851983:NTI851987 OCY851983:ODE851987 OMU851983:ONA851987 OWQ851983:OWW851987 PGM851983:PGS851987 PQI851983:PQO851987 QAE851983:QAK851987 QKA851983:QKG851987 QTW851983:QUC851987 RDS851983:RDY851987 RNO851983:RNU851987 RXK851983:RXQ851987 SHG851983:SHM851987 SRC851983:SRI851987 TAY851983:TBE851987 TKU851983:TLA851987 TUQ851983:TUW851987 UEM851983:UES851987 UOI851983:UOO851987 UYE851983:UYK851987 VIA851983:VIG851987 VRW851983:VSC851987 WBS851983:WBY851987 WLO851983:WLU851987 WVK851983:WVQ851987 IY917519:JE917523 SU917519:TA917523 ACQ917519:ACW917523 AMM917519:AMS917523 AWI917519:AWO917523 BGE917519:BGK917523 BQA917519:BQG917523 BZW917519:CAC917523 CJS917519:CJY917523 CTO917519:CTU917523 DDK917519:DDQ917523 DNG917519:DNM917523 DXC917519:DXI917523 EGY917519:EHE917523 EQU917519:ERA917523 FAQ917519:FAW917523 FKM917519:FKS917523 FUI917519:FUO917523 GEE917519:GEK917523 GOA917519:GOG917523 GXW917519:GYC917523 HHS917519:HHY917523 HRO917519:HRU917523 IBK917519:IBQ917523 ILG917519:ILM917523 IVC917519:IVI917523 JEY917519:JFE917523 JOU917519:JPA917523 JYQ917519:JYW917523 KIM917519:KIS917523 KSI917519:KSO917523 LCE917519:LCK917523 LMA917519:LMG917523 LVW917519:LWC917523 MFS917519:MFY917523 MPO917519:MPU917523 MZK917519:MZQ917523 NJG917519:NJM917523 NTC917519:NTI917523 OCY917519:ODE917523 OMU917519:ONA917523 OWQ917519:OWW917523 PGM917519:PGS917523 PQI917519:PQO917523 QAE917519:QAK917523 QKA917519:QKG917523 QTW917519:QUC917523 RDS917519:RDY917523 RNO917519:RNU917523 RXK917519:RXQ917523 SHG917519:SHM917523 SRC917519:SRI917523 TAY917519:TBE917523 TKU917519:TLA917523 TUQ917519:TUW917523 UEM917519:UES917523 UOI917519:UOO917523 UYE917519:UYK917523 VIA917519:VIG917523 VRW917519:VSC917523 WBS917519:WBY917523 WLO917519:WLU917523 WVK917519:WVQ917523 IY983055:JE983059 SU983055:TA983059 ACQ983055:ACW983059 AMM983055:AMS983059 AWI983055:AWO983059 BGE983055:BGK983059 BQA983055:BQG983059 BZW983055:CAC983059 CJS983055:CJY983059 CTO983055:CTU983059 DDK983055:DDQ983059 DNG983055:DNM983059 DXC983055:DXI983059 EGY983055:EHE983059 EQU983055:ERA983059 FAQ983055:FAW983059 FKM983055:FKS983059 FUI983055:FUO983059 GEE983055:GEK983059 GOA983055:GOG983059 GXW983055:GYC983059 HHS983055:HHY983059 HRO983055:HRU983059 IBK983055:IBQ983059 ILG983055:ILM983059 IVC983055:IVI983059 JEY983055:JFE983059 JOU983055:JPA983059 JYQ983055:JYW983059 KIM983055:KIS983059 KSI983055:KSO983059 LCE983055:LCK983059 LMA983055:LMG983059 LVW983055:LWC983059 MFS983055:MFY983059 MPO983055:MPU983059 MZK983055:MZQ983059 NJG983055:NJM983059 NTC983055:NTI983059 OCY983055:ODE983059 OMU983055:ONA983059 OWQ983055:OWW983059 PGM983055:PGS983059 PQI983055:PQO983059 QAE983055:QAK983059 QKA983055:QKG983059 QTW983055:QUC983059 RDS983055:RDY983059 RNO983055:RNU983059 RXK983055:RXQ983059 SHG983055:SHM983059 SRC983055:SRI983059 TAY983055:TBE983059 TKU983055:TLA983059 TUQ983055:TUW983059 UEM983055:UES983059 UOI983055:UOO983059 UYE983055:UYK983059 VIA983055:VIG983059 VRW983055:VSC983059 WBS983055:WBY983059 WLO983055:WLU983059 WVK983055:WVQ983059 D983055:J983059 D917519:J917523 D851983:J851987 D786447:J786451 D720911:J720915 D655375:J655379 D589839:J589843 D524303:J524307 D458767:J458771 D393231:J393235 D327695:J327699 D262159:J262163 D196623:J196627 D131087:J131091 D65551:J65555 D25:D29"/>
    <dataValidation allowBlank="1" showInputMessage="1" showErrorMessage="1" promptTitle="Jumlah Tanggungan" prompt="Diisi dengan angka, jumlah orang yang menjadi tanggungan Pemohon (isteri/anak/orangtua/saudara) yang untuk keperluan sehari-harinya bergantung kepada Pemohon" sqref="WVK98305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D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D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D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D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D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D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D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D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D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D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D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D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D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D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D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dataValidation type="list" allowBlank="1" showInputMessage="1" showErrorMessage="1" promptTitle="Pendidikan Terakhir" prompt="Dipilih untuk jenjang pendidikan terakhir yang ditempuh oleh Pemohon" sqref="IY24:JB24 SU24:SX24 ACQ24:ACT24 AMM24:AMP24 AWI24:AWL24 BGE24:BGH24 BQA24:BQD24 BZW24:BZZ24 CJS24:CJV24 CTO24:CTR24 DDK24:DDN24 DNG24:DNJ24 DXC24:DXF24 EGY24:EHB24 EQU24:EQX24 FAQ24:FAT24 FKM24:FKP24 FUI24:FUL24 GEE24:GEH24 GOA24:GOD24 GXW24:GXZ24 HHS24:HHV24 HRO24:HRR24 IBK24:IBN24 ILG24:ILJ24 IVC24:IVF24 JEY24:JFB24 JOU24:JOX24 JYQ24:JYT24 KIM24:KIP24 KSI24:KSL24 LCE24:LCH24 LMA24:LMD24 LVW24:LVZ24 MFS24:MFV24 MPO24:MPR24 MZK24:MZN24 NJG24:NJJ24 NTC24:NTF24 OCY24:ODB24 OMU24:OMX24 OWQ24:OWT24 PGM24:PGP24 PQI24:PQL24 QAE24:QAH24 QKA24:QKD24 QTW24:QTZ24 RDS24:RDV24 RNO24:RNR24 RXK24:RXN24 SHG24:SHJ24 SRC24:SRF24 TAY24:TBB24 TKU24:TKX24 TUQ24:TUT24 UEM24:UEP24 UOI24:UOL24 UYE24:UYH24 VIA24:VID24 VRW24:VRZ24 WBS24:WBV24 WLO24:WLR24 WVK24:WVN24 D65550:G65550 IY65550:JB65550 SU65550:SX65550 ACQ65550:ACT65550 AMM65550:AMP65550 AWI65550:AWL65550 BGE65550:BGH65550 BQA65550:BQD65550 BZW65550:BZZ65550 CJS65550:CJV65550 CTO65550:CTR65550 DDK65550:DDN65550 DNG65550:DNJ65550 DXC65550:DXF65550 EGY65550:EHB65550 EQU65550:EQX65550 FAQ65550:FAT65550 FKM65550:FKP65550 FUI65550:FUL65550 GEE65550:GEH65550 GOA65550:GOD65550 GXW65550:GXZ65550 HHS65550:HHV65550 HRO65550:HRR65550 IBK65550:IBN65550 ILG65550:ILJ65550 IVC65550:IVF65550 JEY65550:JFB65550 JOU65550:JOX65550 JYQ65550:JYT65550 KIM65550:KIP65550 KSI65550:KSL65550 LCE65550:LCH65550 LMA65550:LMD65550 LVW65550:LVZ65550 MFS65550:MFV65550 MPO65550:MPR65550 MZK65550:MZN65550 NJG65550:NJJ65550 NTC65550:NTF65550 OCY65550:ODB65550 OMU65550:OMX65550 OWQ65550:OWT65550 PGM65550:PGP65550 PQI65550:PQL65550 QAE65550:QAH65550 QKA65550:QKD65550 QTW65550:QTZ65550 RDS65550:RDV65550 RNO65550:RNR65550 RXK65550:RXN65550 SHG65550:SHJ65550 SRC65550:SRF65550 TAY65550:TBB65550 TKU65550:TKX65550 TUQ65550:TUT65550 UEM65550:UEP65550 UOI65550:UOL65550 UYE65550:UYH65550 VIA65550:VID65550 VRW65550:VRZ65550 WBS65550:WBV65550 WLO65550:WLR65550 WVK65550:WVN65550 D131086:G131086 IY131086:JB131086 SU131086:SX131086 ACQ131086:ACT131086 AMM131086:AMP131086 AWI131086:AWL131086 BGE131086:BGH131086 BQA131086:BQD131086 BZW131086:BZZ131086 CJS131086:CJV131086 CTO131086:CTR131086 DDK131086:DDN131086 DNG131086:DNJ131086 DXC131086:DXF131086 EGY131086:EHB131086 EQU131086:EQX131086 FAQ131086:FAT131086 FKM131086:FKP131086 FUI131086:FUL131086 GEE131086:GEH131086 GOA131086:GOD131086 GXW131086:GXZ131086 HHS131086:HHV131086 HRO131086:HRR131086 IBK131086:IBN131086 ILG131086:ILJ131086 IVC131086:IVF131086 JEY131086:JFB131086 JOU131086:JOX131086 JYQ131086:JYT131086 KIM131086:KIP131086 KSI131086:KSL131086 LCE131086:LCH131086 LMA131086:LMD131086 LVW131086:LVZ131086 MFS131086:MFV131086 MPO131086:MPR131086 MZK131086:MZN131086 NJG131086:NJJ131086 NTC131086:NTF131086 OCY131086:ODB131086 OMU131086:OMX131086 OWQ131086:OWT131086 PGM131086:PGP131086 PQI131086:PQL131086 QAE131086:QAH131086 QKA131086:QKD131086 QTW131086:QTZ131086 RDS131086:RDV131086 RNO131086:RNR131086 RXK131086:RXN131086 SHG131086:SHJ131086 SRC131086:SRF131086 TAY131086:TBB131086 TKU131086:TKX131086 TUQ131086:TUT131086 UEM131086:UEP131086 UOI131086:UOL131086 UYE131086:UYH131086 VIA131086:VID131086 VRW131086:VRZ131086 WBS131086:WBV131086 WLO131086:WLR131086 WVK131086:WVN131086 D196622:G196622 IY196622:JB196622 SU196622:SX196622 ACQ196622:ACT196622 AMM196622:AMP196622 AWI196622:AWL196622 BGE196622:BGH196622 BQA196622:BQD196622 BZW196622:BZZ196622 CJS196622:CJV196622 CTO196622:CTR196622 DDK196622:DDN196622 DNG196622:DNJ196622 DXC196622:DXF196622 EGY196622:EHB196622 EQU196622:EQX196622 FAQ196622:FAT196622 FKM196622:FKP196622 FUI196622:FUL196622 GEE196622:GEH196622 GOA196622:GOD196622 GXW196622:GXZ196622 HHS196622:HHV196622 HRO196622:HRR196622 IBK196622:IBN196622 ILG196622:ILJ196622 IVC196622:IVF196622 JEY196622:JFB196622 JOU196622:JOX196622 JYQ196622:JYT196622 KIM196622:KIP196622 KSI196622:KSL196622 LCE196622:LCH196622 LMA196622:LMD196622 LVW196622:LVZ196622 MFS196622:MFV196622 MPO196622:MPR196622 MZK196622:MZN196622 NJG196622:NJJ196622 NTC196622:NTF196622 OCY196622:ODB196622 OMU196622:OMX196622 OWQ196622:OWT196622 PGM196622:PGP196622 PQI196622:PQL196622 QAE196622:QAH196622 QKA196622:QKD196622 QTW196622:QTZ196622 RDS196622:RDV196622 RNO196622:RNR196622 RXK196622:RXN196622 SHG196622:SHJ196622 SRC196622:SRF196622 TAY196622:TBB196622 TKU196622:TKX196622 TUQ196622:TUT196622 UEM196622:UEP196622 UOI196622:UOL196622 UYE196622:UYH196622 VIA196622:VID196622 VRW196622:VRZ196622 WBS196622:WBV196622 WLO196622:WLR196622 WVK196622:WVN196622 D262158:G262158 IY262158:JB262158 SU262158:SX262158 ACQ262158:ACT262158 AMM262158:AMP262158 AWI262158:AWL262158 BGE262158:BGH262158 BQA262158:BQD262158 BZW262158:BZZ262158 CJS262158:CJV262158 CTO262158:CTR262158 DDK262158:DDN262158 DNG262158:DNJ262158 DXC262158:DXF262158 EGY262158:EHB262158 EQU262158:EQX262158 FAQ262158:FAT262158 FKM262158:FKP262158 FUI262158:FUL262158 GEE262158:GEH262158 GOA262158:GOD262158 GXW262158:GXZ262158 HHS262158:HHV262158 HRO262158:HRR262158 IBK262158:IBN262158 ILG262158:ILJ262158 IVC262158:IVF262158 JEY262158:JFB262158 JOU262158:JOX262158 JYQ262158:JYT262158 KIM262158:KIP262158 KSI262158:KSL262158 LCE262158:LCH262158 LMA262158:LMD262158 LVW262158:LVZ262158 MFS262158:MFV262158 MPO262158:MPR262158 MZK262158:MZN262158 NJG262158:NJJ262158 NTC262158:NTF262158 OCY262158:ODB262158 OMU262158:OMX262158 OWQ262158:OWT262158 PGM262158:PGP262158 PQI262158:PQL262158 QAE262158:QAH262158 QKA262158:QKD262158 QTW262158:QTZ262158 RDS262158:RDV262158 RNO262158:RNR262158 RXK262158:RXN262158 SHG262158:SHJ262158 SRC262158:SRF262158 TAY262158:TBB262158 TKU262158:TKX262158 TUQ262158:TUT262158 UEM262158:UEP262158 UOI262158:UOL262158 UYE262158:UYH262158 VIA262158:VID262158 VRW262158:VRZ262158 WBS262158:WBV262158 WLO262158:WLR262158 WVK262158:WVN262158 D327694:G327694 IY327694:JB327694 SU327694:SX327694 ACQ327694:ACT327694 AMM327694:AMP327694 AWI327694:AWL327694 BGE327694:BGH327694 BQA327694:BQD327694 BZW327694:BZZ327694 CJS327694:CJV327694 CTO327694:CTR327694 DDK327694:DDN327694 DNG327694:DNJ327694 DXC327694:DXF327694 EGY327694:EHB327694 EQU327694:EQX327694 FAQ327694:FAT327694 FKM327694:FKP327694 FUI327694:FUL327694 GEE327694:GEH327694 GOA327694:GOD327694 GXW327694:GXZ327694 HHS327694:HHV327694 HRO327694:HRR327694 IBK327694:IBN327694 ILG327694:ILJ327694 IVC327694:IVF327694 JEY327694:JFB327694 JOU327694:JOX327694 JYQ327694:JYT327694 KIM327694:KIP327694 KSI327694:KSL327694 LCE327694:LCH327694 LMA327694:LMD327694 LVW327694:LVZ327694 MFS327694:MFV327694 MPO327694:MPR327694 MZK327694:MZN327694 NJG327694:NJJ327694 NTC327694:NTF327694 OCY327694:ODB327694 OMU327694:OMX327694 OWQ327694:OWT327694 PGM327694:PGP327694 PQI327694:PQL327694 QAE327694:QAH327694 QKA327694:QKD327694 QTW327694:QTZ327694 RDS327694:RDV327694 RNO327694:RNR327694 RXK327694:RXN327694 SHG327694:SHJ327694 SRC327694:SRF327694 TAY327694:TBB327694 TKU327694:TKX327694 TUQ327694:TUT327694 UEM327694:UEP327694 UOI327694:UOL327694 UYE327694:UYH327694 VIA327694:VID327694 VRW327694:VRZ327694 WBS327694:WBV327694 WLO327694:WLR327694 WVK327694:WVN327694 D393230:G393230 IY393230:JB393230 SU393230:SX393230 ACQ393230:ACT393230 AMM393230:AMP393230 AWI393230:AWL393230 BGE393230:BGH393230 BQA393230:BQD393230 BZW393230:BZZ393230 CJS393230:CJV393230 CTO393230:CTR393230 DDK393230:DDN393230 DNG393230:DNJ393230 DXC393230:DXF393230 EGY393230:EHB393230 EQU393230:EQX393230 FAQ393230:FAT393230 FKM393230:FKP393230 FUI393230:FUL393230 GEE393230:GEH393230 GOA393230:GOD393230 GXW393230:GXZ393230 HHS393230:HHV393230 HRO393230:HRR393230 IBK393230:IBN393230 ILG393230:ILJ393230 IVC393230:IVF393230 JEY393230:JFB393230 JOU393230:JOX393230 JYQ393230:JYT393230 KIM393230:KIP393230 KSI393230:KSL393230 LCE393230:LCH393230 LMA393230:LMD393230 LVW393230:LVZ393230 MFS393230:MFV393230 MPO393230:MPR393230 MZK393230:MZN393230 NJG393230:NJJ393230 NTC393230:NTF393230 OCY393230:ODB393230 OMU393230:OMX393230 OWQ393230:OWT393230 PGM393230:PGP393230 PQI393230:PQL393230 QAE393230:QAH393230 QKA393230:QKD393230 QTW393230:QTZ393230 RDS393230:RDV393230 RNO393230:RNR393230 RXK393230:RXN393230 SHG393230:SHJ393230 SRC393230:SRF393230 TAY393230:TBB393230 TKU393230:TKX393230 TUQ393230:TUT393230 UEM393230:UEP393230 UOI393230:UOL393230 UYE393230:UYH393230 VIA393230:VID393230 VRW393230:VRZ393230 WBS393230:WBV393230 WLO393230:WLR393230 WVK393230:WVN393230 D458766:G458766 IY458766:JB458766 SU458766:SX458766 ACQ458766:ACT458766 AMM458766:AMP458766 AWI458766:AWL458766 BGE458766:BGH458766 BQA458766:BQD458766 BZW458766:BZZ458766 CJS458766:CJV458766 CTO458766:CTR458766 DDK458766:DDN458766 DNG458766:DNJ458766 DXC458766:DXF458766 EGY458766:EHB458766 EQU458766:EQX458766 FAQ458766:FAT458766 FKM458766:FKP458766 FUI458766:FUL458766 GEE458766:GEH458766 GOA458766:GOD458766 GXW458766:GXZ458766 HHS458766:HHV458766 HRO458766:HRR458766 IBK458766:IBN458766 ILG458766:ILJ458766 IVC458766:IVF458766 JEY458766:JFB458766 JOU458766:JOX458766 JYQ458766:JYT458766 KIM458766:KIP458766 KSI458766:KSL458766 LCE458766:LCH458766 LMA458766:LMD458766 LVW458766:LVZ458766 MFS458766:MFV458766 MPO458766:MPR458766 MZK458766:MZN458766 NJG458766:NJJ458766 NTC458766:NTF458766 OCY458766:ODB458766 OMU458766:OMX458766 OWQ458766:OWT458766 PGM458766:PGP458766 PQI458766:PQL458766 QAE458766:QAH458766 QKA458766:QKD458766 QTW458766:QTZ458766 RDS458766:RDV458766 RNO458766:RNR458766 RXK458766:RXN458766 SHG458766:SHJ458766 SRC458766:SRF458766 TAY458766:TBB458766 TKU458766:TKX458766 TUQ458766:TUT458766 UEM458766:UEP458766 UOI458766:UOL458766 UYE458766:UYH458766 VIA458766:VID458766 VRW458766:VRZ458766 WBS458766:WBV458766 WLO458766:WLR458766 WVK458766:WVN458766 D524302:G524302 IY524302:JB524302 SU524302:SX524302 ACQ524302:ACT524302 AMM524302:AMP524302 AWI524302:AWL524302 BGE524302:BGH524302 BQA524302:BQD524302 BZW524302:BZZ524302 CJS524302:CJV524302 CTO524302:CTR524302 DDK524302:DDN524302 DNG524302:DNJ524302 DXC524302:DXF524302 EGY524302:EHB524302 EQU524302:EQX524302 FAQ524302:FAT524302 FKM524302:FKP524302 FUI524302:FUL524302 GEE524302:GEH524302 GOA524302:GOD524302 GXW524302:GXZ524302 HHS524302:HHV524302 HRO524302:HRR524302 IBK524302:IBN524302 ILG524302:ILJ524302 IVC524302:IVF524302 JEY524302:JFB524302 JOU524302:JOX524302 JYQ524302:JYT524302 KIM524302:KIP524302 KSI524302:KSL524302 LCE524302:LCH524302 LMA524302:LMD524302 LVW524302:LVZ524302 MFS524302:MFV524302 MPO524302:MPR524302 MZK524302:MZN524302 NJG524302:NJJ524302 NTC524302:NTF524302 OCY524302:ODB524302 OMU524302:OMX524302 OWQ524302:OWT524302 PGM524302:PGP524302 PQI524302:PQL524302 QAE524302:QAH524302 QKA524302:QKD524302 QTW524302:QTZ524302 RDS524302:RDV524302 RNO524302:RNR524302 RXK524302:RXN524302 SHG524302:SHJ524302 SRC524302:SRF524302 TAY524302:TBB524302 TKU524302:TKX524302 TUQ524302:TUT524302 UEM524302:UEP524302 UOI524302:UOL524302 UYE524302:UYH524302 VIA524302:VID524302 VRW524302:VRZ524302 WBS524302:WBV524302 WLO524302:WLR524302 WVK524302:WVN524302 D589838:G589838 IY589838:JB589838 SU589838:SX589838 ACQ589838:ACT589838 AMM589838:AMP589838 AWI589838:AWL589838 BGE589838:BGH589838 BQA589838:BQD589838 BZW589838:BZZ589838 CJS589838:CJV589838 CTO589838:CTR589838 DDK589838:DDN589838 DNG589838:DNJ589838 DXC589838:DXF589838 EGY589838:EHB589838 EQU589838:EQX589838 FAQ589838:FAT589838 FKM589838:FKP589838 FUI589838:FUL589838 GEE589838:GEH589838 GOA589838:GOD589838 GXW589838:GXZ589838 HHS589838:HHV589838 HRO589838:HRR589838 IBK589838:IBN589838 ILG589838:ILJ589838 IVC589838:IVF589838 JEY589838:JFB589838 JOU589838:JOX589838 JYQ589838:JYT589838 KIM589838:KIP589838 KSI589838:KSL589838 LCE589838:LCH589838 LMA589838:LMD589838 LVW589838:LVZ589838 MFS589838:MFV589838 MPO589838:MPR589838 MZK589838:MZN589838 NJG589838:NJJ589838 NTC589838:NTF589838 OCY589838:ODB589838 OMU589838:OMX589838 OWQ589838:OWT589838 PGM589838:PGP589838 PQI589838:PQL589838 QAE589838:QAH589838 QKA589838:QKD589838 QTW589838:QTZ589838 RDS589838:RDV589838 RNO589838:RNR589838 RXK589838:RXN589838 SHG589838:SHJ589838 SRC589838:SRF589838 TAY589838:TBB589838 TKU589838:TKX589838 TUQ589838:TUT589838 UEM589838:UEP589838 UOI589838:UOL589838 UYE589838:UYH589838 VIA589838:VID589838 VRW589838:VRZ589838 WBS589838:WBV589838 WLO589838:WLR589838 WVK589838:WVN589838 D655374:G655374 IY655374:JB655374 SU655374:SX655374 ACQ655374:ACT655374 AMM655374:AMP655374 AWI655374:AWL655374 BGE655374:BGH655374 BQA655374:BQD655374 BZW655374:BZZ655374 CJS655374:CJV655374 CTO655374:CTR655374 DDK655374:DDN655374 DNG655374:DNJ655374 DXC655374:DXF655374 EGY655374:EHB655374 EQU655374:EQX655374 FAQ655374:FAT655374 FKM655374:FKP655374 FUI655374:FUL655374 GEE655374:GEH655374 GOA655374:GOD655374 GXW655374:GXZ655374 HHS655374:HHV655374 HRO655374:HRR655374 IBK655374:IBN655374 ILG655374:ILJ655374 IVC655374:IVF655374 JEY655374:JFB655374 JOU655374:JOX655374 JYQ655374:JYT655374 KIM655374:KIP655374 KSI655374:KSL655374 LCE655374:LCH655374 LMA655374:LMD655374 LVW655374:LVZ655374 MFS655374:MFV655374 MPO655374:MPR655374 MZK655374:MZN655374 NJG655374:NJJ655374 NTC655374:NTF655374 OCY655374:ODB655374 OMU655374:OMX655374 OWQ655374:OWT655374 PGM655374:PGP655374 PQI655374:PQL655374 QAE655374:QAH655374 QKA655374:QKD655374 QTW655374:QTZ655374 RDS655374:RDV655374 RNO655374:RNR655374 RXK655374:RXN655374 SHG655374:SHJ655374 SRC655374:SRF655374 TAY655374:TBB655374 TKU655374:TKX655374 TUQ655374:TUT655374 UEM655374:UEP655374 UOI655374:UOL655374 UYE655374:UYH655374 VIA655374:VID655374 VRW655374:VRZ655374 WBS655374:WBV655374 WLO655374:WLR655374 WVK655374:WVN655374 D720910:G720910 IY720910:JB720910 SU720910:SX720910 ACQ720910:ACT720910 AMM720910:AMP720910 AWI720910:AWL720910 BGE720910:BGH720910 BQA720910:BQD720910 BZW720910:BZZ720910 CJS720910:CJV720910 CTO720910:CTR720910 DDK720910:DDN720910 DNG720910:DNJ720910 DXC720910:DXF720910 EGY720910:EHB720910 EQU720910:EQX720910 FAQ720910:FAT720910 FKM720910:FKP720910 FUI720910:FUL720910 GEE720910:GEH720910 GOA720910:GOD720910 GXW720910:GXZ720910 HHS720910:HHV720910 HRO720910:HRR720910 IBK720910:IBN720910 ILG720910:ILJ720910 IVC720910:IVF720910 JEY720910:JFB720910 JOU720910:JOX720910 JYQ720910:JYT720910 KIM720910:KIP720910 KSI720910:KSL720910 LCE720910:LCH720910 LMA720910:LMD720910 LVW720910:LVZ720910 MFS720910:MFV720910 MPO720910:MPR720910 MZK720910:MZN720910 NJG720910:NJJ720910 NTC720910:NTF720910 OCY720910:ODB720910 OMU720910:OMX720910 OWQ720910:OWT720910 PGM720910:PGP720910 PQI720910:PQL720910 QAE720910:QAH720910 QKA720910:QKD720910 QTW720910:QTZ720910 RDS720910:RDV720910 RNO720910:RNR720910 RXK720910:RXN720910 SHG720910:SHJ720910 SRC720910:SRF720910 TAY720910:TBB720910 TKU720910:TKX720910 TUQ720910:TUT720910 UEM720910:UEP720910 UOI720910:UOL720910 UYE720910:UYH720910 VIA720910:VID720910 VRW720910:VRZ720910 WBS720910:WBV720910 WLO720910:WLR720910 WVK720910:WVN720910 D786446:G786446 IY786446:JB786446 SU786446:SX786446 ACQ786446:ACT786446 AMM786446:AMP786446 AWI786446:AWL786446 BGE786446:BGH786446 BQA786446:BQD786446 BZW786446:BZZ786446 CJS786446:CJV786446 CTO786446:CTR786446 DDK786446:DDN786446 DNG786446:DNJ786446 DXC786446:DXF786446 EGY786446:EHB786446 EQU786446:EQX786446 FAQ786446:FAT786446 FKM786446:FKP786446 FUI786446:FUL786446 GEE786446:GEH786446 GOA786446:GOD786446 GXW786446:GXZ786446 HHS786446:HHV786446 HRO786446:HRR786446 IBK786446:IBN786446 ILG786446:ILJ786446 IVC786446:IVF786446 JEY786446:JFB786446 JOU786446:JOX786446 JYQ786446:JYT786446 KIM786446:KIP786446 KSI786446:KSL786446 LCE786446:LCH786446 LMA786446:LMD786446 LVW786446:LVZ786446 MFS786446:MFV786446 MPO786446:MPR786446 MZK786446:MZN786446 NJG786446:NJJ786446 NTC786446:NTF786446 OCY786446:ODB786446 OMU786446:OMX786446 OWQ786446:OWT786446 PGM786446:PGP786446 PQI786446:PQL786446 QAE786446:QAH786446 QKA786446:QKD786446 QTW786446:QTZ786446 RDS786446:RDV786446 RNO786446:RNR786446 RXK786446:RXN786446 SHG786446:SHJ786446 SRC786446:SRF786446 TAY786446:TBB786446 TKU786446:TKX786446 TUQ786446:TUT786446 UEM786446:UEP786446 UOI786446:UOL786446 UYE786446:UYH786446 VIA786446:VID786446 VRW786446:VRZ786446 WBS786446:WBV786446 WLO786446:WLR786446 WVK786446:WVN786446 D851982:G851982 IY851982:JB851982 SU851982:SX851982 ACQ851982:ACT851982 AMM851982:AMP851982 AWI851982:AWL851982 BGE851982:BGH851982 BQA851982:BQD851982 BZW851982:BZZ851982 CJS851982:CJV851982 CTO851982:CTR851982 DDK851982:DDN851982 DNG851982:DNJ851982 DXC851982:DXF851982 EGY851982:EHB851982 EQU851982:EQX851982 FAQ851982:FAT851982 FKM851982:FKP851982 FUI851982:FUL851982 GEE851982:GEH851982 GOA851982:GOD851982 GXW851982:GXZ851982 HHS851982:HHV851982 HRO851982:HRR851982 IBK851982:IBN851982 ILG851982:ILJ851982 IVC851982:IVF851982 JEY851982:JFB851982 JOU851982:JOX851982 JYQ851982:JYT851982 KIM851982:KIP851982 KSI851982:KSL851982 LCE851982:LCH851982 LMA851982:LMD851982 LVW851982:LVZ851982 MFS851982:MFV851982 MPO851982:MPR851982 MZK851982:MZN851982 NJG851982:NJJ851982 NTC851982:NTF851982 OCY851982:ODB851982 OMU851982:OMX851982 OWQ851982:OWT851982 PGM851982:PGP851982 PQI851982:PQL851982 QAE851982:QAH851982 QKA851982:QKD851982 QTW851982:QTZ851982 RDS851982:RDV851982 RNO851982:RNR851982 RXK851982:RXN851982 SHG851982:SHJ851982 SRC851982:SRF851982 TAY851982:TBB851982 TKU851982:TKX851982 TUQ851982:TUT851982 UEM851982:UEP851982 UOI851982:UOL851982 UYE851982:UYH851982 VIA851982:VID851982 VRW851982:VRZ851982 WBS851982:WBV851982 WLO851982:WLR851982 WVK851982:WVN851982 D917518:G917518 IY917518:JB917518 SU917518:SX917518 ACQ917518:ACT917518 AMM917518:AMP917518 AWI917518:AWL917518 BGE917518:BGH917518 BQA917518:BQD917518 BZW917518:BZZ917518 CJS917518:CJV917518 CTO917518:CTR917518 DDK917518:DDN917518 DNG917518:DNJ917518 DXC917518:DXF917518 EGY917518:EHB917518 EQU917518:EQX917518 FAQ917518:FAT917518 FKM917518:FKP917518 FUI917518:FUL917518 GEE917518:GEH917518 GOA917518:GOD917518 GXW917518:GXZ917518 HHS917518:HHV917518 HRO917518:HRR917518 IBK917518:IBN917518 ILG917518:ILJ917518 IVC917518:IVF917518 JEY917518:JFB917518 JOU917518:JOX917518 JYQ917518:JYT917518 KIM917518:KIP917518 KSI917518:KSL917518 LCE917518:LCH917518 LMA917518:LMD917518 LVW917518:LVZ917518 MFS917518:MFV917518 MPO917518:MPR917518 MZK917518:MZN917518 NJG917518:NJJ917518 NTC917518:NTF917518 OCY917518:ODB917518 OMU917518:OMX917518 OWQ917518:OWT917518 PGM917518:PGP917518 PQI917518:PQL917518 QAE917518:QAH917518 QKA917518:QKD917518 QTW917518:QTZ917518 RDS917518:RDV917518 RNO917518:RNR917518 RXK917518:RXN917518 SHG917518:SHJ917518 SRC917518:SRF917518 TAY917518:TBB917518 TKU917518:TKX917518 TUQ917518:TUT917518 UEM917518:UEP917518 UOI917518:UOL917518 UYE917518:UYH917518 VIA917518:VID917518 VRW917518:VRZ917518 WBS917518:WBV917518 WLO917518:WLR917518 WVK917518:WVN917518 D983054:G983054 IY983054:JB983054 SU983054:SX983054 ACQ983054:ACT983054 AMM983054:AMP983054 AWI983054:AWL983054 BGE983054:BGH983054 BQA983054:BQD983054 BZW983054:BZZ983054 CJS983054:CJV983054 CTO983054:CTR983054 DDK983054:DDN983054 DNG983054:DNJ983054 DXC983054:DXF983054 EGY983054:EHB983054 EQU983054:EQX983054 FAQ983054:FAT983054 FKM983054:FKP983054 FUI983054:FUL983054 GEE983054:GEH983054 GOA983054:GOD983054 GXW983054:GXZ983054 HHS983054:HHV983054 HRO983054:HRR983054 IBK983054:IBN983054 ILG983054:ILJ983054 IVC983054:IVF983054 JEY983054:JFB983054 JOU983054:JOX983054 JYQ983054:JYT983054 KIM983054:KIP983054 KSI983054:KSL983054 LCE983054:LCH983054 LMA983054:LMD983054 LVW983054:LVZ983054 MFS983054:MFV983054 MPO983054:MPR983054 MZK983054:MZN983054 NJG983054:NJJ983054 NTC983054:NTF983054 OCY983054:ODB983054 OMU983054:OMX983054 OWQ983054:OWT983054 PGM983054:PGP983054 PQI983054:PQL983054 QAE983054:QAH983054 QKA983054:QKD983054 QTW983054:QTZ983054 RDS983054:RDV983054 RNO983054:RNR983054 RXK983054:RXN983054 SHG983054:SHJ983054 SRC983054:SRF983054 TAY983054:TBB983054 TKU983054:TKX983054 TUQ983054:TUT983054 UEM983054:UEP983054 UOI983054:UOL983054 UYE983054:UYH983054 VIA983054:VID983054 VRW983054:VRZ983054 WBS983054:WBV983054 WLO983054:WLR983054 WVK983054:WVN983054">
      <formula1>$M$6:$M$12</formula1>
    </dataValidation>
    <dataValidation type="list" allowBlank="1" showInputMessage="1" showErrorMessage="1" promptTitle="Status Perkawinan" prompt="Dipilih status perkawinan Calon Debitur" sqref="WVK983052:WVN983052 WLO983052:WLR983052 WBS983052:WBV983052 VRW983052:VRZ983052 VIA983052:VID983052 UYE983052:UYH983052 UOI983052:UOL983052 UEM983052:UEP983052 TUQ983052:TUT983052 TKU983052:TKX983052 TAY983052:TBB983052 SRC983052:SRF983052 SHG983052:SHJ983052 RXK983052:RXN983052 RNO983052:RNR983052 RDS983052:RDV983052 QTW983052:QTZ983052 QKA983052:QKD983052 QAE983052:QAH983052 PQI983052:PQL983052 PGM983052:PGP983052 OWQ983052:OWT983052 OMU983052:OMX983052 OCY983052:ODB983052 NTC983052:NTF983052 NJG983052:NJJ983052 MZK983052:MZN983052 MPO983052:MPR983052 MFS983052:MFV983052 LVW983052:LVZ983052 LMA983052:LMD983052 LCE983052:LCH983052 KSI983052:KSL983052 KIM983052:KIP983052 JYQ983052:JYT983052 JOU983052:JOX983052 JEY983052:JFB983052 IVC983052:IVF983052 ILG983052:ILJ983052 IBK983052:IBN983052 HRO983052:HRR983052 HHS983052:HHV983052 GXW983052:GXZ983052 GOA983052:GOD983052 GEE983052:GEH983052 FUI983052:FUL983052 FKM983052:FKP983052 FAQ983052:FAT983052 EQU983052:EQX983052 EGY983052:EHB983052 DXC983052:DXF983052 DNG983052:DNJ983052 DDK983052:DDN983052 CTO983052:CTR983052 CJS983052:CJV983052 BZW983052:BZZ983052 BQA983052:BQD983052 BGE983052:BGH983052 AWI983052:AWL983052 AMM983052:AMP983052 ACQ983052:ACT983052 SU983052:SX983052 IY983052:JB983052 D983052:G983052 WVK917516:WVN917516 WLO917516:WLR917516 WBS917516:WBV917516 VRW917516:VRZ917516 VIA917516:VID917516 UYE917516:UYH917516 UOI917516:UOL917516 UEM917516:UEP917516 TUQ917516:TUT917516 TKU917516:TKX917516 TAY917516:TBB917516 SRC917516:SRF917516 SHG917516:SHJ917516 RXK917516:RXN917516 RNO917516:RNR917516 RDS917516:RDV917516 QTW917516:QTZ917516 QKA917516:QKD917516 QAE917516:QAH917516 PQI917516:PQL917516 PGM917516:PGP917516 OWQ917516:OWT917516 OMU917516:OMX917516 OCY917516:ODB917516 NTC917516:NTF917516 NJG917516:NJJ917516 MZK917516:MZN917516 MPO917516:MPR917516 MFS917516:MFV917516 LVW917516:LVZ917516 LMA917516:LMD917516 LCE917516:LCH917516 KSI917516:KSL917516 KIM917516:KIP917516 JYQ917516:JYT917516 JOU917516:JOX917516 JEY917516:JFB917516 IVC917516:IVF917516 ILG917516:ILJ917516 IBK917516:IBN917516 HRO917516:HRR917516 HHS917516:HHV917516 GXW917516:GXZ917516 GOA917516:GOD917516 GEE917516:GEH917516 FUI917516:FUL917516 FKM917516:FKP917516 FAQ917516:FAT917516 EQU917516:EQX917516 EGY917516:EHB917516 DXC917516:DXF917516 DNG917516:DNJ917516 DDK917516:DDN917516 CTO917516:CTR917516 CJS917516:CJV917516 BZW917516:BZZ917516 BQA917516:BQD917516 BGE917516:BGH917516 AWI917516:AWL917516 AMM917516:AMP917516 ACQ917516:ACT917516 SU917516:SX917516 IY917516:JB917516 D917516:G917516 WVK851980:WVN851980 WLO851980:WLR851980 WBS851980:WBV851980 VRW851980:VRZ851980 VIA851980:VID851980 UYE851980:UYH851980 UOI851980:UOL851980 UEM851980:UEP851980 TUQ851980:TUT851980 TKU851980:TKX851980 TAY851980:TBB851980 SRC851980:SRF851980 SHG851980:SHJ851980 RXK851980:RXN851980 RNO851980:RNR851980 RDS851980:RDV851980 QTW851980:QTZ851980 QKA851980:QKD851980 QAE851980:QAH851980 PQI851980:PQL851980 PGM851980:PGP851980 OWQ851980:OWT851980 OMU851980:OMX851980 OCY851980:ODB851980 NTC851980:NTF851980 NJG851980:NJJ851980 MZK851980:MZN851980 MPO851980:MPR851980 MFS851980:MFV851980 LVW851980:LVZ851980 LMA851980:LMD851980 LCE851980:LCH851980 KSI851980:KSL851980 KIM851980:KIP851980 JYQ851980:JYT851980 JOU851980:JOX851980 JEY851980:JFB851980 IVC851980:IVF851980 ILG851980:ILJ851980 IBK851980:IBN851980 HRO851980:HRR851980 HHS851980:HHV851980 GXW851980:GXZ851980 GOA851980:GOD851980 GEE851980:GEH851980 FUI851980:FUL851980 FKM851980:FKP851980 FAQ851980:FAT851980 EQU851980:EQX851980 EGY851980:EHB851980 DXC851980:DXF851980 DNG851980:DNJ851980 DDK851980:DDN851980 CTO851980:CTR851980 CJS851980:CJV851980 BZW851980:BZZ851980 BQA851980:BQD851980 BGE851980:BGH851980 AWI851980:AWL851980 AMM851980:AMP851980 ACQ851980:ACT851980 SU851980:SX851980 IY851980:JB851980 D851980:G851980 WVK786444:WVN786444 WLO786444:WLR786444 WBS786444:WBV786444 VRW786444:VRZ786444 VIA786444:VID786444 UYE786444:UYH786444 UOI786444:UOL786444 UEM786444:UEP786444 TUQ786444:TUT786444 TKU786444:TKX786444 TAY786444:TBB786444 SRC786444:SRF786444 SHG786444:SHJ786444 RXK786444:RXN786444 RNO786444:RNR786444 RDS786444:RDV786444 QTW786444:QTZ786444 QKA786444:QKD786444 QAE786444:QAH786444 PQI786444:PQL786444 PGM786444:PGP786444 OWQ786444:OWT786444 OMU786444:OMX786444 OCY786444:ODB786444 NTC786444:NTF786444 NJG786444:NJJ786444 MZK786444:MZN786444 MPO786444:MPR786444 MFS786444:MFV786444 LVW786444:LVZ786444 LMA786444:LMD786444 LCE786444:LCH786444 KSI786444:KSL786444 KIM786444:KIP786444 JYQ786444:JYT786444 JOU786444:JOX786444 JEY786444:JFB786444 IVC786444:IVF786444 ILG786444:ILJ786444 IBK786444:IBN786444 HRO786444:HRR786444 HHS786444:HHV786444 GXW786444:GXZ786444 GOA786444:GOD786444 GEE786444:GEH786444 FUI786444:FUL786444 FKM786444:FKP786444 FAQ786444:FAT786444 EQU786444:EQX786444 EGY786444:EHB786444 DXC786444:DXF786444 DNG786444:DNJ786444 DDK786444:DDN786444 CTO786444:CTR786444 CJS786444:CJV786444 BZW786444:BZZ786444 BQA786444:BQD786444 BGE786444:BGH786444 AWI786444:AWL786444 AMM786444:AMP786444 ACQ786444:ACT786444 SU786444:SX786444 IY786444:JB786444 D786444:G786444 WVK720908:WVN720908 WLO720908:WLR720908 WBS720908:WBV720908 VRW720908:VRZ720908 VIA720908:VID720908 UYE720908:UYH720908 UOI720908:UOL720908 UEM720908:UEP720908 TUQ720908:TUT720908 TKU720908:TKX720908 TAY720908:TBB720908 SRC720908:SRF720908 SHG720908:SHJ720908 RXK720908:RXN720908 RNO720908:RNR720908 RDS720908:RDV720908 QTW720908:QTZ720908 QKA720908:QKD720908 QAE720908:QAH720908 PQI720908:PQL720908 PGM720908:PGP720908 OWQ720908:OWT720908 OMU720908:OMX720908 OCY720908:ODB720908 NTC720908:NTF720908 NJG720908:NJJ720908 MZK720908:MZN720908 MPO720908:MPR720908 MFS720908:MFV720908 LVW720908:LVZ720908 LMA720908:LMD720908 LCE720908:LCH720908 KSI720908:KSL720908 KIM720908:KIP720908 JYQ720908:JYT720908 JOU720908:JOX720908 JEY720908:JFB720908 IVC720908:IVF720908 ILG720908:ILJ720908 IBK720908:IBN720908 HRO720908:HRR720908 HHS720908:HHV720908 GXW720908:GXZ720908 GOA720908:GOD720908 GEE720908:GEH720908 FUI720908:FUL720908 FKM720908:FKP720908 FAQ720908:FAT720908 EQU720908:EQX720908 EGY720908:EHB720908 DXC720908:DXF720908 DNG720908:DNJ720908 DDK720908:DDN720908 CTO720908:CTR720908 CJS720908:CJV720908 BZW720908:BZZ720908 BQA720908:BQD720908 BGE720908:BGH720908 AWI720908:AWL720908 AMM720908:AMP720908 ACQ720908:ACT720908 SU720908:SX720908 IY720908:JB720908 D720908:G720908 WVK655372:WVN655372 WLO655372:WLR655372 WBS655372:WBV655372 VRW655372:VRZ655372 VIA655372:VID655372 UYE655372:UYH655372 UOI655372:UOL655372 UEM655372:UEP655372 TUQ655372:TUT655372 TKU655372:TKX655372 TAY655372:TBB655372 SRC655372:SRF655372 SHG655372:SHJ655372 RXK655372:RXN655372 RNO655372:RNR655372 RDS655372:RDV655372 QTW655372:QTZ655372 QKA655372:QKD655372 QAE655372:QAH655372 PQI655372:PQL655372 PGM655372:PGP655372 OWQ655372:OWT655372 OMU655372:OMX655372 OCY655372:ODB655372 NTC655372:NTF655372 NJG655372:NJJ655372 MZK655372:MZN655372 MPO655372:MPR655372 MFS655372:MFV655372 LVW655372:LVZ655372 LMA655372:LMD655372 LCE655372:LCH655372 KSI655372:KSL655372 KIM655372:KIP655372 JYQ655372:JYT655372 JOU655372:JOX655372 JEY655372:JFB655372 IVC655372:IVF655372 ILG655372:ILJ655372 IBK655372:IBN655372 HRO655372:HRR655372 HHS655372:HHV655372 GXW655372:GXZ655372 GOA655372:GOD655372 GEE655372:GEH655372 FUI655372:FUL655372 FKM655372:FKP655372 FAQ655372:FAT655372 EQU655372:EQX655372 EGY655372:EHB655372 DXC655372:DXF655372 DNG655372:DNJ655372 DDK655372:DDN655372 CTO655372:CTR655372 CJS655372:CJV655372 BZW655372:BZZ655372 BQA655372:BQD655372 BGE655372:BGH655372 AWI655372:AWL655372 AMM655372:AMP655372 ACQ655372:ACT655372 SU655372:SX655372 IY655372:JB655372 D655372:G655372 WVK589836:WVN589836 WLO589836:WLR589836 WBS589836:WBV589836 VRW589836:VRZ589836 VIA589836:VID589836 UYE589836:UYH589836 UOI589836:UOL589836 UEM589836:UEP589836 TUQ589836:TUT589836 TKU589836:TKX589836 TAY589836:TBB589836 SRC589836:SRF589836 SHG589836:SHJ589836 RXK589836:RXN589836 RNO589836:RNR589836 RDS589836:RDV589836 QTW589836:QTZ589836 QKA589836:QKD589836 QAE589836:QAH589836 PQI589836:PQL589836 PGM589836:PGP589836 OWQ589836:OWT589836 OMU589836:OMX589836 OCY589836:ODB589836 NTC589836:NTF589836 NJG589836:NJJ589836 MZK589836:MZN589836 MPO589836:MPR589836 MFS589836:MFV589836 LVW589836:LVZ589836 LMA589836:LMD589836 LCE589836:LCH589836 KSI589836:KSL589836 KIM589836:KIP589836 JYQ589836:JYT589836 JOU589836:JOX589836 JEY589836:JFB589836 IVC589836:IVF589836 ILG589836:ILJ589836 IBK589836:IBN589836 HRO589836:HRR589836 HHS589836:HHV589836 GXW589836:GXZ589836 GOA589836:GOD589836 GEE589836:GEH589836 FUI589836:FUL589836 FKM589836:FKP589836 FAQ589836:FAT589836 EQU589836:EQX589836 EGY589836:EHB589836 DXC589836:DXF589836 DNG589836:DNJ589836 DDK589836:DDN589836 CTO589836:CTR589836 CJS589836:CJV589836 BZW589836:BZZ589836 BQA589836:BQD589836 BGE589836:BGH589836 AWI589836:AWL589836 AMM589836:AMP589836 ACQ589836:ACT589836 SU589836:SX589836 IY589836:JB589836 D589836:G589836 WVK524300:WVN524300 WLO524300:WLR524300 WBS524300:WBV524300 VRW524300:VRZ524300 VIA524300:VID524300 UYE524300:UYH524300 UOI524300:UOL524300 UEM524300:UEP524300 TUQ524300:TUT524300 TKU524300:TKX524300 TAY524300:TBB524300 SRC524300:SRF524300 SHG524300:SHJ524300 RXK524300:RXN524300 RNO524300:RNR524300 RDS524300:RDV524300 QTW524300:QTZ524300 QKA524300:QKD524300 QAE524300:QAH524300 PQI524300:PQL524300 PGM524300:PGP524300 OWQ524300:OWT524300 OMU524300:OMX524300 OCY524300:ODB524300 NTC524300:NTF524300 NJG524300:NJJ524300 MZK524300:MZN524300 MPO524300:MPR524300 MFS524300:MFV524300 LVW524300:LVZ524300 LMA524300:LMD524300 LCE524300:LCH524300 KSI524300:KSL524300 KIM524300:KIP524300 JYQ524300:JYT524300 JOU524300:JOX524300 JEY524300:JFB524300 IVC524300:IVF524300 ILG524300:ILJ524300 IBK524300:IBN524300 HRO524300:HRR524300 HHS524300:HHV524300 GXW524300:GXZ524300 GOA524300:GOD524300 GEE524300:GEH524300 FUI524300:FUL524300 FKM524300:FKP524300 FAQ524300:FAT524300 EQU524300:EQX524300 EGY524300:EHB524300 DXC524300:DXF524300 DNG524300:DNJ524300 DDK524300:DDN524300 CTO524300:CTR524300 CJS524300:CJV524300 BZW524300:BZZ524300 BQA524300:BQD524300 BGE524300:BGH524300 AWI524300:AWL524300 AMM524300:AMP524300 ACQ524300:ACT524300 SU524300:SX524300 IY524300:JB524300 D524300:G524300 WVK458764:WVN458764 WLO458764:WLR458764 WBS458764:WBV458764 VRW458764:VRZ458764 VIA458764:VID458764 UYE458764:UYH458764 UOI458764:UOL458764 UEM458764:UEP458764 TUQ458764:TUT458764 TKU458764:TKX458764 TAY458764:TBB458764 SRC458764:SRF458764 SHG458764:SHJ458764 RXK458764:RXN458764 RNO458764:RNR458764 RDS458764:RDV458764 QTW458764:QTZ458764 QKA458764:QKD458764 QAE458764:QAH458764 PQI458764:PQL458764 PGM458764:PGP458764 OWQ458764:OWT458764 OMU458764:OMX458764 OCY458764:ODB458764 NTC458764:NTF458764 NJG458764:NJJ458764 MZK458764:MZN458764 MPO458764:MPR458764 MFS458764:MFV458764 LVW458764:LVZ458764 LMA458764:LMD458764 LCE458764:LCH458764 KSI458764:KSL458764 KIM458764:KIP458764 JYQ458764:JYT458764 JOU458764:JOX458764 JEY458764:JFB458764 IVC458764:IVF458764 ILG458764:ILJ458764 IBK458764:IBN458764 HRO458764:HRR458764 HHS458764:HHV458764 GXW458764:GXZ458764 GOA458764:GOD458764 GEE458764:GEH458764 FUI458764:FUL458764 FKM458764:FKP458764 FAQ458764:FAT458764 EQU458764:EQX458764 EGY458764:EHB458764 DXC458764:DXF458764 DNG458764:DNJ458764 DDK458764:DDN458764 CTO458764:CTR458764 CJS458764:CJV458764 BZW458764:BZZ458764 BQA458764:BQD458764 BGE458764:BGH458764 AWI458764:AWL458764 AMM458764:AMP458764 ACQ458764:ACT458764 SU458764:SX458764 IY458764:JB458764 D458764:G458764 WVK393228:WVN393228 WLO393228:WLR393228 WBS393228:WBV393228 VRW393228:VRZ393228 VIA393228:VID393228 UYE393228:UYH393228 UOI393228:UOL393228 UEM393228:UEP393228 TUQ393228:TUT393228 TKU393228:TKX393228 TAY393228:TBB393228 SRC393228:SRF393228 SHG393228:SHJ393228 RXK393228:RXN393228 RNO393228:RNR393228 RDS393228:RDV393228 QTW393228:QTZ393228 QKA393228:QKD393228 QAE393228:QAH393228 PQI393228:PQL393228 PGM393228:PGP393228 OWQ393228:OWT393228 OMU393228:OMX393228 OCY393228:ODB393228 NTC393228:NTF393228 NJG393228:NJJ393228 MZK393228:MZN393228 MPO393228:MPR393228 MFS393228:MFV393228 LVW393228:LVZ393228 LMA393228:LMD393228 LCE393228:LCH393228 KSI393228:KSL393228 KIM393228:KIP393228 JYQ393228:JYT393228 JOU393228:JOX393228 JEY393228:JFB393228 IVC393228:IVF393228 ILG393228:ILJ393228 IBK393228:IBN393228 HRO393228:HRR393228 HHS393228:HHV393228 GXW393228:GXZ393228 GOA393228:GOD393228 GEE393228:GEH393228 FUI393228:FUL393228 FKM393228:FKP393228 FAQ393228:FAT393228 EQU393228:EQX393228 EGY393228:EHB393228 DXC393228:DXF393228 DNG393228:DNJ393228 DDK393228:DDN393228 CTO393228:CTR393228 CJS393228:CJV393228 BZW393228:BZZ393228 BQA393228:BQD393228 BGE393228:BGH393228 AWI393228:AWL393228 AMM393228:AMP393228 ACQ393228:ACT393228 SU393228:SX393228 IY393228:JB393228 D393228:G393228 WVK327692:WVN327692 WLO327692:WLR327692 WBS327692:WBV327692 VRW327692:VRZ327692 VIA327692:VID327692 UYE327692:UYH327692 UOI327692:UOL327692 UEM327692:UEP327692 TUQ327692:TUT327692 TKU327692:TKX327692 TAY327692:TBB327692 SRC327692:SRF327692 SHG327692:SHJ327692 RXK327692:RXN327692 RNO327692:RNR327692 RDS327692:RDV327692 QTW327692:QTZ327692 QKA327692:QKD327692 QAE327692:QAH327692 PQI327692:PQL327692 PGM327692:PGP327692 OWQ327692:OWT327692 OMU327692:OMX327692 OCY327692:ODB327692 NTC327692:NTF327692 NJG327692:NJJ327692 MZK327692:MZN327692 MPO327692:MPR327692 MFS327692:MFV327692 LVW327692:LVZ327692 LMA327692:LMD327692 LCE327692:LCH327692 KSI327692:KSL327692 KIM327692:KIP327692 JYQ327692:JYT327692 JOU327692:JOX327692 JEY327692:JFB327692 IVC327692:IVF327692 ILG327692:ILJ327692 IBK327692:IBN327692 HRO327692:HRR327692 HHS327692:HHV327692 GXW327692:GXZ327692 GOA327692:GOD327692 GEE327692:GEH327692 FUI327692:FUL327692 FKM327692:FKP327692 FAQ327692:FAT327692 EQU327692:EQX327692 EGY327692:EHB327692 DXC327692:DXF327692 DNG327692:DNJ327692 DDK327692:DDN327692 CTO327692:CTR327692 CJS327692:CJV327692 BZW327692:BZZ327692 BQA327692:BQD327692 BGE327692:BGH327692 AWI327692:AWL327692 AMM327692:AMP327692 ACQ327692:ACT327692 SU327692:SX327692 IY327692:JB327692 D327692:G327692 WVK262156:WVN262156 WLO262156:WLR262156 WBS262156:WBV262156 VRW262156:VRZ262156 VIA262156:VID262156 UYE262156:UYH262156 UOI262156:UOL262156 UEM262156:UEP262156 TUQ262156:TUT262156 TKU262156:TKX262156 TAY262156:TBB262156 SRC262156:SRF262156 SHG262156:SHJ262156 RXK262156:RXN262156 RNO262156:RNR262156 RDS262156:RDV262156 QTW262156:QTZ262156 QKA262156:QKD262156 QAE262156:QAH262156 PQI262156:PQL262156 PGM262156:PGP262156 OWQ262156:OWT262156 OMU262156:OMX262156 OCY262156:ODB262156 NTC262156:NTF262156 NJG262156:NJJ262156 MZK262156:MZN262156 MPO262156:MPR262156 MFS262156:MFV262156 LVW262156:LVZ262156 LMA262156:LMD262156 LCE262156:LCH262156 KSI262156:KSL262156 KIM262156:KIP262156 JYQ262156:JYT262156 JOU262156:JOX262156 JEY262156:JFB262156 IVC262156:IVF262156 ILG262156:ILJ262156 IBK262156:IBN262156 HRO262156:HRR262156 HHS262156:HHV262156 GXW262156:GXZ262156 GOA262156:GOD262156 GEE262156:GEH262156 FUI262156:FUL262156 FKM262156:FKP262156 FAQ262156:FAT262156 EQU262156:EQX262156 EGY262156:EHB262156 DXC262156:DXF262156 DNG262156:DNJ262156 DDK262156:DDN262156 CTO262156:CTR262156 CJS262156:CJV262156 BZW262156:BZZ262156 BQA262156:BQD262156 BGE262156:BGH262156 AWI262156:AWL262156 AMM262156:AMP262156 ACQ262156:ACT262156 SU262156:SX262156 IY262156:JB262156 D262156:G262156 WVK196620:WVN196620 WLO196620:WLR196620 WBS196620:WBV196620 VRW196620:VRZ196620 VIA196620:VID196620 UYE196620:UYH196620 UOI196620:UOL196620 UEM196620:UEP196620 TUQ196620:TUT196620 TKU196620:TKX196620 TAY196620:TBB196620 SRC196620:SRF196620 SHG196620:SHJ196620 RXK196620:RXN196620 RNO196620:RNR196620 RDS196620:RDV196620 QTW196620:QTZ196620 QKA196620:QKD196620 QAE196620:QAH196620 PQI196620:PQL196620 PGM196620:PGP196620 OWQ196620:OWT196620 OMU196620:OMX196620 OCY196620:ODB196620 NTC196620:NTF196620 NJG196620:NJJ196620 MZK196620:MZN196620 MPO196620:MPR196620 MFS196620:MFV196620 LVW196620:LVZ196620 LMA196620:LMD196620 LCE196620:LCH196620 KSI196620:KSL196620 KIM196620:KIP196620 JYQ196620:JYT196620 JOU196620:JOX196620 JEY196620:JFB196620 IVC196620:IVF196620 ILG196620:ILJ196620 IBK196620:IBN196620 HRO196620:HRR196620 HHS196620:HHV196620 GXW196620:GXZ196620 GOA196620:GOD196620 GEE196620:GEH196620 FUI196620:FUL196620 FKM196620:FKP196620 FAQ196620:FAT196620 EQU196620:EQX196620 EGY196620:EHB196620 DXC196620:DXF196620 DNG196620:DNJ196620 DDK196620:DDN196620 CTO196620:CTR196620 CJS196620:CJV196620 BZW196620:BZZ196620 BQA196620:BQD196620 BGE196620:BGH196620 AWI196620:AWL196620 AMM196620:AMP196620 ACQ196620:ACT196620 SU196620:SX196620 IY196620:JB196620 D196620:G196620 WVK131084:WVN131084 WLO131084:WLR131084 WBS131084:WBV131084 VRW131084:VRZ131084 VIA131084:VID131084 UYE131084:UYH131084 UOI131084:UOL131084 UEM131084:UEP131084 TUQ131084:TUT131084 TKU131084:TKX131084 TAY131084:TBB131084 SRC131084:SRF131084 SHG131084:SHJ131084 RXK131084:RXN131084 RNO131084:RNR131084 RDS131084:RDV131084 QTW131084:QTZ131084 QKA131084:QKD131084 QAE131084:QAH131084 PQI131084:PQL131084 PGM131084:PGP131084 OWQ131084:OWT131084 OMU131084:OMX131084 OCY131084:ODB131084 NTC131084:NTF131084 NJG131084:NJJ131084 MZK131084:MZN131084 MPO131084:MPR131084 MFS131084:MFV131084 LVW131084:LVZ131084 LMA131084:LMD131084 LCE131084:LCH131084 KSI131084:KSL131084 KIM131084:KIP131084 JYQ131084:JYT131084 JOU131084:JOX131084 JEY131084:JFB131084 IVC131084:IVF131084 ILG131084:ILJ131084 IBK131084:IBN131084 HRO131084:HRR131084 HHS131084:HHV131084 GXW131084:GXZ131084 GOA131084:GOD131084 GEE131084:GEH131084 FUI131084:FUL131084 FKM131084:FKP131084 FAQ131084:FAT131084 EQU131084:EQX131084 EGY131084:EHB131084 DXC131084:DXF131084 DNG131084:DNJ131084 DDK131084:DDN131084 CTO131084:CTR131084 CJS131084:CJV131084 BZW131084:BZZ131084 BQA131084:BQD131084 BGE131084:BGH131084 AWI131084:AWL131084 AMM131084:AMP131084 ACQ131084:ACT131084 SU131084:SX131084 IY131084:JB131084 D131084:G131084 WVK65548:WVN65548 WLO65548:WLR65548 WBS65548:WBV65548 VRW65548:VRZ65548 VIA65548:VID65548 UYE65548:UYH65548 UOI65548:UOL65548 UEM65548:UEP65548 TUQ65548:TUT65548 TKU65548:TKX65548 TAY65548:TBB65548 SRC65548:SRF65548 SHG65548:SHJ65548 RXK65548:RXN65548 RNO65548:RNR65548 RDS65548:RDV65548 QTW65548:QTZ65548 QKA65548:QKD65548 QAE65548:QAH65548 PQI65548:PQL65548 PGM65548:PGP65548 OWQ65548:OWT65548 OMU65548:OMX65548 OCY65548:ODB65548 NTC65548:NTF65548 NJG65548:NJJ65548 MZK65548:MZN65548 MPO65548:MPR65548 MFS65548:MFV65548 LVW65548:LVZ65548 LMA65548:LMD65548 LCE65548:LCH65548 KSI65548:KSL65548 KIM65548:KIP65548 JYQ65548:JYT65548 JOU65548:JOX65548 JEY65548:JFB65548 IVC65548:IVF65548 ILG65548:ILJ65548 IBK65548:IBN65548 HRO65548:HRR65548 HHS65548:HHV65548 GXW65548:GXZ65548 GOA65548:GOD65548 GEE65548:GEH65548 FUI65548:FUL65548 FKM65548:FKP65548 FAQ65548:FAT65548 EQU65548:EQX65548 EGY65548:EHB65548 DXC65548:DXF65548 DNG65548:DNJ65548 DDK65548:DDN65548 CTO65548:CTR65548 CJS65548:CJV65548 BZW65548:BZZ65548 BQA65548:BQD65548 BGE65548:BGH65548 AWI65548:AWL65548 AMM65548:AMP65548 ACQ65548:ACT65548 SU65548:SX65548 IY65548:JB65548 D65548:G65548 WVK22:WVN22 WLO22:WLR22 WBS22:WBV22 VRW22:VRZ22 VIA22:VID22 UYE22:UYH22 UOI22:UOL22 UEM22:UEP22 TUQ22:TUT22 TKU22:TKX22 TAY22:TBB22 SRC22:SRF22 SHG22:SHJ22 RXK22:RXN22 RNO22:RNR22 RDS22:RDV22 QTW22:QTZ22 QKA22:QKD22 QAE22:QAH22 PQI22:PQL22 PGM22:PGP22 OWQ22:OWT22 OMU22:OMX22 OCY22:ODB22 NTC22:NTF22 NJG22:NJJ22 MZK22:MZN22 MPO22:MPR22 MFS22:MFV22 LVW22:LVZ22 LMA22:LMD22 LCE22:LCH22 KSI22:KSL22 KIM22:KIP22 JYQ22:JYT22 JOU22:JOX22 JEY22:JFB22 IVC22:IVF22 ILG22:ILJ22 IBK22:IBN22 HRO22:HRR22 HHS22:HHV22 GXW22:GXZ22 GOA22:GOD22 GEE22:GEH22 FUI22:FUL22 FKM22:FKP22 FAQ22:FAT22 EQU22:EQX22 EGY22:EHB22 DXC22:DXF22 DNG22:DNJ22 DDK22:DDN22 CTO22:CTR22 CJS22:CJV22 BZW22:BZZ22 BQA22:BQD22 BGE22:BGH22 AWI22:AWL22 AMM22:AMP22 ACQ22:ACT22 SU22:SX22 IY22:JB22">
      <formula1>#REF!</formula1>
    </dataValidation>
    <dataValidation allowBlank="1" showInputMessage="1" showErrorMessage="1" promptTitle="Jenis Produk" prompt="Dijelaskan mengenai produk / jasa yang dihasilkan oleh Pemohon. Apabila memiliki berbagai macam jenis produk/jasa dapat dituliskan seluruhnya dengan dipisahkan oleh tanda ',' (koma) antara satu dengan lainnya." sqref="IY65574:JE65574 SU65574:TA65574 ACQ65574:ACW65574 AMM65574:AMS65574 AWI65574:AWO65574 BGE65574:BGK65574 BQA65574:BQG65574 BZW65574:CAC65574 CJS65574:CJY65574 CTO65574:CTU65574 DDK65574:DDQ65574 DNG65574:DNM65574 DXC65574:DXI65574 EGY65574:EHE65574 EQU65574:ERA65574 FAQ65574:FAW65574 FKM65574:FKS65574 FUI65574:FUO65574 GEE65574:GEK65574 GOA65574:GOG65574 GXW65574:GYC65574 HHS65574:HHY65574 HRO65574:HRU65574 IBK65574:IBQ65574 ILG65574:ILM65574 IVC65574:IVI65574 JEY65574:JFE65574 JOU65574:JPA65574 JYQ65574:JYW65574 KIM65574:KIS65574 KSI65574:KSO65574 LCE65574:LCK65574 LMA65574:LMG65574 LVW65574:LWC65574 MFS65574:MFY65574 MPO65574:MPU65574 MZK65574:MZQ65574 NJG65574:NJM65574 NTC65574:NTI65574 OCY65574:ODE65574 OMU65574:ONA65574 OWQ65574:OWW65574 PGM65574:PGS65574 PQI65574:PQO65574 QAE65574:QAK65574 QKA65574:QKG65574 QTW65574:QUC65574 RDS65574:RDY65574 RNO65574:RNU65574 RXK65574:RXQ65574 SHG65574:SHM65574 SRC65574:SRI65574 TAY65574:TBE65574 TKU65574:TLA65574 TUQ65574:TUW65574 UEM65574:UES65574 UOI65574:UOO65574 UYE65574:UYK65574 VIA65574:VIG65574 VRW65574:VSC65574 WBS65574:WBY65574 WLO65574:WLU65574 WVK65574:WVQ65574 IY131110:JE131110 SU131110:TA131110 ACQ131110:ACW131110 AMM131110:AMS131110 AWI131110:AWO131110 BGE131110:BGK131110 BQA131110:BQG131110 BZW131110:CAC131110 CJS131110:CJY131110 CTO131110:CTU131110 DDK131110:DDQ131110 DNG131110:DNM131110 DXC131110:DXI131110 EGY131110:EHE131110 EQU131110:ERA131110 FAQ131110:FAW131110 FKM131110:FKS131110 FUI131110:FUO131110 GEE131110:GEK131110 GOA131110:GOG131110 GXW131110:GYC131110 HHS131110:HHY131110 HRO131110:HRU131110 IBK131110:IBQ131110 ILG131110:ILM131110 IVC131110:IVI131110 JEY131110:JFE131110 JOU131110:JPA131110 JYQ131110:JYW131110 KIM131110:KIS131110 KSI131110:KSO131110 LCE131110:LCK131110 LMA131110:LMG131110 LVW131110:LWC131110 MFS131110:MFY131110 MPO131110:MPU131110 MZK131110:MZQ131110 NJG131110:NJM131110 NTC131110:NTI131110 OCY131110:ODE131110 OMU131110:ONA131110 OWQ131110:OWW131110 PGM131110:PGS131110 PQI131110:PQO131110 QAE131110:QAK131110 QKA131110:QKG131110 QTW131110:QUC131110 RDS131110:RDY131110 RNO131110:RNU131110 RXK131110:RXQ131110 SHG131110:SHM131110 SRC131110:SRI131110 TAY131110:TBE131110 TKU131110:TLA131110 TUQ131110:TUW131110 UEM131110:UES131110 UOI131110:UOO131110 UYE131110:UYK131110 VIA131110:VIG131110 VRW131110:VSC131110 WBS131110:WBY131110 WLO131110:WLU131110 WVK131110:WVQ131110 IY196646:JE196646 SU196646:TA196646 ACQ196646:ACW196646 AMM196646:AMS196646 AWI196646:AWO196646 BGE196646:BGK196646 BQA196646:BQG196646 BZW196646:CAC196646 CJS196646:CJY196646 CTO196646:CTU196646 DDK196646:DDQ196646 DNG196646:DNM196646 DXC196646:DXI196646 EGY196646:EHE196646 EQU196646:ERA196646 FAQ196646:FAW196646 FKM196646:FKS196646 FUI196646:FUO196646 GEE196646:GEK196646 GOA196646:GOG196646 GXW196646:GYC196646 HHS196646:HHY196646 HRO196646:HRU196646 IBK196646:IBQ196646 ILG196646:ILM196646 IVC196646:IVI196646 JEY196646:JFE196646 JOU196646:JPA196646 JYQ196646:JYW196646 KIM196646:KIS196646 KSI196646:KSO196646 LCE196646:LCK196646 LMA196646:LMG196646 LVW196646:LWC196646 MFS196646:MFY196646 MPO196646:MPU196646 MZK196646:MZQ196646 NJG196646:NJM196646 NTC196646:NTI196646 OCY196646:ODE196646 OMU196646:ONA196646 OWQ196646:OWW196646 PGM196646:PGS196646 PQI196646:PQO196646 QAE196646:QAK196646 QKA196646:QKG196646 QTW196646:QUC196646 RDS196646:RDY196646 RNO196646:RNU196646 RXK196646:RXQ196646 SHG196646:SHM196646 SRC196646:SRI196646 TAY196646:TBE196646 TKU196646:TLA196646 TUQ196646:TUW196646 UEM196646:UES196646 UOI196646:UOO196646 UYE196646:UYK196646 VIA196646:VIG196646 VRW196646:VSC196646 WBS196646:WBY196646 WLO196646:WLU196646 WVK196646:WVQ196646 IY262182:JE262182 SU262182:TA262182 ACQ262182:ACW262182 AMM262182:AMS262182 AWI262182:AWO262182 BGE262182:BGK262182 BQA262182:BQG262182 BZW262182:CAC262182 CJS262182:CJY262182 CTO262182:CTU262182 DDK262182:DDQ262182 DNG262182:DNM262182 DXC262182:DXI262182 EGY262182:EHE262182 EQU262182:ERA262182 FAQ262182:FAW262182 FKM262182:FKS262182 FUI262182:FUO262182 GEE262182:GEK262182 GOA262182:GOG262182 GXW262182:GYC262182 HHS262182:HHY262182 HRO262182:HRU262182 IBK262182:IBQ262182 ILG262182:ILM262182 IVC262182:IVI262182 JEY262182:JFE262182 JOU262182:JPA262182 JYQ262182:JYW262182 KIM262182:KIS262182 KSI262182:KSO262182 LCE262182:LCK262182 LMA262182:LMG262182 LVW262182:LWC262182 MFS262182:MFY262182 MPO262182:MPU262182 MZK262182:MZQ262182 NJG262182:NJM262182 NTC262182:NTI262182 OCY262182:ODE262182 OMU262182:ONA262182 OWQ262182:OWW262182 PGM262182:PGS262182 PQI262182:PQO262182 QAE262182:QAK262182 QKA262182:QKG262182 QTW262182:QUC262182 RDS262182:RDY262182 RNO262182:RNU262182 RXK262182:RXQ262182 SHG262182:SHM262182 SRC262182:SRI262182 TAY262182:TBE262182 TKU262182:TLA262182 TUQ262182:TUW262182 UEM262182:UES262182 UOI262182:UOO262182 UYE262182:UYK262182 VIA262182:VIG262182 VRW262182:VSC262182 WBS262182:WBY262182 WLO262182:WLU262182 WVK262182:WVQ262182 IY327718:JE327718 SU327718:TA327718 ACQ327718:ACW327718 AMM327718:AMS327718 AWI327718:AWO327718 BGE327718:BGK327718 BQA327718:BQG327718 BZW327718:CAC327718 CJS327718:CJY327718 CTO327718:CTU327718 DDK327718:DDQ327718 DNG327718:DNM327718 DXC327718:DXI327718 EGY327718:EHE327718 EQU327718:ERA327718 FAQ327718:FAW327718 FKM327718:FKS327718 FUI327718:FUO327718 GEE327718:GEK327718 GOA327718:GOG327718 GXW327718:GYC327718 HHS327718:HHY327718 HRO327718:HRU327718 IBK327718:IBQ327718 ILG327718:ILM327718 IVC327718:IVI327718 JEY327718:JFE327718 JOU327718:JPA327718 JYQ327718:JYW327718 KIM327718:KIS327718 KSI327718:KSO327718 LCE327718:LCK327718 LMA327718:LMG327718 LVW327718:LWC327718 MFS327718:MFY327718 MPO327718:MPU327718 MZK327718:MZQ327718 NJG327718:NJM327718 NTC327718:NTI327718 OCY327718:ODE327718 OMU327718:ONA327718 OWQ327718:OWW327718 PGM327718:PGS327718 PQI327718:PQO327718 QAE327718:QAK327718 QKA327718:QKG327718 QTW327718:QUC327718 RDS327718:RDY327718 RNO327718:RNU327718 RXK327718:RXQ327718 SHG327718:SHM327718 SRC327718:SRI327718 TAY327718:TBE327718 TKU327718:TLA327718 TUQ327718:TUW327718 UEM327718:UES327718 UOI327718:UOO327718 UYE327718:UYK327718 VIA327718:VIG327718 VRW327718:VSC327718 WBS327718:WBY327718 WLO327718:WLU327718 WVK327718:WVQ327718 IY393254:JE393254 SU393254:TA393254 ACQ393254:ACW393254 AMM393254:AMS393254 AWI393254:AWO393254 BGE393254:BGK393254 BQA393254:BQG393254 BZW393254:CAC393254 CJS393254:CJY393254 CTO393254:CTU393254 DDK393254:DDQ393254 DNG393254:DNM393254 DXC393254:DXI393254 EGY393254:EHE393254 EQU393254:ERA393254 FAQ393254:FAW393254 FKM393254:FKS393254 FUI393254:FUO393254 GEE393254:GEK393254 GOA393254:GOG393254 GXW393254:GYC393254 HHS393254:HHY393254 HRO393254:HRU393254 IBK393254:IBQ393254 ILG393254:ILM393254 IVC393254:IVI393254 JEY393254:JFE393254 JOU393254:JPA393254 JYQ393254:JYW393254 KIM393254:KIS393254 KSI393254:KSO393254 LCE393254:LCK393254 LMA393254:LMG393254 LVW393254:LWC393254 MFS393254:MFY393254 MPO393254:MPU393254 MZK393254:MZQ393254 NJG393254:NJM393254 NTC393254:NTI393254 OCY393254:ODE393254 OMU393254:ONA393254 OWQ393254:OWW393254 PGM393254:PGS393254 PQI393254:PQO393254 QAE393254:QAK393254 QKA393254:QKG393254 QTW393254:QUC393254 RDS393254:RDY393254 RNO393254:RNU393254 RXK393254:RXQ393254 SHG393254:SHM393254 SRC393254:SRI393254 TAY393254:TBE393254 TKU393254:TLA393254 TUQ393254:TUW393254 UEM393254:UES393254 UOI393254:UOO393254 UYE393254:UYK393254 VIA393254:VIG393254 VRW393254:VSC393254 WBS393254:WBY393254 WLO393254:WLU393254 WVK393254:WVQ393254 IY458790:JE458790 SU458790:TA458790 ACQ458790:ACW458790 AMM458790:AMS458790 AWI458790:AWO458790 BGE458790:BGK458790 BQA458790:BQG458790 BZW458790:CAC458790 CJS458790:CJY458790 CTO458790:CTU458790 DDK458790:DDQ458790 DNG458790:DNM458790 DXC458790:DXI458790 EGY458790:EHE458790 EQU458790:ERA458790 FAQ458790:FAW458790 FKM458790:FKS458790 FUI458790:FUO458790 GEE458790:GEK458790 GOA458790:GOG458790 GXW458790:GYC458790 HHS458790:HHY458790 HRO458790:HRU458790 IBK458790:IBQ458790 ILG458790:ILM458790 IVC458790:IVI458790 JEY458790:JFE458790 JOU458790:JPA458790 JYQ458790:JYW458790 KIM458790:KIS458790 KSI458790:KSO458790 LCE458790:LCK458790 LMA458790:LMG458790 LVW458790:LWC458790 MFS458790:MFY458790 MPO458790:MPU458790 MZK458790:MZQ458790 NJG458790:NJM458790 NTC458790:NTI458790 OCY458790:ODE458790 OMU458790:ONA458790 OWQ458790:OWW458790 PGM458790:PGS458790 PQI458790:PQO458790 QAE458790:QAK458790 QKA458790:QKG458790 QTW458790:QUC458790 RDS458790:RDY458790 RNO458790:RNU458790 RXK458790:RXQ458790 SHG458790:SHM458790 SRC458790:SRI458790 TAY458790:TBE458790 TKU458790:TLA458790 TUQ458790:TUW458790 UEM458790:UES458790 UOI458790:UOO458790 UYE458790:UYK458790 VIA458790:VIG458790 VRW458790:VSC458790 WBS458790:WBY458790 WLO458790:WLU458790 WVK458790:WVQ458790 IY524326:JE524326 SU524326:TA524326 ACQ524326:ACW524326 AMM524326:AMS524326 AWI524326:AWO524326 BGE524326:BGK524326 BQA524326:BQG524326 BZW524326:CAC524326 CJS524326:CJY524326 CTO524326:CTU524326 DDK524326:DDQ524326 DNG524326:DNM524326 DXC524326:DXI524326 EGY524326:EHE524326 EQU524326:ERA524326 FAQ524326:FAW524326 FKM524326:FKS524326 FUI524326:FUO524326 GEE524326:GEK524326 GOA524326:GOG524326 GXW524326:GYC524326 HHS524326:HHY524326 HRO524326:HRU524326 IBK524326:IBQ524326 ILG524326:ILM524326 IVC524326:IVI524326 JEY524326:JFE524326 JOU524326:JPA524326 JYQ524326:JYW524326 KIM524326:KIS524326 KSI524326:KSO524326 LCE524326:LCK524326 LMA524326:LMG524326 LVW524326:LWC524326 MFS524326:MFY524326 MPO524326:MPU524326 MZK524326:MZQ524326 NJG524326:NJM524326 NTC524326:NTI524326 OCY524326:ODE524326 OMU524326:ONA524326 OWQ524326:OWW524326 PGM524326:PGS524326 PQI524326:PQO524326 QAE524326:QAK524326 QKA524326:QKG524326 QTW524326:QUC524326 RDS524326:RDY524326 RNO524326:RNU524326 RXK524326:RXQ524326 SHG524326:SHM524326 SRC524326:SRI524326 TAY524326:TBE524326 TKU524326:TLA524326 TUQ524326:TUW524326 UEM524326:UES524326 UOI524326:UOO524326 UYE524326:UYK524326 VIA524326:VIG524326 VRW524326:VSC524326 WBS524326:WBY524326 WLO524326:WLU524326 WVK524326:WVQ524326 IY589862:JE589862 SU589862:TA589862 ACQ589862:ACW589862 AMM589862:AMS589862 AWI589862:AWO589862 BGE589862:BGK589862 BQA589862:BQG589862 BZW589862:CAC589862 CJS589862:CJY589862 CTO589862:CTU589862 DDK589862:DDQ589862 DNG589862:DNM589862 DXC589862:DXI589862 EGY589862:EHE589862 EQU589862:ERA589862 FAQ589862:FAW589862 FKM589862:FKS589862 FUI589862:FUO589862 GEE589862:GEK589862 GOA589862:GOG589862 GXW589862:GYC589862 HHS589862:HHY589862 HRO589862:HRU589862 IBK589862:IBQ589862 ILG589862:ILM589862 IVC589862:IVI589862 JEY589862:JFE589862 JOU589862:JPA589862 JYQ589862:JYW589862 KIM589862:KIS589862 KSI589862:KSO589862 LCE589862:LCK589862 LMA589862:LMG589862 LVW589862:LWC589862 MFS589862:MFY589862 MPO589862:MPU589862 MZK589862:MZQ589862 NJG589862:NJM589862 NTC589862:NTI589862 OCY589862:ODE589862 OMU589862:ONA589862 OWQ589862:OWW589862 PGM589862:PGS589862 PQI589862:PQO589862 QAE589862:QAK589862 QKA589862:QKG589862 QTW589862:QUC589862 RDS589862:RDY589862 RNO589862:RNU589862 RXK589862:RXQ589862 SHG589862:SHM589862 SRC589862:SRI589862 TAY589862:TBE589862 TKU589862:TLA589862 TUQ589862:TUW589862 UEM589862:UES589862 UOI589862:UOO589862 UYE589862:UYK589862 VIA589862:VIG589862 VRW589862:VSC589862 WBS589862:WBY589862 WLO589862:WLU589862 WVK589862:WVQ589862 IY655398:JE655398 SU655398:TA655398 ACQ655398:ACW655398 AMM655398:AMS655398 AWI655398:AWO655398 BGE655398:BGK655398 BQA655398:BQG655398 BZW655398:CAC655398 CJS655398:CJY655398 CTO655398:CTU655398 DDK655398:DDQ655398 DNG655398:DNM655398 DXC655398:DXI655398 EGY655398:EHE655398 EQU655398:ERA655398 FAQ655398:FAW655398 FKM655398:FKS655398 FUI655398:FUO655398 GEE655398:GEK655398 GOA655398:GOG655398 GXW655398:GYC655398 HHS655398:HHY655398 HRO655398:HRU655398 IBK655398:IBQ655398 ILG655398:ILM655398 IVC655398:IVI655398 JEY655398:JFE655398 JOU655398:JPA655398 JYQ655398:JYW655398 KIM655398:KIS655398 KSI655398:KSO655398 LCE655398:LCK655398 LMA655398:LMG655398 LVW655398:LWC655398 MFS655398:MFY655398 MPO655398:MPU655398 MZK655398:MZQ655398 NJG655398:NJM655398 NTC655398:NTI655398 OCY655398:ODE655398 OMU655398:ONA655398 OWQ655398:OWW655398 PGM655398:PGS655398 PQI655398:PQO655398 QAE655398:QAK655398 QKA655398:QKG655398 QTW655398:QUC655398 RDS655398:RDY655398 RNO655398:RNU655398 RXK655398:RXQ655398 SHG655398:SHM655398 SRC655398:SRI655398 TAY655398:TBE655398 TKU655398:TLA655398 TUQ655398:TUW655398 UEM655398:UES655398 UOI655398:UOO655398 UYE655398:UYK655398 VIA655398:VIG655398 VRW655398:VSC655398 WBS655398:WBY655398 WLO655398:WLU655398 WVK655398:WVQ655398 IY720934:JE720934 SU720934:TA720934 ACQ720934:ACW720934 AMM720934:AMS720934 AWI720934:AWO720934 BGE720934:BGK720934 BQA720934:BQG720934 BZW720934:CAC720934 CJS720934:CJY720934 CTO720934:CTU720934 DDK720934:DDQ720934 DNG720934:DNM720934 DXC720934:DXI720934 EGY720934:EHE720934 EQU720934:ERA720934 FAQ720934:FAW720934 FKM720934:FKS720934 FUI720934:FUO720934 GEE720934:GEK720934 GOA720934:GOG720934 GXW720934:GYC720934 HHS720934:HHY720934 HRO720934:HRU720934 IBK720934:IBQ720934 ILG720934:ILM720934 IVC720934:IVI720934 JEY720934:JFE720934 JOU720934:JPA720934 JYQ720934:JYW720934 KIM720934:KIS720934 KSI720934:KSO720934 LCE720934:LCK720934 LMA720934:LMG720934 LVW720934:LWC720934 MFS720934:MFY720934 MPO720934:MPU720934 MZK720934:MZQ720934 NJG720934:NJM720934 NTC720934:NTI720934 OCY720934:ODE720934 OMU720934:ONA720934 OWQ720934:OWW720934 PGM720934:PGS720934 PQI720934:PQO720934 QAE720934:QAK720934 QKA720934:QKG720934 QTW720934:QUC720934 RDS720934:RDY720934 RNO720934:RNU720934 RXK720934:RXQ720934 SHG720934:SHM720934 SRC720934:SRI720934 TAY720934:TBE720934 TKU720934:TLA720934 TUQ720934:TUW720934 UEM720934:UES720934 UOI720934:UOO720934 UYE720934:UYK720934 VIA720934:VIG720934 VRW720934:VSC720934 WBS720934:WBY720934 WLO720934:WLU720934 WVK720934:WVQ720934 IY786470:JE786470 SU786470:TA786470 ACQ786470:ACW786470 AMM786470:AMS786470 AWI786470:AWO786470 BGE786470:BGK786470 BQA786470:BQG786470 BZW786470:CAC786470 CJS786470:CJY786470 CTO786470:CTU786470 DDK786470:DDQ786470 DNG786470:DNM786470 DXC786470:DXI786470 EGY786470:EHE786470 EQU786470:ERA786470 FAQ786470:FAW786470 FKM786470:FKS786470 FUI786470:FUO786470 GEE786470:GEK786470 GOA786470:GOG786470 GXW786470:GYC786470 HHS786470:HHY786470 HRO786470:HRU786470 IBK786470:IBQ786470 ILG786470:ILM786470 IVC786470:IVI786470 JEY786470:JFE786470 JOU786470:JPA786470 JYQ786470:JYW786470 KIM786470:KIS786470 KSI786470:KSO786470 LCE786470:LCK786470 LMA786470:LMG786470 LVW786470:LWC786470 MFS786470:MFY786470 MPO786470:MPU786470 MZK786470:MZQ786470 NJG786470:NJM786470 NTC786470:NTI786470 OCY786470:ODE786470 OMU786470:ONA786470 OWQ786470:OWW786470 PGM786470:PGS786470 PQI786470:PQO786470 QAE786470:QAK786470 QKA786470:QKG786470 QTW786470:QUC786470 RDS786470:RDY786470 RNO786470:RNU786470 RXK786470:RXQ786470 SHG786470:SHM786470 SRC786470:SRI786470 TAY786470:TBE786470 TKU786470:TLA786470 TUQ786470:TUW786470 UEM786470:UES786470 UOI786470:UOO786470 UYE786470:UYK786470 VIA786470:VIG786470 VRW786470:VSC786470 WBS786470:WBY786470 WLO786470:WLU786470 WVK786470:WVQ786470 IY852006:JE852006 SU852006:TA852006 ACQ852006:ACW852006 AMM852006:AMS852006 AWI852006:AWO852006 BGE852006:BGK852006 BQA852006:BQG852006 BZW852006:CAC852006 CJS852006:CJY852006 CTO852006:CTU852006 DDK852006:DDQ852006 DNG852006:DNM852006 DXC852006:DXI852006 EGY852006:EHE852006 EQU852006:ERA852006 FAQ852006:FAW852006 FKM852006:FKS852006 FUI852006:FUO852006 GEE852006:GEK852006 GOA852006:GOG852006 GXW852006:GYC852006 HHS852006:HHY852006 HRO852006:HRU852006 IBK852006:IBQ852006 ILG852006:ILM852006 IVC852006:IVI852006 JEY852006:JFE852006 JOU852006:JPA852006 JYQ852006:JYW852006 KIM852006:KIS852006 KSI852006:KSO852006 LCE852006:LCK852006 LMA852006:LMG852006 LVW852006:LWC852006 MFS852006:MFY852006 MPO852006:MPU852006 MZK852006:MZQ852006 NJG852006:NJM852006 NTC852006:NTI852006 OCY852006:ODE852006 OMU852006:ONA852006 OWQ852006:OWW852006 PGM852006:PGS852006 PQI852006:PQO852006 QAE852006:QAK852006 QKA852006:QKG852006 QTW852006:QUC852006 RDS852006:RDY852006 RNO852006:RNU852006 RXK852006:RXQ852006 SHG852006:SHM852006 SRC852006:SRI852006 TAY852006:TBE852006 TKU852006:TLA852006 TUQ852006:TUW852006 UEM852006:UES852006 UOI852006:UOO852006 UYE852006:UYK852006 VIA852006:VIG852006 VRW852006:VSC852006 WBS852006:WBY852006 WLO852006:WLU852006 WVK852006:WVQ852006 IY917542:JE917542 SU917542:TA917542 ACQ917542:ACW917542 AMM917542:AMS917542 AWI917542:AWO917542 BGE917542:BGK917542 BQA917542:BQG917542 BZW917542:CAC917542 CJS917542:CJY917542 CTO917542:CTU917542 DDK917542:DDQ917542 DNG917542:DNM917542 DXC917542:DXI917542 EGY917542:EHE917542 EQU917542:ERA917542 FAQ917542:FAW917542 FKM917542:FKS917542 FUI917542:FUO917542 GEE917542:GEK917542 GOA917542:GOG917542 GXW917542:GYC917542 HHS917542:HHY917542 HRO917542:HRU917542 IBK917542:IBQ917542 ILG917542:ILM917542 IVC917542:IVI917542 JEY917542:JFE917542 JOU917542:JPA917542 JYQ917542:JYW917542 KIM917542:KIS917542 KSI917542:KSO917542 LCE917542:LCK917542 LMA917542:LMG917542 LVW917542:LWC917542 MFS917542:MFY917542 MPO917542:MPU917542 MZK917542:MZQ917542 NJG917542:NJM917542 NTC917542:NTI917542 OCY917542:ODE917542 OMU917542:ONA917542 OWQ917542:OWW917542 PGM917542:PGS917542 PQI917542:PQO917542 QAE917542:QAK917542 QKA917542:QKG917542 QTW917542:QUC917542 RDS917542:RDY917542 RNO917542:RNU917542 RXK917542:RXQ917542 SHG917542:SHM917542 SRC917542:SRI917542 TAY917542:TBE917542 TKU917542:TLA917542 TUQ917542:TUW917542 UEM917542:UES917542 UOI917542:UOO917542 UYE917542:UYK917542 VIA917542:VIG917542 VRW917542:VSC917542 WBS917542:WBY917542 WLO917542:WLU917542 WVK917542:WVQ917542 IY983078:JE983078 SU983078:TA983078 ACQ983078:ACW983078 AMM983078:AMS983078 AWI983078:AWO983078 BGE983078:BGK983078 BQA983078:BQG983078 BZW983078:CAC983078 CJS983078:CJY983078 CTO983078:CTU983078 DDK983078:DDQ983078 DNG983078:DNM983078 DXC983078:DXI983078 EGY983078:EHE983078 EQU983078:ERA983078 FAQ983078:FAW983078 FKM983078:FKS983078 FUI983078:FUO983078 GEE983078:GEK983078 GOA983078:GOG983078 GXW983078:GYC983078 HHS983078:HHY983078 HRO983078:HRU983078 IBK983078:IBQ983078 ILG983078:ILM983078 IVC983078:IVI983078 JEY983078:JFE983078 JOU983078:JPA983078 JYQ983078:JYW983078 KIM983078:KIS983078 KSI983078:KSO983078 LCE983078:LCK983078 LMA983078:LMG983078 LVW983078:LWC983078 MFS983078:MFY983078 MPO983078:MPU983078 MZK983078:MZQ983078 NJG983078:NJM983078 NTC983078:NTI983078 OCY983078:ODE983078 OMU983078:ONA983078 OWQ983078:OWW983078 PGM983078:PGS983078 PQI983078:PQO983078 QAE983078:QAK983078 QKA983078:QKG983078 QTW983078:QUC983078 RDS983078:RDY983078 RNO983078:RNU983078 RXK983078:RXQ983078 SHG983078:SHM983078 SRC983078:SRI983078 TAY983078:TBE983078 TKU983078:TLA983078 TUQ983078:TUW983078 UEM983078:UES983078 UOI983078:UOO983078 UYE983078:UYK983078 VIA983078:VIG983078 VRW983078:VSC983078 WBS983078:WBY983078 WLO983078:WLU983078 WVK983078:WVQ983078 D983078:J983078 D917542:J917542 D852006:J852006 D786470:J786470 D720934:J720934 D655398:J655398 D589862:J589862 D524326:J524326 D458790:J458790 D393254:J393254 D327718:J327718 D262182:J262182 D196646:J196646 D131110:J131110 D65574:J65574"/>
    <dataValidation allowBlank="1" showInputMessage="1" showErrorMessage="1" promptTitle="Jenis Usaha Lainnya" prompt="Sebutkan jenis usaha Pemohon apabila memilih Jenis Usaha 'Lainnya'" sqref="JB65573:JE65573 SX65573:TA65573 ACT65573:ACW65573 AMP65573:AMS65573 AWL65573:AWO65573 BGH65573:BGK65573 BQD65573:BQG65573 BZZ65573:CAC65573 CJV65573:CJY65573 CTR65573:CTU65573 DDN65573:DDQ65573 DNJ65573:DNM65573 DXF65573:DXI65573 EHB65573:EHE65573 EQX65573:ERA65573 FAT65573:FAW65573 FKP65573:FKS65573 FUL65573:FUO65573 GEH65573:GEK65573 GOD65573:GOG65573 GXZ65573:GYC65573 HHV65573:HHY65573 HRR65573:HRU65573 IBN65573:IBQ65573 ILJ65573:ILM65573 IVF65573:IVI65573 JFB65573:JFE65573 JOX65573:JPA65573 JYT65573:JYW65573 KIP65573:KIS65573 KSL65573:KSO65573 LCH65573:LCK65573 LMD65573:LMG65573 LVZ65573:LWC65573 MFV65573:MFY65573 MPR65573:MPU65573 MZN65573:MZQ65573 NJJ65573:NJM65573 NTF65573:NTI65573 ODB65573:ODE65573 OMX65573:ONA65573 OWT65573:OWW65573 PGP65573:PGS65573 PQL65573:PQO65573 QAH65573:QAK65573 QKD65573:QKG65573 QTZ65573:QUC65573 RDV65573:RDY65573 RNR65573:RNU65573 RXN65573:RXQ65573 SHJ65573:SHM65573 SRF65573:SRI65573 TBB65573:TBE65573 TKX65573:TLA65573 TUT65573:TUW65573 UEP65573:UES65573 UOL65573:UOO65573 UYH65573:UYK65573 VID65573:VIG65573 VRZ65573:VSC65573 WBV65573:WBY65573 WLR65573:WLU65573 WVN65573:WVQ65573 JB131109:JE131109 SX131109:TA131109 ACT131109:ACW131109 AMP131109:AMS131109 AWL131109:AWO131109 BGH131109:BGK131109 BQD131109:BQG131109 BZZ131109:CAC131109 CJV131109:CJY131109 CTR131109:CTU131109 DDN131109:DDQ131109 DNJ131109:DNM131109 DXF131109:DXI131109 EHB131109:EHE131109 EQX131109:ERA131109 FAT131109:FAW131109 FKP131109:FKS131109 FUL131109:FUO131109 GEH131109:GEK131109 GOD131109:GOG131109 GXZ131109:GYC131109 HHV131109:HHY131109 HRR131109:HRU131109 IBN131109:IBQ131109 ILJ131109:ILM131109 IVF131109:IVI131109 JFB131109:JFE131109 JOX131109:JPA131109 JYT131109:JYW131109 KIP131109:KIS131109 KSL131109:KSO131109 LCH131109:LCK131109 LMD131109:LMG131109 LVZ131109:LWC131109 MFV131109:MFY131109 MPR131109:MPU131109 MZN131109:MZQ131109 NJJ131109:NJM131109 NTF131109:NTI131109 ODB131109:ODE131109 OMX131109:ONA131109 OWT131109:OWW131109 PGP131109:PGS131109 PQL131109:PQO131109 QAH131109:QAK131109 QKD131109:QKG131109 QTZ131109:QUC131109 RDV131109:RDY131109 RNR131109:RNU131109 RXN131109:RXQ131109 SHJ131109:SHM131109 SRF131109:SRI131109 TBB131109:TBE131109 TKX131109:TLA131109 TUT131109:TUW131109 UEP131109:UES131109 UOL131109:UOO131109 UYH131109:UYK131109 VID131109:VIG131109 VRZ131109:VSC131109 WBV131109:WBY131109 WLR131109:WLU131109 WVN131109:WVQ131109 JB196645:JE196645 SX196645:TA196645 ACT196645:ACW196645 AMP196645:AMS196645 AWL196645:AWO196645 BGH196645:BGK196645 BQD196645:BQG196645 BZZ196645:CAC196645 CJV196645:CJY196645 CTR196645:CTU196645 DDN196645:DDQ196645 DNJ196645:DNM196645 DXF196645:DXI196645 EHB196645:EHE196645 EQX196645:ERA196645 FAT196645:FAW196645 FKP196645:FKS196645 FUL196645:FUO196645 GEH196645:GEK196645 GOD196645:GOG196645 GXZ196645:GYC196645 HHV196645:HHY196645 HRR196645:HRU196645 IBN196645:IBQ196645 ILJ196645:ILM196645 IVF196645:IVI196645 JFB196645:JFE196645 JOX196645:JPA196645 JYT196645:JYW196645 KIP196645:KIS196645 KSL196645:KSO196645 LCH196645:LCK196645 LMD196645:LMG196645 LVZ196645:LWC196645 MFV196645:MFY196645 MPR196645:MPU196645 MZN196645:MZQ196645 NJJ196645:NJM196645 NTF196645:NTI196645 ODB196645:ODE196645 OMX196645:ONA196645 OWT196645:OWW196645 PGP196645:PGS196645 PQL196645:PQO196645 QAH196645:QAK196645 QKD196645:QKG196645 QTZ196645:QUC196645 RDV196645:RDY196645 RNR196645:RNU196645 RXN196645:RXQ196645 SHJ196645:SHM196645 SRF196645:SRI196645 TBB196645:TBE196645 TKX196645:TLA196645 TUT196645:TUW196645 UEP196645:UES196645 UOL196645:UOO196645 UYH196645:UYK196645 VID196645:VIG196645 VRZ196645:VSC196645 WBV196645:WBY196645 WLR196645:WLU196645 WVN196645:WVQ196645 JB262181:JE262181 SX262181:TA262181 ACT262181:ACW262181 AMP262181:AMS262181 AWL262181:AWO262181 BGH262181:BGK262181 BQD262181:BQG262181 BZZ262181:CAC262181 CJV262181:CJY262181 CTR262181:CTU262181 DDN262181:DDQ262181 DNJ262181:DNM262181 DXF262181:DXI262181 EHB262181:EHE262181 EQX262181:ERA262181 FAT262181:FAW262181 FKP262181:FKS262181 FUL262181:FUO262181 GEH262181:GEK262181 GOD262181:GOG262181 GXZ262181:GYC262181 HHV262181:HHY262181 HRR262181:HRU262181 IBN262181:IBQ262181 ILJ262181:ILM262181 IVF262181:IVI262181 JFB262181:JFE262181 JOX262181:JPA262181 JYT262181:JYW262181 KIP262181:KIS262181 KSL262181:KSO262181 LCH262181:LCK262181 LMD262181:LMG262181 LVZ262181:LWC262181 MFV262181:MFY262181 MPR262181:MPU262181 MZN262181:MZQ262181 NJJ262181:NJM262181 NTF262181:NTI262181 ODB262181:ODE262181 OMX262181:ONA262181 OWT262181:OWW262181 PGP262181:PGS262181 PQL262181:PQO262181 QAH262181:QAK262181 QKD262181:QKG262181 QTZ262181:QUC262181 RDV262181:RDY262181 RNR262181:RNU262181 RXN262181:RXQ262181 SHJ262181:SHM262181 SRF262181:SRI262181 TBB262181:TBE262181 TKX262181:TLA262181 TUT262181:TUW262181 UEP262181:UES262181 UOL262181:UOO262181 UYH262181:UYK262181 VID262181:VIG262181 VRZ262181:VSC262181 WBV262181:WBY262181 WLR262181:WLU262181 WVN262181:WVQ262181 JB327717:JE327717 SX327717:TA327717 ACT327717:ACW327717 AMP327717:AMS327717 AWL327717:AWO327717 BGH327717:BGK327717 BQD327717:BQG327717 BZZ327717:CAC327717 CJV327717:CJY327717 CTR327717:CTU327717 DDN327717:DDQ327717 DNJ327717:DNM327717 DXF327717:DXI327717 EHB327717:EHE327717 EQX327717:ERA327717 FAT327717:FAW327717 FKP327717:FKS327717 FUL327717:FUO327717 GEH327717:GEK327717 GOD327717:GOG327717 GXZ327717:GYC327717 HHV327717:HHY327717 HRR327717:HRU327717 IBN327717:IBQ327717 ILJ327717:ILM327717 IVF327717:IVI327717 JFB327717:JFE327717 JOX327717:JPA327717 JYT327717:JYW327717 KIP327717:KIS327717 KSL327717:KSO327717 LCH327717:LCK327717 LMD327717:LMG327717 LVZ327717:LWC327717 MFV327717:MFY327717 MPR327717:MPU327717 MZN327717:MZQ327717 NJJ327717:NJM327717 NTF327717:NTI327717 ODB327717:ODE327717 OMX327717:ONA327717 OWT327717:OWW327717 PGP327717:PGS327717 PQL327717:PQO327717 QAH327717:QAK327717 QKD327717:QKG327717 QTZ327717:QUC327717 RDV327717:RDY327717 RNR327717:RNU327717 RXN327717:RXQ327717 SHJ327717:SHM327717 SRF327717:SRI327717 TBB327717:TBE327717 TKX327717:TLA327717 TUT327717:TUW327717 UEP327717:UES327717 UOL327717:UOO327717 UYH327717:UYK327717 VID327717:VIG327717 VRZ327717:VSC327717 WBV327717:WBY327717 WLR327717:WLU327717 WVN327717:WVQ327717 JB393253:JE393253 SX393253:TA393253 ACT393253:ACW393253 AMP393253:AMS393253 AWL393253:AWO393253 BGH393253:BGK393253 BQD393253:BQG393253 BZZ393253:CAC393253 CJV393253:CJY393253 CTR393253:CTU393253 DDN393253:DDQ393253 DNJ393253:DNM393253 DXF393253:DXI393253 EHB393253:EHE393253 EQX393253:ERA393253 FAT393253:FAW393253 FKP393253:FKS393253 FUL393253:FUO393253 GEH393253:GEK393253 GOD393253:GOG393253 GXZ393253:GYC393253 HHV393253:HHY393253 HRR393253:HRU393253 IBN393253:IBQ393253 ILJ393253:ILM393253 IVF393253:IVI393253 JFB393253:JFE393253 JOX393253:JPA393253 JYT393253:JYW393253 KIP393253:KIS393253 KSL393253:KSO393253 LCH393253:LCK393253 LMD393253:LMG393253 LVZ393253:LWC393253 MFV393253:MFY393253 MPR393253:MPU393253 MZN393253:MZQ393253 NJJ393253:NJM393253 NTF393253:NTI393253 ODB393253:ODE393253 OMX393253:ONA393253 OWT393253:OWW393253 PGP393253:PGS393253 PQL393253:PQO393253 QAH393253:QAK393253 QKD393253:QKG393253 QTZ393253:QUC393253 RDV393253:RDY393253 RNR393253:RNU393253 RXN393253:RXQ393253 SHJ393253:SHM393253 SRF393253:SRI393253 TBB393253:TBE393253 TKX393253:TLA393253 TUT393253:TUW393253 UEP393253:UES393253 UOL393253:UOO393253 UYH393253:UYK393253 VID393253:VIG393253 VRZ393253:VSC393253 WBV393253:WBY393253 WLR393253:WLU393253 WVN393253:WVQ393253 JB458789:JE458789 SX458789:TA458789 ACT458789:ACW458789 AMP458789:AMS458789 AWL458789:AWO458789 BGH458789:BGK458789 BQD458789:BQG458789 BZZ458789:CAC458789 CJV458789:CJY458789 CTR458789:CTU458789 DDN458789:DDQ458789 DNJ458789:DNM458789 DXF458789:DXI458789 EHB458789:EHE458789 EQX458789:ERA458789 FAT458789:FAW458789 FKP458789:FKS458789 FUL458789:FUO458789 GEH458789:GEK458789 GOD458789:GOG458789 GXZ458789:GYC458789 HHV458789:HHY458789 HRR458789:HRU458789 IBN458789:IBQ458789 ILJ458789:ILM458789 IVF458789:IVI458789 JFB458789:JFE458789 JOX458789:JPA458789 JYT458789:JYW458789 KIP458789:KIS458789 KSL458789:KSO458789 LCH458789:LCK458789 LMD458789:LMG458789 LVZ458789:LWC458789 MFV458789:MFY458789 MPR458789:MPU458789 MZN458789:MZQ458789 NJJ458789:NJM458789 NTF458789:NTI458789 ODB458789:ODE458789 OMX458789:ONA458789 OWT458789:OWW458789 PGP458789:PGS458789 PQL458789:PQO458789 QAH458789:QAK458789 QKD458789:QKG458789 QTZ458789:QUC458789 RDV458789:RDY458789 RNR458789:RNU458789 RXN458789:RXQ458789 SHJ458789:SHM458789 SRF458789:SRI458789 TBB458789:TBE458789 TKX458789:TLA458789 TUT458789:TUW458789 UEP458789:UES458789 UOL458789:UOO458789 UYH458789:UYK458789 VID458789:VIG458789 VRZ458789:VSC458789 WBV458789:WBY458789 WLR458789:WLU458789 WVN458789:WVQ458789 JB524325:JE524325 SX524325:TA524325 ACT524325:ACW524325 AMP524325:AMS524325 AWL524325:AWO524325 BGH524325:BGK524325 BQD524325:BQG524325 BZZ524325:CAC524325 CJV524325:CJY524325 CTR524325:CTU524325 DDN524325:DDQ524325 DNJ524325:DNM524325 DXF524325:DXI524325 EHB524325:EHE524325 EQX524325:ERA524325 FAT524325:FAW524325 FKP524325:FKS524325 FUL524325:FUO524325 GEH524325:GEK524325 GOD524325:GOG524325 GXZ524325:GYC524325 HHV524325:HHY524325 HRR524325:HRU524325 IBN524325:IBQ524325 ILJ524325:ILM524325 IVF524325:IVI524325 JFB524325:JFE524325 JOX524325:JPA524325 JYT524325:JYW524325 KIP524325:KIS524325 KSL524325:KSO524325 LCH524325:LCK524325 LMD524325:LMG524325 LVZ524325:LWC524325 MFV524325:MFY524325 MPR524325:MPU524325 MZN524325:MZQ524325 NJJ524325:NJM524325 NTF524325:NTI524325 ODB524325:ODE524325 OMX524325:ONA524325 OWT524325:OWW524325 PGP524325:PGS524325 PQL524325:PQO524325 QAH524325:QAK524325 QKD524325:QKG524325 QTZ524325:QUC524325 RDV524325:RDY524325 RNR524325:RNU524325 RXN524325:RXQ524325 SHJ524325:SHM524325 SRF524325:SRI524325 TBB524325:TBE524325 TKX524325:TLA524325 TUT524325:TUW524325 UEP524325:UES524325 UOL524325:UOO524325 UYH524325:UYK524325 VID524325:VIG524325 VRZ524325:VSC524325 WBV524325:WBY524325 WLR524325:WLU524325 WVN524325:WVQ524325 JB589861:JE589861 SX589861:TA589861 ACT589861:ACW589861 AMP589861:AMS589861 AWL589861:AWO589861 BGH589861:BGK589861 BQD589861:BQG589861 BZZ589861:CAC589861 CJV589861:CJY589861 CTR589861:CTU589861 DDN589861:DDQ589861 DNJ589861:DNM589861 DXF589861:DXI589861 EHB589861:EHE589861 EQX589861:ERA589861 FAT589861:FAW589861 FKP589861:FKS589861 FUL589861:FUO589861 GEH589861:GEK589861 GOD589861:GOG589861 GXZ589861:GYC589861 HHV589861:HHY589861 HRR589861:HRU589861 IBN589861:IBQ589861 ILJ589861:ILM589861 IVF589861:IVI589861 JFB589861:JFE589861 JOX589861:JPA589861 JYT589861:JYW589861 KIP589861:KIS589861 KSL589861:KSO589861 LCH589861:LCK589861 LMD589861:LMG589861 LVZ589861:LWC589861 MFV589861:MFY589861 MPR589861:MPU589861 MZN589861:MZQ589861 NJJ589861:NJM589861 NTF589861:NTI589861 ODB589861:ODE589861 OMX589861:ONA589861 OWT589861:OWW589861 PGP589861:PGS589861 PQL589861:PQO589861 QAH589861:QAK589861 QKD589861:QKG589861 QTZ589861:QUC589861 RDV589861:RDY589861 RNR589861:RNU589861 RXN589861:RXQ589861 SHJ589861:SHM589861 SRF589861:SRI589861 TBB589861:TBE589861 TKX589861:TLA589861 TUT589861:TUW589861 UEP589861:UES589861 UOL589861:UOO589861 UYH589861:UYK589861 VID589861:VIG589861 VRZ589861:VSC589861 WBV589861:WBY589861 WLR589861:WLU589861 WVN589861:WVQ589861 JB655397:JE655397 SX655397:TA655397 ACT655397:ACW655397 AMP655397:AMS655397 AWL655397:AWO655397 BGH655397:BGK655397 BQD655397:BQG655397 BZZ655397:CAC655397 CJV655397:CJY655397 CTR655397:CTU655397 DDN655397:DDQ655397 DNJ655397:DNM655397 DXF655397:DXI655397 EHB655397:EHE655397 EQX655397:ERA655397 FAT655397:FAW655397 FKP655397:FKS655397 FUL655397:FUO655397 GEH655397:GEK655397 GOD655397:GOG655397 GXZ655397:GYC655397 HHV655397:HHY655397 HRR655397:HRU655397 IBN655397:IBQ655397 ILJ655397:ILM655397 IVF655397:IVI655397 JFB655397:JFE655397 JOX655397:JPA655397 JYT655397:JYW655397 KIP655397:KIS655397 KSL655397:KSO655397 LCH655397:LCK655397 LMD655397:LMG655397 LVZ655397:LWC655397 MFV655397:MFY655397 MPR655397:MPU655397 MZN655397:MZQ655397 NJJ655397:NJM655397 NTF655397:NTI655397 ODB655397:ODE655397 OMX655397:ONA655397 OWT655397:OWW655397 PGP655397:PGS655397 PQL655397:PQO655397 QAH655397:QAK655397 QKD655397:QKG655397 QTZ655397:QUC655397 RDV655397:RDY655397 RNR655397:RNU655397 RXN655397:RXQ655397 SHJ655397:SHM655397 SRF655397:SRI655397 TBB655397:TBE655397 TKX655397:TLA655397 TUT655397:TUW655397 UEP655397:UES655397 UOL655397:UOO655397 UYH655397:UYK655397 VID655397:VIG655397 VRZ655397:VSC655397 WBV655397:WBY655397 WLR655397:WLU655397 WVN655397:WVQ655397 JB720933:JE720933 SX720933:TA720933 ACT720933:ACW720933 AMP720933:AMS720933 AWL720933:AWO720933 BGH720933:BGK720933 BQD720933:BQG720933 BZZ720933:CAC720933 CJV720933:CJY720933 CTR720933:CTU720933 DDN720933:DDQ720933 DNJ720933:DNM720933 DXF720933:DXI720933 EHB720933:EHE720933 EQX720933:ERA720933 FAT720933:FAW720933 FKP720933:FKS720933 FUL720933:FUO720933 GEH720933:GEK720933 GOD720933:GOG720933 GXZ720933:GYC720933 HHV720933:HHY720933 HRR720933:HRU720933 IBN720933:IBQ720933 ILJ720933:ILM720933 IVF720933:IVI720933 JFB720933:JFE720933 JOX720933:JPA720933 JYT720933:JYW720933 KIP720933:KIS720933 KSL720933:KSO720933 LCH720933:LCK720933 LMD720933:LMG720933 LVZ720933:LWC720933 MFV720933:MFY720933 MPR720933:MPU720933 MZN720933:MZQ720933 NJJ720933:NJM720933 NTF720933:NTI720933 ODB720933:ODE720933 OMX720933:ONA720933 OWT720933:OWW720933 PGP720933:PGS720933 PQL720933:PQO720933 QAH720933:QAK720933 QKD720933:QKG720933 QTZ720933:QUC720933 RDV720933:RDY720933 RNR720933:RNU720933 RXN720933:RXQ720933 SHJ720933:SHM720933 SRF720933:SRI720933 TBB720933:TBE720933 TKX720933:TLA720933 TUT720933:TUW720933 UEP720933:UES720933 UOL720933:UOO720933 UYH720933:UYK720933 VID720933:VIG720933 VRZ720933:VSC720933 WBV720933:WBY720933 WLR720933:WLU720933 WVN720933:WVQ720933 JB786469:JE786469 SX786469:TA786469 ACT786469:ACW786469 AMP786469:AMS786469 AWL786469:AWO786469 BGH786469:BGK786469 BQD786469:BQG786469 BZZ786469:CAC786469 CJV786469:CJY786469 CTR786469:CTU786469 DDN786469:DDQ786469 DNJ786469:DNM786469 DXF786469:DXI786469 EHB786469:EHE786469 EQX786469:ERA786469 FAT786469:FAW786469 FKP786469:FKS786469 FUL786469:FUO786469 GEH786469:GEK786469 GOD786469:GOG786469 GXZ786469:GYC786469 HHV786469:HHY786469 HRR786469:HRU786469 IBN786469:IBQ786469 ILJ786469:ILM786469 IVF786469:IVI786469 JFB786469:JFE786469 JOX786469:JPA786469 JYT786469:JYW786469 KIP786469:KIS786469 KSL786469:KSO786469 LCH786469:LCK786469 LMD786469:LMG786469 LVZ786469:LWC786469 MFV786469:MFY786469 MPR786469:MPU786469 MZN786469:MZQ786469 NJJ786469:NJM786469 NTF786469:NTI786469 ODB786469:ODE786469 OMX786469:ONA786469 OWT786469:OWW786469 PGP786469:PGS786469 PQL786469:PQO786469 QAH786469:QAK786469 QKD786469:QKG786469 QTZ786469:QUC786469 RDV786469:RDY786469 RNR786469:RNU786469 RXN786469:RXQ786469 SHJ786469:SHM786469 SRF786469:SRI786469 TBB786469:TBE786469 TKX786469:TLA786469 TUT786469:TUW786469 UEP786469:UES786469 UOL786469:UOO786469 UYH786469:UYK786469 VID786469:VIG786469 VRZ786469:VSC786469 WBV786469:WBY786469 WLR786469:WLU786469 WVN786469:WVQ786469 JB852005:JE852005 SX852005:TA852005 ACT852005:ACW852005 AMP852005:AMS852005 AWL852005:AWO852005 BGH852005:BGK852005 BQD852005:BQG852005 BZZ852005:CAC852005 CJV852005:CJY852005 CTR852005:CTU852005 DDN852005:DDQ852005 DNJ852005:DNM852005 DXF852005:DXI852005 EHB852005:EHE852005 EQX852005:ERA852005 FAT852005:FAW852005 FKP852005:FKS852005 FUL852005:FUO852005 GEH852005:GEK852005 GOD852005:GOG852005 GXZ852005:GYC852005 HHV852005:HHY852005 HRR852005:HRU852005 IBN852005:IBQ852005 ILJ852005:ILM852005 IVF852005:IVI852005 JFB852005:JFE852005 JOX852005:JPA852005 JYT852005:JYW852005 KIP852005:KIS852005 KSL852005:KSO852005 LCH852005:LCK852005 LMD852005:LMG852005 LVZ852005:LWC852005 MFV852005:MFY852005 MPR852005:MPU852005 MZN852005:MZQ852005 NJJ852005:NJM852005 NTF852005:NTI852005 ODB852005:ODE852005 OMX852005:ONA852005 OWT852005:OWW852005 PGP852005:PGS852005 PQL852005:PQO852005 QAH852005:QAK852005 QKD852005:QKG852005 QTZ852005:QUC852005 RDV852005:RDY852005 RNR852005:RNU852005 RXN852005:RXQ852005 SHJ852005:SHM852005 SRF852005:SRI852005 TBB852005:TBE852005 TKX852005:TLA852005 TUT852005:TUW852005 UEP852005:UES852005 UOL852005:UOO852005 UYH852005:UYK852005 VID852005:VIG852005 VRZ852005:VSC852005 WBV852005:WBY852005 WLR852005:WLU852005 WVN852005:WVQ852005 JB917541:JE917541 SX917541:TA917541 ACT917541:ACW917541 AMP917541:AMS917541 AWL917541:AWO917541 BGH917541:BGK917541 BQD917541:BQG917541 BZZ917541:CAC917541 CJV917541:CJY917541 CTR917541:CTU917541 DDN917541:DDQ917541 DNJ917541:DNM917541 DXF917541:DXI917541 EHB917541:EHE917541 EQX917541:ERA917541 FAT917541:FAW917541 FKP917541:FKS917541 FUL917541:FUO917541 GEH917541:GEK917541 GOD917541:GOG917541 GXZ917541:GYC917541 HHV917541:HHY917541 HRR917541:HRU917541 IBN917541:IBQ917541 ILJ917541:ILM917541 IVF917541:IVI917541 JFB917541:JFE917541 JOX917541:JPA917541 JYT917541:JYW917541 KIP917541:KIS917541 KSL917541:KSO917541 LCH917541:LCK917541 LMD917541:LMG917541 LVZ917541:LWC917541 MFV917541:MFY917541 MPR917541:MPU917541 MZN917541:MZQ917541 NJJ917541:NJM917541 NTF917541:NTI917541 ODB917541:ODE917541 OMX917541:ONA917541 OWT917541:OWW917541 PGP917541:PGS917541 PQL917541:PQO917541 QAH917541:QAK917541 QKD917541:QKG917541 QTZ917541:QUC917541 RDV917541:RDY917541 RNR917541:RNU917541 RXN917541:RXQ917541 SHJ917541:SHM917541 SRF917541:SRI917541 TBB917541:TBE917541 TKX917541:TLA917541 TUT917541:TUW917541 UEP917541:UES917541 UOL917541:UOO917541 UYH917541:UYK917541 VID917541:VIG917541 VRZ917541:VSC917541 WBV917541:WBY917541 WLR917541:WLU917541 WVN917541:WVQ917541 JB983077:JE983077 SX983077:TA983077 ACT983077:ACW983077 AMP983077:AMS983077 AWL983077:AWO983077 BGH983077:BGK983077 BQD983077:BQG983077 BZZ983077:CAC983077 CJV983077:CJY983077 CTR983077:CTU983077 DDN983077:DDQ983077 DNJ983077:DNM983077 DXF983077:DXI983077 EHB983077:EHE983077 EQX983077:ERA983077 FAT983077:FAW983077 FKP983077:FKS983077 FUL983077:FUO983077 GEH983077:GEK983077 GOD983077:GOG983077 GXZ983077:GYC983077 HHV983077:HHY983077 HRR983077:HRU983077 IBN983077:IBQ983077 ILJ983077:ILM983077 IVF983077:IVI983077 JFB983077:JFE983077 JOX983077:JPA983077 JYT983077:JYW983077 KIP983077:KIS983077 KSL983077:KSO983077 LCH983077:LCK983077 LMD983077:LMG983077 LVZ983077:LWC983077 MFV983077:MFY983077 MPR983077:MPU983077 MZN983077:MZQ983077 NJJ983077:NJM983077 NTF983077:NTI983077 ODB983077:ODE983077 OMX983077:ONA983077 OWT983077:OWW983077 PGP983077:PGS983077 PQL983077:PQO983077 QAH983077:QAK983077 QKD983077:QKG983077 QTZ983077:QUC983077 RDV983077:RDY983077 RNR983077:RNU983077 RXN983077:RXQ983077 SHJ983077:SHM983077 SRF983077:SRI983077 TBB983077:TBE983077 TKX983077:TLA983077 TUT983077:TUW983077 UEP983077:UES983077 UOL983077:UOO983077 UYH983077:UYK983077 VID983077:VIG983077 VRZ983077:VSC983077 WBV983077:WBY983077 WLR983077:WLU983077 WVN983077:WVQ983077 G983077:J983077 G917541:J917541 G852005:J852005 G786469:J786469 G720933:J720933 G655397:J655397 G589861:J589861 G524325:J524325 G458789:J458789 G393253:J393253 G327717:J327717 G262181:J262181 G196645:J196645 G131109:J131109 G65573:J65573"/>
    <dataValidation allowBlank="1" showInputMessage="1" showErrorMessage="1" promptTitle="Lama Berusaha" prompt="Diisi data/informasi mengenai lama Pemohon menjalankan Usaha yang SAMA (dalam tahun)" sqref="WVK983076 IY44 SU44 ACQ44 AMM44 AWI44 BGE44 BQA44 BZW44 CJS44 CTO44 DDK44 DNG44 DXC44 EGY44 EQU44 FAQ44 FKM44 FUI44 GEE44 GOA44 GXW44 HHS44 HRO44 IBK44 ILG44 IVC44 JEY44 JOU44 JYQ44 KIM44 KSI44 LCE44 LMA44 LVW44 MFS44 MPO44 MZK44 NJG44 NTC44 OCY44 OMU44 OWQ44 PGM44 PQI44 QAE44 QKA44 QTW44 RDS44 RNO44 RXK44 SHG44 SRC44 TAY44 TKU44 TUQ44 UEM44 UOI44 UYE44 VIA44 VRW44 WBS44 WLO44 WVK44 D65572 IY65572 SU65572 ACQ65572 AMM65572 AWI65572 BGE65572 BQA65572 BZW65572 CJS65572 CTO65572 DDK65572 DNG65572 DXC65572 EGY65572 EQU65572 FAQ65572 FKM65572 FUI65572 GEE65572 GOA65572 GXW65572 HHS65572 HRO65572 IBK65572 ILG65572 IVC65572 JEY65572 JOU65572 JYQ65572 KIM65572 KSI65572 LCE65572 LMA65572 LVW65572 MFS65572 MPO65572 MZK65572 NJG65572 NTC65572 OCY65572 OMU65572 OWQ65572 PGM65572 PQI65572 QAE65572 QKA65572 QTW65572 RDS65572 RNO65572 RXK65572 SHG65572 SRC65572 TAY65572 TKU65572 TUQ65572 UEM65572 UOI65572 UYE65572 VIA65572 VRW65572 WBS65572 WLO65572 WVK65572 D131108 IY131108 SU131108 ACQ131108 AMM131108 AWI131108 BGE131108 BQA131108 BZW131108 CJS131108 CTO131108 DDK131108 DNG131108 DXC131108 EGY131108 EQU131108 FAQ131108 FKM131108 FUI131108 GEE131108 GOA131108 GXW131108 HHS131108 HRO131108 IBK131108 ILG131108 IVC131108 JEY131108 JOU131108 JYQ131108 KIM131108 KSI131108 LCE131108 LMA131108 LVW131108 MFS131108 MPO131108 MZK131108 NJG131108 NTC131108 OCY131108 OMU131108 OWQ131108 PGM131108 PQI131108 QAE131108 QKA131108 QTW131108 RDS131108 RNO131108 RXK131108 SHG131108 SRC131108 TAY131108 TKU131108 TUQ131108 UEM131108 UOI131108 UYE131108 VIA131108 VRW131108 WBS131108 WLO131108 WVK131108 D196644 IY196644 SU196644 ACQ196644 AMM196644 AWI196644 BGE196644 BQA196644 BZW196644 CJS196644 CTO196644 DDK196644 DNG196644 DXC196644 EGY196644 EQU196644 FAQ196644 FKM196644 FUI196644 GEE196644 GOA196644 GXW196644 HHS196644 HRO196644 IBK196644 ILG196644 IVC196644 JEY196644 JOU196644 JYQ196644 KIM196644 KSI196644 LCE196644 LMA196644 LVW196644 MFS196644 MPO196644 MZK196644 NJG196644 NTC196644 OCY196644 OMU196644 OWQ196644 PGM196644 PQI196644 QAE196644 QKA196644 QTW196644 RDS196644 RNO196644 RXK196644 SHG196644 SRC196644 TAY196644 TKU196644 TUQ196644 UEM196644 UOI196644 UYE196644 VIA196644 VRW196644 WBS196644 WLO196644 WVK196644 D262180 IY262180 SU262180 ACQ262180 AMM262180 AWI262180 BGE262180 BQA262180 BZW262180 CJS262180 CTO262180 DDK262180 DNG262180 DXC262180 EGY262180 EQU262180 FAQ262180 FKM262180 FUI262180 GEE262180 GOA262180 GXW262180 HHS262180 HRO262180 IBK262180 ILG262180 IVC262180 JEY262180 JOU262180 JYQ262180 KIM262180 KSI262180 LCE262180 LMA262180 LVW262180 MFS262180 MPO262180 MZK262180 NJG262180 NTC262180 OCY262180 OMU262180 OWQ262180 PGM262180 PQI262180 QAE262180 QKA262180 QTW262180 RDS262180 RNO262180 RXK262180 SHG262180 SRC262180 TAY262180 TKU262180 TUQ262180 UEM262180 UOI262180 UYE262180 VIA262180 VRW262180 WBS262180 WLO262180 WVK262180 D327716 IY327716 SU327716 ACQ327716 AMM327716 AWI327716 BGE327716 BQA327716 BZW327716 CJS327716 CTO327716 DDK327716 DNG327716 DXC327716 EGY327716 EQU327716 FAQ327716 FKM327716 FUI327716 GEE327716 GOA327716 GXW327716 HHS327716 HRO327716 IBK327716 ILG327716 IVC327716 JEY327716 JOU327716 JYQ327716 KIM327716 KSI327716 LCE327716 LMA327716 LVW327716 MFS327716 MPO327716 MZK327716 NJG327716 NTC327716 OCY327716 OMU327716 OWQ327716 PGM327716 PQI327716 QAE327716 QKA327716 QTW327716 RDS327716 RNO327716 RXK327716 SHG327716 SRC327716 TAY327716 TKU327716 TUQ327716 UEM327716 UOI327716 UYE327716 VIA327716 VRW327716 WBS327716 WLO327716 WVK327716 D393252 IY393252 SU393252 ACQ393252 AMM393252 AWI393252 BGE393252 BQA393252 BZW393252 CJS393252 CTO393252 DDK393252 DNG393252 DXC393252 EGY393252 EQU393252 FAQ393252 FKM393252 FUI393252 GEE393252 GOA393252 GXW393252 HHS393252 HRO393252 IBK393252 ILG393252 IVC393252 JEY393252 JOU393252 JYQ393252 KIM393252 KSI393252 LCE393252 LMA393252 LVW393252 MFS393252 MPO393252 MZK393252 NJG393252 NTC393252 OCY393252 OMU393252 OWQ393252 PGM393252 PQI393252 QAE393252 QKA393252 QTW393252 RDS393252 RNO393252 RXK393252 SHG393252 SRC393252 TAY393252 TKU393252 TUQ393252 UEM393252 UOI393252 UYE393252 VIA393252 VRW393252 WBS393252 WLO393252 WVK393252 D458788 IY458788 SU458788 ACQ458788 AMM458788 AWI458788 BGE458788 BQA458788 BZW458788 CJS458788 CTO458788 DDK458788 DNG458788 DXC458788 EGY458788 EQU458788 FAQ458788 FKM458788 FUI458788 GEE458788 GOA458788 GXW458788 HHS458788 HRO458788 IBK458788 ILG458788 IVC458788 JEY458788 JOU458788 JYQ458788 KIM458788 KSI458788 LCE458788 LMA458788 LVW458788 MFS458788 MPO458788 MZK458788 NJG458788 NTC458788 OCY458788 OMU458788 OWQ458788 PGM458788 PQI458788 QAE458788 QKA458788 QTW458788 RDS458788 RNO458788 RXK458788 SHG458788 SRC458788 TAY458788 TKU458788 TUQ458788 UEM458788 UOI458788 UYE458788 VIA458788 VRW458788 WBS458788 WLO458788 WVK458788 D524324 IY524324 SU524324 ACQ524324 AMM524324 AWI524324 BGE524324 BQA524324 BZW524324 CJS524324 CTO524324 DDK524324 DNG524324 DXC524324 EGY524324 EQU524324 FAQ524324 FKM524324 FUI524324 GEE524324 GOA524324 GXW524324 HHS524324 HRO524324 IBK524324 ILG524324 IVC524324 JEY524324 JOU524324 JYQ524324 KIM524324 KSI524324 LCE524324 LMA524324 LVW524324 MFS524324 MPO524324 MZK524324 NJG524324 NTC524324 OCY524324 OMU524324 OWQ524324 PGM524324 PQI524324 QAE524324 QKA524324 QTW524324 RDS524324 RNO524324 RXK524324 SHG524324 SRC524324 TAY524324 TKU524324 TUQ524324 UEM524324 UOI524324 UYE524324 VIA524324 VRW524324 WBS524324 WLO524324 WVK524324 D589860 IY589860 SU589860 ACQ589860 AMM589860 AWI589860 BGE589860 BQA589860 BZW589860 CJS589860 CTO589860 DDK589860 DNG589860 DXC589860 EGY589860 EQU589860 FAQ589860 FKM589860 FUI589860 GEE589860 GOA589860 GXW589860 HHS589860 HRO589860 IBK589860 ILG589860 IVC589860 JEY589860 JOU589860 JYQ589860 KIM589860 KSI589860 LCE589860 LMA589860 LVW589860 MFS589860 MPO589860 MZK589860 NJG589860 NTC589860 OCY589860 OMU589860 OWQ589860 PGM589860 PQI589860 QAE589860 QKA589860 QTW589860 RDS589860 RNO589860 RXK589860 SHG589860 SRC589860 TAY589860 TKU589860 TUQ589860 UEM589860 UOI589860 UYE589860 VIA589860 VRW589860 WBS589860 WLO589860 WVK589860 D655396 IY655396 SU655396 ACQ655396 AMM655396 AWI655396 BGE655396 BQA655396 BZW655396 CJS655396 CTO655396 DDK655396 DNG655396 DXC655396 EGY655396 EQU655396 FAQ655396 FKM655396 FUI655396 GEE655396 GOA655396 GXW655396 HHS655396 HRO655396 IBK655396 ILG655396 IVC655396 JEY655396 JOU655396 JYQ655396 KIM655396 KSI655396 LCE655396 LMA655396 LVW655396 MFS655396 MPO655396 MZK655396 NJG655396 NTC655396 OCY655396 OMU655396 OWQ655396 PGM655396 PQI655396 QAE655396 QKA655396 QTW655396 RDS655396 RNO655396 RXK655396 SHG655396 SRC655396 TAY655396 TKU655396 TUQ655396 UEM655396 UOI655396 UYE655396 VIA655396 VRW655396 WBS655396 WLO655396 WVK655396 D720932 IY720932 SU720932 ACQ720932 AMM720932 AWI720932 BGE720932 BQA720932 BZW720932 CJS720932 CTO720932 DDK720932 DNG720932 DXC720932 EGY720932 EQU720932 FAQ720932 FKM720932 FUI720932 GEE720932 GOA720932 GXW720932 HHS720932 HRO720932 IBK720932 ILG720932 IVC720932 JEY720932 JOU720932 JYQ720932 KIM720932 KSI720932 LCE720932 LMA720932 LVW720932 MFS720932 MPO720932 MZK720932 NJG720932 NTC720932 OCY720932 OMU720932 OWQ720932 PGM720932 PQI720932 QAE720932 QKA720932 QTW720932 RDS720932 RNO720932 RXK720932 SHG720932 SRC720932 TAY720932 TKU720932 TUQ720932 UEM720932 UOI720932 UYE720932 VIA720932 VRW720932 WBS720932 WLO720932 WVK720932 D786468 IY786468 SU786468 ACQ786468 AMM786468 AWI786468 BGE786468 BQA786468 BZW786468 CJS786468 CTO786468 DDK786468 DNG786468 DXC786468 EGY786468 EQU786468 FAQ786468 FKM786468 FUI786468 GEE786468 GOA786468 GXW786468 HHS786468 HRO786468 IBK786468 ILG786468 IVC786468 JEY786468 JOU786468 JYQ786468 KIM786468 KSI786468 LCE786468 LMA786468 LVW786468 MFS786468 MPO786468 MZK786468 NJG786468 NTC786468 OCY786468 OMU786468 OWQ786468 PGM786468 PQI786468 QAE786468 QKA786468 QTW786468 RDS786468 RNO786468 RXK786468 SHG786468 SRC786468 TAY786468 TKU786468 TUQ786468 UEM786468 UOI786468 UYE786468 VIA786468 VRW786468 WBS786468 WLO786468 WVK786468 D852004 IY852004 SU852004 ACQ852004 AMM852004 AWI852004 BGE852004 BQA852004 BZW852004 CJS852004 CTO852004 DDK852004 DNG852004 DXC852004 EGY852004 EQU852004 FAQ852004 FKM852004 FUI852004 GEE852004 GOA852004 GXW852004 HHS852004 HRO852004 IBK852004 ILG852004 IVC852004 JEY852004 JOU852004 JYQ852004 KIM852004 KSI852004 LCE852004 LMA852004 LVW852004 MFS852004 MPO852004 MZK852004 NJG852004 NTC852004 OCY852004 OMU852004 OWQ852004 PGM852004 PQI852004 QAE852004 QKA852004 QTW852004 RDS852004 RNO852004 RXK852004 SHG852004 SRC852004 TAY852004 TKU852004 TUQ852004 UEM852004 UOI852004 UYE852004 VIA852004 VRW852004 WBS852004 WLO852004 WVK852004 D917540 IY917540 SU917540 ACQ917540 AMM917540 AWI917540 BGE917540 BQA917540 BZW917540 CJS917540 CTO917540 DDK917540 DNG917540 DXC917540 EGY917540 EQU917540 FAQ917540 FKM917540 FUI917540 GEE917540 GOA917540 GXW917540 HHS917540 HRO917540 IBK917540 ILG917540 IVC917540 JEY917540 JOU917540 JYQ917540 KIM917540 KSI917540 LCE917540 LMA917540 LVW917540 MFS917540 MPO917540 MZK917540 NJG917540 NTC917540 OCY917540 OMU917540 OWQ917540 PGM917540 PQI917540 QAE917540 QKA917540 QTW917540 RDS917540 RNO917540 RXK917540 SHG917540 SRC917540 TAY917540 TKU917540 TUQ917540 UEM917540 UOI917540 UYE917540 VIA917540 VRW917540 WBS917540 WLO917540 WVK917540 D983076 IY983076 SU983076 ACQ983076 AMM983076 AWI983076 BGE983076 BQA983076 BZW983076 CJS983076 CTO983076 DDK983076 DNG983076 DXC983076 EGY983076 EQU983076 FAQ983076 FKM983076 FUI983076 GEE983076 GOA983076 GXW983076 HHS983076 HRO983076 IBK983076 ILG983076 IVC983076 JEY983076 JOU983076 JYQ983076 KIM983076 KSI983076 LCE983076 LMA983076 LVW983076 MFS983076 MPO983076 MZK983076 NJG983076 NTC983076 OCY983076 OMU983076 OWQ983076 PGM983076 PQI983076 QAE983076 QKA983076 QTW983076 RDS983076 RNO983076 RXK983076 SHG983076 SRC983076 TAY983076 TKU983076 TUQ983076 UEM983076 UOI983076 UYE983076 VIA983076 VRW983076 WBS983076 WLO983076"/>
    <dataValidation allowBlank="1" showInputMessage="1" showErrorMessage="1" promptTitle="Lama Menetap" prompt="Diisi data/informasi tentang lamanya Pemohon mendiami tempat tinggal berdasarkan hasil verifikasi di lapangan." sqref="WVK983072 IY37:IY39 SU37:SU39 ACQ37:ACQ39 AMM37:AMM39 AWI37:AWI39 BGE37:BGE39 BQA37:BQA39 BZW37:BZW39 CJS37:CJS39 CTO37:CTO39 DDK37:DDK39 DNG37:DNG39 DXC37:DXC39 EGY37:EGY39 EQU37:EQU39 FAQ37:FAQ39 FKM37:FKM39 FUI37:FUI39 GEE37:GEE39 GOA37:GOA39 GXW37:GXW39 HHS37:HHS39 HRO37:HRO39 IBK37:IBK39 ILG37:ILG39 IVC37:IVC39 JEY37:JEY39 JOU37:JOU39 JYQ37:JYQ39 KIM37:KIM39 KSI37:KSI39 LCE37:LCE39 LMA37:LMA39 LVW37:LVW39 MFS37:MFS39 MPO37:MPO39 MZK37:MZK39 NJG37:NJG39 NTC37:NTC39 OCY37:OCY39 OMU37:OMU39 OWQ37:OWQ39 PGM37:PGM39 PQI37:PQI39 QAE37:QAE39 QKA37:QKA39 QTW37:QTW39 RDS37:RDS39 RNO37:RNO39 RXK37:RXK39 SHG37:SHG39 SRC37:SRC39 TAY37:TAY39 TKU37:TKU39 TUQ37:TUQ39 UEM37:UEM39 UOI37:UOI39 UYE37:UYE39 VIA37:VIA39 VRW37:VRW39 WBS37:WBS39 WLO37:WLO39 WVK37:WVK39 D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D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D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D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D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D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D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D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D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D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D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D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D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D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D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dataValidation allowBlank="1" showInputMessage="1" showErrorMessage="1" promptTitle="HP-Saudara Kandung" prompt="Diisi Nomor HP Saudara Kandung Pemohon yang dapat dihubungi dan tidak serumah (apabila memiliki HP). Apabila tidak memiliki HP agar diisi 'N/A'" sqref="D32:G32 IY32:JB32 SU32:SX32 ACQ32:ACT32 AMM32:AMP32 AWI32:AWL32 BGE32:BGH32 BQA32:BQD32 BZW32:BZZ32 CJS32:CJV32 CTO32:CTR32 DDK32:DDN32 DNG32:DNJ32 DXC32:DXF32 EGY32:EHB32 EQU32:EQX32 FAQ32:FAT32 FKM32:FKP32 FUI32:FUL32 GEE32:GEH32 GOA32:GOD32 GXW32:GXZ32 HHS32:HHV32 HRO32:HRR32 IBK32:IBN32 ILG32:ILJ32 IVC32:IVF32 JEY32:JFB32 JOU32:JOX32 JYQ32:JYT32 KIM32:KIP32 KSI32:KSL32 LCE32:LCH32 LMA32:LMD32 LVW32:LVZ32 MFS32:MFV32 MPO32:MPR32 MZK32:MZN32 NJG32:NJJ32 NTC32:NTF32 OCY32:ODB32 OMU32:OMX32 OWQ32:OWT32 PGM32:PGP32 PQI32:PQL32 QAE32:QAH32 QKA32:QKD32 QTW32:QTZ32 RDS32:RDV32 RNO32:RNR32 RXK32:RXN32 SHG32:SHJ32 SRC32:SRF32 TAY32:TBB32 TKU32:TKX32 TUQ32:TUT32 UEM32:UEP32 UOI32:UOL32 UYE32:UYH32 VIA32:VID32 VRW32:VRZ32 WBS32:WBV32 WLO32:WLR32 WVK32:WVN32 D65563:G65563 IY65563:JB65563 SU65563:SX65563 ACQ65563:ACT65563 AMM65563:AMP65563 AWI65563:AWL65563 BGE65563:BGH65563 BQA65563:BQD65563 BZW65563:BZZ65563 CJS65563:CJV65563 CTO65563:CTR65563 DDK65563:DDN65563 DNG65563:DNJ65563 DXC65563:DXF65563 EGY65563:EHB65563 EQU65563:EQX65563 FAQ65563:FAT65563 FKM65563:FKP65563 FUI65563:FUL65563 GEE65563:GEH65563 GOA65563:GOD65563 GXW65563:GXZ65563 HHS65563:HHV65563 HRO65563:HRR65563 IBK65563:IBN65563 ILG65563:ILJ65563 IVC65563:IVF65563 JEY65563:JFB65563 JOU65563:JOX65563 JYQ65563:JYT65563 KIM65563:KIP65563 KSI65563:KSL65563 LCE65563:LCH65563 LMA65563:LMD65563 LVW65563:LVZ65563 MFS65563:MFV65563 MPO65563:MPR65563 MZK65563:MZN65563 NJG65563:NJJ65563 NTC65563:NTF65563 OCY65563:ODB65563 OMU65563:OMX65563 OWQ65563:OWT65563 PGM65563:PGP65563 PQI65563:PQL65563 QAE65563:QAH65563 QKA65563:QKD65563 QTW65563:QTZ65563 RDS65563:RDV65563 RNO65563:RNR65563 RXK65563:RXN65563 SHG65563:SHJ65563 SRC65563:SRF65563 TAY65563:TBB65563 TKU65563:TKX65563 TUQ65563:TUT65563 UEM65563:UEP65563 UOI65563:UOL65563 UYE65563:UYH65563 VIA65563:VID65563 VRW65563:VRZ65563 WBS65563:WBV65563 WLO65563:WLR65563 WVK65563:WVN65563 D131099:G131099 IY131099:JB131099 SU131099:SX131099 ACQ131099:ACT131099 AMM131099:AMP131099 AWI131099:AWL131099 BGE131099:BGH131099 BQA131099:BQD131099 BZW131099:BZZ131099 CJS131099:CJV131099 CTO131099:CTR131099 DDK131099:DDN131099 DNG131099:DNJ131099 DXC131099:DXF131099 EGY131099:EHB131099 EQU131099:EQX131099 FAQ131099:FAT131099 FKM131099:FKP131099 FUI131099:FUL131099 GEE131099:GEH131099 GOA131099:GOD131099 GXW131099:GXZ131099 HHS131099:HHV131099 HRO131099:HRR131099 IBK131099:IBN131099 ILG131099:ILJ131099 IVC131099:IVF131099 JEY131099:JFB131099 JOU131099:JOX131099 JYQ131099:JYT131099 KIM131099:KIP131099 KSI131099:KSL131099 LCE131099:LCH131099 LMA131099:LMD131099 LVW131099:LVZ131099 MFS131099:MFV131099 MPO131099:MPR131099 MZK131099:MZN131099 NJG131099:NJJ131099 NTC131099:NTF131099 OCY131099:ODB131099 OMU131099:OMX131099 OWQ131099:OWT131099 PGM131099:PGP131099 PQI131099:PQL131099 QAE131099:QAH131099 QKA131099:QKD131099 QTW131099:QTZ131099 RDS131099:RDV131099 RNO131099:RNR131099 RXK131099:RXN131099 SHG131099:SHJ131099 SRC131099:SRF131099 TAY131099:TBB131099 TKU131099:TKX131099 TUQ131099:TUT131099 UEM131099:UEP131099 UOI131099:UOL131099 UYE131099:UYH131099 VIA131099:VID131099 VRW131099:VRZ131099 WBS131099:WBV131099 WLO131099:WLR131099 WVK131099:WVN131099 D196635:G196635 IY196635:JB196635 SU196635:SX196635 ACQ196635:ACT196635 AMM196635:AMP196635 AWI196635:AWL196635 BGE196635:BGH196635 BQA196635:BQD196635 BZW196635:BZZ196635 CJS196635:CJV196635 CTO196635:CTR196635 DDK196635:DDN196635 DNG196635:DNJ196635 DXC196635:DXF196635 EGY196635:EHB196635 EQU196635:EQX196635 FAQ196635:FAT196635 FKM196635:FKP196635 FUI196635:FUL196635 GEE196635:GEH196635 GOA196635:GOD196635 GXW196635:GXZ196635 HHS196635:HHV196635 HRO196635:HRR196635 IBK196635:IBN196635 ILG196635:ILJ196635 IVC196635:IVF196635 JEY196635:JFB196635 JOU196635:JOX196635 JYQ196635:JYT196635 KIM196635:KIP196635 KSI196635:KSL196635 LCE196635:LCH196635 LMA196635:LMD196635 LVW196635:LVZ196635 MFS196635:MFV196635 MPO196635:MPR196635 MZK196635:MZN196635 NJG196635:NJJ196635 NTC196635:NTF196635 OCY196635:ODB196635 OMU196635:OMX196635 OWQ196635:OWT196635 PGM196635:PGP196635 PQI196635:PQL196635 QAE196635:QAH196635 QKA196635:QKD196635 QTW196635:QTZ196635 RDS196635:RDV196635 RNO196635:RNR196635 RXK196635:RXN196635 SHG196635:SHJ196635 SRC196635:SRF196635 TAY196635:TBB196635 TKU196635:TKX196635 TUQ196635:TUT196635 UEM196635:UEP196635 UOI196635:UOL196635 UYE196635:UYH196635 VIA196635:VID196635 VRW196635:VRZ196635 WBS196635:WBV196635 WLO196635:WLR196635 WVK196635:WVN196635 D262171:G262171 IY262171:JB262171 SU262171:SX262171 ACQ262171:ACT262171 AMM262171:AMP262171 AWI262171:AWL262171 BGE262171:BGH262171 BQA262171:BQD262171 BZW262171:BZZ262171 CJS262171:CJV262171 CTO262171:CTR262171 DDK262171:DDN262171 DNG262171:DNJ262171 DXC262171:DXF262171 EGY262171:EHB262171 EQU262171:EQX262171 FAQ262171:FAT262171 FKM262171:FKP262171 FUI262171:FUL262171 GEE262171:GEH262171 GOA262171:GOD262171 GXW262171:GXZ262171 HHS262171:HHV262171 HRO262171:HRR262171 IBK262171:IBN262171 ILG262171:ILJ262171 IVC262171:IVF262171 JEY262171:JFB262171 JOU262171:JOX262171 JYQ262171:JYT262171 KIM262171:KIP262171 KSI262171:KSL262171 LCE262171:LCH262171 LMA262171:LMD262171 LVW262171:LVZ262171 MFS262171:MFV262171 MPO262171:MPR262171 MZK262171:MZN262171 NJG262171:NJJ262171 NTC262171:NTF262171 OCY262171:ODB262171 OMU262171:OMX262171 OWQ262171:OWT262171 PGM262171:PGP262171 PQI262171:PQL262171 QAE262171:QAH262171 QKA262171:QKD262171 QTW262171:QTZ262171 RDS262171:RDV262171 RNO262171:RNR262171 RXK262171:RXN262171 SHG262171:SHJ262171 SRC262171:SRF262171 TAY262171:TBB262171 TKU262171:TKX262171 TUQ262171:TUT262171 UEM262171:UEP262171 UOI262171:UOL262171 UYE262171:UYH262171 VIA262171:VID262171 VRW262171:VRZ262171 WBS262171:WBV262171 WLO262171:WLR262171 WVK262171:WVN262171 D327707:G327707 IY327707:JB327707 SU327707:SX327707 ACQ327707:ACT327707 AMM327707:AMP327707 AWI327707:AWL327707 BGE327707:BGH327707 BQA327707:BQD327707 BZW327707:BZZ327707 CJS327707:CJV327707 CTO327707:CTR327707 DDK327707:DDN327707 DNG327707:DNJ327707 DXC327707:DXF327707 EGY327707:EHB327707 EQU327707:EQX327707 FAQ327707:FAT327707 FKM327707:FKP327707 FUI327707:FUL327707 GEE327707:GEH327707 GOA327707:GOD327707 GXW327707:GXZ327707 HHS327707:HHV327707 HRO327707:HRR327707 IBK327707:IBN327707 ILG327707:ILJ327707 IVC327707:IVF327707 JEY327707:JFB327707 JOU327707:JOX327707 JYQ327707:JYT327707 KIM327707:KIP327707 KSI327707:KSL327707 LCE327707:LCH327707 LMA327707:LMD327707 LVW327707:LVZ327707 MFS327707:MFV327707 MPO327707:MPR327707 MZK327707:MZN327707 NJG327707:NJJ327707 NTC327707:NTF327707 OCY327707:ODB327707 OMU327707:OMX327707 OWQ327707:OWT327707 PGM327707:PGP327707 PQI327707:PQL327707 QAE327707:QAH327707 QKA327707:QKD327707 QTW327707:QTZ327707 RDS327707:RDV327707 RNO327707:RNR327707 RXK327707:RXN327707 SHG327707:SHJ327707 SRC327707:SRF327707 TAY327707:TBB327707 TKU327707:TKX327707 TUQ327707:TUT327707 UEM327707:UEP327707 UOI327707:UOL327707 UYE327707:UYH327707 VIA327707:VID327707 VRW327707:VRZ327707 WBS327707:WBV327707 WLO327707:WLR327707 WVK327707:WVN327707 D393243:G393243 IY393243:JB393243 SU393243:SX393243 ACQ393243:ACT393243 AMM393243:AMP393243 AWI393243:AWL393243 BGE393243:BGH393243 BQA393243:BQD393243 BZW393243:BZZ393243 CJS393243:CJV393243 CTO393243:CTR393243 DDK393243:DDN393243 DNG393243:DNJ393243 DXC393243:DXF393243 EGY393243:EHB393243 EQU393243:EQX393243 FAQ393243:FAT393243 FKM393243:FKP393243 FUI393243:FUL393243 GEE393243:GEH393243 GOA393243:GOD393243 GXW393243:GXZ393243 HHS393243:HHV393243 HRO393243:HRR393243 IBK393243:IBN393243 ILG393243:ILJ393243 IVC393243:IVF393243 JEY393243:JFB393243 JOU393243:JOX393243 JYQ393243:JYT393243 KIM393243:KIP393243 KSI393243:KSL393243 LCE393243:LCH393243 LMA393243:LMD393243 LVW393243:LVZ393243 MFS393243:MFV393243 MPO393243:MPR393243 MZK393243:MZN393243 NJG393243:NJJ393243 NTC393243:NTF393243 OCY393243:ODB393243 OMU393243:OMX393243 OWQ393243:OWT393243 PGM393243:PGP393243 PQI393243:PQL393243 QAE393243:QAH393243 QKA393243:QKD393243 QTW393243:QTZ393243 RDS393243:RDV393243 RNO393243:RNR393243 RXK393243:RXN393243 SHG393243:SHJ393243 SRC393243:SRF393243 TAY393243:TBB393243 TKU393243:TKX393243 TUQ393243:TUT393243 UEM393243:UEP393243 UOI393243:UOL393243 UYE393243:UYH393243 VIA393243:VID393243 VRW393243:VRZ393243 WBS393243:WBV393243 WLO393243:WLR393243 WVK393243:WVN393243 D458779:G458779 IY458779:JB458779 SU458779:SX458779 ACQ458779:ACT458779 AMM458779:AMP458779 AWI458779:AWL458779 BGE458779:BGH458779 BQA458779:BQD458779 BZW458779:BZZ458779 CJS458779:CJV458779 CTO458779:CTR458779 DDK458779:DDN458779 DNG458779:DNJ458779 DXC458779:DXF458779 EGY458779:EHB458779 EQU458779:EQX458779 FAQ458779:FAT458779 FKM458779:FKP458779 FUI458779:FUL458779 GEE458779:GEH458779 GOA458779:GOD458779 GXW458779:GXZ458779 HHS458779:HHV458779 HRO458779:HRR458779 IBK458779:IBN458779 ILG458779:ILJ458779 IVC458779:IVF458779 JEY458779:JFB458779 JOU458779:JOX458779 JYQ458779:JYT458779 KIM458779:KIP458779 KSI458779:KSL458779 LCE458779:LCH458779 LMA458779:LMD458779 LVW458779:LVZ458779 MFS458779:MFV458779 MPO458779:MPR458779 MZK458779:MZN458779 NJG458779:NJJ458779 NTC458779:NTF458779 OCY458779:ODB458779 OMU458779:OMX458779 OWQ458779:OWT458779 PGM458779:PGP458779 PQI458779:PQL458779 QAE458779:QAH458779 QKA458779:QKD458779 QTW458779:QTZ458779 RDS458779:RDV458779 RNO458779:RNR458779 RXK458779:RXN458779 SHG458779:SHJ458779 SRC458779:SRF458779 TAY458779:TBB458779 TKU458779:TKX458779 TUQ458779:TUT458779 UEM458779:UEP458779 UOI458779:UOL458779 UYE458779:UYH458779 VIA458779:VID458779 VRW458779:VRZ458779 WBS458779:WBV458779 WLO458779:WLR458779 WVK458779:WVN458779 D524315:G524315 IY524315:JB524315 SU524315:SX524315 ACQ524315:ACT524315 AMM524315:AMP524315 AWI524315:AWL524315 BGE524315:BGH524315 BQA524315:BQD524315 BZW524315:BZZ524315 CJS524315:CJV524315 CTO524315:CTR524315 DDK524315:DDN524315 DNG524315:DNJ524315 DXC524315:DXF524315 EGY524315:EHB524315 EQU524315:EQX524315 FAQ524315:FAT524315 FKM524315:FKP524315 FUI524315:FUL524315 GEE524315:GEH524315 GOA524315:GOD524315 GXW524315:GXZ524315 HHS524315:HHV524315 HRO524315:HRR524315 IBK524315:IBN524315 ILG524315:ILJ524315 IVC524315:IVF524315 JEY524315:JFB524315 JOU524315:JOX524315 JYQ524315:JYT524315 KIM524315:KIP524315 KSI524315:KSL524315 LCE524315:LCH524315 LMA524315:LMD524315 LVW524315:LVZ524315 MFS524315:MFV524315 MPO524315:MPR524315 MZK524315:MZN524315 NJG524315:NJJ524315 NTC524315:NTF524315 OCY524315:ODB524315 OMU524315:OMX524315 OWQ524315:OWT524315 PGM524315:PGP524315 PQI524315:PQL524315 QAE524315:QAH524315 QKA524315:QKD524315 QTW524315:QTZ524315 RDS524315:RDV524315 RNO524315:RNR524315 RXK524315:RXN524315 SHG524315:SHJ524315 SRC524315:SRF524315 TAY524315:TBB524315 TKU524315:TKX524315 TUQ524315:TUT524315 UEM524315:UEP524315 UOI524315:UOL524315 UYE524315:UYH524315 VIA524315:VID524315 VRW524315:VRZ524315 WBS524315:WBV524315 WLO524315:WLR524315 WVK524315:WVN524315 D589851:G589851 IY589851:JB589851 SU589851:SX589851 ACQ589851:ACT589851 AMM589851:AMP589851 AWI589851:AWL589851 BGE589851:BGH589851 BQA589851:BQD589851 BZW589851:BZZ589851 CJS589851:CJV589851 CTO589851:CTR589851 DDK589851:DDN589851 DNG589851:DNJ589851 DXC589851:DXF589851 EGY589851:EHB589851 EQU589851:EQX589851 FAQ589851:FAT589851 FKM589851:FKP589851 FUI589851:FUL589851 GEE589851:GEH589851 GOA589851:GOD589851 GXW589851:GXZ589851 HHS589851:HHV589851 HRO589851:HRR589851 IBK589851:IBN589851 ILG589851:ILJ589851 IVC589851:IVF589851 JEY589851:JFB589851 JOU589851:JOX589851 JYQ589851:JYT589851 KIM589851:KIP589851 KSI589851:KSL589851 LCE589851:LCH589851 LMA589851:LMD589851 LVW589851:LVZ589851 MFS589851:MFV589851 MPO589851:MPR589851 MZK589851:MZN589851 NJG589851:NJJ589851 NTC589851:NTF589851 OCY589851:ODB589851 OMU589851:OMX589851 OWQ589851:OWT589851 PGM589851:PGP589851 PQI589851:PQL589851 QAE589851:QAH589851 QKA589851:QKD589851 QTW589851:QTZ589851 RDS589851:RDV589851 RNO589851:RNR589851 RXK589851:RXN589851 SHG589851:SHJ589851 SRC589851:SRF589851 TAY589851:TBB589851 TKU589851:TKX589851 TUQ589851:TUT589851 UEM589851:UEP589851 UOI589851:UOL589851 UYE589851:UYH589851 VIA589851:VID589851 VRW589851:VRZ589851 WBS589851:WBV589851 WLO589851:WLR589851 WVK589851:WVN589851 D655387:G655387 IY655387:JB655387 SU655387:SX655387 ACQ655387:ACT655387 AMM655387:AMP655387 AWI655387:AWL655387 BGE655387:BGH655387 BQA655387:BQD655387 BZW655387:BZZ655387 CJS655387:CJV655387 CTO655387:CTR655387 DDK655387:DDN655387 DNG655387:DNJ655387 DXC655387:DXF655387 EGY655387:EHB655387 EQU655387:EQX655387 FAQ655387:FAT655387 FKM655387:FKP655387 FUI655387:FUL655387 GEE655387:GEH655387 GOA655387:GOD655387 GXW655387:GXZ655387 HHS655387:HHV655387 HRO655387:HRR655387 IBK655387:IBN655387 ILG655387:ILJ655387 IVC655387:IVF655387 JEY655387:JFB655387 JOU655387:JOX655387 JYQ655387:JYT655387 KIM655387:KIP655387 KSI655387:KSL655387 LCE655387:LCH655387 LMA655387:LMD655387 LVW655387:LVZ655387 MFS655387:MFV655387 MPO655387:MPR655387 MZK655387:MZN655387 NJG655387:NJJ655387 NTC655387:NTF655387 OCY655387:ODB655387 OMU655387:OMX655387 OWQ655387:OWT655387 PGM655387:PGP655387 PQI655387:PQL655387 QAE655387:QAH655387 QKA655387:QKD655387 QTW655387:QTZ655387 RDS655387:RDV655387 RNO655387:RNR655387 RXK655387:RXN655387 SHG655387:SHJ655387 SRC655387:SRF655387 TAY655387:TBB655387 TKU655387:TKX655387 TUQ655387:TUT655387 UEM655387:UEP655387 UOI655387:UOL655387 UYE655387:UYH655387 VIA655387:VID655387 VRW655387:VRZ655387 WBS655387:WBV655387 WLO655387:WLR655387 WVK655387:WVN655387 D720923:G720923 IY720923:JB720923 SU720923:SX720923 ACQ720923:ACT720923 AMM720923:AMP720923 AWI720923:AWL720923 BGE720923:BGH720923 BQA720923:BQD720923 BZW720923:BZZ720923 CJS720923:CJV720923 CTO720923:CTR720923 DDK720923:DDN720923 DNG720923:DNJ720923 DXC720923:DXF720923 EGY720923:EHB720923 EQU720923:EQX720923 FAQ720923:FAT720923 FKM720923:FKP720923 FUI720923:FUL720923 GEE720923:GEH720923 GOA720923:GOD720923 GXW720923:GXZ720923 HHS720923:HHV720923 HRO720923:HRR720923 IBK720923:IBN720923 ILG720923:ILJ720923 IVC720923:IVF720923 JEY720923:JFB720923 JOU720923:JOX720923 JYQ720923:JYT720923 KIM720923:KIP720923 KSI720923:KSL720923 LCE720923:LCH720923 LMA720923:LMD720923 LVW720923:LVZ720923 MFS720923:MFV720923 MPO720923:MPR720923 MZK720923:MZN720923 NJG720923:NJJ720923 NTC720923:NTF720923 OCY720923:ODB720923 OMU720923:OMX720923 OWQ720923:OWT720923 PGM720923:PGP720923 PQI720923:PQL720923 QAE720923:QAH720923 QKA720923:QKD720923 QTW720923:QTZ720923 RDS720923:RDV720923 RNO720923:RNR720923 RXK720923:RXN720923 SHG720923:SHJ720923 SRC720923:SRF720923 TAY720923:TBB720923 TKU720923:TKX720923 TUQ720923:TUT720923 UEM720923:UEP720923 UOI720923:UOL720923 UYE720923:UYH720923 VIA720923:VID720923 VRW720923:VRZ720923 WBS720923:WBV720923 WLO720923:WLR720923 WVK720923:WVN720923 D786459:G786459 IY786459:JB786459 SU786459:SX786459 ACQ786459:ACT786459 AMM786459:AMP786459 AWI786459:AWL786459 BGE786459:BGH786459 BQA786459:BQD786459 BZW786459:BZZ786459 CJS786459:CJV786459 CTO786459:CTR786459 DDK786459:DDN786459 DNG786459:DNJ786459 DXC786459:DXF786459 EGY786459:EHB786459 EQU786459:EQX786459 FAQ786459:FAT786459 FKM786459:FKP786459 FUI786459:FUL786459 GEE786459:GEH786459 GOA786459:GOD786459 GXW786459:GXZ786459 HHS786459:HHV786459 HRO786459:HRR786459 IBK786459:IBN786459 ILG786459:ILJ786459 IVC786459:IVF786459 JEY786459:JFB786459 JOU786459:JOX786459 JYQ786459:JYT786459 KIM786459:KIP786459 KSI786459:KSL786459 LCE786459:LCH786459 LMA786459:LMD786459 LVW786459:LVZ786459 MFS786459:MFV786459 MPO786459:MPR786459 MZK786459:MZN786459 NJG786459:NJJ786459 NTC786459:NTF786459 OCY786459:ODB786459 OMU786459:OMX786459 OWQ786459:OWT786459 PGM786459:PGP786459 PQI786459:PQL786459 QAE786459:QAH786459 QKA786459:QKD786459 QTW786459:QTZ786459 RDS786459:RDV786459 RNO786459:RNR786459 RXK786459:RXN786459 SHG786459:SHJ786459 SRC786459:SRF786459 TAY786459:TBB786459 TKU786459:TKX786459 TUQ786459:TUT786459 UEM786459:UEP786459 UOI786459:UOL786459 UYE786459:UYH786459 VIA786459:VID786459 VRW786459:VRZ786459 WBS786459:WBV786459 WLO786459:WLR786459 WVK786459:WVN786459 D851995:G851995 IY851995:JB851995 SU851995:SX851995 ACQ851995:ACT851995 AMM851995:AMP851995 AWI851995:AWL851995 BGE851995:BGH851995 BQA851995:BQD851995 BZW851995:BZZ851995 CJS851995:CJV851995 CTO851995:CTR851995 DDK851995:DDN851995 DNG851995:DNJ851995 DXC851995:DXF851995 EGY851995:EHB851995 EQU851995:EQX851995 FAQ851995:FAT851995 FKM851995:FKP851995 FUI851995:FUL851995 GEE851995:GEH851995 GOA851995:GOD851995 GXW851995:GXZ851995 HHS851995:HHV851995 HRO851995:HRR851995 IBK851995:IBN851995 ILG851995:ILJ851995 IVC851995:IVF851995 JEY851995:JFB851995 JOU851995:JOX851995 JYQ851995:JYT851995 KIM851995:KIP851995 KSI851995:KSL851995 LCE851995:LCH851995 LMA851995:LMD851995 LVW851995:LVZ851995 MFS851995:MFV851995 MPO851995:MPR851995 MZK851995:MZN851995 NJG851995:NJJ851995 NTC851995:NTF851995 OCY851995:ODB851995 OMU851995:OMX851995 OWQ851995:OWT851995 PGM851995:PGP851995 PQI851995:PQL851995 QAE851995:QAH851995 QKA851995:QKD851995 QTW851995:QTZ851995 RDS851995:RDV851995 RNO851995:RNR851995 RXK851995:RXN851995 SHG851995:SHJ851995 SRC851995:SRF851995 TAY851995:TBB851995 TKU851995:TKX851995 TUQ851995:TUT851995 UEM851995:UEP851995 UOI851995:UOL851995 UYE851995:UYH851995 VIA851995:VID851995 VRW851995:VRZ851995 WBS851995:WBV851995 WLO851995:WLR851995 WVK851995:WVN851995 D917531:G917531 IY917531:JB917531 SU917531:SX917531 ACQ917531:ACT917531 AMM917531:AMP917531 AWI917531:AWL917531 BGE917531:BGH917531 BQA917531:BQD917531 BZW917531:BZZ917531 CJS917531:CJV917531 CTO917531:CTR917531 DDK917531:DDN917531 DNG917531:DNJ917531 DXC917531:DXF917531 EGY917531:EHB917531 EQU917531:EQX917531 FAQ917531:FAT917531 FKM917531:FKP917531 FUI917531:FUL917531 GEE917531:GEH917531 GOA917531:GOD917531 GXW917531:GXZ917531 HHS917531:HHV917531 HRO917531:HRR917531 IBK917531:IBN917531 ILG917531:ILJ917531 IVC917531:IVF917531 JEY917531:JFB917531 JOU917531:JOX917531 JYQ917531:JYT917531 KIM917531:KIP917531 KSI917531:KSL917531 LCE917531:LCH917531 LMA917531:LMD917531 LVW917531:LVZ917531 MFS917531:MFV917531 MPO917531:MPR917531 MZK917531:MZN917531 NJG917531:NJJ917531 NTC917531:NTF917531 OCY917531:ODB917531 OMU917531:OMX917531 OWQ917531:OWT917531 PGM917531:PGP917531 PQI917531:PQL917531 QAE917531:QAH917531 QKA917531:QKD917531 QTW917531:QTZ917531 RDS917531:RDV917531 RNO917531:RNR917531 RXK917531:RXN917531 SHG917531:SHJ917531 SRC917531:SRF917531 TAY917531:TBB917531 TKU917531:TKX917531 TUQ917531:TUT917531 UEM917531:UEP917531 UOI917531:UOL917531 UYE917531:UYH917531 VIA917531:VID917531 VRW917531:VRZ917531 WBS917531:WBV917531 WLO917531:WLR917531 WVK917531:WVN917531 D983067:G983067 IY983067:JB983067 SU983067:SX983067 ACQ983067:ACT983067 AMM983067:AMP983067 AWI983067:AWL983067 BGE983067:BGH983067 BQA983067:BQD983067 BZW983067:BZZ983067 CJS983067:CJV983067 CTO983067:CTR983067 DDK983067:DDN983067 DNG983067:DNJ983067 DXC983067:DXF983067 EGY983067:EHB983067 EQU983067:EQX983067 FAQ983067:FAT983067 FKM983067:FKP983067 FUI983067:FUL983067 GEE983067:GEH983067 GOA983067:GOD983067 GXW983067:GXZ983067 HHS983067:HHV983067 HRO983067:HRR983067 IBK983067:IBN983067 ILG983067:ILJ983067 IVC983067:IVF983067 JEY983067:JFB983067 JOU983067:JOX983067 JYQ983067:JYT983067 KIM983067:KIP983067 KSI983067:KSL983067 LCE983067:LCH983067 LMA983067:LMD983067 LVW983067:LVZ983067 MFS983067:MFV983067 MPO983067:MPR983067 MZK983067:MZN983067 NJG983067:NJJ983067 NTC983067:NTF983067 OCY983067:ODB983067 OMU983067:OMX983067 OWQ983067:OWT983067 PGM983067:PGP983067 PQI983067:PQL983067 QAE983067:QAH983067 QKA983067:QKD983067 QTW983067:QTZ983067 RDS983067:RDV983067 RNO983067:RNR983067 RXK983067:RXN983067 SHG983067:SHJ983067 SRC983067:SRF983067 TAY983067:TBB983067 TKU983067:TKX983067 TUQ983067:TUT983067 UEM983067:UEP983067 UOI983067:UOL983067 UYE983067:UYH983067 VIA983067:VID983067 VRW983067:VRZ983067 WBS983067:WBV983067 WLO983067:WLR983067 WVK983067:WVN983067"/>
    <dataValidation allowBlank="1" showInputMessage="1" showErrorMessage="1" promptTitle="Telpon Rumah - Saudara Kandung" prompt="Diisi nomor telpon rumah dari Saudara Kandung Pemohon yang dapat dihubungi dan tidak serumah dengan Pemohon. Penulisan Nomor Telpon agar mencantumkan kode area. Contoh : 022 - 555555, 031 - 99999999. Apabila tidak tersedia fasilitas dimaksud diisi 'N/A'" sqref="D65562:G65562 IY65562:JB65562 SU65562:SX65562 ACQ65562:ACT65562 AMM65562:AMP65562 AWI65562:AWL65562 BGE65562:BGH65562 BQA65562:BQD65562 BZW65562:BZZ65562 CJS65562:CJV65562 CTO65562:CTR65562 DDK65562:DDN65562 DNG65562:DNJ65562 DXC65562:DXF65562 EGY65562:EHB65562 EQU65562:EQX65562 FAQ65562:FAT65562 FKM65562:FKP65562 FUI65562:FUL65562 GEE65562:GEH65562 GOA65562:GOD65562 GXW65562:GXZ65562 HHS65562:HHV65562 HRO65562:HRR65562 IBK65562:IBN65562 ILG65562:ILJ65562 IVC65562:IVF65562 JEY65562:JFB65562 JOU65562:JOX65562 JYQ65562:JYT65562 KIM65562:KIP65562 KSI65562:KSL65562 LCE65562:LCH65562 LMA65562:LMD65562 LVW65562:LVZ65562 MFS65562:MFV65562 MPO65562:MPR65562 MZK65562:MZN65562 NJG65562:NJJ65562 NTC65562:NTF65562 OCY65562:ODB65562 OMU65562:OMX65562 OWQ65562:OWT65562 PGM65562:PGP65562 PQI65562:PQL65562 QAE65562:QAH65562 QKA65562:QKD65562 QTW65562:QTZ65562 RDS65562:RDV65562 RNO65562:RNR65562 RXK65562:RXN65562 SHG65562:SHJ65562 SRC65562:SRF65562 TAY65562:TBB65562 TKU65562:TKX65562 TUQ65562:TUT65562 UEM65562:UEP65562 UOI65562:UOL65562 UYE65562:UYH65562 VIA65562:VID65562 VRW65562:VRZ65562 WBS65562:WBV65562 WLO65562:WLR65562 WVK65562:WVN65562 D131098:G131098 IY131098:JB131098 SU131098:SX131098 ACQ131098:ACT131098 AMM131098:AMP131098 AWI131098:AWL131098 BGE131098:BGH131098 BQA131098:BQD131098 BZW131098:BZZ131098 CJS131098:CJV131098 CTO131098:CTR131098 DDK131098:DDN131098 DNG131098:DNJ131098 DXC131098:DXF131098 EGY131098:EHB131098 EQU131098:EQX131098 FAQ131098:FAT131098 FKM131098:FKP131098 FUI131098:FUL131098 GEE131098:GEH131098 GOA131098:GOD131098 GXW131098:GXZ131098 HHS131098:HHV131098 HRO131098:HRR131098 IBK131098:IBN131098 ILG131098:ILJ131098 IVC131098:IVF131098 JEY131098:JFB131098 JOU131098:JOX131098 JYQ131098:JYT131098 KIM131098:KIP131098 KSI131098:KSL131098 LCE131098:LCH131098 LMA131098:LMD131098 LVW131098:LVZ131098 MFS131098:MFV131098 MPO131098:MPR131098 MZK131098:MZN131098 NJG131098:NJJ131098 NTC131098:NTF131098 OCY131098:ODB131098 OMU131098:OMX131098 OWQ131098:OWT131098 PGM131098:PGP131098 PQI131098:PQL131098 QAE131098:QAH131098 QKA131098:QKD131098 QTW131098:QTZ131098 RDS131098:RDV131098 RNO131098:RNR131098 RXK131098:RXN131098 SHG131098:SHJ131098 SRC131098:SRF131098 TAY131098:TBB131098 TKU131098:TKX131098 TUQ131098:TUT131098 UEM131098:UEP131098 UOI131098:UOL131098 UYE131098:UYH131098 VIA131098:VID131098 VRW131098:VRZ131098 WBS131098:WBV131098 WLO131098:WLR131098 WVK131098:WVN131098 D196634:G196634 IY196634:JB196634 SU196634:SX196634 ACQ196634:ACT196634 AMM196634:AMP196634 AWI196634:AWL196634 BGE196634:BGH196634 BQA196634:BQD196634 BZW196634:BZZ196634 CJS196634:CJV196634 CTO196634:CTR196634 DDK196634:DDN196634 DNG196634:DNJ196634 DXC196634:DXF196634 EGY196634:EHB196634 EQU196634:EQX196634 FAQ196634:FAT196634 FKM196634:FKP196634 FUI196634:FUL196634 GEE196634:GEH196634 GOA196634:GOD196634 GXW196634:GXZ196634 HHS196634:HHV196634 HRO196634:HRR196634 IBK196634:IBN196634 ILG196634:ILJ196634 IVC196634:IVF196634 JEY196634:JFB196634 JOU196634:JOX196634 JYQ196634:JYT196634 KIM196634:KIP196634 KSI196634:KSL196634 LCE196634:LCH196634 LMA196634:LMD196634 LVW196634:LVZ196634 MFS196634:MFV196634 MPO196634:MPR196634 MZK196634:MZN196634 NJG196634:NJJ196634 NTC196634:NTF196634 OCY196634:ODB196634 OMU196634:OMX196634 OWQ196634:OWT196634 PGM196634:PGP196634 PQI196634:PQL196634 QAE196634:QAH196634 QKA196634:QKD196634 QTW196634:QTZ196634 RDS196634:RDV196634 RNO196634:RNR196634 RXK196634:RXN196634 SHG196634:SHJ196634 SRC196634:SRF196634 TAY196634:TBB196634 TKU196634:TKX196634 TUQ196634:TUT196634 UEM196634:UEP196634 UOI196634:UOL196634 UYE196634:UYH196634 VIA196634:VID196634 VRW196634:VRZ196634 WBS196634:WBV196634 WLO196634:WLR196634 WVK196634:WVN196634 D262170:G262170 IY262170:JB262170 SU262170:SX262170 ACQ262170:ACT262170 AMM262170:AMP262170 AWI262170:AWL262170 BGE262170:BGH262170 BQA262170:BQD262170 BZW262170:BZZ262170 CJS262170:CJV262170 CTO262170:CTR262170 DDK262170:DDN262170 DNG262170:DNJ262170 DXC262170:DXF262170 EGY262170:EHB262170 EQU262170:EQX262170 FAQ262170:FAT262170 FKM262170:FKP262170 FUI262170:FUL262170 GEE262170:GEH262170 GOA262170:GOD262170 GXW262170:GXZ262170 HHS262170:HHV262170 HRO262170:HRR262170 IBK262170:IBN262170 ILG262170:ILJ262170 IVC262170:IVF262170 JEY262170:JFB262170 JOU262170:JOX262170 JYQ262170:JYT262170 KIM262170:KIP262170 KSI262170:KSL262170 LCE262170:LCH262170 LMA262170:LMD262170 LVW262170:LVZ262170 MFS262170:MFV262170 MPO262170:MPR262170 MZK262170:MZN262170 NJG262170:NJJ262170 NTC262170:NTF262170 OCY262170:ODB262170 OMU262170:OMX262170 OWQ262170:OWT262170 PGM262170:PGP262170 PQI262170:PQL262170 QAE262170:QAH262170 QKA262170:QKD262170 QTW262170:QTZ262170 RDS262170:RDV262170 RNO262170:RNR262170 RXK262170:RXN262170 SHG262170:SHJ262170 SRC262170:SRF262170 TAY262170:TBB262170 TKU262170:TKX262170 TUQ262170:TUT262170 UEM262170:UEP262170 UOI262170:UOL262170 UYE262170:UYH262170 VIA262170:VID262170 VRW262170:VRZ262170 WBS262170:WBV262170 WLO262170:WLR262170 WVK262170:WVN262170 D327706:G327706 IY327706:JB327706 SU327706:SX327706 ACQ327706:ACT327706 AMM327706:AMP327706 AWI327706:AWL327706 BGE327706:BGH327706 BQA327706:BQD327706 BZW327706:BZZ327706 CJS327706:CJV327706 CTO327706:CTR327706 DDK327706:DDN327706 DNG327706:DNJ327706 DXC327706:DXF327706 EGY327706:EHB327706 EQU327706:EQX327706 FAQ327706:FAT327706 FKM327706:FKP327706 FUI327706:FUL327706 GEE327706:GEH327706 GOA327706:GOD327706 GXW327706:GXZ327706 HHS327706:HHV327706 HRO327706:HRR327706 IBK327706:IBN327706 ILG327706:ILJ327706 IVC327706:IVF327706 JEY327706:JFB327706 JOU327706:JOX327706 JYQ327706:JYT327706 KIM327706:KIP327706 KSI327706:KSL327706 LCE327706:LCH327706 LMA327706:LMD327706 LVW327706:LVZ327706 MFS327706:MFV327706 MPO327706:MPR327706 MZK327706:MZN327706 NJG327706:NJJ327706 NTC327706:NTF327706 OCY327706:ODB327706 OMU327706:OMX327706 OWQ327706:OWT327706 PGM327706:PGP327706 PQI327706:PQL327706 QAE327706:QAH327706 QKA327706:QKD327706 QTW327706:QTZ327706 RDS327706:RDV327706 RNO327706:RNR327706 RXK327706:RXN327706 SHG327706:SHJ327706 SRC327706:SRF327706 TAY327706:TBB327706 TKU327706:TKX327706 TUQ327706:TUT327706 UEM327706:UEP327706 UOI327706:UOL327706 UYE327706:UYH327706 VIA327706:VID327706 VRW327706:VRZ327706 WBS327706:WBV327706 WLO327706:WLR327706 WVK327706:WVN327706 D393242:G393242 IY393242:JB393242 SU393242:SX393242 ACQ393242:ACT393242 AMM393242:AMP393242 AWI393242:AWL393242 BGE393242:BGH393242 BQA393242:BQD393242 BZW393242:BZZ393242 CJS393242:CJV393242 CTO393242:CTR393242 DDK393242:DDN393242 DNG393242:DNJ393242 DXC393242:DXF393242 EGY393242:EHB393242 EQU393242:EQX393242 FAQ393242:FAT393242 FKM393242:FKP393242 FUI393242:FUL393242 GEE393242:GEH393242 GOA393242:GOD393242 GXW393242:GXZ393242 HHS393242:HHV393242 HRO393242:HRR393242 IBK393242:IBN393242 ILG393242:ILJ393242 IVC393242:IVF393242 JEY393242:JFB393242 JOU393242:JOX393242 JYQ393242:JYT393242 KIM393242:KIP393242 KSI393242:KSL393242 LCE393242:LCH393242 LMA393242:LMD393242 LVW393242:LVZ393242 MFS393242:MFV393242 MPO393242:MPR393242 MZK393242:MZN393242 NJG393242:NJJ393242 NTC393242:NTF393242 OCY393242:ODB393242 OMU393242:OMX393242 OWQ393242:OWT393242 PGM393242:PGP393242 PQI393242:PQL393242 QAE393242:QAH393242 QKA393242:QKD393242 QTW393242:QTZ393242 RDS393242:RDV393242 RNO393242:RNR393242 RXK393242:RXN393242 SHG393242:SHJ393242 SRC393242:SRF393242 TAY393242:TBB393242 TKU393242:TKX393242 TUQ393242:TUT393242 UEM393242:UEP393242 UOI393242:UOL393242 UYE393242:UYH393242 VIA393242:VID393242 VRW393242:VRZ393242 WBS393242:WBV393242 WLO393242:WLR393242 WVK393242:WVN393242 D458778:G458778 IY458778:JB458778 SU458778:SX458778 ACQ458778:ACT458778 AMM458778:AMP458778 AWI458778:AWL458778 BGE458778:BGH458778 BQA458778:BQD458778 BZW458778:BZZ458778 CJS458778:CJV458778 CTO458778:CTR458778 DDK458778:DDN458778 DNG458778:DNJ458778 DXC458778:DXF458778 EGY458778:EHB458778 EQU458778:EQX458778 FAQ458778:FAT458778 FKM458778:FKP458778 FUI458778:FUL458778 GEE458778:GEH458778 GOA458778:GOD458778 GXW458778:GXZ458778 HHS458778:HHV458778 HRO458778:HRR458778 IBK458778:IBN458778 ILG458778:ILJ458778 IVC458778:IVF458778 JEY458778:JFB458778 JOU458778:JOX458778 JYQ458778:JYT458778 KIM458778:KIP458778 KSI458778:KSL458778 LCE458778:LCH458778 LMA458778:LMD458778 LVW458778:LVZ458778 MFS458778:MFV458778 MPO458778:MPR458778 MZK458778:MZN458778 NJG458778:NJJ458778 NTC458778:NTF458778 OCY458778:ODB458778 OMU458778:OMX458778 OWQ458778:OWT458778 PGM458778:PGP458778 PQI458778:PQL458778 QAE458778:QAH458778 QKA458778:QKD458778 QTW458778:QTZ458778 RDS458778:RDV458778 RNO458778:RNR458778 RXK458778:RXN458778 SHG458778:SHJ458778 SRC458778:SRF458778 TAY458778:TBB458778 TKU458778:TKX458778 TUQ458778:TUT458778 UEM458778:UEP458778 UOI458778:UOL458778 UYE458778:UYH458778 VIA458778:VID458778 VRW458778:VRZ458778 WBS458778:WBV458778 WLO458778:WLR458778 WVK458778:WVN458778 D524314:G524314 IY524314:JB524314 SU524314:SX524314 ACQ524314:ACT524314 AMM524314:AMP524314 AWI524314:AWL524314 BGE524314:BGH524314 BQA524314:BQD524314 BZW524314:BZZ524314 CJS524314:CJV524314 CTO524314:CTR524314 DDK524314:DDN524314 DNG524314:DNJ524314 DXC524314:DXF524314 EGY524314:EHB524314 EQU524314:EQX524314 FAQ524314:FAT524314 FKM524314:FKP524314 FUI524314:FUL524314 GEE524314:GEH524314 GOA524314:GOD524314 GXW524314:GXZ524314 HHS524314:HHV524314 HRO524314:HRR524314 IBK524314:IBN524314 ILG524314:ILJ524314 IVC524314:IVF524314 JEY524314:JFB524314 JOU524314:JOX524314 JYQ524314:JYT524314 KIM524314:KIP524314 KSI524314:KSL524314 LCE524314:LCH524314 LMA524314:LMD524314 LVW524314:LVZ524314 MFS524314:MFV524314 MPO524314:MPR524314 MZK524314:MZN524314 NJG524314:NJJ524314 NTC524314:NTF524314 OCY524314:ODB524314 OMU524314:OMX524314 OWQ524314:OWT524314 PGM524314:PGP524314 PQI524314:PQL524314 QAE524314:QAH524314 QKA524314:QKD524314 QTW524314:QTZ524314 RDS524314:RDV524314 RNO524314:RNR524314 RXK524314:RXN524314 SHG524314:SHJ524314 SRC524314:SRF524314 TAY524314:TBB524314 TKU524314:TKX524314 TUQ524314:TUT524314 UEM524314:UEP524314 UOI524314:UOL524314 UYE524314:UYH524314 VIA524314:VID524314 VRW524314:VRZ524314 WBS524314:WBV524314 WLO524314:WLR524314 WVK524314:WVN524314 D589850:G589850 IY589850:JB589850 SU589850:SX589850 ACQ589850:ACT589850 AMM589850:AMP589850 AWI589850:AWL589850 BGE589850:BGH589850 BQA589850:BQD589850 BZW589850:BZZ589850 CJS589850:CJV589850 CTO589850:CTR589850 DDK589850:DDN589850 DNG589850:DNJ589850 DXC589850:DXF589850 EGY589850:EHB589850 EQU589850:EQX589850 FAQ589850:FAT589850 FKM589850:FKP589850 FUI589850:FUL589850 GEE589850:GEH589850 GOA589850:GOD589850 GXW589850:GXZ589850 HHS589850:HHV589850 HRO589850:HRR589850 IBK589850:IBN589850 ILG589850:ILJ589850 IVC589850:IVF589850 JEY589850:JFB589850 JOU589850:JOX589850 JYQ589850:JYT589850 KIM589850:KIP589850 KSI589850:KSL589850 LCE589850:LCH589850 LMA589850:LMD589850 LVW589850:LVZ589850 MFS589850:MFV589850 MPO589850:MPR589850 MZK589850:MZN589850 NJG589850:NJJ589850 NTC589850:NTF589850 OCY589850:ODB589850 OMU589850:OMX589850 OWQ589850:OWT589850 PGM589850:PGP589850 PQI589850:PQL589850 QAE589850:QAH589850 QKA589850:QKD589850 QTW589850:QTZ589850 RDS589850:RDV589850 RNO589850:RNR589850 RXK589850:RXN589850 SHG589850:SHJ589850 SRC589850:SRF589850 TAY589850:TBB589850 TKU589850:TKX589850 TUQ589850:TUT589850 UEM589850:UEP589850 UOI589850:UOL589850 UYE589850:UYH589850 VIA589850:VID589850 VRW589850:VRZ589850 WBS589850:WBV589850 WLO589850:WLR589850 WVK589850:WVN589850 D655386:G655386 IY655386:JB655386 SU655386:SX655386 ACQ655386:ACT655386 AMM655386:AMP655386 AWI655386:AWL655386 BGE655386:BGH655386 BQA655386:BQD655386 BZW655386:BZZ655386 CJS655386:CJV655386 CTO655386:CTR655386 DDK655386:DDN655386 DNG655386:DNJ655386 DXC655386:DXF655386 EGY655386:EHB655386 EQU655386:EQX655386 FAQ655386:FAT655386 FKM655386:FKP655386 FUI655386:FUL655386 GEE655386:GEH655386 GOA655386:GOD655386 GXW655386:GXZ655386 HHS655386:HHV655386 HRO655386:HRR655386 IBK655386:IBN655386 ILG655386:ILJ655386 IVC655386:IVF655386 JEY655386:JFB655386 JOU655386:JOX655386 JYQ655386:JYT655386 KIM655386:KIP655386 KSI655386:KSL655386 LCE655386:LCH655386 LMA655386:LMD655386 LVW655386:LVZ655386 MFS655386:MFV655386 MPO655386:MPR655386 MZK655386:MZN655386 NJG655386:NJJ655386 NTC655386:NTF655386 OCY655386:ODB655386 OMU655386:OMX655386 OWQ655386:OWT655386 PGM655386:PGP655386 PQI655386:PQL655386 QAE655386:QAH655386 QKA655386:QKD655386 QTW655386:QTZ655386 RDS655386:RDV655386 RNO655386:RNR655386 RXK655386:RXN655386 SHG655386:SHJ655386 SRC655386:SRF655386 TAY655386:TBB655386 TKU655386:TKX655386 TUQ655386:TUT655386 UEM655386:UEP655386 UOI655386:UOL655386 UYE655386:UYH655386 VIA655386:VID655386 VRW655386:VRZ655386 WBS655386:WBV655386 WLO655386:WLR655386 WVK655386:WVN655386 D720922:G720922 IY720922:JB720922 SU720922:SX720922 ACQ720922:ACT720922 AMM720922:AMP720922 AWI720922:AWL720922 BGE720922:BGH720922 BQA720922:BQD720922 BZW720922:BZZ720922 CJS720922:CJV720922 CTO720922:CTR720922 DDK720922:DDN720922 DNG720922:DNJ720922 DXC720922:DXF720922 EGY720922:EHB720922 EQU720922:EQX720922 FAQ720922:FAT720922 FKM720922:FKP720922 FUI720922:FUL720922 GEE720922:GEH720922 GOA720922:GOD720922 GXW720922:GXZ720922 HHS720922:HHV720922 HRO720922:HRR720922 IBK720922:IBN720922 ILG720922:ILJ720922 IVC720922:IVF720922 JEY720922:JFB720922 JOU720922:JOX720922 JYQ720922:JYT720922 KIM720922:KIP720922 KSI720922:KSL720922 LCE720922:LCH720922 LMA720922:LMD720922 LVW720922:LVZ720922 MFS720922:MFV720922 MPO720922:MPR720922 MZK720922:MZN720922 NJG720922:NJJ720922 NTC720922:NTF720922 OCY720922:ODB720922 OMU720922:OMX720922 OWQ720922:OWT720922 PGM720922:PGP720922 PQI720922:PQL720922 QAE720922:QAH720922 QKA720922:QKD720922 QTW720922:QTZ720922 RDS720922:RDV720922 RNO720922:RNR720922 RXK720922:RXN720922 SHG720922:SHJ720922 SRC720922:SRF720922 TAY720922:TBB720922 TKU720922:TKX720922 TUQ720922:TUT720922 UEM720922:UEP720922 UOI720922:UOL720922 UYE720922:UYH720922 VIA720922:VID720922 VRW720922:VRZ720922 WBS720922:WBV720922 WLO720922:WLR720922 WVK720922:WVN720922 D786458:G786458 IY786458:JB786458 SU786458:SX786458 ACQ786458:ACT786458 AMM786458:AMP786458 AWI786458:AWL786458 BGE786458:BGH786458 BQA786458:BQD786458 BZW786458:BZZ786458 CJS786458:CJV786458 CTO786458:CTR786458 DDK786458:DDN786458 DNG786458:DNJ786458 DXC786458:DXF786458 EGY786458:EHB786458 EQU786458:EQX786458 FAQ786458:FAT786458 FKM786458:FKP786458 FUI786458:FUL786458 GEE786458:GEH786458 GOA786458:GOD786458 GXW786458:GXZ786458 HHS786458:HHV786458 HRO786458:HRR786458 IBK786458:IBN786458 ILG786458:ILJ786458 IVC786458:IVF786458 JEY786458:JFB786458 JOU786458:JOX786458 JYQ786458:JYT786458 KIM786458:KIP786458 KSI786458:KSL786458 LCE786458:LCH786458 LMA786458:LMD786458 LVW786458:LVZ786458 MFS786458:MFV786458 MPO786458:MPR786458 MZK786458:MZN786458 NJG786458:NJJ786458 NTC786458:NTF786458 OCY786458:ODB786458 OMU786458:OMX786458 OWQ786458:OWT786458 PGM786458:PGP786458 PQI786458:PQL786458 QAE786458:QAH786458 QKA786458:QKD786458 QTW786458:QTZ786458 RDS786458:RDV786458 RNO786458:RNR786458 RXK786458:RXN786458 SHG786458:SHJ786458 SRC786458:SRF786458 TAY786458:TBB786458 TKU786458:TKX786458 TUQ786458:TUT786458 UEM786458:UEP786458 UOI786458:UOL786458 UYE786458:UYH786458 VIA786458:VID786458 VRW786458:VRZ786458 WBS786458:WBV786458 WLO786458:WLR786458 WVK786458:WVN786458 D851994:G851994 IY851994:JB851994 SU851994:SX851994 ACQ851994:ACT851994 AMM851994:AMP851994 AWI851994:AWL851994 BGE851994:BGH851994 BQA851994:BQD851994 BZW851994:BZZ851994 CJS851994:CJV851994 CTO851994:CTR851994 DDK851994:DDN851994 DNG851994:DNJ851994 DXC851994:DXF851994 EGY851994:EHB851994 EQU851994:EQX851994 FAQ851994:FAT851994 FKM851994:FKP851994 FUI851994:FUL851994 GEE851994:GEH851994 GOA851994:GOD851994 GXW851994:GXZ851994 HHS851994:HHV851994 HRO851994:HRR851994 IBK851994:IBN851994 ILG851994:ILJ851994 IVC851994:IVF851994 JEY851994:JFB851994 JOU851994:JOX851994 JYQ851994:JYT851994 KIM851994:KIP851994 KSI851994:KSL851994 LCE851994:LCH851994 LMA851994:LMD851994 LVW851994:LVZ851994 MFS851994:MFV851994 MPO851994:MPR851994 MZK851994:MZN851994 NJG851994:NJJ851994 NTC851994:NTF851994 OCY851994:ODB851994 OMU851994:OMX851994 OWQ851994:OWT851994 PGM851994:PGP851994 PQI851994:PQL851994 QAE851994:QAH851994 QKA851994:QKD851994 QTW851994:QTZ851994 RDS851994:RDV851994 RNO851994:RNR851994 RXK851994:RXN851994 SHG851994:SHJ851994 SRC851994:SRF851994 TAY851994:TBB851994 TKU851994:TKX851994 TUQ851994:TUT851994 UEM851994:UEP851994 UOI851994:UOL851994 UYE851994:UYH851994 VIA851994:VID851994 VRW851994:VRZ851994 WBS851994:WBV851994 WLO851994:WLR851994 WVK851994:WVN851994 D917530:G917530 IY917530:JB917530 SU917530:SX917530 ACQ917530:ACT917530 AMM917530:AMP917530 AWI917530:AWL917530 BGE917530:BGH917530 BQA917530:BQD917530 BZW917530:BZZ917530 CJS917530:CJV917530 CTO917530:CTR917530 DDK917530:DDN917530 DNG917530:DNJ917530 DXC917530:DXF917530 EGY917530:EHB917530 EQU917530:EQX917530 FAQ917530:FAT917530 FKM917530:FKP917530 FUI917530:FUL917530 GEE917530:GEH917530 GOA917530:GOD917530 GXW917530:GXZ917530 HHS917530:HHV917530 HRO917530:HRR917530 IBK917530:IBN917530 ILG917530:ILJ917530 IVC917530:IVF917530 JEY917530:JFB917530 JOU917530:JOX917530 JYQ917530:JYT917530 KIM917530:KIP917530 KSI917530:KSL917530 LCE917530:LCH917530 LMA917530:LMD917530 LVW917530:LVZ917530 MFS917530:MFV917530 MPO917530:MPR917530 MZK917530:MZN917530 NJG917530:NJJ917530 NTC917530:NTF917530 OCY917530:ODB917530 OMU917530:OMX917530 OWQ917530:OWT917530 PGM917530:PGP917530 PQI917530:PQL917530 QAE917530:QAH917530 QKA917530:QKD917530 QTW917530:QTZ917530 RDS917530:RDV917530 RNO917530:RNR917530 RXK917530:RXN917530 SHG917530:SHJ917530 SRC917530:SRF917530 TAY917530:TBB917530 TKU917530:TKX917530 TUQ917530:TUT917530 UEM917530:UEP917530 UOI917530:UOL917530 UYE917530:UYH917530 VIA917530:VID917530 VRW917530:VRZ917530 WBS917530:WBV917530 WLO917530:WLR917530 WVK917530:WVN917530 D983066:G983066 IY983066:JB983066 SU983066:SX983066 ACQ983066:ACT983066 AMM983066:AMP983066 AWI983066:AWL983066 BGE983066:BGH983066 BQA983066:BQD983066 BZW983066:BZZ983066 CJS983066:CJV983066 CTO983066:CTR983066 DDK983066:DDN983066 DNG983066:DNJ983066 DXC983066:DXF983066 EGY983066:EHB983066 EQU983066:EQX983066 FAQ983066:FAT983066 FKM983066:FKP983066 FUI983066:FUL983066 GEE983066:GEH983066 GOA983066:GOD983066 GXW983066:GXZ983066 HHS983066:HHV983066 HRO983066:HRR983066 IBK983066:IBN983066 ILG983066:ILJ983066 IVC983066:IVF983066 JEY983066:JFB983066 JOU983066:JOX983066 JYQ983066:JYT983066 KIM983066:KIP983066 KSI983066:KSL983066 LCE983066:LCH983066 LMA983066:LMD983066 LVW983066:LVZ983066 MFS983066:MFV983066 MPO983066:MPR983066 MZK983066:MZN983066 NJG983066:NJJ983066 NTC983066:NTF983066 OCY983066:ODB983066 OMU983066:OMX983066 OWQ983066:OWT983066 PGM983066:PGP983066 PQI983066:PQL983066 QAE983066:QAH983066 QKA983066:QKD983066 QTW983066:QTZ983066 RDS983066:RDV983066 RNO983066:RNR983066 RXK983066:RXN983066 SHG983066:SHJ983066 SRC983066:SRF983066 TAY983066:TBB983066 TKU983066:TKX983066 TUQ983066:TUT983066 UEM983066:UEP983066 UOI983066:UOL983066 UYE983066:UYH983066 VIA983066:VID983066 VRW983066:VRZ983066 WBS983066:WBV983066 WLO983066:WLR983066 WVK983066:WVN983066"/>
    <dataValidation type="list" allowBlank="1" showInputMessage="1" showErrorMessage="1" promptTitle="Jenis Usaha" prompt="Dipilih sektor usaha yang dijalankan Pemohon. Apabila memilih 'Lainnya' agar disebutkan jenis atau sektor usaha di kolom sebelahnya. Untuk Pemohon yang memiliki beberapa usaha berbeda, maka pemilihan dilakukan berdasarkan usaha yang utamanya." sqref="WVK983077:WVM983077 WLO983077:WLQ983077 WBS983077:WBU983077 VRW983077:VRY983077 VIA983077:VIC983077 UYE983077:UYG983077 UOI983077:UOK983077 UEM983077:UEO983077 TUQ983077:TUS983077 TKU983077:TKW983077 TAY983077:TBA983077 SRC983077:SRE983077 SHG983077:SHI983077 RXK983077:RXM983077 RNO983077:RNQ983077 RDS983077:RDU983077 QTW983077:QTY983077 QKA983077:QKC983077 QAE983077:QAG983077 PQI983077:PQK983077 PGM983077:PGO983077 OWQ983077:OWS983077 OMU983077:OMW983077 OCY983077:ODA983077 NTC983077:NTE983077 NJG983077:NJI983077 MZK983077:MZM983077 MPO983077:MPQ983077 MFS983077:MFU983077 LVW983077:LVY983077 LMA983077:LMC983077 LCE983077:LCG983077 KSI983077:KSK983077 KIM983077:KIO983077 JYQ983077:JYS983077 JOU983077:JOW983077 JEY983077:JFA983077 IVC983077:IVE983077 ILG983077:ILI983077 IBK983077:IBM983077 HRO983077:HRQ983077 HHS983077:HHU983077 GXW983077:GXY983077 GOA983077:GOC983077 GEE983077:GEG983077 FUI983077:FUK983077 FKM983077:FKO983077 FAQ983077:FAS983077 EQU983077:EQW983077 EGY983077:EHA983077 DXC983077:DXE983077 DNG983077:DNI983077 DDK983077:DDM983077 CTO983077:CTQ983077 CJS983077:CJU983077 BZW983077:BZY983077 BQA983077:BQC983077 BGE983077:BGG983077 AWI983077:AWK983077 AMM983077:AMO983077 ACQ983077:ACS983077 SU983077:SW983077 IY983077:JA983077 D983077:F983077 WVK917541:WVM917541 WLO917541:WLQ917541 WBS917541:WBU917541 VRW917541:VRY917541 VIA917541:VIC917541 UYE917541:UYG917541 UOI917541:UOK917541 UEM917541:UEO917541 TUQ917541:TUS917541 TKU917541:TKW917541 TAY917541:TBA917541 SRC917541:SRE917541 SHG917541:SHI917541 RXK917541:RXM917541 RNO917541:RNQ917541 RDS917541:RDU917541 QTW917541:QTY917541 QKA917541:QKC917541 QAE917541:QAG917541 PQI917541:PQK917541 PGM917541:PGO917541 OWQ917541:OWS917541 OMU917541:OMW917541 OCY917541:ODA917541 NTC917541:NTE917541 NJG917541:NJI917541 MZK917541:MZM917541 MPO917541:MPQ917541 MFS917541:MFU917541 LVW917541:LVY917541 LMA917541:LMC917541 LCE917541:LCG917541 KSI917541:KSK917541 KIM917541:KIO917541 JYQ917541:JYS917541 JOU917541:JOW917541 JEY917541:JFA917541 IVC917541:IVE917541 ILG917541:ILI917541 IBK917541:IBM917541 HRO917541:HRQ917541 HHS917541:HHU917541 GXW917541:GXY917541 GOA917541:GOC917541 GEE917541:GEG917541 FUI917541:FUK917541 FKM917541:FKO917541 FAQ917541:FAS917541 EQU917541:EQW917541 EGY917541:EHA917541 DXC917541:DXE917541 DNG917541:DNI917541 DDK917541:DDM917541 CTO917541:CTQ917541 CJS917541:CJU917541 BZW917541:BZY917541 BQA917541:BQC917541 BGE917541:BGG917541 AWI917541:AWK917541 AMM917541:AMO917541 ACQ917541:ACS917541 SU917541:SW917541 IY917541:JA917541 D917541:F917541 WVK852005:WVM852005 WLO852005:WLQ852005 WBS852005:WBU852005 VRW852005:VRY852005 VIA852005:VIC852005 UYE852005:UYG852005 UOI852005:UOK852005 UEM852005:UEO852005 TUQ852005:TUS852005 TKU852005:TKW852005 TAY852005:TBA852005 SRC852005:SRE852005 SHG852005:SHI852005 RXK852005:RXM852005 RNO852005:RNQ852005 RDS852005:RDU852005 QTW852005:QTY852005 QKA852005:QKC852005 QAE852005:QAG852005 PQI852005:PQK852005 PGM852005:PGO852005 OWQ852005:OWS852005 OMU852005:OMW852005 OCY852005:ODA852005 NTC852005:NTE852005 NJG852005:NJI852005 MZK852005:MZM852005 MPO852005:MPQ852005 MFS852005:MFU852005 LVW852005:LVY852005 LMA852005:LMC852005 LCE852005:LCG852005 KSI852005:KSK852005 KIM852005:KIO852005 JYQ852005:JYS852005 JOU852005:JOW852005 JEY852005:JFA852005 IVC852005:IVE852005 ILG852005:ILI852005 IBK852005:IBM852005 HRO852005:HRQ852005 HHS852005:HHU852005 GXW852005:GXY852005 GOA852005:GOC852005 GEE852005:GEG852005 FUI852005:FUK852005 FKM852005:FKO852005 FAQ852005:FAS852005 EQU852005:EQW852005 EGY852005:EHA852005 DXC852005:DXE852005 DNG852005:DNI852005 DDK852005:DDM852005 CTO852005:CTQ852005 CJS852005:CJU852005 BZW852005:BZY852005 BQA852005:BQC852005 BGE852005:BGG852005 AWI852005:AWK852005 AMM852005:AMO852005 ACQ852005:ACS852005 SU852005:SW852005 IY852005:JA852005 D852005:F852005 WVK786469:WVM786469 WLO786469:WLQ786469 WBS786469:WBU786469 VRW786469:VRY786469 VIA786469:VIC786469 UYE786469:UYG786469 UOI786469:UOK786469 UEM786469:UEO786469 TUQ786469:TUS786469 TKU786469:TKW786469 TAY786469:TBA786469 SRC786469:SRE786469 SHG786469:SHI786469 RXK786469:RXM786469 RNO786469:RNQ786469 RDS786469:RDU786469 QTW786469:QTY786469 QKA786469:QKC786469 QAE786469:QAG786469 PQI786469:PQK786469 PGM786469:PGO786469 OWQ786469:OWS786469 OMU786469:OMW786469 OCY786469:ODA786469 NTC786469:NTE786469 NJG786469:NJI786469 MZK786469:MZM786469 MPO786469:MPQ786469 MFS786469:MFU786469 LVW786469:LVY786469 LMA786469:LMC786469 LCE786469:LCG786469 KSI786469:KSK786469 KIM786469:KIO786469 JYQ786469:JYS786469 JOU786469:JOW786469 JEY786469:JFA786469 IVC786469:IVE786469 ILG786469:ILI786469 IBK786469:IBM786469 HRO786469:HRQ786469 HHS786469:HHU786469 GXW786469:GXY786469 GOA786469:GOC786469 GEE786469:GEG786469 FUI786469:FUK786469 FKM786469:FKO786469 FAQ786469:FAS786469 EQU786469:EQW786469 EGY786469:EHA786469 DXC786469:DXE786469 DNG786469:DNI786469 DDK786469:DDM786469 CTO786469:CTQ786469 CJS786469:CJU786469 BZW786469:BZY786469 BQA786469:BQC786469 BGE786469:BGG786469 AWI786469:AWK786469 AMM786469:AMO786469 ACQ786469:ACS786469 SU786469:SW786469 IY786469:JA786469 D786469:F786469 WVK720933:WVM720933 WLO720933:WLQ720933 WBS720933:WBU720933 VRW720933:VRY720933 VIA720933:VIC720933 UYE720933:UYG720933 UOI720933:UOK720933 UEM720933:UEO720933 TUQ720933:TUS720933 TKU720933:TKW720933 TAY720933:TBA720933 SRC720933:SRE720933 SHG720933:SHI720933 RXK720933:RXM720933 RNO720933:RNQ720933 RDS720933:RDU720933 QTW720933:QTY720933 QKA720933:QKC720933 QAE720933:QAG720933 PQI720933:PQK720933 PGM720933:PGO720933 OWQ720933:OWS720933 OMU720933:OMW720933 OCY720933:ODA720933 NTC720933:NTE720933 NJG720933:NJI720933 MZK720933:MZM720933 MPO720933:MPQ720933 MFS720933:MFU720933 LVW720933:LVY720933 LMA720933:LMC720933 LCE720933:LCG720933 KSI720933:KSK720933 KIM720933:KIO720933 JYQ720933:JYS720933 JOU720933:JOW720933 JEY720933:JFA720933 IVC720933:IVE720933 ILG720933:ILI720933 IBK720933:IBM720933 HRO720933:HRQ720933 HHS720933:HHU720933 GXW720933:GXY720933 GOA720933:GOC720933 GEE720933:GEG720933 FUI720933:FUK720933 FKM720933:FKO720933 FAQ720933:FAS720933 EQU720933:EQW720933 EGY720933:EHA720933 DXC720933:DXE720933 DNG720933:DNI720933 DDK720933:DDM720933 CTO720933:CTQ720933 CJS720933:CJU720933 BZW720933:BZY720933 BQA720933:BQC720933 BGE720933:BGG720933 AWI720933:AWK720933 AMM720933:AMO720933 ACQ720933:ACS720933 SU720933:SW720933 IY720933:JA720933 D720933:F720933 WVK655397:WVM655397 WLO655397:WLQ655397 WBS655397:WBU655397 VRW655397:VRY655397 VIA655397:VIC655397 UYE655397:UYG655397 UOI655397:UOK655397 UEM655397:UEO655397 TUQ655397:TUS655397 TKU655397:TKW655397 TAY655397:TBA655397 SRC655397:SRE655397 SHG655397:SHI655397 RXK655397:RXM655397 RNO655397:RNQ655397 RDS655397:RDU655397 QTW655397:QTY655397 QKA655397:QKC655397 QAE655397:QAG655397 PQI655397:PQK655397 PGM655397:PGO655397 OWQ655397:OWS655397 OMU655397:OMW655397 OCY655397:ODA655397 NTC655397:NTE655397 NJG655397:NJI655397 MZK655397:MZM655397 MPO655397:MPQ655397 MFS655397:MFU655397 LVW655397:LVY655397 LMA655397:LMC655397 LCE655397:LCG655397 KSI655397:KSK655397 KIM655397:KIO655397 JYQ655397:JYS655397 JOU655397:JOW655397 JEY655397:JFA655397 IVC655397:IVE655397 ILG655397:ILI655397 IBK655397:IBM655397 HRO655397:HRQ655397 HHS655397:HHU655397 GXW655397:GXY655397 GOA655397:GOC655397 GEE655397:GEG655397 FUI655397:FUK655397 FKM655397:FKO655397 FAQ655397:FAS655397 EQU655397:EQW655397 EGY655397:EHA655397 DXC655397:DXE655397 DNG655397:DNI655397 DDK655397:DDM655397 CTO655397:CTQ655397 CJS655397:CJU655397 BZW655397:BZY655397 BQA655397:BQC655397 BGE655397:BGG655397 AWI655397:AWK655397 AMM655397:AMO655397 ACQ655397:ACS655397 SU655397:SW655397 IY655397:JA655397 D655397:F655397 WVK589861:WVM589861 WLO589861:WLQ589861 WBS589861:WBU589861 VRW589861:VRY589861 VIA589861:VIC589861 UYE589861:UYG589861 UOI589861:UOK589861 UEM589861:UEO589861 TUQ589861:TUS589861 TKU589861:TKW589861 TAY589861:TBA589861 SRC589861:SRE589861 SHG589861:SHI589861 RXK589861:RXM589861 RNO589861:RNQ589861 RDS589861:RDU589861 QTW589861:QTY589861 QKA589861:QKC589861 QAE589861:QAG589861 PQI589861:PQK589861 PGM589861:PGO589861 OWQ589861:OWS589861 OMU589861:OMW589861 OCY589861:ODA589861 NTC589861:NTE589861 NJG589861:NJI589861 MZK589861:MZM589861 MPO589861:MPQ589861 MFS589861:MFU589861 LVW589861:LVY589861 LMA589861:LMC589861 LCE589861:LCG589861 KSI589861:KSK589861 KIM589861:KIO589861 JYQ589861:JYS589861 JOU589861:JOW589861 JEY589861:JFA589861 IVC589861:IVE589861 ILG589861:ILI589861 IBK589861:IBM589861 HRO589861:HRQ589861 HHS589861:HHU589861 GXW589861:GXY589861 GOA589861:GOC589861 GEE589861:GEG589861 FUI589861:FUK589861 FKM589861:FKO589861 FAQ589861:FAS589861 EQU589861:EQW589861 EGY589861:EHA589861 DXC589861:DXE589861 DNG589861:DNI589861 DDK589861:DDM589861 CTO589861:CTQ589861 CJS589861:CJU589861 BZW589861:BZY589861 BQA589861:BQC589861 BGE589861:BGG589861 AWI589861:AWK589861 AMM589861:AMO589861 ACQ589861:ACS589861 SU589861:SW589861 IY589861:JA589861 D589861:F589861 WVK524325:WVM524325 WLO524325:WLQ524325 WBS524325:WBU524325 VRW524325:VRY524325 VIA524325:VIC524325 UYE524325:UYG524325 UOI524325:UOK524325 UEM524325:UEO524325 TUQ524325:TUS524325 TKU524325:TKW524325 TAY524325:TBA524325 SRC524325:SRE524325 SHG524325:SHI524325 RXK524325:RXM524325 RNO524325:RNQ524325 RDS524325:RDU524325 QTW524325:QTY524325 QKA524325:QKC524325 QAE524325:QAG524325 PQI524325:PQK524325 PGM524325:PGO524325 OWQ524325:OWS524325 OMU524325:OMW524325 OCY524325:ODA524325 NTC524325:NTE524325 NJG524325:NJI524325 MZK524325:MZM524325 MPO524325:MPQ524325 MFS524325:MFU524325 LVW524325:LVY524325 LMA524325:LMC524325 LCE524325:LCG524325 KSI524325:KSK524325 KIM524325:KIO524325 JYQ524325:JYS524325 JOU524325:JOW524325 JEY524325:JFA524325 IVC524325:IVE524325 ILG524325:ILI524325 IBK524325:IBM524325 HRO524325:HRQ524325 HHS524325:HHU524325 GXW524325:GXY524325 GOA524325:GOC524325 GEE524325:GEG524325 FUI524325:FUK524325 FKM524325:FKO524325 FAQ524325:FAS524325 EQU524325:EQW524325 EGY524325:EHA524325 DXC524325:DXE524325 DNG524325:DNI524325 DDK524325:DDM524325 CTO524325:CTQ524325 CJS524325:CJU524325 BZW524325:BZY524325 BQA524325:BQC524325 BGE524325:BGG524325 AWI524325:AWK524325 AMM524325:AMO524325 ACQ524325:ACS524325 SU524325:SW524325 IY524325:JA524325 D524325:F524325 WVK458789:WVM458789 WLO458789:WLQ458789 WBS458789:WBU458789 VRW458789:VRY458789 VIA458789:VIC458789 UYE458789:UYG458789 UOI458789:UOK458789 UEM458789:UEO458789 TUQ458789:TUS458789 TKU458789:TKW458789 TAY458789:TBA458789 SRC458789:SRE458789 SHG458789:SHI458789 RXK458789:RXM458789 RNO458789:RNQ458789 RDS458789:RDU458789 QTW458789:QTY458789 QKA458789:QKC458789 QAE458789:QAG458789 PQI458789:PQK458789 PGM458789:PGO458789 OWQ458789:OWS458789 OMU458789:OMW458789 OCY458789:ODA458789 NTC458789:NTE458789 NJG458789:NJI458789 MZK458789:MZM458789 MPO458789:MPQ458789 MFS458789:MFU458789 LVW458789:LVY458789 LMA458789:LMC458789 LCE458789:LCG458789 KSI458789:KSK458789 KIM458789:KIO458789 JYQ458789:JYS458789 JOU458789:JOW458789 JEY458789:JFA458789 IVC458789:IVE458789 ILG458789:ILI458789 IBK458789:IBM458789 HRO458789:HRQ458789 HHS458789:HHU458789 GXW458789:GXY458789 GOA458789:GOC458789 GEE458789:GEG458789 FUI458789:FUK458789 FKM458789:FKO458789 FAQ458789:FAS458789 EQU458789:EQW458789 EGY458789:EHA458789 DXC458789:DXE458789 DNG458789:DNI458789 DDK458789:DDM458789 CTO458789:CTQ458789 CJS458789:CJU458789 BZW458789:BZY458789 BQA458789:BQC458789 BGE458789:BGG458789 AWI458789:AWK458789 AMM458789:AMO458789 ACQ458789:ACS458789 SU458789:SW458789 IY458789:JA458789 D458789:F458789 WVK393253:WVM393253 WLO393253:WLQ393253 WBS393253:WBU393253 VRW393253:VRY393253 VIA393253:VIC393253 UYE393253:UYG393253 UOI393253:UOK393253 UEM393253:UEO393253 TUQ393253:TUS393253 TKU393253:TKW393253 TAY393253:TBA393253 SRC393253:SRE393253 SHG393253:SHI393253 RXK393253:RXM393253 RNO393253:RNQ393253 RDS393253:RDU393253 QTW393253:QTY393253 QKA393253:QKC393253 QAE393253:QAG393253 PQI393253:PQK393253 PGM393253:PGO393253 OWQ393253:OWS393253 OMU393253:OMW393253 OCY393253:ODA393253 NTC393253:NTE393253 NJG393253:NJI393253 MZK393253:MZM393253 MPO393253:MPQ393253 MFS393253:MFU393253 LVW393253:LVY393253 LMA393253:LMC393253 LCE393253:LCG393253 KSI393253:KSK393253 KIM393253:KIO393253 JYQ393253:JYS393253 JOU393253:JOW393253 JEY393253:JFA393253 IVC393253:IVE393253 ILG393253:ILI393253 IBK393253:IBM393253 HRO393253:HRQ393253 HHS393253:HHU393253 GXW393253:GXY393253 GOA393253:GOC393253 GEE393253:GEG393253 FUI393253:FUK393253 FKM393253:FKO393253 FAQ393253:FAS393253 EQU393253:EQW393253 EGY393253:EHA393253 DXC393253:DXE393253 DNG393253:DNI393253 DDK393253:DDM393253 CTO393253:CTQ393253 CJS393253:CJU393253 BZW393253:BZY393253 BQA393253:BQC393253 BGE393253:BGG393253 AWI393253:AWK393253 AMM393253:AMO393253 ACQ393253:ACS393253 SU393253:SW393253 IY393253:JA393253 D393253:F393253 WVK327717:WVM327717 WLO327717:WLQ327717 WBS327717:WBU327717 VRW327717:VRY327717 VIA327717:VIC327717 UYE327717:UYG327717 UOI327717:UOK327717 UEM327717:UEO327717 TUQ327717:TUS327717 TKU327717:TKW327717 TAY327717:TBA327717 SRC327717:SRE327717 SHG327717:SHI327717 RXK327717:RXM327717 RNO327717:RNQ327717 RDS327717:RDU327717 QTW327717:QTY327717 QKA327717:QKC327717 QAE327717:QAG327717 PQI327717:PQK327717 PGM327717:PGO327717 OWQ327717:OWS327717 OMU327717:OMW327717 OCY327717:ODA327717 NTC327717:NTE327717 NJG327717:NJI327717 MZK327717:MZM327717 MPO327717:MPQ327717 MFS327717:MFU327717 LVW327717:LVY327717 LMA327717:LMC327717 LCE327717:LCG327717 KSI327717:KSK327717 KIM327717:KIO327717 JYQ327717:JYS327717 JOU327717:JOW327717 JEY327717:JFA327717 IVC327717:IVE327717 ILG327717:ILI327717 IBK327717:IBM327717 HRO327717:HRQ327717 HHS327717:HHU327717 GXW327717:GXY327717 GOA327717:GOC327717 GEE327717:GEG327717 FUI327717:FUK327717 FKM327717:FKO327717 FAQ327717:FAS327717 EQU327717:EQW327717 EGY327717:EHA327717 DXC327717:DXE327717 DNG327717:DNI327717 DDK327717:DDM327717 CTO327717:CTQ327717 CJS327717:CJU327717 BZW327717:BZY327717 BQA327717:BQC327717 BGE327717:BGG327717 AWI327717:AWK327717 AMM327717:AMO327717 ACQ327717:ACS327717 SU327717:SW327717 IY327717:JA327717 D327717:F327717 WVK262181:WVM262181 WLO262181:WLQ262181 WBS262181:WBU262181 VRW262181:VRY262181 VIA262181:VIC262181 UYE262181:UYG262181 UOI262181:UOK262181 UEM262181:UEO262181 TUQ262181:TUS262181 TKU262181:TKW262181 TAY262181:TBA262181 SRC262181:SRE262181 SHG262181:SHI262181 RXK262181:RXM262181 RNO262181:RNQ262181 RDS262181:RDU262181 QTW262181:QTY262181 QKA262181:QKC262181 QAE262181:QAG262181 PQI262181:PQK262181 PGM262181:PGO262181 OWQ262181:OWS262181 OMU262181:OMW262181 OCY262181:ODA262181 NTC262181:NTE262181 NJG262181:NJI262181 MZK262181:MZM262181 MPO262181:MPQ262181 MFS262181:MFU262181 LVW262181:LVY262181 LMA262181:LMC262181 LCE262181:LCG262181 KSI262181:KSK262181 KIM262181:KIO262181 JYQ262181:JYS262181 JOU262181:JOW262181 JEY262181:JFA262181 IVC262181:IVE262181 ILG262181:ILI262181 IBK262181:IBM262181 HRO262181:HRQ262181 HHS262181:HHU262181 GXW262181:GXY262181 GOA262181:GOC262181 GEE262181:GEG262181 FUI262181:FUK262181 FKM262181:FKO262181 FAQ262181:FAS262181 EQU262181:EQW262181 EGY262181:EHA262181 DXC262181:DXE262181 DNG262181:DNI262181 DDK262181:DDM262181 CTO262181:CTQ262181 CJS262181:CJU262181 BZW262181:BZY262181 BQA262181:BQC262181 BGE262181:BGG262181 AWI262181:AWK262181 AMM262181:AMO262181 ACQ262181:ACS262181 SU262181:SW262181 IY262181:JA262181 D262181:F262181 WVK196645:WVM196645 WLO196645:WLQ196645 WBS196645:WBU196645 VRW196645:VRY196645 VIA196645:VIC196645 UYE196645:UYG196645 UOI196645:UOK196645 UEM196645:UEO196645 TUQ196645:TUS196645 TKU196645:TKW196645 TAY196645:TBA196645 SRC196645:SRE196645 SHG196645:SHI196645 RXK196645:RXM196645 RNO196645:RNQ196645 RDS196645:RDU196645 QTW196645:QTY196645 QKA196645:QKC196645 QAE196645:QAG196645 PQI196645:PQK196645 PGM196645:PGO196645 OWQ196645:OWS196645 OMU196645:OMW196645 OCY196645:ODA196645 NTC196645:NTE196645 NJG196645:NJI196645 MZK196645:MZM196645 MPO196645:MPQ196645 MFS196645:MFU196645 LVW196645:LVY196645 LMA196645:LMC196645 LCE196645:LCG196645 KSI196645:KSK196645 KIM196645:KIO196645 JYQ196645:JYS196645 JOU196645:JOW196645 JEY196645:JFA196645 IVC196645:IVE196645 ILG196645:ILI196645 IBK196645:IBM196645 HRO196645:HRQ196645 HHS196645:HHU196645 GXW196645:GXY196645 GOA196645:GOC196645 GEE196645:GEG196645 FUI196645:FUK196645 FKM196645:FKO196645 FAQ196645:FAS196645 EQU196645:EQW196645 EGY196645:EHA196645 DXC196645:DXE196645 DNG196645:DNI196645 DDK196645:DDM196645 CTO196645:CTQ196645 CJS196645:CJU196645 BZW196645:BZY196645 BQA196645:BQC196645 BGE196645:BGG196645 AWI196645:AWK196645 AMM196645:AMO196645 ACQ196645:ACS196645 SU196645:SW196645 IY196645:JA196645 D196645:F196645 WVK131109:WVM131109 WLO131109:WLQ131109 WBS131109:WBU131109 VRW131109:VRY131109 VIA131109:VIC131109 UYE131109:UYG131109 UOI131109:UOK131109 UEM131109:UEO131109 TUQ131109:TUS131109 TKU131109:TKW131109 TAY131109:TBA131109 SRC131109:SRE131109 SHG131109:SHI131109 RXK131109:RXM131109 RNO131109:RNQ131109 RDS131109:RDU131109 QTW131109:QTY131109 QKA131109:QKC131109 QAE131109:QAG131109 PQI131109:PQK131109 PGM131109:PGO131109 OWQ131109:OWS131109 OMU131109:OMW131109 OCY131109:ODA131109 NTC131109:NTE131109 NJG131109:NJI131109 MZK131109:MZM131109 MPO131109:MPQ131109 MFS131109:MFU131109 LVW131109:LVY131109 LMA131109:LMC131109 LCE131109:LCG131109 KSI131109:KSK131109 KIM131109:KIO131109 JYQ131109:JYS131109 JOU131109:JOW131109 JEY131109:JFA131109 IVC131109:IVE131109 ILG131109:ILI131109 IBK131109:IBM131109 HRO131109:HRQ131109 HHS131109:HHU131109 GXW131109:GXY131109 GOA131109:GOC131109 GEE131109:GEG131109 FUI131109:FUK131109 FKM131109:FKO131109 FAQ131109:FAS131109 EQU131109:EQW131109 EGY131109:EHA131109 DXC131109:DXE131109 DNG131109:DNI131109 DDK131109:DDM131109 CTO131109:CTQ131109 CJS131109:CJU131109 BZW131109:BZY131109 BQA131109:BQC131109 BGE131109:BGG131109 AWI131109:AWK131109 AMM131109:AMO131109 ACQ131109:ACS131109 SU131109:SW131109 IY131109:JA131109 D131109:F131109 WVK65573:WVM65573 WLO65573:WLQ65573 WBS65573:WBU65573 VRW65573:VRY65573 VIA65573:VIC65573 UYE65573:UYG65573 UOI65573:UOK65573 UEM65573:UEO65573 TUQ65573:TUS65573 TKU65573:TKW65573 TAY65573:TBA65573 SRC65573:SRE65573 SHG65573:SHI65573 RXK65573:RXM65573 RNO65573:RNQ65573 RDS65573:RDU65573 QTW65573:QTY65573 QKA65573:QKC65573 QAE65573:QAG65573 PQI65573:PQK65573 PGM65573:PGO65573 OWQ65573:OWS65573 OMU65573:OMW65573 OCY65573:ODA65573 NTC65573:NTE65573 NJG65573:NJI65573 MZK65573:MZM65573 MPO65573:MPQ65573 MFS65573:MFU65573 LVW65573:LVY65573 LMA65573:LMC65573 LCE65573:LCG65573 KSI65573:KSK65573 KIM65573:KIO65573 JYQ65573:JYS65573 JOU65573:JOW65573 JEY65573:JFA65573 IVC65573:IVE65573 ILG65573:ILI65573 IBK65573:IBM65573 HRO65573:HRQ65573 HHS65573:HHU65573 GXW65573:GXY65573 GOA65573:GOC65573 GEE65573:GEG65573 FUI65573:FUK65573 FKM65573:FKO65573 FAQ65573:FAS65573 EQU65573:EQW65573 EGY65573:EHA65573 DXC65573:DXE65573 DNG65573:DNI65573 DDK65573:DDM65573 CTO65573:CTQ65573 CJS65573:CJU65573 BZW65573:BZY65573 BQA65573:BQC65573 BGE65573:BGG65573 AWI65573:AWK65573 AMM65573:AMO65573 ACQ65573:ACS65573 SU65573:SW65573 IY65573:JA65573 D65573:F65573">
      <formula1>$M$19:$M$23</formula1>
    </dataValidation>
    <dataValidation type="list" allowBlank="1" showInputMessage="1" showErrorMessage="1" promptTitle="Status Tempat Tinggal" prompt="Dipilih Status Kepemilikan Tempat Tinggal yang didiami oleh Pemohon berdasarkan hasil verifikasi di lapangan" sqref="IY36:JB36 WVK983071:WVN983071 WLO983071:WLR983071 WBS983071:WBV983071 VRW983071:VRZ983071 VIA983071:VID983071 UYE983071:UYH983071 UOI983071:UOL983071 UEM983071:UEP983071 TUQ983071:TUT983071 TKU983071:TKX983071 TAY983071:TBB983071 SRC983071:SRF983071 SHG983071:SHJ983071 RXK983071:RXN983071 RNO983071:RNR983071 RDS983071:RDV983071 QTW983071:QTZ983071 QKA983071:QKD983071 QAE983071:QAH983071 PQI983071:PQL983071 PGM983071:PGP983071 OWQ983071:OWT983071 OMU983071:OMX983071 OCY983071:ODB983071 NTC983071:NTF983071 NJG983071:NJJ983071 MZK983071:MZN983071 MPO983071:MPR983071 MFS983071:MFV983071 LVW983071:LVZ983071 LMA983071:LMD983071 LCE983071:LCH983071 KSI983071:KSL983071 KIM983071:KIP983071 JYQ983071:JYT983071 JOU983071:JOX983071 JEY983071:JFB983071 IVC983071:IVF983071 ILG983071:ILJ983071 IBK983071:IBN983071 HRO983071:HRR983071 HHS983071:HHV983071 GXW983071:GXZ983071 GOA983071:GOD983071 GEE983071:GEH983071 FUI983071:FUL983071 FKM983071:FKP983071 FAQ983071:FAT983071 EQU983071:EQX983071 EGY983071:EHB983071 DXC983071:DXF983071 DNG983071:DNJ983071 DDK983071:DDN983071 CTO983071:CTR983071 CJS983071:CJV983071 BZW983071:BZZ983071 BQA983071:BQD983071 BGE983071:BGH983071 AWI983071:AWL983071 AMM983071:AMP983071 ACQ983071:ACT983071 SU983071:SX983071 IY983071:JB983071 D983071:G983071 WVK917535:WVN917535 WLO917535:WLR917535 WBS917535:WBV917535 VRW917535:VRZ917535 VIA917535:VID917535 UYE917535:UYH917535 UOI917535:UOL917535 UEM917535:UEP917535 TUQ917535:TUT917535 TKU917535:TKX917535 TAY917535:TBB917535 SRC917535:SRF917535 SHG917535:SHJ917535 RXK917535:RXN917535 RNO917535:RNR917535 RDS917535:RDV917535 QTW917535:QTZ917535 QKA917535:QKD917535 QAE917535:QAH917535 PQI917535:PQL917535 PGM917535:PGP917535 OWQ917535:OWT917535 OMU917535:OMX917535 OCY917535:ODB917535 NTC917535:NTF917535 NJG917535:NJJ917535 MZK917535:MZN917535 MPO917535:MPR917535 MFS917535:MFV917535 LVW917535:LVZ917535 LMA917535:LMD917535 LCE917535:LCH917535 KSI917535:KSL917535 KIM917535:KIP917535 JYQ917535:JYT917535 JOU917535:JOX917535 JEY917535:JFB917535 IVC917535:IVF917535 ILG917535:ILJ917535 IBK917535:IBN917535 HRO917535:HRR917535 HHS917535:HHV917535 GXW917535:GXZ917535 GOA917535:GOD917535 GEE917535:GEH917535 FUI917535:FUL917535 FKM917535:FKP917535 FAQ917535:FAT917535 EQU917535:EQX917535 EGY917535:EHB917535 DXC917535:DXF917535 DNG917535:DNJ917535 DDK917535:DDN917535 CTO917535:CTR917535 CJS917535:CJV917535 BZW917535:BZZ917535 BQA917535:BQD917535 BGE917535:BGH917535 AWI917535:AWL917535 AMM917535:AMP917535 ACQ917535:ACT917535 SU917535:SX917535 IY917535:JB917535 D917535:G917535 WVK851999:WVN851999 WLO851999:WLR851999 WBS851999:WBV851999 VRW851999:VRZ851999 VIA851999:VID851999 UYE851999:UYH851999 UOI851999:UOL851999 UEM851999:UEP851999 TUQ851999:TUT851999 TKU851999:TKX851999 TAY851999:TBB851999 SRC851999:SRF851999 SHG851999:SHJ851999 RXK851999:RXN851999 RNO851999:RNR851999 RDS851999:RDV851999 QTW851999:QTZ851999 QKA851999:QKD851999 QAE851999:QAH851999 PQI851999:PQL851999 PGM851999:PGP851999 OWQ851999:OWT851999 OMU851999:OMX851999 OCY851999:ODB851999 NTC851999:NTF851999 NJG851999:NJJ851999 MZK851999:MZN851999 MPO851999:MPR851999 MFS851999:MFV851999 LVW851999:LVZ851999 LMA851999:LMD851999 LCE851999:LCH851999 KSI851999:KSL851999 KIM851999:KIP851999 JYQ851999:JYT851999 JOU851999:JOX851999 JEY851999:JFB851999 IVC851999:IVF851999 ILG851999:ILJ851999 IBK851999:IBN851999 HRO851999:HRR851999 HHS851999:HHV851999 GXW851999:GXZ851999 GOA851999:GOD851999 GEE851999:GEH851999 FUI851999:FUL851999 FKM851999:FKP851999 FAQ851999:FAT851999 EQU851999:EQX851999 EGY851999:EHB851999 DXC851999:DXF851999 DNG851999:DNJ851999 DDK851999:DDN851999 CTO851999:CTR851999 CJS851999:CJV851999 BZW851999:BZZ851999 BQA851999:BQD851999 BGE851999:BGH851999 AWI851999:AWL851999 AMM851999:AMP851999 ACQ851999:ACT851999 SU851999:SX851999 IY851999:JB851999 D851999:G851999 WVK786463:WVN786463 WLO786463:WLR786463 WBS786463:WBV786463 VRW786463:VRZ786463 VIA786463:VID786463 UYE786463:UYH786463 UOI786463:UOL786463 UEM786463:UEP786463 TUQ786463:TUT786463 TKU786463:TKX786463 TAY786463:TBB786463 SRC786463:SRF786463 SHG786463:SHJ786463 RXK786463:RXN786463 RNO786463:RNR786463 RDS786463:RDV786463 QTW786463:QTZ786463 QKA786463:QKD786463 QAE786463:QAH786463 PQI786463:PQL786463 PGM786463:PGP786463 OWQ786463:OWT786463 OMU786463:OMX786463 OCY786463:ODB786463 NTC786463:NTF786463 NJG786463:NJJ786463 MZK786463:MZN786463 MPO786463:MPR786463 MFS786463:MFV786463 LVW786463:LVZ786463 LMA786463:LMD786463 LCE786463:LCH786463 KSI786463:KSL786463 KIM786463:KIP786463 JYQ786463:JYT786463 JOU786463:JOX786463 JEY786463:JFB786463 IVC786463:IVF786463 ILG786463:ILJ786463 IBK786463:IBN786463 HRO786463:HRR786463 HHS786463:HHV786463 GXW786463:GXZ786463 GOA786463:GOD786463 GEE786463:GEH786463 FUI786463:FUL786463 FKM786463:FKP786463 FAQ786463:FAT786463 EQU786463:EQX786463 EGY786463:EHB786463 DXC786463:DXF786463 DNG786463:DNJ786463 DDK786463:DDN786463 CTO786463:CTR786463 CJS786463:CJV786463 BZW786463:BZZ786463 BQA786463:BQD786463 BGE786463:BGH786463 AWI786463:AWL786463 AMM786463:AMP786463 ACQ786463:ACT786463 SU786463:SX786463 IY786463:JB786463 D786463:G786463 WVK720927:WVN720927 WLO720927:WLR720927 WBS720927:WBV720927 VRW720927:VRZ720927 VIA720927:VID720927 UYE720927:UYH720927 UOI720927:UOL720927 UEM720927:UEP720927 TUQ720927:TUT720927 TKU720927:TKX720927 TAY720927:TBB720927 SRC720927:SRF720927 SHG720927:SHJ720927 RXK720927:RXN720927 RNO720927:RNR720927 RDS720927:RDV720927 QTW720927:QTZ720927 QKA720927:QKD720927 QAE720927:QAH720927 PQI720927:PQL720927 PGM720927:PGP720927 OWQ720927:OWT720927 OMU720927:OMX720927 OCY720927:ODB720927 NTC720927:NTF720927 NJG720927:NJJ720927 MZK720927:MZN720927 MPO720927:MPR720927 MFS720927:MFV720927 LVW720927:LVZ720927 LMA720927:LMD720927 LCE720927:LCH720927 KSI720927:KSL720927 KIM720927:KIP720927 JYQ720927:JYT720927 JOU720927:JOX720927 JEY720927:JFB720927 IVC720927:IVF720927 ILG720927:ILJ720927 IBK720927:IBN720927 HRO720927:HRR720927 HHS720927:HHV720927 GXW720927:GXZ720927 GOA720927:GOD720927 GEE720927:GEH720927 FUI720927:FUL720927 FKM720927:FKP720927 FAQ720927:FAT720927 EQU720927:EQX720927 EGY720927:EHB720927 DXC720927:DXF720927 DNG720927:DNJ720927 DDK720927:DDN720927 CTO720927:CTR720927 CJS720927:CJV720927 BZW720927:BZZ720927 BQA720927:BQD720927 BGE720927:BGH720927 AWI720927:AWL720927 AMM720927:AMP720927 ACQ720927:ACT720927 SU720927:SX720927 IY720927:JB720927 D720927:G720927 WVK655391:WVN655391 WLO655391:WLR655391 WBS655391:WBV655391 VRW655391:VRZ655391 VIA655391:VID655391 UYE655391:UYH655391 UOI655391:UOL655391 UEM655391:UEP655391 TUQ655391:TUT655391 TKU655391:TKX655391 TAY655391:TBB655391 SRC655391:SRF655391 SHG655391:SHJ655391 RXK655391:RXN655391 RNO655391:RNR655391 RDS655391:RDV655391 QTW655391:QTZ655391 QKA655391:QKD655391 QAE655391:QAH655391 PQI655391:PQL655391 PGM655391:PGP655391 OWQ655391:OWT655391 OMU655391:OMX655391 OCY655391:ODB655391 NTC655391:NTF655391 NJG655391:NJJ655391 MZK655391:MZN655391 MPO655391:MPR655391 MFS655391:MFV655391 LVW655391:LVZ655391 LMA655391:LMD655391 LCE655391:LCH655391 KSI655391:KSL655391 KIM655391:KIP655391 JYQ655391:JYT655391 JOU655391:JOX655391 JEY655391:JFB655391 IVC655391:IVF655391 ILG655391:ILJ655391 IBK655391:IBN655391 HRO655391:HRR655391 HHS655391:HHV655391 GXW655391:GXZ655391 GOA655391:GOD655391 GEE655391:GEH655391 FUI655391:FUL655391 FKM655391:FKP655391 FAQ655391:FAT655391 EQU655391:EQX655391 EGY655391:EHB655391 DXC655391:DXF655391 DNG655391:DNJ655391 DDK655391:DDN655391 CTO655391:CTR655391 CJS655391:CJV655391 BZW655391:BZZ655391 BQA655391:BQD655391 BGE655391:BGH655391 AWI655391:AWL655391 AMM655391:AMP655391 ACQ655391:ACT655391 SU655391:SX655391 IY655391:JB655391 D655391:G655391 WVK589855:WVN589855 WLO589855:WLR589855 WBS589855:WBV589855 VRW589855:VRZ589855 VIA589855:VID589855 UYE589855:UYH589855 UOI589855:UOL589855 UEM589855:UEP589855 TUQ589855:TUT589855 TKU589855:TKX589855 TAY589855:TBB589855 SRC589855:SRF589855 SHG589855:SHJ589855 RXK589855:RXN589855 RNO589855:RNR589855 RDS589855:RDV589855 QTW589855:QTZ589855 QKA589855:QKD589855 QAE589855:QAH589855 PQI589855:PQL589855 PGM589855:PGP589855 OWQ589855:OWT589855 OMU589855:OMX589855 OCY589855:ODB589855 NTC589855:NTF589855 NJG589855:NJJ589855 MZK589855:MZN589855 MPO589855:MPR589855 MFS589855:MFV589855 LVW589855:LVZ589855 LMA589855:LMD589855 LCE589855:LCH589855 KSI589855:KSL589855 KIM589855:KIP589855 JYQ589855:JYT589855 JOU589855:JOX589855 JEY589855:JFB589855 IVC589855:IVF589855 ILG589855:ILJ589855 IBK589855:IBN589855 HRO589855:HRR589855 HHS589855:HHV589855 GXW589855:GXZ589855 GOA589855:GOD589855 GEE589855:GEH589855 FUI589855:FUL589855 FKM589855:FKP589855 FAQ589855:FAT589855 EQU589855:EQX589855 EGY589855:EHB589855 DXC589855:DXF589855 DNG589855:DNJ589855 DDK589855:DDN589855 CTO589855:CTR589855 CJS589855:CJV589855 BZW589855:BZZ589855 BQA589855:BQD589855 BGE589855:BGH589855 AWI589855:AWL589855 AMM589855:AMP589855 ACQ589855:ACT589855 SU589855:SX589855 IY589855:JB589855 D589855:G589855 WVK524319:WVN524319 WLO524319:WLR524319 WBS524319:WBV524319 VRW524319:VRZ524319 VIA524319:VID524319 UYE524319:UYH524319 UOI524319:UOL524319 UEM524319:UEP524319 TUQ524319:TUT524319 TKU524319:TKX524319 TAY524319:TBB524319 SRC524319:SRF524319 SHG524319:SHJ524319 RXK524319:RXN524319 RNO524319:RNR524319 RDS524319:RDV524319 QTW524319:QTZ524319 QKA524319:QKD524319 QAE524319:QAH524319 PQI524319:PQL524319 PGM524319:PGP524319 OWQ524319:OWT524319 OMU524319:OMX524319 OCY524319:ODB524319 NTC524319:NTF524319 NJG524319:NJJ524319 MZK524319:MZN524319 MPO524319:MPR524319 MFS524319:MFV524319 LVW524319:LVZ524319 LMA524319:LMD524319 LCE524319:LCH524319 KSI524319:KSL524319 KIM524319:KIP524319 JYQ524319:JYT524319 JOU524319:JOX524319 JEY524319:JFB524319 IVC524319:IVF524319 ILG524319:ILJ524319 IBK524319:IBN524319 HRO524319:HRR524319 HHS524319:HHV524319 GXW524319:GXZ524319 GOA524319:GOD524319 GEE524319:GEH524319 FUI524319:FUL524319 FKM524319:FKP524319 FAQ524319:FAT524319 EQU524319:EQX524319 EGY524319:EHB524319 DXC524319:DXF524319 DNG524319:DNJ524319 DDK524319:DDN524319 CTO524319:CTR524319 CJS524319:CJV524319 BZW524319:BZZ524319 BQA524319:BQD524319 BGE524319:BGH524319 AWI524319:AWL524319 AMM524319:AMP524319 ACQ524319:ACT524319 SU524319:SX524319 IY524319:JB524319 D524319:G524319 WVK458783:WVN458783 WLO458783:WLR458783 WBS458783:WBV458783 VRW458783:VRZ458783 VIA458783:VID458783 UYE458783:UYH458783 UOI458783:UOL458783 UEM458783:UEP458783 TUQ458783:TUT458783 TKU458783:TKX458783 TAY458783:TBB458783 SRC458783:SRF458783 SHG458783:SHJ458783 RXK458783:RXN458783 RNO458783:RNR458783 RDS458783:RDV458783 QTW458783:QTZ458783 QKA458783:QKD458783 QAE458783:QAH458783 PQI458783:PQL458783 PGM458783:PGP458783 OWQ458783:OWT458783 OMU458783:OMX458783 OCY458783:ODB458783 NTC458783:NTF458783 NJG458783:NJJ458783 MZK458783:MZN458783 MPO458783:MPR458783 MFS458783:MFV458783 LVW458783:LVZ458783 LMA458783:LMD458783 LCE458783:LCH458783 KSI458783:KSL458783 KIM458783:KIP458783 JYQ458783:JYT458783 JOU458783:JOX458783 JEY458783:JFB458783 IVC458783:IVF458783 ILG458783:ILJ458783 IBK458783:IBN458783 HRO458783:HRR458783 HHS458783:HHV458783 GXW458783:GXZ458783 GOA458783:GOD458783 GEE458783:GEH458783 FUI458783:FUL458783 FKM458783:FKP458783 FAQ458783:FAT458783 EQU458783:EQX458783 EGY458783:EHB458783 DXC458783:DXF458783 DNG458783:DNJ458783 DDK458783:DDN458783 CTO458783:CTR458783 CJS458783:CJV458783 BZW458783:BZZ458783 BQA458783:BQD458783 BGE458783:BGH458783 AWI458783:AWL458783 AMM458783:AMP458783 ACQ458783:ACT458783 SU458783:SX458783 IY458783:JB458783 D458783:G458783 WVK393247:WVN393247 WLO393247:WLR393247 WBS393247:WBV393247 VRW393247:VRZ393247 VIA393247:VID393247 UYE393247:UYH393247 UOI393247:UOL393247 UEM393247:UEP393247 TUQ393247:TUT393247 TKU393247:TKX393247 TAY393247:TBB393247 SRC393247:SRF393247 SHG393247:SHJ393247 RXK393247:RXN393247 RNO393247:RNR393247 RDS393247:RDV393247 QTW393247:QTZ393247 QKA393247:QKD393247 QAE393247:QAH393247 PQI393247:PQL393247 PGM393247:PGP393247 OWQ393247:OWT393247 OMU393247:OMX393247 OCY393247:ODB393247 NTC393247:NTF393247 NJG393247:NJJ393247 MZK393247:MZN393247 MPO393247:MPR393247 MFS393247:MFV393247 LVW393247:LVZ393247 LMA393247:LMD393247 LCE393247:LCH393247 KSI393247:KSL393247 KIM393247:KIP393247 JYQ393247:JYT393247 JOU393247:JOX393247 JEY393247:JFB393247 IVC393247:IVF393247 ILG393247:ILJ393247 IBK393247:IBN393247 HRO393247:HRR393247 HHS393247:HHV393247 GXW393247:GXZ393247 GOA393247:GOD393247 GEE393247:GEH393247 FUI393247:FUL393247 FKM393247:FKP393247 FAQ393247:FAT393247 EQU393247:EQX393247 EGY393247:EHB393247 DXC393247:DXF393247 DNG393247:DNJ393247 DDK393247:DDN393247 CTO393247:CTR393247 CJS393247:CJV393247 BZW393247:BZZ393247 BQA393247:BQD393247 BGE393247:BGH393247 AWI393247:AWL393247 AMM393247:AMP393247 ACQ393247:ACT393247 SU393247:SX393247 IY393247:JB393247 D393247:G393247 WVK327711:WVN327711 WLO327711:WLR327711 WBS327711:WBV327711 VRW327711:VRZ327711 VIA327711:VID327711 UYE327711:UYH327711 UOI327711:UOL327711 UEM327711:UEP327711 TUQ327711:TUT327711 TKU327711:TKX327711 TAY327711:TBB327711 SRC327711:SRF327711 SHG327711:SHJ327711 RXK327711:RXN327711 RNO327711:RNR327711 RDS327711:RDV327711 QTW327711:QTZ327711 QKA327711:QKD327711 QAE327711:QAH327711 PQI327711:PQL327711 PGM327711:PGP327711 OWQ327711:OWT327711 OMU327711:OMX327711 OCY327711:ODB327711 NTC327711:NTF327711 NJG327711:NJJ327711 MZK327711:MZN327711 MPO327711:MPR327711 MFS327711:MFV327711 LVW327711:LVZ327711 LMA327711:LMD327711 LCE327711:LCH327711 KSI327711:KSL327711 KIM327711:KIP327711 JYQ327711:JYT327711 JOU327711:JOX327711 JEY327711:JFB327711 IVC327711:IVF327711 ILG327711:ILJ327711 IBK327711:IBN327711 HRO327711:HRR327711 HHS327711:HHV327711 GXW327711:GXZ327711 GOA327711:GOD327711 GEE327711:GEH327711 FUI327711:FUL327711 FKM327711:FKP327711 FAQ327711:FAT327711 EQU327711:EQX327711 EGY327711:EHB327711 DXC327711:DXF327711 DNG327711:DNJ327711 DDK327711:DDN327711 CTO327711:CTR327711 CJS327711:CJV327711 BZW327711:BZZ327711 BQA327711:BQD327711 BGE327711:BGH327711 AWI327711:AWL327711 AMM327711:AMP327711 ACQ327711:ACT327711 SU327711:SX327711 IY327711:JB327711 D327711:G327711 WVK262175:WVN262175 WLO262175:WLR262175 WBS262175:WBV262175 VRW262175:VRZ262175 VIA262175:VID262175 UYE262175:UYH262175 UOI262175:UOL262175 UEM262175:UEP262175 TUQ262175:TUT262175 TKU262175:TKX262175 TAY262175:TBB262175 SRC262175:SRF262175 SHG262175:SHJ262175 RXK262175:RXN262175 RNO262175:RNR262175 RDS262175:RDV262175 QTW262175:QTZ262175 QKA262175:QKD262175 QAE262175:QAH262175 PQI262175:PQL262175 PGM262175:PGP262175 OWQ262175:OWT262175 OMU262175:OMX262175 OCY262175:ODB262175 NTC262175:NTF262175 NJG262175:NJJ262175 MZK262175:MZN262175 MPO262175:MPR262175 MFS262175:MFV262175 LVW262175:LVZ262175 LMA262175:LMD262175 LCE262175:LCH262175 KSI262175:KSL262175 KIM262175:KIP262175 JYQ262175:JYT262175 JOU262175:JOX262175 JEY262175:JFB262175 IVC262175:IVF262175 ILG262175:ILJ262175 IBK262175:IBN262175 HRO262175:HRR262175 HHS262175:HHV262175 GXW262175:GXZ262175 GOA262175:GOD262175 GEE262175:GEH262175 FUI262175:FUL262175 FKM262175:FKP262175 FAQ262175:FAT262175 EQU262175:EQX262175 EGY262175:EHB262175 DXC262175:DXF262175 DNG262175:DNJ262175 DDK262175:DDN262175 CTO262175:CTR262175 CJS262175:CJV262175 BZW262175:BZZ262175 BQA262175:BQD262175 BGE262175:BGH262175 AWI262175:AWL262175 AMM262175:AMP262175 ACQ262175:ACT262175 SU262175:SX262175 IY262175:JB262175 D262175:G262175 WVK196639:WVN196639 WLO196639:WLR196639 WBS196639:WBV196639 VRW196639:VRZ196639 VIA196639:VID196639 UYE196639:UYH196639 UOI196639:UOL196639 UEM196639:UEP196639 TUQ196639:TUT196639 TKU196639:TKX196639 TAY196639:TBB196639 SRC196639:SRF196639 SHG196639:SHJ196639 RXK196639:RXN196639 RNO196639:RNR196639 RDS196639:RDV196639 QTW196639:QTZ196639 QKA196639:QKD196639 QAE196639:QAH196639 PQI196639:PQL196639 PGM196639:PGP196639 OWQ196639:OWT196639 OMU196639:OMX196639 OCY196639:ODB196639 NTC196639:NTF196639 NJG196639:NJJ196639 MZK196639:MZN196639 MPO196639:MPR196639 MFS196639:MFV196639 LVW196639:LVZ196639 LMA196639:LMD196639 LCE196639:LCH196639 KSI196639:KSL196639 KIM196639:KIP196639 JYQ196639:JYT196639 JOU196639:JOX196639 JEY196639:JFB196639 IVC196639:IVF196639 ILG196639:ILJ196639 IBK196639:IBN196639 HRO196639:HRR196639 HHS196639:HHV196639 GXW196639:GXZ196639 GOA196639:GOD196639 GEE196639:GEH196639 FUI196639:FUL196639 FKM196639:FKP196639 FAQ196639:FAT196639 EQU196639:EQX196639 EGY196639:EHB196639 DXC196639:DXF196639 DNG196639:DNJ196639 DDK196639:DDN196639 CTO196639:CTR196639 CJS196639:CJV196639 BZW196639:BZZ196639 BQA196639:BQD196639 BGE196639:BGH196639 AWI196639:AWL196639 AMM196639:AMP196639 ACQ196639:ACT196639 SU196639:SX196639 IY196639:JB196639 D196639:G196639 WVK131103:WVN131103 WLO131103:WLR131103 WBS131103:WBV131103 VRW131103:VRZ131103 VIA131103:VID131103 UYE131103:UYH131103 UOI131103:UOL131103 UEM131103:UEP131103 TUQ131103:TUT131103 TKU131103:TKX131103 TAY131103:TBB131103 SRC131103:SRF131103 SHG131103:SHJ131103 RXK131103:RXN131103 RNO131103:RNR131103 RDS131103:RDV131103 QTW131103:QTZ131103 QKA131103:QKD131103 QAE131103:QAH131103 PQI131103:PQL131103 PGM131103:PGP131103 OWQ131103:OWT131103 OMU131103:OMX131103 OCY131103:ODB131103 NTC131103:NTF131103 NJG131103:NJJ131103 MZK131103:MZN131103 MPO131103:MPR131103 MFS131103:MFV131103 LVW131103:LVZ131103 LMA131103:LMD131103 LCE131103:LCH131103 KSI131103:KSL131103 KIM131103:KIP131103 JYQ131103:JYT131103 JOU131103:JOX131103 JEY131103:JFB131103 IVC131103:IVF131103 ILG131103:ILJ131103 IBK131103:IBN131103 HRO131103:HRR131103 HHS131103:HHV131103 GXW131103:GXZ131103 GOA131103:GOD131103 GEE131103:GEH131103 FUI131103:FUL131103 FKM131103:FKP131103 FAQ131103:FAT131103 EQU131103:EQX131103 EGY131103:EHB131103 DXC131103:DXF131103 DNG131103:DNJ131103 DDK131103:DDN131103 CTO131103:CTR131103 CJS131103:CJV131103 BZW131103:BZZ131103 BQA131103:BQD131103 BGE131103:BGH131103 AWI131103:AWL131103 AMM131103:AMP131103 ACQ131103:ACT131103 SU131103:SX131103 IY131103:JB131103 D131103:G131103 WVK65567:WVN65567 WLO65567:WLR65567 WBS65567:WBV65567 VRW65567:VRZ65567 VIA65567:VID65567 UYE65567:UYH65567 UOI65567:UOL65567 UEM65567:UEP65567 TUQ65567:TUT65567 TKU65567:TKX65567 TAY65567:TBB65567 SRC65567:SRF65567 SHG65567:SHJ65567 RXK65567:RXN65567 RNO65567:RNR65567 RDS65567:RDV65567 QTW65567:QTZ65567 QKA65567:QKD65567 QAE65567:QAH65567 PQI65567:PQL65567 PGM65567:PGP65567 OWQ65567:OWT65567 OMU65567:OMX65567 OCY65567:ODB65567 NTC65567:NTF65567 NJG65567:NJJ65567 MZK65567:MZN65567 MPO65567:MPR65567 MFS65567:MFV65567 LVW65567:LVZ65567 LMA65567:LMD65567 LCE65567:LCH65567 KSI65567:KSL65567 KIM65567:KIP65567 JYQ65567:JYT65567 JOU65567:JOX65567 JEY65567:JFB65567 IVC65567:IVF65567 ILG65567:ILJ65567 IBK65567:IBN65567 HRO65567:HRR65567 HHS65567:HHV65567 GXW65567:GXZ65567 GOA65567:GOD65567 GEE65567:GEH65567 FUI65567:FUL65567 FKM65567:FKP65567 FAQ65567:FAT65567 EQU65567:EQX65567 EGY65567:EHB65567 DXC65567:DXF65567 DNG65567:DNJ65567 DDK65567:DDN65567 CTO65567:CTR65567 CJS65567:CJV65567 BZW65567:BZZ65567 BQA65567:BQD65567 BGE65567:BGH65567 AWI65567:AWL65567 AMM65567:AMP65567 ACQ65567:ACT65567 SU65567:SX65567 IY65567:JB65567 D65567:G65567 WVK36:WVN36 WLO36:WLR36 WBS36:WBV36 VRW36:VRZ36 VIA36:VID36 UYE36:UYH36 UOI36:UOL36 UEM36:UEP36 TUQ36:TUT36 TKU36:TKX36 TAY36:TBB36 SRC36:SRF36 SHG36:SHJ36 RXK36:RXN36 RNO36:RNR36 RDS36:RDV36 QTW36:QTZ36 QKA36:QKD36 QAE36:QAH36 PQI36:PQL36 PGM36:PGP36 OWQ36:OWT36 OMU36:OMX36 OCY36:ODB36 NTC36:NTF36 NJG36:NJJ36 MZK36:MZN36 MPO36:MPR36 MFS36:MFV36 LVW36:LVZ36 LMA36:LMD36 LCE36:LCH36 KSI36:KSL36 KIM36:KIP36 JYQ36:JYT36 JOU36:JOX36 JEY36:JFB36 IVC36:IVF36 ILG36:ILJ36 IBK36:IBN36 HRO36:HRR36 HHS36:HHV36 GXW36:GXZ36 GOA36:GOD36 GEE36:GEH36 FUI36:FUL36 FKM36:FKP36 FAQ36:FAT36 EQU36:EQX36 EGY36:EHB36 DXC36:DXF36 DNG36:DNJ36 DDK36:DDN36 CTO36:CTR36 CJS36:CJV36 BZW36:BZZ36 BQA36:BQD36 BGE36:BGH36 AWI36:AWL36 AMM36:AMP36 ACQ36:ACT36 SU36:SX36">
      <formula1>$M$14:$M$16</formula1>
    </dataValidation>
    <dataValidation type="list" allowBlank="1" showInputMessage="1" showErrorMessage="1" promptTitle="Cabang" prompt="Dipilih apakah usaha Pemohon memilik cabang atau tidak. Apabila dipilih 'Ada' agar diinput jumlah cabang yang dimiliki pada kolom yang disediakan. Apabila 'Tidak' agar diinput dengan angka '0'" sqref="WVK983084 WLO983084 WBS983084 VRW983084 VIA983084 UYE983084 UOI983084 UEM983084 TUQ983084 TKU983084 TAY983084 SRC983084 SHG983084 RXK983084 RNO983084 RDS983084 QTW983084 QKA983084 QAE983084 PQI983084 PGM983084 OWQ983084 OMU983084 OCY983084 NTC983084 NJG983084 MZK983084 MPO983084 MFS983084 LVW983084 LMA983084 LCE983084 KSI983084 KIM983084 JYQ983084 JOU983084 JEY983084 IVC983084 ILG983084 IBK983084 HRO983084 HHS983084 GXW983084 GOA983084 GEE983084 FUI983084 FKM983084 FAQ983084 EQU983084 EGY983084 DXC983084 DNG983084 DDK983084 CTO983084 CJS983084 BZW983084 BQA983084 BGE983084 AWI983084 AMM983084 ACQ983084 SU983084 IY983084 D983084 WVK917548 WLO917548 WBS917548 VRW917548 VIA917548 UYE917548 UOI917548 UEM917548 TUQ917548 TKU917548 TAY917548 SRC917548 SHG917548 RXK917548 RNO917548 RDS917548 QTW917548 QKA917548 QAE917548 PQI917548 PGM917548 OWQ917548 OMU917548 OCY917548 NTC917548 NJG917548 MZK917548 MPO917548 MFS917548 LVW917548 LMA917548 LCE917548 KSI917548 KIM917548 JYQ917548 JOU917548 JEY917548 IVC917548 ILG917548 IBK917548 HRO917548 HHS917548 GXW917548 GOA917548 GEE917548 FUI917548 FKM917548 FAQ917548 EQU917548 EGY917548 DXC917548 DNG917548 DDK917548 CTO917548 CJS917548 BZW917548 BQA917548 BGE917548 AWI917548 AMM917548 ACQ917548 SU917548 IY917548 D917548 WVK852012 WLO852012 WBS852012 VRW852012 VIA852012 UYE852012 UOI852012 UEM852012 TUQ852012 TKU852012 TAY852012 SRC852012 SHG852012 RXK852012 RNO852012 RDS852012 QTW852012 QKA852012 QAE852012 PQI852012 PGM852012 OWQ852012 OMU852012 OCY852012 NTC852012 NJG852012 MZK852012 MPO852012 MFS852012 LVW852012 LMA852012 LCE852012 KSI852012 KIM852012 JYQ852012 JOU852012 JEY852012 IVC852012 ILG852012 IBK852012 HRO852012 HHS852012 GXW852012 GOA852012 GEE852012 FUI852012 FKM852012 FAQ852012 EQU852012 EGY852012 DXC852012 DNG852012 DDK852012 CTO852012 CJS852012 BZW852012 BQA852012 BGE852012 AWI852012 AMM852012 ACQ852012 SU852012 IY852012 D852012 WVK786476 WLO786476 WBS786476 VRW786476 VIA786476 UYE786476 UOI786476 UEM786476 TUQ786476 TKU786476 TAY786476 SRC786476 SHG786476 RXK786476 RNO786476 RDS786476 QTW786476 QKA786476 QAE786476 PQI786476 PGM786476 OWQ786476 OMU786476 OCY786476 NTC786476 NJG786476 MZK786476 MPO786476 MFS786476 LVW786476 LMA786476 LCE786476 KSI786476 KIM786476 JYQ786476 JOU786476 JEY786476 IVC786476 ILG786476 IBK786476 HRO786476 HHS786476 GXW786476 GOA786476 GEE786476 FUI786476 FKM786476 FAQ786476 EQU786476 EGY786476 DXC786476 DNG786476 DDK786476 CTO786476 CJS786476 BZW786476 BQA786476 BGE786476 AWI786476 AMM786476 ACQ786476 SU786476 IY786476 D786476 WVK720940 WLO720940 WBS720940 VRW720940 VIA720940 UYE720940 UOI720940 UEM720940 TUQ720940 TKU720940 TAY720940 SRC720940 SHG720940 RXK720940 RNO720940 RDS720940 QTW720940 QKA720940 QAE720940 PQI720940 PGM720940 OWQ720940 OMU720940 OCY720940 NTC720940 NJG720940 MZK720940 MPO720940 MFS720940 LVW720940 LMA720940 LCE720940 KSI720940 KIM720940 JYQ720940 JOU720940 JEY720940 IVC720940 ILG720940 IBK720940 HRO720940 HHS720940 GXW720940 GOA720940 GEE720940 FUI720940 FKM720940 FAQ720940 EQU720940 EGY720940 DXC720940 DNG720940 DDK720940 CTO720940 CJS720940 BZW720940 BQA720940 BGE720940 AWI720940 AMM720940 ACQ720940 SU720940 IY720940 D720940 WVK655404 WLO655404 WBS655404 VRW655404 VIA655404 UYE655404 UOI655404 UEM655404 TUQ655404 TKU655404 TAY655404 SRC655404 SHG655404 RXK655404 RNO655404 RDS655404 QTW655404 QKA655404 QAE655404 PQI655404 PGM655404 OWQ655404 OMU655404 OCY655404 NTC655404 NJG655404 MZK655404 MPO655404 MFS655404 LVW655404 LMA655404 LCE655404 KSI655404 KIM655404 JYQ655404 JOU655404 JEY655404 IVC655404 ILG655404 IBK655404 HRO655404 HHS655404 GXW655404 GOA655404 GEE655404 FUI655404 FKM655404 FAQ655404 EQU655404 EGY655404 DXC655404 DNG655404 DDK655404 CTO655404 CJS655404 BZW655404 BQA655404 BGE655404 AWI655404 AMM655404 ACQ655404 SU655404 IY655404 D655404 WVK589868 WLO589868 WBS589868 VRW589868 VIA589868 UYE589868 UOI589868 UEM589868 TUQ589868 TKU589868 TAY589868 SRC589868 SHG589868 RXK589868 RNO589868 RDS589868 QTW589868 QKA589868 QAE589868 PQI589868 PGM589868 OWQ589868 OMU589868 OCY589868 NTC589868 NJG589868 MZK589868 MPO589868 MFS589868 LVW589868 LMA589868 LCE589868 KSI589868 KIM589868 JYQ589868 JOU589868 JEY589868 IVC589868 ILG589868 IBK589868 HRO589868 HHS589868 GXW589868 GOA589868 GEE589868 FUI589868 FKM589868 FAQ589868 EQU589868 EGY589868 DXC589868 DNG589868 DDK589868 CTO589868 CJS589868 BZW589868 BQA589868 BGE589868 AWI589868 AMM589868 ACQ589868 SU589868 IY589868 D589868 WVK524332 WLO524332 WBS524332 VRW524332 VIA524332 UYE524332 UOI524332 UEM524332 TUQ524332 TKU524332 TAY524332 SRC524332 SHG524332 RXK524332 RNO524332 RDS524332 QTW524332 QKA524332 QAE524332 PQI524332 PGM524332 OWQ524332 OMU524332 OCY524332 NTC524332 NJG524332 MZK524332 MPO524332 MFS524332 LVW524332 LMA524332 LCE524332 KSI524332 KIM524332 JYQ524332 JOU524332 JEY524332 IVC524332 ILG524332 IBK524332 HRO524332 HHS524332 GXW524332 GOA524332 GEE524332 FUI524332 FKM524332 FAQ524332 EQU524332 EGY524332 DXC524332 DNG524332 DDK524332 CTO524332 CJS524332 BZW524332 BQA524332 BGE524332 AWI524332 AMM524332 ACQ524332 SU524332 IY524332 D524332 WVK458796 WLO458796 WBS458796 VRW458796 VIA458796 UYE458796 UOI458796 UEM458796 TUQ458796 TKU458796 TAY458796 SRC458796 SHG458796 RXK458796 RNO458796 RDS458796 QTW458796 QKA458796 QAE458796 PQI458796 PGM458796 OWQ458796 OMU458796 OCY458796 NTC458796 NJG458796 MZK458796 MPO458796 MFS458796 LVW458796 LMA458796 LCE458796 KSI458796 KIM458796 JYQ458796 JOU458796 JEY458796 IVC458796 ILG458796 IBK458796 HRO458796 HHS458796 GXW458796 GOA458796 GEE458796 FUI458796 FKM458796 FAQ458796 EQU458796 EGY458796 DXC458796 DNG458796 DDK458796 CTO458796 CJS458796 BZW458796 BQA458796 BGE458796 AWI458796 AMM458796 ACQ458796 SU458796 IY458796 D458796 WVK393260 WLO393260 WBS393260 VRW393260 VIA393260 UYE393260 UOI393260 UEM393260 TUQ393260 TKU393260 TAY393260 SRC393260 SHG393260 RXK393260 RNO393260 RDS393260 QTW393260 QKA393260 QAE393260 PQI393260 PGM393260 OWQ393260 OMU393260 OCY393260 NTC393260 NJG393260 MZK393260 MPO393260 MFS393260 LVW393260 LMA393260 LCE393260 KSI393260 KIM393260 JYQ393260 JOU393260 JEY393260 IVC393260 ILG393260 IBK393260 HRO393260 HHS393260 GXW393260 GOA393260 GEE393260 FUI393260 FKM393260 FAQ393260 EQU393260 EGY393260 DXC393260 DNG393260 DDK393260 CTO393260 CJS393260 BZW393260 BQA393260 BGE393260 AWI393260 AMM393260 ACQ393260 SU393260 IY393260 D393260 WVK327724 WLO327724 WBS327724 VRW327724 VIA327724 UYE327724 UOI327724 UEM327724 TUQ327724 TKU327724 TAY327724 SRC327724 SHG327724 RXK327724 RNO327724 RDS327724 QTW327724 QKA327724 QAE327724 PQI327724 PGM327724 OWQ327724 OMU327724 OCY327724 NTC327724 NJG327724 MZK327724 MPO327724 MFS327724 LVW327724 LMA327724 LCE327724 KSI327724 KIM327724 JYQ327724 JOU327724 JEY327724 IVC327724 ILG327724 IBK327724 HRO327724 HHS327724 GXW327724 GOA327724 GEE327724 FUI327724 FKM327724 FAQ327724 EQU327724 EGY327724 DXC327724 DNG327724 DDK327724 CTO327724 CJS327724 BZW327724 BQA327724 BGE327724 AWI327724 AMM327724 ACQ327724 SU327724 IY327724 D327724 WVK262188 WLO262188 WBS262188 VRW262188 VIA262188 UYE262188 UOI262188 UEM262188 TUQ262188 TKU262188 TAY262188 SRC262188 SHG262188 RXK262188 RNO262188 RDS262188 QTW262188 QKA262188 QAE262188 PQI262188 PGM262188 OWQ262188 OMU262188 OCY262188 NTC262188 NJG262188 MZK262188 MPO262188 MFS262188 LVW262188 LMA262188 LCE262188 KSI262188 KIM262188 JYQ262188 JOU262188 JEY262188 IVC262188 ILG262188 IBK262188 HRO262188 HHS262188 GXW262188 GOA262188 GEE262188 FUI262188 FKM262188 FAQ262188 EQU262188 EGY262188 DXC262188 DNG262188 DDK262188 CTO262188 CJS262188 BZW262188 BQA262188 BGE262188 AWI262188 AMM262188 ACQ262188 SU262188 IY262188 D262188 WVK196652 WLO196652 WBS196652 VRW196652 VIA196652 UYE196652 UOI196652 UEM196652 TUQ196652 TKU196652 TAY196652 SRC196652 SHG196652 RXK196652 RNO196652 RDS196652 QTW196652 QKA196652 QAE196652 PQI196652 PGM196652 OWQ196652 OMU196652 OCY196652 NTC196652 NJG196652 MZK196652 MPO196652 MFS196652 LVW196652 LMA196652 LCE196652 KSI196652 KIM196652 JYQ196652 JOU196652 JEY196652 IVC196652 ILG196652 IBK196652 HRO196652 HHS196652 GXW196652 GOA196652 GEE196652 FUI196652 FKM196652 FAQ196652 EQU196652 EGY196652 DXC196652 DNG196652 DDK196652 CTO196652 CJS196652 BZW196652 BQA196652 BGE196652 AWI196652 AMM196652 ACQ196652 SU196652 IY196652 D196652 WVK131116 WLO131116 WBS131116 VRW131116 VIA131116 UYE131116 UOI131116 UEM131116 TUQ131116 TKU131116 TAY131116 SRC131116 SHG131116 RXK131116 RNO131116 RDS131116 QTW131116 QKA131116 QAE131116 PQI131116 PGM131116 OWQ131116 OMU131116 OCY131116 NTC131116 NJG131116 MZK131116 MPO131116 MFS131116 LVW131116 LMA131116 LCE131116 KSI131116 KIM131116 JYQ131116 JOU131116 JEY131116 IVC131116 ILG131116 IBK131116 HRO131116 HHS131116 GXW131116 GOA131116 GEE131116 FUI131116 FKM131116 FAQ131116 EQU131116 EGY131116 DXC131116 DNG131116 DDK131116 CTO131116 CJS131116 BZW131116 BQA131116 BGE131116 AWI131116 AMM131116 ACQ131116 SU131116 IY131116 D131116 WVK65580 WLO65580 WBS65580 VRW65580 VIA65580 UYE65580 UOI65580 UEM65580 TUQ65580 TKU65580 TAY65580 SRC65580 SHG65580 RXK65580 RNO65580 RDS65580 QTW65580 QKA65580 QAE65580 PQI65580 PGM65580 OWQ65580 OMU65580 OCY65580 NTC65580 NJG65580 MZK65580 MPO65580 MFS65580 LVW65580 LMA65580 LCE65580 KSI65580 KIM65580 JYQ65580 JOU65580 JEY65580 IVC65580 ILG65580 IBK65580 HRO65580 HHS65580 GXW65580 GOA65580 GEE65580 FUI65580 FKM65580 FAQ65580 EQU65580 EGY65580 DXC65580 DNG65580 DDK65580 CTO65580 CJS65580 BZW65580 BQA65580 BGE65580 AWI65580 AMM65580 ACQ65580 SU65580 IY65580 D65580 WVK50 WLO50 WBS50 VRW50 VIA50 UYE50 UOI50 UEM50 TUQ50 TKU50 TAY50 SRC50 SHG50 RXK50 RNO50 RDS50 QTW50 QKA50 QAE50 PQI50 PGM50 OWQ50 OMU50 OCY50 NTC50 NJG50 MZK50 MPO50 MFS50 LVW50 LMA50 LCE50 KSI50 KIM50 JYQ50 JOU50 JEY50 IVC50 ILG50 IBK50 HRO50 HHS50 GXW50 GOA50 GEE50 FUI50 FKM50 FAQ50 EQU50 EGY50 DXC50 DNG50 DDK50 CTO50 CJS50 BZW50 BQA50 BGE50 AWI50 AMM50 ACQ50 SU50 IY50">
      <formula1>$M$47:$M$48</formula1>
    </dataValidation>
    <dataValidation type="list" allowBlank="1" showInputMessage="1" showErrorMessage="1" promptTitle="Daerah Pemasaran" prompt="Dipilih sasaran atau area pemasaran atas produk / jasa yang dimiliki oleh Pemohon. Apabila terdapat beberapa daerah Pemasaran, dipilih area pemasaran yang memberikan kontribusi terbesar terhadap penjualan." sqref="WVK983083:WVN983083 IY49:JB49 WLO983083:WLR983083 WBS983083:WBV983083 VRW983083:VRZ983083 VIA983083:VID983083 UYE983083:UYH983083 UOI983083:UOL983083 UEM983083:UEP983083 TUQ983083:TUT983083 TKU983083:TKX983083 TAY983083:TBB983083 SRC983083:SRF983083 SHG983083:SHJ983083 RXK983083:RXN983083 RNO983083:RNR983083 RDS983083:RDV983083 QTW983083:QTZ983083 QKA983083:QKD983083 QAE983083:QAH983083 PQI983083:PQL983083 PGM983083:PGP983083 OWQ983083:OWT983083 OMU983083:OMX983083 OCY983083:ODB983083 NTC983083:NTF983083 NJG983083:NJJ983083 MZK983083:MZN983083 MPO983083:MPR983083 MFS983083:MFV983083 LVW983083:LVZ983083 LMA983083:LMD983083 LCE983083:LCH983083 KSI983083:KSL983083 KIM983083:KIP983083 JYQ983083:JYT983083 JOU983083:JOX983083 JEY983083:JFB983083 IVC983083:IVF983083 ILG983083:ILJ983083 IBK983083:IBN983083 HRO983083:HRR983083 HHS983083:HHV983083 GXW983083:GXZ983083 GOA983083:GOD983083 GEE983083:GEH983083 FUI983083:FUL983083 FKM983083:FKP983083 FAQ983083:FAT983083 EQU983083:EQX983083 EGY983083:EHB983083 DXC983083:DXF983083 DNG983083:DNJ983083 DDK983083:DDN983083 CTO983083:CTR983083 CJS983083:CJV983083 BZW983083:BZZ983083 BQA983083:BQD983083 BGE983083:BGH983083 AWI983083:AWL983083 AMM983083:AMP983083 ACQ983083:ACT983083 SU983083:SX983083 IY983083:JB983083 D983083:G983083 WVK917547:WVN917547 WLO917547:WLR917547 WBS917547:WBV917547 VRW917547:VRZ917547 VIA917547:VID917547 UYE917547:UYH917547 UOI917547:UOL917547 UEM917547:UEP917547 TUQ917547:TUT917547 TKU917547:TKX917547 TAY917547:TBB917547 SRC917547:SRF917547 SHG917547:SHJ917547 RXK917547:RXN917547 RNO917547:RNR917547 RDS917547:RDV917547 QTW917547:QTZ917547 QKA917547:QKD917547 QAE917547:QAH917547 PQI917547:PQL917547 PGM917547:PGP917547 OWQ917547:OWT917547 OMU917547:OMX917547 OCY917547:ODB917547 NTC917547:NTF917547 NJG917547:NJJ917547 MZK917547:MZN917547 MPO917547:MPR917547 MFS917547:MFV917547 LVW917547:LVZ917547 LMA917547:LMD917547 LCE917547:LCH917547 KSI917547:KSL917547 KIM917547:KIP917547 JYQ917547:JYT917547 JOU917547:JOX917547 JEY917547:JFB917547 IVC917547:IVF917547 ILG917547:ILJ917547 IBK917547:IBN917547 HRO917547:HRR917547 HHS917547:HHV917547 GXW917547:GXZ917547 GOA917547:GOD917547 GEE917547:GEH917547 FUI917547:FUL917547 FKM917547:FKP917547 FAQ917547:FAT917547 EQU917547:EQX917547 EGY917547:EHB917547 DXC917547:DXF917547 DNG917547:DNJ917547 DDK917547:DDN917547 CTO917547:CTR917547 CJS917547:CJV917547 BZW917547:BZZ917547 BQA917547:BQD917547 BGE917547:BGH917547 AWI917547:AWL917547 AMM917547:AMP917547 ACQ917547:ACT917547 SU917547:SX917547 IY917547:JB917547 D917547:G917547 WVK852011:WVN852011 WLO852011:WLR852011 WBS852011:WBV852011 VRW852011:VRZ852011 VIA852011:VID852011 UYE852011:UYH852011 UOI852011:UOL852011 UEM852011:UEP852011 TUQ852011:TUT852011 TKU852011:TKX852011 TAY852011:TBB852011 SRC852011:SRF852011 SHG852011:SHJ852011 RXK852011:RXN852011 RNO852011:RNR852011 RDS852011:RDV852011 QTW852011:QTZ852011 QKA852011:QKD852011 QAE852011:QAH852011 PQI852011:PQL852011 PGM852011:PGP852011 OWQ852011:OWT852011 OMU852011:OMX852011 OCY852011:ODB852011 NTC852011:NTF852011 NJG852011:NJJ852011 MZK852011:MZN852011 MPO852011:MPR852011 MFS852011:MFV852011 LVW852011:LVZ852011 LMA852011:LMD852011 LCE852011:LCH852011 KSI852011:KSL852011 KIM852011:KIP852011 JYQ852011:JYT852011 JOU852011:JOX852011 JEY852011:JFB852011 IVC852011:IVF852011 ILG852011:ILJ852011 IBK852011:IBN852011 HRO852011:HRR852011 HHS852011:HHV852011 GXW852011:GXZ852011 GOA852011:GOD852011 GEE852011:GEH852011 FUI852011:FUL852011 FKM852011:FKP852011 FAQ852011:FAT852011 EQU852011:EQX852011 EGY852011:EHB852011 DXC852011:DXF852011 DNG852011:DNJ852011 DDK852011:DDN852011 CTO852011:CTR852011 CJS852011:CJV852011 BZW852011:BZZ852011 BQA852011:BQD852011 BGE852011:BGH852011 AWI852011:AWL852011 AMM852011:AMP852011 ACQ852011:ACT852011 SU852011:SX852011 IY852011:JB852011 D852011:G852011 WVK786475:WVN786475 WLO786475:WLR786475 WBS786475:WBV786475 VRW786475:VRZ786475 VIA786475:VID786475 UYE786475:UYH786475 UOI786475:UOL786475 UEM786475:UEP786475 TUQ786475:TUT786475 TKU786475:TKX786475 TAY786475:TBB786475 SRC786475:SRF786475 SHG786475:SHJ786475 RXK786475:RXN786475 RNO786475:RNR786475 RDS786475:RDV786475 QTW786475:QTZ786475 QKA786475:QKD786475 QAE786475:QAH786475 PQI786475:PQL786475 PGM786475:PGP786475 OWQ786475:OWT786475 OMU786475:OMX786475 OCY786475:ODB786475 NTC786475:NTF786475 NJG786475:NJJ786475 MZK786475:MZN786475 MPO786475:MPR786475 MFS786475:MFV786475 LVW786475:LVZ786475 LMA786475:LMD786475 LCE786475:LCH786475 KSI786475:KSL786475 KIM786475:KIP786475 JYQ786475:JYT786475 JOU786475:JOX786475 JEY786475:JFB786475 IVC786475:IVF786475 ILG786475:ILJ786475 IBK786475:IBN786475 HRO786475:HRR786475 HHS786475:HHV786475 GXW786475:GXZ786475 GOA786475:GOD786475 GEE786475:GEH786475 FUI786475:FUL786475 FKM786475:FKP786475 FAQ786475:FAT786475 EQU786475:EQX786475 EGY786475:EHB786475 DXC786475:DXF786475 DNG786475:DNJ786475 DDK786475:DDN786475 CTO786475:CTR786475 CJS786475:CJV786475 BZW786475:BZZ786475 BQA786475:BQD786475 BGE786475:BGH786475 AWI786475:AWL786475 AMM786475:AMP786475 ACQ786475:ACT786475 SU786475:SX786475 IY786475:JB786475 D786475:G786475 WVK720939:WVN720939 WLO720939:WLR720939 WBS720939:WBV720939 VRW720939:VRZ720939 VIA720939:VID720939 UYE720939:UYH720939 UOI720939:UOL720939 UEM720939:UEP720939 TUQ720939:TUT720939 TKU720939:TKX720939 TAY720939:TBB720939 SRC720939:SRF720939 SHG720939:SHJ720939 RXK720939:RXN720939 RNO720939:RNR720939 RDS720939:RDV720939 QTW720939:QTZ720939 QKA720939:QKD720939 QAE720939:QAH720939 PQI720939:PQL720939 PGM720939:PGP720939 OWQ720939:OWT720939 OMU720939:OMX720939 OCY720939:ODB720939 NTC720939:NTF720939 NJG720939:NJJ720939 MZK720939:MZN720939 MPO720939:MPR720939 MFS720939:MFV720939 LVW720939:LVZ720939 LMA720939:LMD720939 LCE720939:LCH720939 KSI720939:KSL720939 KIM720939:KIP720939 JYQ720939:JYT720939 JOU720939:JOX720939 JEY720939:JFB720939 IVC720939:IVF720939 ILG720939:ILJ720939 IBK720939:IBN720939 HRO720939:HRR720939 HHS720939:HHV720939 GXW720939:GXZ720939 GOA720939:GOD720939 GEE720939:GEH720939 FUI720939:FUL720939 FKM720939:FKP720939 FAQ720939:FAT720939 EQU720939:EQX720939 EGY720939:EHB720939 DXC720939:DXF720939 DNG720939:DNJ720939 DDK720939:DDN720939 CTO720939:CTR720939 CJS720939:CJV720939 BZW720939:BZZ720939 BQA720939:BQD720939 BGE720939:BGH720939 AWI720939:AWL720939 AMM720939:AMP720939 ACQ720939:ACT720939 SU720939:SX720939 IY720939:JB720939 D720939:G720939 WVK655403:WVN655403 WLO655403:WLR655403 WBS655403:WBV655403 VRW655403:VRZ655403 VIA655403:VID655403 UYE655403:UYH655403 UOI655403:UOL655403 UEM655403:UEP655403 TUQ655403:TUT655403 TKU655403:TKX655403 TAY655403:TBB655403 SRC655403:SRF655403 SHG655403:SHJ655403 RXK655403:RXN655403 RNO655403:RNR655403 RDS655403:RDV655403 QTW655403:QTZ655403 QKA655403:QKD655403 QAE655403:QAH655403 PQI655403:PQL655403 PGM655403:PGP655403 OWQ655403:OWT655403 OMU655403:OMX655403 OCY655403:ODB655403 NTC655403:NTF655403 NJG655403:NJJ655403 MZK655403:MZN655403 MPO655403:MPR655403 MFS655403:MFV655403 LVW655403:LVZ655403 LMA655403:LMD655403 LCE655403:LCH655403 KSI655403:KSL655403 KIM655403:KIP655403 JYQ655403:JYT655403 JOU655403:JOX655403 JEY655403:JFB655403 IVC655403:IVF655403 ILG655403:ILJ655403 IBK655403:IBN655403 HRO655403:HRR655403 HHS655403:HHV655403 GXW655403:GXZ655403 GOA655403:GOD655403 GEE655403:GEH655403 FUI655403:FUL655403 FKM655403:FKP655403 FAQ655403:FAT655403 EQU655403:EQX655403 EGY655403:EHB655403 DXC655403:DXF655403 DNG655403:DNJ655403 DDK655403:DDN655403 CTO655403:CTR655403 CJS655403:CJV655403 BZW655403:BZZ655403 BQA655403:BQD655403 BGE655403:BGH655403 AWI655403:AWL655403 AMM655403:AMP655403 ACQ655403:ACT655403 SU655403:SX655403 IY655403:JB655403 D655403:G655403 WVK589867:WVN589867 WLO589867:WLR589867 WBS589867:WBV589867 VRW589867:VRZ589867 VIA589867:VID589867 UYE589867:UYH589867 UOI589867:UOL589867 UEM589867:UEP589867 TUQ589867:TUT589867 TKU589867:TKX589867 TAY589867:TBB589867 SRC589867:SRF589867 SHG589867:SHJ589867 RXK589867:RXN589867 RNO589867:RNR589867 RDS589867:RDV589867 QTW589867:QTZ589867 QKA589867:QKD589867 QAE589867:QAH589867 PQI589867:PQL589867 PGM589867:PGP589867 OWQ589867:OWT589867 OMU589867:OMX589867 OCY589867:ODB589867 NTC589867:NTF589867 NJG589867:NJJ589867 MZK589867:MZN589867 MPO589867:MPR589867 MFS589867:MFV589867 LVW589867:LVZ589867 LMA589867:LMD589867 LCE589867:LCH589867 KSI589867:KSL589867 KIM589867:KIP589867 JYQ589867:JYT589867 JOU589867:JOX589867 JEY589867:JFB589867 IVC589867:IVF589867 ILG589867:ILJ589867 IBK589867:IBN589867 HRO589867:HRR589867 HHS589867:HHV589867 GXW589867:GXZ589867 GOA589867:GOD589867 GEE589867:GEH589867 FUI589867:FUL589867 FKM589867:FKP589867 FAQ589867:FAT589867 EQU589867:EQX589867 EGY589867:EHB589867 DXC589867:DXF589867 DNG589867:DNJ589867 DDK589867:DDN589867 CTO589867:CTR589867 CJS589867:CJV589867 BZW589867:BZZ589867 BQA589867:BQD589867 BGE589867:BGH589867 AWI589867:AWL589867 AMM589867:AMP589867 ACQ589867:ACT589867 SU589867:SX589867 IY589867:JB589867 D589867:G589867 WVK524331:WVN524331 WLO524331:WLR524331 WBS524331:WBV524331 VRW524331:VRZ524331 VIA524331:VID524331 UYE524331:UYH524331 UOI524331:UOL524331 UEM524331:UEP524331 TUQ524331:TUT524331 TKU524331:TKX524331 TAY524331:TBB524331 SRC524331:SRF524331 SHG524331:SHJ524331 RXK524331:RXN524331 RNO524331:RNR524331 RDS524331:RDV524331 QTW524331:QTZ524331 QKA524331:QKD524331 QAE524331:QAH524331 PQI524331:PQL524331 PGM524331:PGP524331 OWQ524331:OWT524331 OMU524331:OMX524331 OCY524331:ODB524331 NTC524331:NTF524331 NJG524331:NJJ524331 MZK524331:MZN524331 MPO524331:MPR524331 MFS524331:MFV524331 LVW524331:LVZ524331 LMA524331:LMD524331 LCE524331:LCH524331 KSI524331:KSL524331 KIM524331:KIP524331 JYQ524331:JYT524331 JOU524331:JOX524331 JEY524331:JFB524331 IVC524331:IVF524331 ILG524331:ILJ524331 IBK524331:IBN524331 HRO524331:HRR524331 HHS524331:HHV524331 GXW524331:GXZ524331 GOA524331:GOD524331 GEE524331:GEH524331 FUI524331:FUL524331 FKM524331:FKP524331 FAQ524331:FAT524331 EQU524331:EQX524331 EGY524331:EHB524331 DXC524331:DXF524331 DNG524331:DNJ524331 DDK524331:DDN524331 CTO524331:CTR524331 CJS524331:CJV524331 BZW524331:BZZ524331 BQA524331:BQD524331 BGE524331:BGH524331 AWI524331:AWL524331 AMM524331:AMP524331 ACQ524331:ACT524331 SU524331:SX524331 IY524331:JB524331 D524331:G524331 WVK458795:WVN458795 WLO458795:WLR458795 WBS458795:WBV458795 VRW458795:VRZ458795 VIA458795:VID458795 UYE458795:UYH458795 UOI458795:UOL458795 UEM458795:UEP458795 TUQ458795:TUT458795 TKU458795:TKX458795 TAY458795:TBB458795 SRC458795:SRF458795 SHG458795:SHJ458795 RXK458795:RXN458795 RNO458795:RNR458795 RDS458795:RDV458795 QTW458795:QTZ458795 QKA458795:QKD458795 QAE458795:QAH458795 PQI458795:PQL458795 PGM458795:PGP458795 OWQ458795:OWT458795 OMU458795:OMX458795 OCY458795:ODB458795 NTC458795:NTF458795 NJG458795:NJJ458795 MZK458795:MZN458795 MPO458795:MPR458795 MFS458795:MFV458795 LVW458795:LVZ458795 LMA458795:LMD458795 LCE458795:LCH458795 KSI458795:KSL458795 KIM458795:KIP458795 JYQ458795:JYT458795 JOU458795:JOX458795 JEY458795:JFB458795 IVC458795:IVF458795 ILG458795:ILJ458795 IBK458795:IBN458795 HRO458795:HRR458795 HHS458795:HHV458795 GXW458795:GXZ458795 GOA458795:GOD458795 GEE458795:GEH458795 FUI458795:FUL458795 FKM458795:FKP458795 FAQ458795:FAT458795 EQU458795:EQX458795 EGY458795:EHB458795 DXC458795:DXF458795 DNG458795:DNJ458795 DDK458795:DDN458795 CTO458795:CTR458795 CJS458795:CJV458795 BZW458795:BZZ458795 BQA458795:BQD458795 BGE458795:BGH458795 AWI458795:AWL458795 AMM458795:AMP458795 ACQ458795:ACT458795 SU458795:SX458795 IY458795:JB458795 D458795:G458795 WVK393259:WVN393259 WLO393259:WLR393259 WBS393259:WBV393259 VRW393259:VRZ393259 VIA393259:VID393259 UYE393259:UYH393259 UOI393259:UOL393259 UEM393259:UEP393259 TUQ393259:TUT393259 TKU393259:TKX393259 TAY393259:TBB393259 SRC393259:SRF393259 SHG393259:SHJ393259 RXK393259:RXN393259 RNO393259:RNR393259 RDS393259:RDV393259 QTW393259:QTZ393259 QKA393259:QKD393259 QAE393259:QAH393259 PQI393259:PQL393259 PGM393259:PGP393259 OWQ393259:OWT393259 OMU393259:OMX393259 OCY393259:ODB393259 NTC393259:NTF393259 NJG393259:NJJ393259 MZK393259:MZN393259 MPO393259:MPR393259 MFS393259:MFV393259 LVW393259:LVZ393259 LMA393259:LMD393259 LCE393259:LCH393259 KSI393259:KSL393259 KIM393259:KIP393259 JYQ393259:JYT393259 JOU393259:JOX393259 JEY393259:JFB393259 IVC393259:IVF393259 ILG393259:ILJ393259 IBK393259:IBN393259 HRO393259:HRR393259 HHS393259:HHV393259 GXW393259:GXZ393259 GOA393259:GOD393259 GEE393259:GEH393259 FUI393259:FUL393259 FKM393259:FKP393259 FAQ393259:FAT393259 EQU393259:EQX393259 EGY393259:EHB393259 DXC393259:DXF393259 DNG393259:DNJ393259 DDK393259:DDN393259 CTO393259:CTR393259 CJS393259:CJV393259 BZW393259:BZZ393259 BQA393259:BQD393259 BGE393259:BGH393259 AWI393259:AWL393259 AMM393259:AMP393259 ACQ393259:ACT393259 SU393259:SX393259 IY393259:JB393259 D393259:G393259 WVK327723:WVN327723 WLO327723:WLR327723 WBS327723:WBV327723 VRW327723:VRZ327723 VIA327723:VID327723 UYE327723:UYH327723 UOI327723:UOL327723 UEM327723:UEP327723 TUQ327723:TUT327723 TKU327723:TKX327723 TAY327723:TBB327723 SRC327723:SRF327723 SHG327723:SHJ327723 RXK327723:RXN327723 RNO327723:RNR327723 RDS327723:RDV327723 QTW327723:QTZ327723 QKA327723:QKD327723 QAE327723:QAH327723 PQI327723:PQL327723 PGM327723:PGP327723 OWQ327723:OWT327723 OMU327723:OMX327723 OCY327723:ODB327723 NTC327723:NTF327723 NJG327723:NJJ327723 MZK327723:MZN327723 MPO327723:MPR327723 MFS327723:MFV327723 LVW327723:LVZ327723 LMA327723:LMD327723 LCE327723:LCH327723 KSI327723:KSL327723 KIM327723:KIP327723 JYQ327723:JYT327723 JOU327723:JOX327723 JEY327723:JFB327723 IVC327723:IVF327723 ILG327723:ILJ327723 IBK327723:IBN327723 HRO327723:HRR327723 HHS327723:HHV327723 GXW327723:GXZ327723 GOA327723:GOD327723 GEE327723:GEH327723 FUI327723:FUL327723 FKM327723:FKP327723 FAQ327723:FAT327723 EQU327723:EQX327723 EGY327723:EHB327723 DXC327723:DXF327723 DNG327723:DNJ327723 DDK327723:DDN327723 CTO327723:CTR327723 CJS327723:CJV327723 BZW327723:BZZ327723 BQA327723:BQD327723 BGE327723:BGH327723 AWI327723:AWL327723 AMM327723:AMP327723 ACQ327723:ACT327723 SU327723:SX327723 IY327723:JB327723 D327723:G327723 WVK262187:WVN262187 WLO262187:WLR262187 WBS262187:WBV262187 VRW262187:VRZ262187 VIA262187:VID262187 UYE262187:UYH262187 UOI262187:UOL262187 UEM262187:UEP262187 TUQ262187:TUT262187 TKU262187:TKX262187 TAY262187:TBB262187 SRC262187:SRF262187 SHG262187:SHJ262187 RXK262187:RXN262187 RNO262187:RNR262187 RDS262187:RDV262187 QTW262187:QTZ262187 QKA262187:QKD262187 QAE262187:QAH262187 PQI262187:PQL262187 PGM262187:PGP262187 OWQ262187:OWT262187 OMU262187:OMX262187 OCY262187:ODB262187 NTC262187:NTF262187 NJG262187:NJJ262187 MZK262187:MZN262187 MPO262187:MPR262187 MFS262187:MFV262187 LVW262187:LVZ262187 LMA262187:LMD262187 LCE262187:LCH262187 KSI262187:KSL262187 KIM262187:KIP262187 JYQ262187:JYT262187 JOU262187:JOX262187 JEY262187:JFB262187 IVC262187:IVF262187 ILG262187:ILJ262187 IBK262187:IBN262187 HRO262187:HRR262187 HHS262187:HHV262187 GXW262187:GXZ262187 GOA262187:GOD262187 GEE262187:GEH262187 FUI262187:FUL262187 FKM262187:FKP262187 FAQ262187:FAT262187 EQU262187:EQX262187 EGY262187:EHB262187 DXC262187:DXF262187 DNG262187:DNJ262187 DDK262187:DDN262187 CTO262187:CTR262187 CJS262187:CJV262187 BZW262187:BZZ262187 BQA262187:BQD262187 BGE262187:BGH262187 AWI262187:AWL262187 AMM262187:AMP262187 ACQ262187:ACT262187 SU262187:SX262187 IY262187:JB262187 D262187:G262187 WVK196651:WVN196651 WLO196651:WLR196651 WBS196651:WBV196651 VRW196651:VRZ196651 VIA196651:VID196651 UYE196651:UYH196651 UOI196651:UOL196651 UEM196651:UEP196651 TUQ196651:TUT196651 TKU196651:TKX196651 TAY196651:TBB196651 SRC196651:SRF196651 SHG196651:SHJ196651 RXK196651:RXN196651 RNO196651:RNR196651 RDS196651:RDV196651 QTW196651:QTZ196651 QKA196651:QKD196651 QAE196651:QAH196651 PQI196651:PQL196651 PGM196651:PGP196651 OWQ196651:OWT196651 OMU196651:OMX196651 OCY196651:ODB196651 NTC196651:NTF196651 NJG196651:NJJ196651 MZK196651:MZN196651 MPO196651:MPR196651 MFS196651:MFV196651 LVW196651:LVZ196651 LMA196651:LMD196651 LCE196651:LCH196651 KSI196651:KSL196651 KIM196651:KIP196651 JYQ196651:JYT196651 JOU196651:JOX196651 JEY196651:JFB196651 IVC196651:IVF196651 ILG196651:ILJ196651 IBK196651:IBN196651 HRO196651:HRR196651 HHS196651:HHV196651 GXW196651:GXZ196651 GOA196651:GOD196651 GEE196651:GEH196651 FUI196651:FUL196651 FKM196651:FKP196651 FAQ196651:FAT196651 EQU196651:EQX196651 EGY196651:EHB196651 DXC196651:DXF196651 DNG196651:DNJ196651 DDK196651:DDN196651 CTO196651:CTR196651 CJS196651:CJV196651 BZW196651:BZZ196651 BQA196651:BQD196651 BGE196651:BGH196651 AWI196651:AWL196651 AMM196651:AMP196651 ACQ196651:ACT196651 SU196651:SX196651 IY196651:JB196651 D196651:G196651 WVK131115:WVN131115 WLO131115:WLR131115 WBS131115:WBV131115 VRW131115:VRZ131115 VIA131115:VID131115 UYE131115:UYH131115 UOI131115:UOL131115 UEM131115:UEP131115 TUQ131115:TUT131115 TKU131115:TKX131115 TAY131115:TBB131115 SRC131115:SRF131115 SHG131115:SHJ131115 RXK131115:RXN131115 RNO131115:RNR131115 RDS131115:RDV131115 QTW131115:QTZ131115 QKA131115:QKD131115 QAE131115:QAH131115 PQI131115:PQL131115 PGM131115:PGP131115 OWQ131115:OWT131115 OMU131115:OMX131115 OCY131115:ODB131115 NTC131115:NTF131115 NJG131115:NJJ131115 MZK131115:MZN131115 MPO131115:MPR131115 MFS131115:MFV131115 LVW131115:LVZ131115 LMA131115:LMD131115 LCE131115:LCH131115 KSI131115:KSL131115 KIM131115:KIP131115 JYQ131115:JYT131115 JOU131115:JOX131115 JEY131115:JFB131115 IVC131115:IVF131115 ILG131115:ILJ131115 IBK131115:IBN131115 HRO131115:HRR131115 HHS131115:HHV131115 GXW131115:GXZ131115 GOA131115:GOD131115 GEE131115:GEH131115 FUI131115:FUL131115 FKM131115:FKP131115 FAQ131115:FAT131115 EQU131115:EQX131115 EGY131115:EHB131115 DXC131115:DXF131115 DNG131115:DNJ131115 DDK131115:DDN131115 CTO131115:CTR131115 CJS131115:CJV131115 BZW131115:BZZ131115 BQA131115:BQD131115 BGE131115:BGH131115 AWI131115:AWL131115 AMM131115:AMP131115 ACQ131115:ACT131115 SU131115:SX131115 IY131115:JB131115 D131115:G131115 WVK65579:WVN65579 WLO65579:WLR65579 WBS65579:WBV65579 VRW65579:VRZ65579 VIA65579:VID65579 UYE65579:UYH65579 UOI65579:UOL65579 UEM65579:UEP65579 TUQ65579:TUT65579 TKU65579:TKX65579 TAY65579:TBB65579 SRC65579:SRF65579 SHG65579:SHJ65579 RXK65579:RXN65579 RNO65579:RNR65579 RDS65579:RDV65579 QTW65579:QTZ65579 QKA65579:QKD65579 QAE65579:QAH65579 PQI65579:PQL65579 PGM65579:PGP65579 OWQ65579:OWT65579 OMU65579:OMX65579 OCY65579:ODB65579 NTC65579:NTF65579 NJG65579:NJJ65579 MZK65579:MZN65579 MPO65579:MPR65579 MFS65579:MFV65579 LVW65579:LVZ65579 LMA65579:LMD65579 LCE65579:LCH65579 KSI65579:KSL65579 KIM65579:KIP65579 JYQ65579:JYT65579 JOU65579:JOX65579 JEY65579:JFB65579 IVC65579:IVF65579 ILG65579:ILJ65579 IBK65579:IBN65579 HRO65579:HRR65579 HHS65579:HHV65579 GXW65579:GXZ65579 GOA65579:GOD65579 GEE65579:GEH65579 FUI65579:FUL65579 FKM65579:FKP65579 FAQ65579:FAT65579 EQU65579:EQX65579 EGY65579:EHB65579 DXC65579:DXF65579 DNG65579:DNJ65579 DDK65579:DDN65579 CTO65579:CTR65579 CJS65579:CJV65579 BZW65579:BZZ65579 BQA65579:BQD65579 BGE65579:BGH65579 AWI65579:AWL65579 AMM65579:AMP65579 ACQ65579:ACT65579 SU65579:SX65579 IY65579:JB65579 D65579:G65579 WVK49:WVN49 WLO49:WLR49 WBS49:WBV49 VRW49:VRZ49 VIA49:VID49 UYE49:UYH49 UOI49:UOL49 UEM49:UEP49 TUQ49:TUT49 TKU49:TKX49 TAY49:TBB49 SRC49:SRF49 SHG49:SHJ49 RXK49:RXN49 RNO49:RNR49 RDS49:RDV49 QTW49:QTZ49 QKA49:QKD49 QAE49:QAH49 PQI49:PQL49 PGM49:PGP49 OWQ49:OWT49 OMU49:OMX49 OCY49:ODB49 NTC49:NTF49 NJG49:NJJ49 MZK49:MZN49 MPO49:MPR49 MFS49:MFV49 LVW49:LVZ49 LMA49:LMD49 LCE49:LCH49 KSI49:KSL49 KIM49:KIP49 JYQ49:JYT49 JOU49:JOX49 JEY49:JFB49 IVC49:IVF49 ILG49:ILJ49 IBK49:IBN49 HRO49:HRR49 HHS49:HHV49 GXW49:GXZ49 GOA49:GOD49 GEE49:GEH49 FUI49:FUL49 FKM49:FKP49 FAQ49:FAT49 EQU49:EQX49 EGY49:EHB49 DXC49:DXF49 DNG49:DNJ49 DDK49:DDN49 CTO49:CTR49 CJS49:CJV49 BZW49:BZZ49 BQA49:BQD49 BGE49:BGH49 AWI49:AWL49 AMM49:AMP49 ACQ49:ACT49 SU49:SX49">
      <formula1>$M$41:$M$45</formula1>
    </dataValidation>
    <dataValidation type="list" allowBlank="1" showInputMessage="1" showErrorMessage="1" promptTitle="Lokasi Usaha" prompt="Pilih lokasi usaha sesuai dengan hasil verifikasi di lapangan" sqref="IY48:JB48 WVK983082:WVN983082 WLO983082:WLR983082 WBS983082:WBV983082 VRW983082:VRZ983082 VIA983082:VID983082 UYE983082:UYH983082 UOI983082:UOL983082 UEM983082:UEP983082 TUQ983082:TUT983082 TKU983082:TKX983082 TAY983082:TBB983082 SRC983082:SRF983082 SHG983082:SHJ983082 RXK983082:RXN983082 RNO983082:RNR983082 RDS983082:RDV983082 QTW983082:QTZ983082 QKA983082:QKD983082 QAE983082:QAH983082 PQI983082:PQL983082 PGM983082:PGP983082 OWQ983082:OWT983082 OMU983082:OMX983082 OCY983082:ODB983082 NTC983082:NTF983082 NJG983082:NJJ983082 MZK983082:MZN983082 MPO983082:MPR983082 MFS983082:MFV983082 LVW983082:LVZ983082 LMA983082:LMD983082 LCE983082:LCH983082 KSI983082:KSL983082 KIM983082:KIP983082 JYQ983082:JYT983082 JOU983082:JOX983082 JEY983082:JFB983082 IVC983082:IVF983082 ILG983082:ILJ983082 IBK983082:IBN983082 HRO983082:HRR983082 HHS983082:HHV983082 GXW983082:GXZ983082 GOA983082:GOD983082 GEE983082:GEH983082 FUI983082:FUL983082 FKM983082:FKP983082 FAQ983082:FAT983082 EQU983082:EQX983082 EGY983082:EHB983082 DXC983082:DXF983082 DNG983082:DNJ983082 DDK983082:DDN983082 CTO983082:CTR983082 CJS983082:CJV983082 BZW983082:BZZ983082 BQA983082:BQD983082 BGE983082:BGH983082 AWI983082:AWL983082 AMM983082:AMP983082 ACQ983082:ACT983082 SU983082:SX983082 IY983082:JB983082 D983082:G983082 WVK917546:WVN917546 WLO917546:WLR917546 WBS917546:WBV917546 VRW917546:VRZ917546 VIA917546:VID917546 UYE917546:UYH917546 UOI917546:UOL917546 UEM917546:UEP917546 TUQ917546:TUT917546 TKU917546:TKX917546 TAY917546:TBB917546 SRC917546:SRF917546 SHG917546:SHJ917546 RXK917546:RXN917546 RNO917546:RNR917546 RDS917546:RDV917546 QTW917546:QTZ917546 QKA917546:QKD917546 QAE917546:QAH917546 PQI917546:PQL917546 PGM917546:PGP917546 OWQ917546:OWT917546 OMU917546:OMX917546 OCY917546:ODB917546 NTC917546:NTF917546 NJG917546:NJJ917546 MZK917546:MZN917546 MPO917546:MPR917546 MFS917546:MFV917546 LVW917546:LVZ917546 LMA917546:LMD917546 LCE917546:LCH917546 KSI917546:KSL917546 KIM917546:KIP917546 JYQ917546:JYT917546 JOU917546:JOX917546 JEY917546:JFB917546 IVC917546:IVF917546 ILG917546:ILJ917546 IBK917546:IBN917546 HRO917546:HRR917546 HHS917546:HHV917546 GXW917546:GXZ917546 GOA917546:GOD917546 GEE917546:GEH917546 FUI917546:FUL917546 FKM917546:FKP917546 FAQ917546:FAT917546 EQU917546:EQX917546 EGY917546:EHB917546 DXC917546:DXF917546 DNG917546:DNJ917546 DDK917546:DDN917546 CTO917546:CTR917546 CJS917546:CJV917546 BZW917546:BZZ917546 BQA917546:BQD917546 BGE917546:BGH917546 AWI917546:AWL917546 AMM917546:AMP917546 ACQ917546:ACT917546 SU917546:SX917546 IY917546:JB917546 D917546:G917546 WVK852010:WVN852010 WLO852010:WLR852010 WBS852010:WBV852010 VRW852010:VRZ852010 VIA852010:VID852010 UYE852010:UYH852010 UOI852010:UOL852010 UEM852010:UEP852010 TUQ852010:TUT852010 TKU852010:TKX852010 TAY852010:TBB852010 SRC852010:SRF852010 SHG852010:SHJ852010 RXK852010:RXN852010 RNO852010:RNR852010 RDS852010:RDV852010 QTW852010:QTZ852010 QKA852010:QKD852010 QAE852010:QAH852010 PQI852010:PQL852010 PGM852010:PGP852010 OWQ852010:OWT852010 OMU852010:OMX852010 OCY852010:ODB852010 NTC852010:NTF852010 NJG852010:NJJ852010 MZK852010:MZN852010 MPO852010:MPR852010 MFS852010:MFV852010 LVW852010:LVZ852010 LMA852010:LMD852010 LCE852010:LCH852010 KSI852010:KSL852010 KIM852010:KIP852010 JYQ852010:JYT852010 JOU852010:JOX852010 JEY852010:JFB852010 IVC852010:IVF852010 ILG852010:ILJ852010 IBK852010:IBN852010 HRO852010:HRR852010 HHS852010:HHV852010 GXW852010:GXZ852010 GOA852010:GOD852010 GEE852010:GEH852010 FUI852010:FUL852010 FKM852010:FKP852010 FAQ852010:FAT852010 EQU852010:EQX852010 EGY852010:EHB852010 DXC852010:DXF852010 DNG852010:DNJ852010 DDK852010:DDN852010 CTO852010:CTR852010 CJS852010:CJV852010 BZW852010:BZZ852010 BQA852010:BQD852010 BGE852010:BGH852010 AWI852010:AWL852010 AMM852010:AMP852010 ACQ852010:ACT852010 SU852010:SX852010 IY852010:JB852010 D852010:G852010 WVK786474:WVN786474 WLO786474:WLR786474 WBS786474:WBV786474 VRW786474:VRZ786474 VIA786474:VID786474 UYE786474:UYH786474 UOI786474:UOL786474 UEM786474:UEP786474 TUQ786474:TUT786474 TKU786474:TKX786474 TAY786474:TBB786474 SRC786474:SRF786474 SHG786474:SHJ786474 RXK786474:RXN786474 RNO786474:RNR786474 RDS786474:RDV786474 QTW786474:QTZ786474 QKA786474:QKD786474 QAE786474:QAH786474 PQI786474:PQL786474 PGM786474:PGP786474 OWQ786474:OWT786474 OMU786474:OMX786474 OCY786474:ODB786474 NTC786474:NTF786474 NJG786474:NJJ786474 MZK786474:MZN786474 MPO786474:MPR786474 MFS786474:MFV786474 LVW786474:LVZ786474 LMA786474:LMD786474 LCE786474:LCH786474 KSI786474:KSL786474 KIM786474:KIP786474 JYQ786474:JYT786474 JOU786474:JOX786474 JEY786474:JFB786474 IVC786474:IVF786474 ILG786474:ILJ786474 IBK786474:IBN786474 HRO786474:HRR786474 HHS786474:HHV786474 GXW786474:GXZ786474 GOA786474:GOD786474 GEE786474:GEH786474 FUI786474:FUL786474 FKM786474:FKP786474 FAQ786474:FAT786474 EQU786474:EQX786474 EGY786474:EHB786474 DXC786474:DXF786474 DNG786474:DNJ786474 DDK786474:DDN786474 CTO786474:CTR786474 CJS786474:CJV786474 BZW786474:BZZ786474 BQA786474:BQD786474 BGE786474:BGH786474 AWI786474:AWL786474 AMM786474:AMP786474 ACQ786474:ACT786474 SU786474:SX786474 IY786474:JB786474 D786474:G786474 WVK720938:WVN720938 WLO720938:WLR720938 WBS720938:WBV720938 VRW720938:VRZ720938 VIA720938:VID720938 UYE720938:UYH720938 UOI720938:UOL720938 UEM720938:UEP720938 TUQ720938:TUT720938 TKU720938:TKX720938 TAY720938:TBB720938 SRC720938:SRF720938 SHG720938:SHJ720938 RXK720938:RXN720938 RNO720938:RNR720938 RDS720938:RDV720938 QTW720938:QTZ720938 QKA720938:QKD720938 QAE720938:QAH720938 PQI720938:PQL720938 PGM720938:PGP720938 OWQ720938:OWT720938 OMU720938:OMX720938 OCY720938:ODB720938 NTC720938:NTF720938 NJG720938:NJJ720938 MZK720938:MZN720938 MPO720938:MPR720938 MFS720938:MFV720938 LVW720938:LVZ720938 LMA720938:LMD720938 LCE720938:LCH720938 KSI720938:KSL720938 KIM720938:KIP720938 JYQ720938:JYT720938 JOU720938:JOX720938 JEY720938:JFB720938 IVC720938:IVF720938 ILG720938:ILJ720938 IBK720938:IBN720938 HRO720938:HRR720938 HHS720938:HHV720938 GXW720938:GXZ720938 GOA720938:GOD720938 GEE720938:GEH720938 FUI720938:FUL720938 FKM720938:FKP720938 FAQ720938:FAT720938 EQU720938:EQX720938 EGY720938:EHB720938 DXC720938:DXF720938 DNG720938:DNJ720938 DDK720938:DDN720938 CTO720938:CTR720938 CJS720938:CJV720938 BZW720938:BZZ720938 BQA720938:BQD720938 BGE720938:BGH720938 AWI720938:AWL720938 AMM720938:AMP720938 ACQ720938:ACT720938 SU720938:SX720938 IY720938:JB720938 D720938:G720938 WVK655402:WVN655402 WLO655402:WLR655402 WBS655402:WBV655402 VRW655402:VRZ655402 VIA655402:VID655402 UYE655402:UYH655402 UOI655402:UOL655402 UEM655402:UEP655402 TUQ655402:TUT655402 TKU655402:TKX655402 TAY655402:TBB655402 SRC655402:SRF655402 SHG655402:SHJ655402 RXK655402:RXN655402 RNO655402:RNR655402 RDS655402:RDV655402 QTW655402:QTZ655402 QKA655402:QKD655402 QAE655402:QAH655402 PQI655402:PQL655402 PGM655402:PGP655402 OWQ655402:OWT655402 OMU655402:OMX655402 OCY655402:ODB655402 NTC655402:NTF655402 NJG655402:NJJ655402 MZK655402:MZN655402 MPO655402:MPR655402 MFS655402:MFV655402 LVW655402:LVZ655402 LMA655402:LMD655402 LCE655402:LCH655402 KSI655402:KSL655402 KIM655402:KIP655402 JYQ655402:JYT655402 JOU655402:JOX655402 JEY655402:JFB655402 IVC655402:IVF655402 ILG655402:ILJ655402 IBK655402:IBN655402 HRO655402:HRR655402 HHS655402:HHV655402 GXW655402:GXZ655402 GOA655402:GOD655402 GEE655402:GEH655402 FUI655402:FUL655402 FKM655402:FKP655402 FAQ655402:FAT655402 EQU655402:EQX655402 EGY655402:EHB655402 DXC655402:DXF655402 DNG655402:DNJ655402 DDK655402:DDN655402 CTO655402:CTR655402 CJS655402:CJV655402 BZW655402:BZZ655402 BQA655402:BQD655402 BGE655402:BGH655402 AWI655402:AWL655402 AMM655402:AMP655402 ACQ655402:ACT655402 SU655402:SX655402 IY655402:JB655402 D655402:G655402 WVK589866:WVN589866 WLO589866:WLR589866 WBS589866:WBV589866 VRW589866:VRZ589866 VIA589866:VID589866 UYE589866:UYH589866 UOI589866:UOL589866 UEM589866:UEP589866 TUQ589866:TUT589866 TKU589866:TKX589866 TAY589866:TBB589866 SRC589866:SRF589866 SHG589866:SHJ589866 RXK589866:RXN589866 RNO589866:RNR589866 RDS589866:RDV589866 QTW589866:QTZ589866 QKA589866:QKD589866 QAE589866:QAH589866 PQI589866:PQL589866 PGM589866:PGP589866 OWQ589866:OWT589866 OMU589866:OMX589866 OCY589866:ODB589866 NTC589866:NTF589866 NJG589866:NJJ589866 MZK589866:MZN589866 MPO589866:MPR589866 MFS589866:MFV589866 LVW589866:LVZ589866 LMA589866:LMD589866 LCE589866:LCH589866 KSI589866:KSL589866 KIM589866:KIP589866 JYQ589866:JYT589866 JOU589866:JOX589866 JEY589866:JFB589866 IVC589866:IVF589866 ILG589866:ILJ589866 IBK589866:IBN589866 HRO589866:HRR589866 HHS589866:HHV589866 GXW589866:GXZ589866 GOA589866:GOD589866 GEE589866:GEH589866 FUI589866:FUL589866 FKM589866:FKP589866 FAQ589866:FAT589866 EQU589866:EQX589866 EGY589866:EHB589866 DXC589866:DXF589866 DNG589866:DNJ589866 DDK589866:DDN589866 CTO589866:CTR589866 CJS589866:CJV589866 BZW589866:BZZ589866 BQA589866:BQD589866 BGE589866:BGH589866 AWI589866:AWL589866 AMM589866:AMP589866 ACQ589866:ACT589866 SU589866:SX589866 IY589866:JB589866 D589866:G589866 WVK524330:WVN524330 WLO524330:WLR524330 WBS524330:WBV524330 VRW524330:VRZ524330 VIA524330:VID524330 UYE524330:UYH524330 UOI524330:UOL524330 UEM524330:UEP524330 TUQ524330:TUT524330 TKU524330:TKX524330 TAY524330:TBB524330 SRC524330:SRF524330 SHG524330:SHJ524330 RXK524330:RXN524330 RNO524330:RNR524330 RDS524330:RDV524330 QTW524330:QTZ524330 QKA524330:QKD524330 QAE524330:QAH524330 PQI524330:PQL524330 PGM524330:PGP524330 OWQ524330:OWT524330 OMU524330:OMX524330 OCY524330:ODB524330 NTC524330:NTF524330 NJG524330:NJJ524330 MZK524330:MZN524330 MPO524330:MPR524330 MFS524330:MFV524330 LVW524330:LVZ524330 LMA524330:LMD524330 LCE524330:LCH524330 KSI524330:KSL524330 KIM524330:KIP524330 JYQ524330:JYT524330 JOU524330:JOX524330 JEY524330:JFB524330 IVC524330:IVF524330 ILG524330:ILJ524330 IBK524330:IBN524330 HRO524330:HRR524330 HHS524330:HHV524330 GXW524330:GXZ524330 GOA524330:GOD524330 GEE524330:GEH524330 FUI524330:FUL524330 FKM524330:FKP524330 FAQ524330:FAT524330 EQU524330:EQX524330 EGY524330:EHB524330 DXC524330:DXF524330 DNG524330:DNJ524330 DDK524330:DDN524330 CTO524330:CTR524330 CJS524330:CJV524330 BZW524330:BZZ524330 BQA524330:BQD524330 BGE524330:BGH524330 AWI524330:AWL524330 AMM524330:AMP524330 ACQ524330:ACT524330 SU524330:SX524330 IY524330:JB524330 D524330:G524330 WVK458794:WVN458794 WLO458794:WLR458794 WBS458794:WBV458794 VRW458794:VRZ458794 VIA458794:VID458794 UYE458794:UYH458794 UOI458794:UOL458794 UEM458794:UEP458794 TUQ458794:TUT458794 TKU458794:TKX458794 TAY458794:TBB458794 SRC458794:SRF458794 SHG458794:SHJ458794 RXK458794:RXN458794 RNO458794:RNR458794 RDS458794:RDV458794 QTW458794:QTZ458794 QKA458794:QKD458794 QAE458794:QAH458794 PQI458794:PQL458794 PGM458794:PGP458794 OWQ458794:OWT458794 OMU458794:OMX458794 OCY458794:ODB458794 NTC458794:NTF458794 NJG458794:NJJ458794 MZK458794:MZN458794 MPO458794:MPR458794 MFS458794:MFV458794 LVW458794:LVZ458794 LMA458794:LMD458794 LCE458794:LCH458794 KSI458794:KSL458794 KIM458794:KIP458794 JYQ458794:JYT458794 JOU458794:JOX458794 JEY458794:JFB458794 IVC458794:IVF458794 ILG458794:ILJ458794 IBK458794:IBN458794 HRO458794:HRR458794 HHS458794:HHV458794 GXW458794:GXZ458794 GOA458794:GOD458794 GEE458794:GEH458794 FUI458794:FUL458794 FKM458794:FKP458794 FAQ458794:FAT458794 EQU458794:EQX458794 EGY458794:EHB458794 DXC458794:DXF458794 DNG458794:DNJ458794 DDK458794:DDN458794 CTO458794:CTR458794 CJS458794:CJV458794 BZW458794:BZZ458794 BQA458794:BQD458794 BGE458794:BGH458794 AWI458794:AWL458794 AMM458794:AMP458794 ACQ458794:ACT458794 SU458794:SX458794 IY458794:JB458794 D458794:G458794 WVK393258:WVN393258 WLO393258:WLR393258 WBS393258:WBV393258 VRW393258:VRZ393258 VIA393258:VID393258 UYE393258:UYH393258 UOI393258:UOL393258 UEM393258:UEP393258 TUQ393258:TUT393258 TKU393258:TKX393258 TAY393258:TBB393258 SRC393258:SRF393258 SHG393258:SHJ393258 RXK393258:RXN393258 RNO393258:RNR393258 RDS393258:RDV393258 QTW393258:QTZ393258 QKA393258:QKD393258 QAE393258:QAH393258 PQI393258:PQL393258 PGM393258:PGP393258 OWQ393258:OWT393258 OMU393258:OMX393258 OCY393258:ODB393258 NTC393258:NTF393258 NJG393258:NJJ393258 MZK393258:MZN393258 MPO393258:MPR393258 MFS393258:MFV393258 LVW393258:LVZ393258 LMA393258:LMD393258 LCE393258:LCH393258 KSI393258:KSL393258 KIM393258:KIP393258 JYQ393258:JYT393258 JOU393258:JOX393258 JEY393258:JFB393258 IVC393258:IVF393258 ILG393258:ILJ393258 IBK393258:IBN393258 HRO393258:HRR393258 HHS393258:HHV393258 GXW393258:GXZ393258 GOA393258:GOD393258 GEE393258:GEH393258 FUI393258:FUL393258 FKM393258:FKP393258 FAQ393258:FAT393258 EQU393258:EQX393258 EGY393258:EHB393258 DXC393258:DXF393258 DNG393258:DNJ393258 DDK393258:DDN393258 CTO393258:CTR393258 CJS393258:CJV393258 BZW393258:BZZ393258 BQA393258:BQD393258 BGE393258:BGH393258 AWI393258:AWL393258 AMM393258:AMP393258 ACQ393258:ACT393258 SU393258:SX393258 IY393258:JB393258 D393258:G393258 WVK327722:WVN327722 WLO327722:WLR327722 WBS327722:WBV327722 VRW327722:VRZ327722 VIA327722:VID327722 UYE327722:UYH327722 UOI327722:UOL327722 UEM327722:UEP327722 TUQ327722:TUT327722 TKU327722:TKX327722 TAY327722:TBB327722 SRC327722:SRF327722 SHG327722:SHJ327722 RXK327722:RXN327722 RNO327722:RNR327722 RDS327722:RDV327722 QTW327722:QTZ327722 QKA327722:QKD327722 QAE327722:QAH327722 PQI327722:PQL327722 PGM327722:PGP327722 OWQ327722:OWT327722 OMU327722:OMX327722 OCY327722:ODB327722 NTC327722:NTF327722 NJG327722:NJJ327722 MZK327722:MZN327722 MPO327722:MPR327722 MFS327722:MFV327722 LVW327722:LVZ327722 LMA327722:LMD327722 LCE327722:LCH327722 KSI327722:KSL327722 KIM327722:KIP327722 JYQ327722:JYT327722 JOU327722:JOX327722 JEY327722:JFB327722 IVC327722:IVF327722 ILG327722:ILJ327722 IBK327722:IBN327722 HRO327722:HRR327722 HHS327722:HHV327722 GXW327722:GXZ327722 GOA327722:GOD327722 GEE327722:GEH327722 FUI327722:FUL327722 FKM327722:FKP327722 FAQ327722:FAT327722 EQU327722:EQX327722 EGY327722:EHB327722 DXC327722:DXF327722 DNG327722:DNJ327722 DDK327722:DDN327722 CTO327722:CTR327722 CJS327722:CJV327722 BZW327722:BZZ327722 BQA327722:BQD327722 BGE327722:BGH327722 AWI327722:AWL327722 AMM327722:AMP327722 ACQ327722:ACT327722 SU327722:SX327722 IY327722:JB327722 D327722:G327722 WVK262186:WVN262186 WLO262186:WLR262186 WBS262186:WBV262186 VRW262186:VRZ262186 VIA262186:VID262186 UYE262186:UYH262186 UOI262186:UOL262186 UEM262186:UEP262186 TUQ262186:TUT262186 TKU262186:TKX262186 TAY262186:TBB262186 SRC262186:SRF262186 SHG262186:SHJ262186 RXK262186:RXN262186 RNO262186:RNR262186 RDS262186:RDV262186 QTW262186:QTZ262186 QKA262186:QKD262186 QAE262186:QAH262186 PQI262186:PQL262186 PGM262186:PGP262186 OWQ262186:OWT262186 OMU262186:OMX262186 OCY262186:ODB262186 NTC262186:NTF262186 NJG262186:NJJ262186 MZK262186:MZN262186 MPO262186:MPR262186 MFS262186:MFV262186 LVW262186:LVZ262186 LMA262186:LMD262186 LCE262186:LCH262186 KSI262186:KSL262186 KIM262186:KIP262186 JYQ262186:JYT262186 JOU262186:JOX262186 JEY262186:JFB262186 IVC262186:IVF262186 ILG262186:ILJ262186 IBK262186:IBN262186 HRO262186:HRR262186 HHS262186:HHV262186 GXW262186:GXZ262186 GOA262186:GOD262186 GEE262186:GEH262186 FUI262186:FUL262186 FKM262186:FKP262186 FAQ262186:FAT262186 EQU262186:EQX262186 EGY262186:EHB262186 DXC262186:DXF262186 DNG262186:DNJ262186 DDK262186:DDN262186 CTO262186:CTR262186 CJS262186:CJV262186 BZW262186:BZZ262186 BQA262186:BQD262186 BGE262186:BGH262186 AWI262186:AWL262186 AMM262186:AMP262186 ACQ262186:ACT262186 SU262186:SX262186 IY262186:JB262186 D262186:G262186 WVK196650:WVN196650 WLO196650:WLR196650 WBS196650:WBV196650 VRW196650:VRZ196650 VIA196650:VID196650 UYE196650:UYH196650 UOI196650:UOL196650 UEM196650:UEP196650 TUQ196650:TUT196650 TKU196650:TKX196650 TAY196650:TBB196650 SRC196650:SRF196650 SHG196650:SHJ196650 RXK196650:RXN196650 RNO196650:RNR196650 RDS196650:RDV196650 QTW196650:QTZ196650 QKA196650:QKD196650 QAE196650:QAH196650 PQI196650:PQL196650 PGM196650:PGP196650 OWQ196650:OWT196650 OMU196650:OMX196650 OCY196650:ODB196650 NTC196650:NTF196650 NJG196650:NJJ196650 MZK196650:MZN196650 MPO196650:MPR196650 MFS196650:MFV196650 LVW196650:LVZ196650 LMA196650:LMD196650 LCE196650:LCH196650 KSI196650:KSL196650 KIM196650:KIP196650 JYQ196650:JYT196650 JOU196650:JOX196650 JEY196650:JFB196650 IVC196650:IVF196650 ILG196650:ILJ196650 IBK196650:IBN196650 HRO196650:HRR196650 HHS196650:HHV196650 GXW196650:GXZ196650 GOA196650:GOD196650 GEE196650:GEH196650 FUI196650:FUL196650 FKM196650:FKP196650 FAQ196650:FAT196650 EQU196650:EQX196650 EGY196650:EHB196650 DXC196650:DXF196650 DNG196650:DNJ196650 DDK196650:DDN196650 CTO196650:CTR196650 CJS196650:CJV196650 BZW196650:BZZ196650 BQA196650:BQD196650 BGE196650:BGH196650 AWI196650:AWL196650 AMM196650:AMP196650 ACQ196650:ACT196650 SU196650:SX196650 IY196650:JB196650 D196650:G196650 WVK131114:WVN131114 WLO131114:WLR131114 WBS131114:WBV131114 VRW131114:VRZ131114 VIA131114:VID131114 UYE131114:UYH131114 UOI131114:UOL131114 UEM131114:UEP131114 TUQ131114:TUT131114 TKU131114:TKX131114 TAY131114:TBB131114 SRC131114:SRF131114 SHG131114:SHJ131114 RXK131114:RXN131114 RNO131114:RNR131114 RDS131114:RDV131114 QTW131114:QTZ131114 QKA131114:QKD131114 QAE131114:QAH131114 PQI131114:PQL131114 PGM131114:PGP131114 OWQ131114:OWT131114 OMU131114:OMX131114 OCY131114:ODB131114 NTC131114:NTF131114 NJG131114:NJJ131114 MZK131114:MZN131114 MPO131114:MPR131114 MFS131114:MFV131114 LVW131114:LVZ131114 LMA131114:LMD131114 LCE131114:LCH131114 KSI131114:KSL131114 KIM131114:KIP131114 JYQ131114:JYT131114 JOU131114:JOX131114 JEY131114:JFB131114 IVC131114:IVF131114 ILG131114:ILJ131114 IBK131114:IBN131114 HRO131114:HRR131114 HHS131114:HHV131114 GXW131114:GXZ131114 GOA131114:GOD131114 GEE131114:GEH131114 FUI131114:FUL131114 FKM131114:FKP131114 FAQ131114:FAT131114 EQU131114:EQX131114 EGY131114:EHB131114 DXC131114:DXF131114 DNG131114:DNJ131114 DDK131114:DDN131114 CTO131114:CTR131114 CJS131114:CJV131114 BZW131114:BZZ131114 BQA131114:BQD131114 BGE131114:BGH131114 AWI131114:AWL131114 AMM131114:AMP131114 ACQ131114:ACT131114 SU131114:SX131114 IY131114:JB131114 D131114:G131114 WVK65578:WVN65578 WLO65578:WLR65578 WBS65578:WBV65578 VRW65578:VRZ65578 VIA65578:VID65578 UYE65578:UYH65578 UOI65578:UOL65578 UEM65578:UEP65578 TUQ65578:TUT65578 TKU65578:TKX65578 TAY65578:TBB65578 SRC65578:SRF65578 SHG65578:SHJ65578 RXK65578:RXN65578 RNO65578:RNR65578 RDS65578:RDV65578 QTW65578:QTZ65578 QKA65578:QKD65578 QAE65578:QAH65578 PQI65578:PQL65578 PGM65578:PGP65578 OWQ65578:OWT65578 OMU65578:OMX65578 OCY65578:ODB65578 NTC65578:NTF65578 NJG65578:NJJ65578 MZK65578:MZN65578 MPO65578:MPR65578 MFS65578:MFV65578 LVW65578:LVZ65578 LMA65578:LMD65578 LCE65578:LCH65578 KSI65578:KSL65578 KIM65578:KIP65578 JYQ65578:JYT65578 JOU65578:JOX65578 JEY65578:JFB65578 IVC65578:IVF65578 ILG65578:ILJ65578 IBK65578:IBN65578 HRO65578:HRR65578 HHS65578:HHV65578 GXW65578:GXZ65578 GOA65578:GOD65578 GEE65578:GEH65578 FUI65578:FUL65578 FKM65578:FKP65578 FAQ65578:FAT65578 EQU65578:EQX65578 EGY65578:EHB65578 DXC65578:DXF65578 DNG65578:DNJ65578 DDK65578:DDN65578 CTO65578:CTR65578 CJS65578:CJV65578 BZW65578:BZZ65578 BQA65578:BQD65578 BGE65578:BGH65578 AWI65578:AWL65578 AMM65578:AMP65578 ACQ65578:ACT65578 SU65578:SX65578 IY65578:JB65578 D65578:G65578 WVK48:WVN48 WLO48:WLR48 WBS48:WBV48 VRW48:VRZ48 VIA48:VID48 UYE48:UYH48 UOI48:UOL48 UEM48:UEP48 TUQ48:TUT48 TKU48:TKX48 TAY48:TBB48 SRC48:SRF48 SHG48:SHJ48 RXK48:RXN48 RNO48:RNR48 RDS48:RDV48 QTW48:QTZ48 QKA48:QKD48 QAE48:QAH48 PQI48:PQL48 PGM48:PGP48 OWQ48:OWT48 OMU48:OMX48 OCY48:ODB48 NTC48:NTF48 NJG48:NJJ48 MZK48:MZN48 MPO48:MPR48 MFS48:MFV48 LVW48:LVZ48 LMA48:LMD48 LCE48:LCH48 KSI48:KSL48 KIM48:KIP48 JYQ48:JYT48 JOU48:JOX48 JEY48:JFB48 IVC48:IVF48 ILG48:ILJ48 IBK48:IBN48 HRO48:HRR48 HHS48:HHV48 GXW48:GXZ48 GOA48:GOD48 GEE48:GEH48 FUI48:FUL48 FKM48:FKP48 FAQ48:FAT48 EQU48:EQX48 EGY48:EHB48 DXC48:DXF48 DNG48:DNJ48 DDK48:DDN48 CTO48:CTR48 CJS48:CJV48 BZW48:BZZ48 BQA48:BQD48 BGE48:BGH48 AWI48:AWL48 AMM48:AMP48 ACQ48:ACT48 SU48:SX48">
      <formula1>$M$34:$M$37</formula1>
    </dataValidation>
    <dataValidation type="list" allowBlank="1" showInputMessage="1" showErrorMessage="1" promptTitle="Kepemilikan Tempat Usaha" prompt="Dipilih status kepemilikan tempat usaha Pemohon. Apabila memiliki berbagai macam tempat usaha, dipilih status kepemilikan dari tempat usaha yang utama atau tempat usaha yang memiliki kontribusi terbesar atas penjualan" sqref="IY47:JB47 WVK983081:WVN983081 WLO983081:WLR983081 WBS983081:WBV983081 VRW983081:VRZ983081 VIA983081:VID983081 UYE983081:UYH983081 UOI983081:UOL983081 UEM983081:UEP983081 TUQ983081:TUT983081 TKU983081:TKX983081 TAY983081:TBB983081 SRC983081:SRF983081 SHG983081:SHJ983081 RXK983081:RXN983081 RNO983081:RNR983081 RDS983081:RDV983081 QTW983081:QTZ983081 QKA983081:QKD983081 QAE983081:QAH983081 PQI983081:PQL983081 PGM983081:PGP983081 OWQ983081:OWT983081 OMU983081:OMX983081 OCY983081:ODB983081 NTC983081:NTF983081 NJG983081:NJJ983081 MZK983081:MZN983081 MPO983081:MPR983081 MFS983081:MFV983081 LVW983081:LVZ983081 LMA983081:LMD983081 LCE983081:LCH983081 KSI983081:KSL983081 KIM983081:KIP983081 JYQ983081:JYT983081 JOU983081:JOX983081 JEY983081:JFB983081 IVC983081:IVF983081 ILG983081:ILJ983081 IBK983081:IBN983081 HRO983081:HRR983081 HHS983081:HHV983081 GXW983081:GXZ983081 GOA983081:GOD983081 GEE983081:GEH983081 FUI983081:FUL983081 FKM983081:FKP983081 FAQ983081:FAT983081 EQU983081:EQX983081 EGY983081:EHB983081 DXC983081:DXF983081 DNG983081:DNJ983081 DDK983081:DDN983081 CTO983081:CTR983081 CJS983081:CJV983081 BZW983081:BZZ983081 BQA983081:BQD983081 BGE983081:BGH983081 AWI983081:AWL983081 AMM983081:AMP983081 ACQ983081:ACT983081 SU983081:SX983081 IY983081:JB983081 D983081:G983081 WVK917545:WVN917545 WLO917545:WLR917545 WBS917545:WBV917545 VRW917545:VRZ917545 VIA917545:VID917545 UYE917545:UYH917545 UOI917545:UOL917545 UEM917545:UEP917545 TUQ917545:TUT917545 TKU917545:TKX917545 TAY917545:TBB917545 SRC917545:SRF917545 SHG917545:SHJ917545 RXK917545:RXN917545 RNO917545:RNR917545 RDS917545:RDV917545 QTW917545:QTZ917545 QKA917545:QKD917545 QAE917545:QAH917545 PQI917545:PQL917545 PGM917545:PGP917545 OWQ917545:OWT917545 OMU917545:OMX917545 OCY917545:ODB917545 NTC917545:NTF917545 NJG917545:NJJ917545 MZK917545:MZN917545 MPO917545:MPR917545 MFS917545:MFV917545 LVW917545:LVZ917545 LMA917545:LMD917545 LCE917545:LCH917545 KSI917545:KSL917545 KIM917545:KIP917545 JYQ917545:JYT917545 JOU917545:JOX917545 JEY917545:JFB917545 IVC917545:IVF917545 ILG917545:ILJ917545 IBK917545:IBN917545 HRO917545:HRR917545 HHS917545:HHV917545 GXW917545:GXZ917545 GOA917545:GOD917545 GEE917545:GEH917545 FUI917545:FUL917545 FKM917545:FKP917545 FAQ917545:FAT917545 EQU917545:EQX917545 EGY917545:EHB917545 DXC917545:DXF917545 DNG917545:DNJ917545 DDK917545:DDN917545 CTO917545:CTR917545 CJS917545:CJV917545 BZW917545:BZZ917545 BQA917545:BQD917545 BGE917545:BGH917545 AWI917545:AWL917545 AMM917545:AMP917545 ACQ917545:ACT917545 SU917545:SX917545 IY917545:JB917545 D917545:G917545 WVK852009:WVN852009 WLO852009:WLR852009 WBS852009:WBV852009 VRW852009:VRZ852009 VIA852009:VID852009 UYE852009:UYH852009 UOI852009:UOL852009 UEM852009:UEP852009 TUQ852009:TUT852009 TKU852009:TKX852009 TAY852009:TBB852009 SRC852009:SRF852009 SHG852009:SHJ852009 RXK852009:RXN852009 RNO852009:RNR852009 RDS852009:RDV852009 QTW852009:QTZ852009 QKA852009:QKD852009 QAE852009:QAH852009 PQI852009:PQL852009 PGM852009:PGP852009 OWQ852009:OWT852009 OMU852009:OMX852009 OCY852009:ODB852009 NTC852009:NTF852009 NJG852009:NJJ852009 MZK852009:MZN852009 MPO852009:MPR852009 MFS852009:MFV852009 LVW852009:LVZ852009 LMA852009:LMD852009 LCE852009:LCH852009 KSI852009:KSL852009 KIM852009:KIP852009 JYQ852009:JYT852009 JOU852009:JOX852009 JEY852009:JFB852009 IVC852009:IVF852009 ILG852009:ILJ852009 IBK852009:IBN852009 HRO852009:HRR852009 HHS852009:HHV852009 GXW852009:GXZ852009 GOA852009:GOD852009 GEE852009:GEH852009 FUI852009:FUL852009 FKM852009:FKP852009 FAQ852009:FAT852009 EQU852009:EQX852009 EGY852009:EHB852009 DXC852009:DXF852009 DNG852009:DNJ852009 DDK852009:DDN852009 CTO852009:CTR852009 CJS852009:CJV852009 BZW852009:BZZ852009 BQA852009:BQD852009 BGE852009:BGH852009 AWI852009:AWL852009 AMM852009:AMP852009 ACQ852009:ACT852009 SU852009:SX852009 IY852009:JB852009 D852009:G852009 WVK786473:WVN786473 WLO786473:WLR786473 WBS786473:WBV786473 VRW786473:VRZ786473 VIA786473:VID786473 UYE786473:UYH786473 UOI786473:UOL786473 UEM786473:UEP786473 TUQ786473:TUT786473 TKU786473:TKX786473 TAY786473:TBB786473 SRC786473:SRF786473 SHG786473:SHJ786473 RXK786473:RXN786473 RNO786473:RNR786473 RDS786473:RDV786473 QTW786473:QTZ786473 QKA786473:QKD786473 QAE786473:QAH786473 PQI786473:PQL786473 PGM786473:PGP786473 OWQ786473:OWT786473 OMU786473:OMX786473 OCY786473:ODB786473 NTC786473:NTF786473 NJG786473:NJJ786473 MZK786473:MZN786473 MPO786473:MPR786473 MFS786473:MFV786473 LVW786473:LVZ786473 LMA786473:LMD786473 LCE786473:LCH786473 KSI786473:KSL786473 KIM786473:KIP786473 JYQ786473:JYT786473 JOU786473:JOX786473 JEY786473:JFB786473 IVC786473:IVF786473 ILG786473:ILJ786473 IBK786473:IBN786473 HRO786473:HRR786473 HHS786473:HHV786473 GXW786473:GXZ786473 GOA786473:GOD786473 GEE786473:GEH786473 FUI786473:FUL786473 FKM786473:FKP786473 FAQ786473:FAT786473 EQU786473:EQX786473 EGY786473:EHB786473 DXC786473:DXF786473 DNG786473:DNJ786473 DDK786473:DDN786473 CTO786473:CTR786473 CJS786473:CJV786473 BZW786473:BZZ786473 BQA786473:BQD786473 BGE786473:BGH786473 AWI786473:AWL786473 AMM786473:AMP786473 ACQ786473:ACT786473 SU786473:SX786473 IY786473:JB786473 D786473:G786473 WVK720937:WVN720937 WLO720937:WLR720937 WBS720937:WBV720937 VRW720937:VRZ720937 VIA720937:VID720937 UYE720937:UYH720937 UOI720937:UOL720937 UEM720937:UEP720937 TUQ720937:TUT720937 TKU720937:TKX720937 TAY720937:TBB720937 SRC720937:SRF720937 SHG720937:SHJ720937 RXK720937:RXN720937 RNO720937:RNR720937 RDS720937:RDV720937 QTW720937:QTZ720937 QKA720937:QKD720937 QAE720937:QAH720937 PQI720937:PQL720937 PGM720937:PGP720937 OWQ720937:OWT720937 OMU720937:OMX720937 OCY720937:ODB720937 NTC720937:NTF720937 NJG720937:NJJ720937 MZK720937:MZN720937 MPO720937:MPR720937 MFS720937:MFV720937 LVW720937:LVZ720937 LMA720937:LMD720937 LCE720937:LCH720937 KSI720937:KSL720937 KIM720937:KIP720937 JYQ720937:JYT720937 JOU720937:JOX720937 JEY720937:JFB720937 IVC720937:IVF720937 ILG720937:ILJ720937 IBK720937:IBN720937 HRO720937:HRR720937 HHS720937:HHV720937 GXW720937:GXZ720937 GOA720937:GOD720937 GEE720937:GEH720937 FUI720937:FUL720937 FKM720937:FKP720937 FAQ720937:FAT720937 EQU720937:EQX720937 EGY720937:EHB720937 DXC720937:DXF720937 DNG720937:DNJ720937 DDK720937:DDN720937 CTO720937:CTR720937 CJS720937:CJV720937 BZW720937:BZZ720937 BQA720937:BQD720937 BGE720937:BGH720937 AWI720937:AWL720937 AMM720937:AMP720937 ACQ720937:ACT720937 SU720937:SX720937 IY720937:JB720937 D720937:G720937 WVK655401:WVN655401 WLO655401:WLR655401 WBS655401:WBV655401 VRW655401:VRZ655401 VIA655401:VID655401 UYE655401:UYH655401 UOI655401:UOL655401 UEM655401:UEP655401 TUQ655401:TUT655401 TKU655401:TKX655401 TAY655401:TBB655401 SRC655401:SRF655401 SHG655401:SHJ655401 RXK655401:RXN655401 RNO655401:RNR655401 RDS655401:RDV655401 QTW655401:QTZ655401 QKA655401:QKD655401 QAE655401:QAH655401 PQI655401:PQL655401 PGM655401:PGP655401 OWQ655401:OWT655401 OMU655401:OMX655401 OCY655401:ODB655401 NTC655401:NTF655401 NJG655401:NJJ655401 MZK655401:MZN655401 MPO655401:MPR655401 MFS655401:MFV655401 LVW655401:LVZ655401 LMA655401:LMD655401 LCE655401:LCH655401 KSI655401:KSL655401 KIM655401:KIP655401 JYQ655401:JYT655401 JOU655401:JOX655401 JEY655401:JFB655401 IVC655401:IVF655401 ILG655401:ILJ655401 IBK655401:IBN655401 HRO655401:HRR655401 HHS655401:HHV655401 GXW655401:GXZ655401 GOA655401:GOD655401 GEE655401:GEH655401 FUI655401:FUL655401 FKM655401:FKP655401 FAQ655401:FAT655401 EQU655401:EQX655401 EGY655401:EHB655401 DXC655401:DXF655401 DNG655401:DNJ655401 DDK655401:DDN655401 CTO655401:CTR655401 CJS655401:CJV655401 BZW655401:BZZ655401 BQA655401:BQD655401 BGE655401:BGH655401 AWI655401:AWL655401 AMM655401:AMP655401 ACQ655401:ACT655401 SU655401:SX655401 IY655401:JB655401 D655401:G655401 WVK589865:WVN589865 WLO589865:WLR589865 WBS589865:WBV589865 VRW589865:VRZ589865 VIA589865:VID589865 UYE589865:UYH589865 UOI589865:UOL589865 UEM589865:UEP589865 TUQ589865:TUT589865 TKU589865:TKX589865 TAY589865:TBB589865 SRC589865:SRF589865 SHG589865:SHJ589865 RXK589865:RXN589865 RNO589865:RNR589865 RDS589865:RDV589865 QTW589865:QTZ589865 QKA589865:QKD589865 QAE589865:QAH589865 PQI589865:PQL589865 PGM589865:PGP589865 OWQ589865:OWT589865 OMU589865:OMX589865 OCY589865:ODB589865 NTC589865:NTF589865 NJG589865:NJJ589865 MZK589865:MZN589865 MPO589865:MPR589865 MFS589865:MFV589865 LVW589865:LVZ589865 LMA589865:LMD589865 LCE589865:LCH589865 KSI589865:KSL589865 KIM589865:KIP589865 JYQ589865:JYT589865 JOU589865:JOX589865 JEY589865:JFB589865 IVC589865:IVF589865 ILG589865:ILJ589865 IBK589865:IBN589865 HRO589865:HRR589865 HHS589865:HHV589865 GXW589865:GXZ589865 GOA589865:GOD589865 GEE589865:GEH589865 FUI589865:FUL589865 FKM589865:FKP589865 FAQ589865:FAT589865 EQU589865:EQX589865 EGY589865:EHB589865 DXC589865:DXF589865 DNG589865:DNJ589865 DDK589865:DDN589865 CTO589865:CTR589865 CJS589865:CJV589865 BZW589865:BZZ589865 BQA589865:BQD589865 BGE589865:BGH589865 AWI589865:AWL589865 AMM589865:AMP589865 ACQ589865:ACT589865 SU589865:SX589865 IY589865:JB589865 D589865:G589865 WVK524329:WVN524329 WLO524329:WLR524329 WBS524329:WBV524329 VRW524329:VRZ524329 VIA524329:VID524329 UYE524329:UYH524329 UOI524329:UOL524329 UEM524329:UEP524329 TUQ524329:TUT524329 TKU524329:TKX524329 TAY524329:TBB524329 SRC524329:SRF524329 SHG524329:SHJ524329 RXK524329:RXN524329 RNO524329:RNR524329 RDS524329:RDV524329 QTW524329:QTZ524329 QKA524329:QKD524329 QAE524329:QAH524329 PQI524329:PQL524329 PGM524329:PGP524329 OWQ524329:OWT524329 OMU524329:OMX524329 OCY524329:ODB524329 NTC524329:NTF524329 NJG524329:NJJ524329 MZK524329:MZN524329 MPO524329:MPR524329 MFS524329:MFV524329 LVW524329:LVZ524329 LMA524329:LMD524329 LCE524329:LCH524329 KSI524329:KSL524329 KIM524329:KIP524329 JYQ524329:JYT524329 JOU524329:JOX524329 JEY524329:JFB524329 IVC524329:IVF524329 ILG524329:ILJ524329 IBK524329:IBN524329 HRO524329:HRR524329 HHS524329:HHV524329 GXW524329:GXZ524329 GOA524329:GOD524329 GEE524329:GEH524329 FUI524329:FUL524329 FKM524329:FKP524329 FAQ524329:FAT524329 EQU524329:EQX524329 EGY524329:EHB524329 DXC524329:DXF524329 DNG524329:DNJ524329 DDK524329:DDN524329 CTO524329:CTR524329 CJS524329:CJV524329 BZW524329:BZZ524329 BQA524329:BQD524329 BGE524329:BGH524329 AWI524329:AWL524329 AMM524329:AMP524329 ACQ524329:ACT524329 SU524329:SX524329 IY524329:JB524329 D524329:G524329 WVK458793:WVN458793 WLO458793:WLR458793 WBS458793:WBV458793 VRW458793:VRZ458793 VIA458793:VID458793 UYE458793:UYH458793 UOI458793:UOL458793 UEM458793:UEP458793 TUQ458793:TUT458793 TKU458793:TKX458793 TAY458793:TBB458793 SRC458793:SRF458793 SHG458793:SHJ458793 RXK458793:RXN458793 RNO458793:RNR458793 RDS458793:RDV458793 QTW458793:QTZ458793 QKA458793:QKD458793 QAE458793:QAH458793 PQI458793:PQL458793 PGM458793:PGP458793 OWQ458793:OWT458793 OMU458793:OMX458793 OCY458793:ODB458793 NTC458793:NTF458793 NJG458793:NJJ458793 MZK458793:MZN458793 MPO458793:MPR458793 MFS458793:MFV458793 LVW458793:LVZ458793 LMA458793:LMD458793 LCE458793:LCH458793 KSI458793:KSL458793 KIM458793:KIP458793 JYQ458793:JYT458793 JOU458793:JOX458793 JEY458793:JFB458793 IVC458793:IVF458793 ILG458793:ILJ458793 IBK458793:IBN458793 HRO458793:HRR458793 HHS458793:HHV458793 GXW458793:GXZ458793 GOA458793:GOD458793 GEE458793:GEH458793 FUI458793:FUL458793 FKM458793:FKP458793 FAQ458793:FAT458793 EQU458793:EQX458793 EGY458793:EHB458793 DXC458793:DXF458793 DNG458793:DNJ458793 DDK458793:DDN458793 CTO458793:CTR458793 CJS458793:CJV458793 BZW458793:BZZ458793 BQA458793:BQD458793 BGE458793:BGH458793 AWI458793:AWL458793 AMM458793:AMP458793 ACQ458793:ACT458793 SU458793:SX458793 IY458793:JB458793 D458793:G458793 WVK393257:WVN393257 WLO393257:WLR393257 WBS393257:WBV393257 VRW393257:VRZ393257 VIA393257:VID393257 UYE393257:UYH393257 UOI393257:UOL393257 UEM393257:UEP393257 TUQ393257:TUT393257 TKU393257:TKX393257 TAY393257:TBB393257 SRC393257:SRF393257 SHG393257:SHJ393257 RXK393257:RXN393257 RNO393257:RNR393257 RDS393257:RDV393257 QTW393257:QTZ393257 QKA393257:QKD393257 QAE393257:QAH393257 PQI393257:PQL393257 PGM393257:PGP393257 OWQ393257:OWT393257 OMU393257:OMX393257 OCY393257:ODB393257 NTC393257:NTF393257 NJG393257:NJJ393257 MZK393257:MZN393257 MPO393257:MPR393257 MFS393257:MFV393257 LVW393257:LVZ393257 LMA393257:LMD393257 LCE393257:LCH393257 KSI393257:KSL393257 KIM393257:KIP393257 JYQ393257:JYT393257 JOU393257:JOX393257 JEY393257:JFB393257 IVC393257:IVF393257 ILG393257:ILJ393257 IBK393257:IBN393257 HRO393257:HRR393257 HHS393257:HHV393257 GXW393257:GXZ393257 GOA393257:GOD393257 GEE393257:GEH393257 FUI393257:FUL393257 FKM393257:FKP393257 FAQ393257:FAT393257 EQU393257:EQX393257 EGY393257:EHB393257 DXC393257:DXF393257 DNG393257:DNJ393257 DDK393257:DDN393257 CTO393257:CTR393257 CJS393257:CJV393257 BZW393257:BZZ393257 BQA393257:BQD393257 BGE393257:BGH393257 AWI393257:AWL393257 AMM393257:AMP393257 ACQ393257:ACT393257 SU393257:SX393257 IY393257:JB393257 D393257:G393257 WVK327721:WVN327721 WLO327721:WLR327721 WBS327721:WBV327721 VRW327721:VRZ327721 VIA327721:VID327721 UYE327721:UYH327721 UOI327721:UOL327721 UEM327721:UEP327721 TUQ327721:TUT327721 TKU327721:TKX327721 TAY327721:TBB327721 SRC327721:SRF327721 SHG327721:SHJ327721 RXK327721:RXN327721 RNO327721:RNR327721 RDS327721:RDV327721 QTW327721:QTZ327721 QKA327721:QKD327721 QAE327721:QAH327721 PQI327721:PQL327721 PGM327721:PGP327721 OWQ327721:OWT327721 OMU327721:OMX327721 OCY327721:ODB327721 NTC327721:NTF327721 NJG327721:NJJ327721 MZK327721:MZN327721 MPO327721:MPR327721 MFS327721:MFV327721 LVW327721:LVZ327721 LMA327721:LMD327721 LCE327721:LCH327721 KSI327721:KSL327721 KIM327721:KIP327721 JYQ327721:JYT327721 JOU327721:JOX327721 JEY327721:JFB327721 IVC327721:IVF327721 ILG327721:ILJ327721 IBK327721:IBN327721 HRO327721:HRR327721 HHS327721:HHV327721 GXW327721:GXZ327721 GOA327721:GOD327721 GEE327721:GEH327721 FUI327721:FUL327721 FKM327721:FKP327721 FAQ327721:FAT327721 EQU327721:EQX327721 EGY327721:EHB327721 DXC327721:DXF327721 DNG327721:DNJ327721 DDK327721:DDN327721 CTO327721:CTR327721 CJS327721:CJV327721 BZW327721:BZZ327721 BQA327721:BQD327721 BGE327721:BGH327721 AWI327721:AWL327721 AMM327721:AMP327721 ACQ327721:ACT327721 SU327721:SX327721 IY327721:JB327721 D327721:G327721 WVK262185:WVN262185 WLO262185:WLR262185 WBS262185:WBV262185 VRW262185:VRZ262185 VIA262185:VID262185 UYE262185:UYH262185 UOI262185:UOL262185 UEM262185:UEP262185 TUQ262185:TUT262185 TKU262185:TKX262185 TAY262185:TBB262185 SRC262185:SRF262185 SHG262185:SHJ262185 RXK262185:RXN262185 RNO262185:RNR262185 RDS262185:RDV262185 QTW262185:QTZ262185 QKA262185:QKD262185 QAE262185:QAH262185 PQI262185:PQL262185 PGM262185:PGP262185 OWQ262185:OWT262185 OMU262185:OMX262185 OCY262185:ODB262185 NTC262185:NTF262185 NJG262185:NJJ262185 MZK262185:MZN262185 MPO262185:MPR262185 MFS262185:MFV262185 LVW262185:LVZ262185 LMA262185:LMD262185 LCE262185:LCH262185 KSI262185:KSL262185 KIM262185:KIP262185 JYQ262185:JYT262185 JOU262185:JOX262185 JEY262185:JFB262185 IVC262185:IVF262185 ILG262185:ILJ262185 IBK262185:IBN262185 HRO262185:HRR262185 HHS262185:HHV262185 GXW262185:GXZ262185 GOA262185:GOD262185 GEE262185:GEH262185 FUI262185:FUL262185 FKM262185:FKP262185 FAQ262185:FAT262185 EQU262185:EQX262185 EGY262185:EHB262185 DXC262185:DXF262185 DNG262185:DNJ262185 DDK262185:DDN262185 CTO262185:CTR262185 CJS262185:CJV262185 BZW262185:BZZ262185 BQA262185:BQD262185 BGE262185:BGH262185 AWI262185:AWL262185 AMM262185:AMP262185 ACQ262185:ACT262185 SU262185:SX262185 IY262185:JB262185 D262185:G262185 WVK196649:WVN196649 WLO196649:WLR196649 WBS196649:WBV196649 VRW196649:VRZ196649 VIA196649:VID196649 UYE196649:UYH196649 UOI196649:UOL196649 UEM196649:UEP196649 TUQ196649:TUT196649 TKU196649:TKX196649 TAY196649:TBB196649 SRC196649:SRF196649 SHG196649:SHJ196649 RXK196649:RXN196649 RNO196649:RNR196649 RDS196649:RDV196649 QTW196649:QTZ196649 QKA196649:QKD196649 QAE196649:QAH196649 PQI196649:PQL196649 PGM196649:PGP196649 OWQ196649:OWT196649 OMU196649:OMX196649 OCY196649:ODB196649 NTC196649:NTF196649 NJG196649:NJJ196649 MZK196649:MZN196649 MPO196649:MPR196649 MFS196649:MFV196649 LVW196649:LVZ196649 LMA196649:LMD196649 LCE196649:LCH196649 KSI196649:KSL196649 KIM196649:KIP196649 JYQ196649:JYT196649 JOU196649:JOX196649 JEY196649:JFB196649 IVC196649:IVF196649 ILG196649:ILJ196649 IBK196649:IBN196649 HRO196649:HRR196649 HHS196649:HHV196649 GXW196649:GXZ196649 GOA196649:GOD196649 GEE196649:GEH196649 FUI196649:FUL196649 FKM196649:FKP196649 FAQ196649:FAT196649 EQU196649:EQX196649 EGY196649:EHB196649 DXC196649:DXF196649 DNG196649:DNJ196649 DDK196649:DDN196649 CTO196649:CTR196649 CJS196649:CJV196649 BZW196649:BZZ196649 BQA196649:BQD196649 BGE196649:BGH196649 AWI196649:AWL196649 AMM196649:AMP196649 ACQ196649:ACT196649 SU196649:SX196649 IY196649:JB196649 D196649:G196649 WVK131113:WVN131113 WLO131113:WLR131113 WBS131113:WBV131113 VRW131113:VRZ131113 VIA131113:VID131113 UYE131113:UYH131113 UOI131113:UOL131113 UEM131113:UEP131113 TUQ131113:TUT131113 TKU131113:TKX131113 TAY131113:TBB131113 SRC131113:SRF131113 SHG131113:SHJ131113 RXK131113:RXN131113 RNO131113:RNR131113 RDS131113:RDV131113 QTW131113:QTZ131113 QKA131113:QKD131113 QAE131113:QAH131113 PQI131113:PQL131113 PGM131113:PGP131113 OWQ131113:OWT131113 OMU131113:OMX131113 OCY131113:ODB131113 NTC131113:NTF131113 NJG131113:NJJ131113 MZK131113:MZN131113 MPO131113:MPR131113 MFS131113:MFV131113 LVW131113:LVZ131113 LMA131113:LMD131113 LCE131113:LCH131113 KSI131113:KSL131113 KIM131113:KIP131113 JYQ131113:JYT131113 JOU131113:JOX131113 JEY131113:JFB131113 IVC131113:IVF131113 ILG131113:ILJ131113 IBK131113:IBN131113 HRO131113:HRR131113 HHS131113:HHV131113 GXW131113:GXZ131113 GOA131113:GOD131113 GEE131113:GEH131113 FUI131113:FUL131113 FKM131113:FKP131113 FAQ131113:FAT131113 EQU131113:EQX131113 EGY131113:EHB131113 DXC131113:DXF131113 DNG131113:DNJ131113 DDK131113:DDN131113 CTO131113:CTR131113 CJS131113:CJV131113 BZW131113:BZZ131113 BQA131113:BQD131113 BGE131113:BGH131113 AWI131113:AWL131113 AMM131113:AMP131113 ACQ131113:ACT131113 SU131113:SX131113 IY131113:JB131113 D131113:G131113 WVK65577:WVN65577 WLO65577:WLR65577 WBS65577:WBV65577 VRW65577:VRZ65577 VIA65577:VID65577 UYE65577:UYH65577 UOI65577:UOL65577 UEM65577:UEP65577 TUQ65577:TUT65577 TKU65577:TKX65577 TAY65577:TBB65577 SRC65577:SRF65577 SHG65577:SHJ65577 RXK65577:RXN65577 RNO65577:RNR65577 RDS65577:RDV65577 QTW65577:QTZ65577 QKA65577:QKD65577 QAE65577:QAH65577 PQI65577:PQL65577 PGM65577:PGP65577 OWQ65577:OWT65577 OMU65577:OMX65577 OCY65577:ODB65577 NTC65577:NTF65577 NJG65577:NJJ65577 MZK65577:MZN65577 MPO65577:MPR65577 MFS65577:MFV65577 LVW65577:LVZ65577 LMA65577:LMD65577 LCE65577:LCH65577 KSI65577:KSL65577 KIM65577:KIP65577 JYQ65577:JYT65577 JOU65577:JOX65577 JEY65577:JFB65577 IVC65577:IVF65577 ILG65577:ILJ65577 IBK65577:IBN65577 HRO65577:HRR65577 HHS65577:HHV65577 GXW65577:GXZ65577 GOA65577:GOD65577 GEE65577:GEH65577 FUI65577:FUL65577 FKM65577:FKP65577 FAQ65577:FAT65577 EQU65577:EQX65577 EGY65577:EHB65577 DXC65577:DXF65577 DNG65577:DNJ65577 DDK65577:DDN65577 CTO65577:CTR65577 CJS65577:CJV65577 BZW65577:BZZ65577 BQA65577:BQD65577 BGE65577:BGH65577 AWI65577:AWL65577 AMM65577:AMP65577 ACQ65577:ACT65577 SU65577:SX65577 IY65577:JB65577 D65577:G65577 WVK47:WVN47 WLO47:WLR47 WBS47:WBV47 VRW47:VRZ47 VIA47:VID47 UYE47:UYH47 UOI47:UOL47 UEM47:UEP47 TUQ47:TUT47 TKU47:TKX47 TAY47:TBB47 SRC47:SRF47 SHG47:SHJ47 RXK47:RXN47 RNO47:RNR47 RDS47:RDV47 QTW47:QTZ47 QKA47:QKD47 QAE47:QAH47 PQI47:PQL47 PGM47:PGP47 OWQ47:OWT47 OMU47:OMX47 OCY47:ODB47 NTC47:NTF47 NJG47:NJJ47 MZK47:MZN47 MPO47:MPR47 MFS47:MFV47 LVW47:LVZ47 LMA47:LMD47 LCE47:LCH47 KSI47:KSL47 KIM47:KIP47 JYQ47:JYT47 JOU47:JOX47 JEY47:JFB47 IVC47:IVF47 ILG47:ILJ47 IBK47:IBN47 HRO47:HRR47 HHS47:HHV47 GXW47:GXZ47 GOA47:GOD47 GEE47:GEH47 FUI47:FUL47 FKM47:FKP47 FAQ47:FAT47 EQU47:EQX47 EGY47:EHB47 DXC47:DXF47 DNG47:DNJ47 DDK47:DDN47 CTO47:CTR47 CJS47:CJV47 BZW47:BZZ47 BQA47:BQD47 BGE47:BGH47 AWI47:AWL47 AMM47:AMP47 ACQ47:ACT47 SU47:SX47">
      <formula1>$M$32:$M$32</formula1>
    </dataValidation>
    <dataValidation type="list" allowBlank="1" showInputMessage="1" showErrorMessage="1" promptTitle="Sistem Penjualan" prompt="Dipilih sistem penjualan produk/jasa yang dilakukan oleh Pemohon." sqref="IY45:JB45 SU45:SX45 ACQ45:ACT45 AMM45:AMP45 AWI45:AWL45 BGE45:BGH45 BQA45:BQD45 BZW45:BZZ45 CJS45:CJV45 CTO45:CTR45 DDK45:DDN45 DNG45:DNJ45 DXC45:DXF45 EGY45:EHB45 EQU45:EQX45 FAQ45:FAT45 FKM45:FKP45 FUI45:FUL45 GEE45:GEH45 GOA45:GOD45 GXW45:GXZ45 HHS45:HHV45 HRO45:HRR45 IBK45:IBN45 ILG45:ILJ45 IVC45:IVF45 JEY45:JFB45 JOU45:JOX45 JYQ45:JYT45 KIM45:KIP45 KSI45:KSL45 LCE45:LCH45 LMA45:LMD45 LVW45:LVZ45 MFS45:MFV45 MPO45:MPR45 MZK45:MZN45 NJG45:NJJ45 NTC45:NTF45 OCY45:ODB45 OMU45:OMX45 OWQ45:OWT45 PGM45:PGP45 PQI45:PQL45 QAE45:QAH45 QKA45:QKD45 QTW45:QTZ45 RDS45:RDV45 RNO45:RNR45 RXK45:RXN45 SHG45:SHJ45 SRC45:SRF45 TAY45:TBB45 TKU45:TKX45 TUQ45:TUT45 UEM45:UEP45 UOI45:UOL45 UYE45:UYH45 VIA45:VID45 VRW45:VRZ45 WBS45:WBV45 WLO45:WLR45 WVK45:WVN45 D65575:G65575 IY65575:JB65575 SU65575:SX65575 ACQ65575:ACT65575 AMM65575:AMP65575 AWI65575:AWL65575 BGE65575:BGH65575 BQA65575:BQD65575 BZW65575:BZZ65575 CJS65575:CJV65575 CTO65575:CTR65575 DDK65575:DDN65575 DNG65575:DNJ65575 DXC65575:DXF65575 EGY65575:EHB65575 EQU65575:EQX65575 FAQ65575:FAT65575 FKM65575:FKP65575 FUI65575:FUL65575 GEE65575:GEH65575 GOA65575:GOD65575 GXW65575:GXZ65575 HHS65575:HHV65575 HRO65575:HRR65575 IBK65575:IBN65575 ILG65575:ILJ65575 IVC65575:IVF65575 JEY65575:JFB65575 JOU65575:JOX65575 JYQ65575:JYT65575 KIM65575:KIP65575 KSI65575:KSL65575 LCE65575:LCH65575 LMA65575:LMD65575 LVW65575:LVZ65575 MFS65575:MFV65575 MPO65575:MPR65575 MZK65575:MZN65575 NJG65575:NJJ65575 NTC65575:NTF65575 OCY65575:ODB65575 OMU65575:OMX65575 OWQ65575:OWT65575 PGM65575:PGP65575 PQI65575:PQL65575 QAE65575:QAH65575 QKA65575:QKD65575 QTW65575:QTZ65575 RDS65575:RDV65575 RNO65575:RNR65575 RXK65575:RXN65575 SHG65575:SHJ65575 SRC65575:SRF65575 TAY65575:TBB65575 TKU65575:TKX65575 TUQ65575:TUT65575 UEM65575:UEP65575 UOI65575:UOL65575 UYE65575:UYH65575 VIA65575:VID65575 VRW65575:VRZ65575 WBS65575:WBV65575 WLO65575:WLR65575 WVK65575:WVN65575 D131111:G131111 IY131111:JB131111 SU131111:SX131111 ACQ131111:ACT131111 AMM131111:AMP131111 AWI131111:AWL131111 BGE131111:BGH131111 BQA131111:BQD131111 BZW131111:BZZ131111 CJS131111:CJV131111 CTO131111:CTR131111 DDK131111:DDN131111 DNG131111:DNJ131111 DXC131111:DXF131111 EGY131111:EHB131111 EQU131111:EQX131111 FAQ131111:FAT131111 FKM131111:FKP131111 FUI131111:FUL131111 GEE131111:GEH131111 GOA131111:GOD131111 GXW131111:GXZ131111 HHS131111:HHV131111 HRO131111:HRR131111 IBK131111:IBN131111 ILG131111:ILJ131111 IVC131111:IVF131111 JEY131111:JFB131111 JOU131111:JOX131111 JYQ131111:JYT131111 KIM131111:KIP131111 KSI131111:KSL131111 LCE131111:LCH131111 LMA131111:LMD131111 LVW131111:LVZ131111 MFS131111:MFV131111 MPO131111:MPR131111 MZK131111:MZN131111 NJG131111:NJJ131111 NTC131111:NTF131111 OCY131111:ODB131111 OMU131111:OMX131111 OWQ131111:OWT131111 PGM131111:PGP131111 PQI131111:PQL131111 QAE131111:QAH131111 QKA131111:QKD131111 QTW131111:QTZ131111 RDS131111:RDV131111 RNO131111:RNR131111 RXK131111:RXN131111 SHG131111:SHJ131111 SRC131111:SRF131111 TAY131111:TBB131111 TKU131111:TKX131111 TUQ131111:TUT131111 UEM131111:UEP131111 UOI131111:UOL131111 UYE131111:UYH131111 VIA131111:VID131111 VRW131111:VRZ131111 WBS131111:WBV131111 WLO131111:WLR131111 WVK131111:WVN131111 D196647:G196647 IY196647:JB196647 SU196647:SX196647 ACQ196647:ACT196647 AMM196647:AMP196647 AWI196647:AWL196647 BGE196647:BGH196647 BQA196647:BQD196647 BZW196647:BZZ196647 CJS196647:CJV196647 CTO196647:CTR196647 DDK196647:DDN196647 DNG196647:DNJ196647 DXC196647:DXF196647 EGY196647:EHB196647 EQU196647:EQX196647 FAQ196647:FAT196647 FKM196647:FKP196647 FUI196647:FUL196647 GEE196647:GEH196647 GOA196647:GOD196647 GXW196647:GXZ196647 HHS196647:HHV196647 HRO196647:HRR196647 IBK196647:IBN196647 ILG196647:ILJ196647 IVC196647:IVF196647 JEY196647:JFB196647 JOU196647:JOX196647 JYQ196647:JYT196647 KIM196647:KIP196647 KSI196647:KSL196647 LCE196647:LCH196647 LMA196647:LMD196647 LVW196647:LVZ196647 MFS196647:MFV196647 MPO196647:MPR196647 MZK196647:MZN196647 NJG196647:NJJ196647 NTC196647:NTF196647 OCY196647:ODB196647 OMU196647:OMX196647 OWQ196647:OWT196647 PGM196647:PGP196647 PQI196647:PQL196647 QAE196647:QAH196647 QKA196647:QKD196647 QTW196647:QTZ196647 RDS196647:RDV196647 RNO196647:RNR196647 RXK196647:RXN196647 SHG196647:SHJ196647 SRC196647:SRF196647 TAY196647:TBB196647 TKU196647:TKX196647 TUQ196647:TUT196647 UEM196647:UEP196647 UOI196647:UOL196647 UYE196647:UYH196647 VIA196647:VID196647 VRW196647:VRZ196647 WBS196647:WBV196647 WLO196647:WLR196647 WVK196647:WVN196647 D262183:G262183 IY262183:JB262183 SU262183:SX262183 ACQ262183:ACT262183 AMM262183:AMP262183 AWI262183:AWL262183 BGE262183:BGH262183 BQA262183:BQD262183 BZW262183:BZZ262183 CJS262183:CJV262183 CTO262183:CTR262183 DDK262183:DDN262183 DNG262183:DNJ262183 DXC262183:DXF262183 EGY262183:EHB262183 EQU262183:EQX262183 FAQ262183:FAT262183 FKM262183:FKP262183 FUI262183:FUL262183 GEE262183:GEH262183 GOA262183:GOD262183 GXW262183:GXZ262183 HHS262183:HHV262183 HRO262183:HRR262183 IBK262183:IBN262183 ILG262183:ILJ262183 IVC262183:IVF262183 JEY262183:JFB262183 JOU262183:JOX262183 JYQ262183:JYT262183 KIM262183:KIP262183 KSI262183:KSL262183 LCE262183:LCH262183 LMA262183:LMD262183 LVW262183:LVZ262183 MFS262183:MFV262183 MPO262183:MPR262183 MZK262183:MZN262183 NJG262183:NJJ262183 NTC262183:NTF262183 OCY262183:ODB262183 OMU262183:OMX262183 OWQ262183:OWT262183 PGM262183:PGP262183 PQI262183:PQL262183 QAE262183:QAH262183 QKA262183:QKD262183 QTW262183:QTZ262183 RDS262183:RDV262183 RNO262183:RNR262183 RXK262183:RXN262183 SHG262183:SHJ262183 SRC262183:SRF262183 TAY262183:TBB262183 TKU262183:TKX262183 TUQ262183:TUT262183 UEM262183:UEP262183 UOI262183:UOL262183 UYE262183:UYH262183 VIA262183:VID262183 VRW262183:VRZ262183 WBS262183:WBV262183 WLO262183:WLR262183 WVK262183:WVN262183 D327719:G327719 IY327719:JB327719 SU327719:SX327719 ACQ327719:ACT327719 AMM327719:AMP327719 AWI327719:AWL327719 BGE327719:BGH327719 BQA327719:BQD327719 BZW327719:BZZ327719 CJS327719:CJV327719 CTO327719:CTR327719 DDK327719:DDN327719 DNG327719:DNJ327719 DXC327719:DXF327719 EGY327719:EHB327719 EQU327719:EQX327719 FAQ327719:FAT327719 FKM327719:FKP327719 FUI327719:FUL327719 GEE327719:GEH327719 GOA327719:GOD327719 GXW327719:GXZ327719 HHS327719:HHV327719 HRO327719:HRR327719 IBK327719:IBN327719 ILG327719:ILJ327719 IVC327719:IVF327719 JEY327719:JFB327719 JOU327719:JOX327719 JYQ327719:JYT327719 KIM327719:KIP327719 KSI327719:KSL327719 LCE327719:LCH327719 LMA327719:LMD327719 LVW327719:LVZ327719 MFS327719:MFV327719 MPO327719:MPR327719 MZK327719:MZN327719 NJG327719:NJJ327719 NTC327719:NTF327719 OCY327719:ODB327719 OMU327719:OMX327719 OWQ327719:OWT327719 PGM327719:PGP327719 PQI327719:PQL327719 QAE327719:QAH327719 QKA327719:QKD327719 QTW327719:QTZ327719 RDS327719:RDV327719 RNO327719:RNR327719 RXK327719:RXN327719 SHG327719:SHJ327719 SRC327719:SRF327719 TAY327719:TBB327719 TKU327719:TKX327719 TUQ327719:TUT327719 UEM327719:UEP327719 UOI327719:UOL327719 UYE327719:UYH327719 VIA327719:VID327719 VRW327719:VRZ327719 WBS327719:WBV327719 WLO327719:WLR327719 WVK327719:WVN327719 D393255:G393255 IY393255:JB393255 SU393255:SX393255 ACQ393255:ACT393255 AMM393255:AMP393255 AWI393255:AWL393255 BGE393255:BGH393255 BQA393255:BQD393255 BZW393255:BZZ393255 CJS393255:CJV393255 CTO393255:CTR393255 DDK393255:DDN393255 DNG393255:DNJ393255 DXC393255:DXF393255 EGY393255:EHB393255 EQU393255:EQX393255 FAQ393255:FAT393255 FKM393255:FKP393255 FUI393255:FUL393255 GEE393255:GEH393255 GOA393255:GOD393255 GXW393255:GXZ393255 HHS393255:HHV393255 HRO393255:HRR393255 IBK393255:IBN393255 ILG393255:ILJ393255 IVC393255:IVF393255 JEY393255:JFB393255 JOU393255:JOX393255 JYQ393255:JYT393255 KIM393255:KIP393255 KSI393255:KSL393255 LCE393255:LCH393255 LMA393255:LMD393255 LVW393255:LVZ393255 MFS393255:MFV393255 MPO393255:MPR393255 MZK393255:MZN393255 NJG393255:NJJ393255 NTC393255:NTF393255 OCY393255:ODB393255 OMU393255:OMX393255 OWQ393255:OWT393255 PGM393255:PGP393255 PQI393255:PQL393255 QAE393255:QAH393255 QKA393255:QKD393255 QTW393255:QTZ393255 RDS393255:RDV393255 RNO393255:RNR393255 RXK393255:RXN393255 SHG393255:SHJ393255 SRC393255:SRF393255 TAY393255:TBB393255 TKU393255:TKX393255 TUQ393255:TUT393255 UEM393255:UEP393255 UOI393255:UOL393255 UYE393255:UYH393255 VIA393255:VID393255 VRW393255:VRZ393255 WBS393255:WBV393255 WLO393255:WLR393255 WVK393255:WVN393255 D458791:G458791 IY458791:JB458791 SU458791:SX458791 ACQ458791:ACT458791 AMM458791:AMP458791 AWI458791:AWL458791 BGE458791:BGH458791 BQA458791:BQD458791 BZW458791:BZZ458791 CJS458791:CJV458791 CTO458791:CTR458791 DDK458791:DDN458791 DNG458791:DNJ458791 DXC458791:DXF458791 EGY458791:EHB458791 EQU458791:EQX458791 FAQ458791:FAT458791 FKM458791:FKP458791 FUI458791:FUL458791 GEE458791:GEH458791 GOA458791:GOD458791 GXW458791:GXZ458791 HHS458791:HHV458791 HRO458791:HRR458791 IBK458791:IBN458791 ILG458791:ILJ458791 IVC458791:IVF458791 JEY458791:JFB458791 JOU458791:JOX458791 JYQ458791:JYT458791 KIM458791:KIP458791 KSI458791:KSL458791 LCE458791:LCH458791 LMA458791:LMD458791 LVW458791:LVZ458791 MFS458791:MFV458791 MPO458791:MPR458791 MZK458791:MZN458791 NJG458791:NJJ458791 NTC458791:NTF458791 OCY458791:ODB458791 OMU458791:OMX458791 OWQ458791:OWT458791 PGM458791:PGP458791 PQI458791:PQL458791 QAE458791:QAH458791 QKA458791:QKD458791 QTW458791:QTZ458791 RDS458791:RDV458791 RNO458791:RNR458791 RXK458791:RXN458791 SHG458791:SHJ458791 SRC458791:SRF458791 TAY458791:TBB458791 TKU458791:TKX458791 TUQ458791:TUT458791 UEM458791:UEP458791 UOI458791:UOL458791 UYE458791:UYH458791 VIA458791:VID458791 VRW458791:VRZ458791 WBS458791:WBV458791 WLO458791:WLR458791 WVK458791:WVN458791 D524327:G524327 IY524327:JB524327 SU524327:SX524327 ACQ524327:ACT524327 AMM524327:AMP524327 AWI524327:AWL524327 BGE524327:BGH524327 BQA524327:BQD524327 BZW524327:BZZ524327 CJS524327:CJV524327 CTO524327:CTR524327 DDK524327:DDN524327 DNG524327:DNJ524327 DXC524327:DXF524327 EGY524327:EHB524327 EQU524327:EQX524327 FAQ524327:FAT524327 FKM524327:FKP524327 FUI524327:FUL524327 GEE524327:GEH524327 GOA524327:GOD524327 GXW524327:GXZ524327 HHS524327:HHV524327 HRO524327:HRR524327 IBK524327:IBN524327 ILG524327:ILJ524327 IVC524327:IVF524327 JEY524327:JFB524327 JOU524327:JOX524327 JYQ524327:JYT524327 KIM524327:KIP524327 KSI524327:KSL524327 LCE524327:LCH524327 LMA524327:LMD524327 LVW524327:LVZ524327 MFS524327:MFV524327 MPO524327:MPR524327 MZK524327:MZN524327 NJG524327:NJJ524327 NTC524327:NTF524327 OCY524327:ODB524327 OMU524327:OMX524327 OWQ524327:OWT524327 PGM524327:PGP524327 PQI524327:PQL524327 QAE524327:QAH524327 QKA524327:QKD524327 QTW524327:QTZ524327 RDS524327:RDV524327 RNO524327:RNR524327 RXK524327:RXN524327 SHG524327:SHJ524327 SRC524327:SRF524327 TAY524327:TBB524327 TKU524327:TKX524327 TUQ524327:TUT524327 UEM524327:UEP524327 UOI524327:UOL524327 UYE524327:UYH524327 VIA524327:VID524327 VRW524327:VRZ524327 WBS524327:WBV524327 WLO524327:WLR524327 WVK524327:WVN524327 D589863:G589863 IY589863:JB589863 SU589863:SX589863 ACQ589863:ACT589863 AMM589863:AMP589863 AWI589863:AWL589863 BGE589863:BGH589863 BQA589863:BQD589863 BZW589863:BZZ589863 CJS589863:CJV589863 CTO589863:CTR589863 DDK589863:DDN589863 DNG589863:DNJ589863 DXC589863:DXF589863 EGY589863:EHB589863 EQU589863:EQX589863 FAQ589863:FAT589863 FKM589863:FKP589863 FUI589863:FUL589863 GEE589863:GEH589863 GOA589863:GOD589863 GXW589863:GXZ589863 HHS589863:HHV589863 HRO589863:HRR589863 IBK589863:IBN589863 ILG589863:ILJ589863 IVC589863:IVF589863 JEY589863:JFB589863 JOU589863:JOX589863 JYQ589863:JYT589863 KIM589863:KIP589863 KSI589863:KSL589863 LCE589863:LCH589863 LMA589863:LMD589863 LVW589863:LVZ589863 MFS589863:MFV589863 MPO589863:MPR589863 MZK589863:MZN589863 NJG589863:NJJ589863 NTC589863:NTF589863 OCY589863:ODB589863 OMU589863:OMX589863 OWQ589863:OWT589863 PGM589863:PGP589863 PQI589863:PQL589863 QAE589863:QAH589863 QKA589863:QKD589863 QTW589863:QTZ589863 RDS589863:RDV589863 RNO589863:RNR589863 RXK589863:RXN589863 SHG589863:SHJ589863 SRC589863:SRF589863 TAY589863:TBB589863 TKU589863:TKX589863 TUQ589863:TUT589863 UEM589863:UEP589863 UOI589863:UOL589863 UYE589863:UYH589863 VIA589863:VID589863 VRW589863:VRZ589863 WBS589863:WBV589863 WLO589863:WLR589863 WVK589863:WVN589863 D655399:G655399 IY655399:JB655399 SU655399:SX655399 ACQ655399:ACT655399 AMM655399:AMP655399 AWI655399:AWL655399 BGE655399:BGH655399 BQA655399:BQD655399 BZW655399:BZZ655399 CJS655399:CJV655399 CTO655399:CTR655399 DDK655399:DDN655399 DNG655399:DNJ655399 DXC655399:DXF655399 EGY655399:EHB655399 EQU655399:EQX655399 FAQ655399:FAT655399 FKM655399:FKP655399 FUI655399:FUL655399 GEE655399:GEH655399 GOA655399:GOD655399 GXW655399:GXZ655399 HHS655399:HHV655399 HRO655399:HRR655399 IBK655399:IBN655399 ILG655399:ILJ655399 IVC655399:IVF655399 JEY655399:JFB655399 JOU655399:JOX655399 JYQ655399:JYT655399 KIM655399:KIP655399 KSI655399:KSL655399 LCE655399:LCH655399 LMA655399:LMD655399 LVW655399:LVZ655399 MFS655399:MFV655399 MPO655399:MPR655399 MZK655399:MZN655399 NJG655399:NJJ655399 NTC655399:NTF655399 OCY655399:ODB655399 OMU655399:OMX655399 OWQ655399:OWT655399 PGM655399:PGP655399 PQI655399:PQL655399 QAE655399:QAH655399 QKA655399:QKD655399 QTW655399:QTZ655399 RDS655399:RDV655399 RNO655399:RNR655399 RXK655399:RXN655399 SHG655399:SHJ655399 SRC655399:SRF655399 TAY655399:TBB655399 TKU655399:TKX655399 TUQ655399:TUT655399 UEM655399:UEP655399 UOI655399:UOL655399 UYE655399:UYH655399 VIA655399:VID655399 VRW655399:VRZ655399 WBS655399:WBV655399 WLO655399:WLR655399 WVK655399:WVN655399 D720935:G720935 IY720935:JB720935 SU720935:SX720935 ACQ720935:ACT720935 AMM720935:AMP720935 AWI720935:AWL720935 BGE720935:BGH720935 BQA720935:BQD720935 BZW720935:BZZ720935 CJS720935:CJV720935 CTO720935:CTR720935 DDK720935:DDN720935 DNG720935:DNJ720935 DXC720935:DXF720935 EGY720935:EHB720935 EQU720935:EQX720935 FAQ720935:FAT720935 FKM720935:FKP720935 FUI720935:FUL720935 GEE720935:GEH720935 GOA720935:GOD720935 GXW720935:GXZ720935 HHS720935:HHV720935 HRO720935:HRR720935 IBK720935:IBN720935 ILG720935:ILJ720935 IVC720935:IVF720935 JEY720935:JFB720935 JOU720935:JOX720935 JYQ720935:JYT720935 KIM720935:KIP720935 KSI720935:KSL720935 LCE720935:LCH720935 LMA720935:LMD720935 LVW720935:LVZ720935 MFS720935:MFV720935 MPO720935:MPR720935 MZK720935:MZN720935 NJG720935:NJJ720935 NTC720935:NTF720935 OCY720935:ODB720935 OMU720935:OMX720935 OWQ720935:OWT720935 PGM720935:PGP720935 PQI720935:PQL720935 QAE720935:QAH720935 QKA720935:QKD720935 QTW720935:QTZ720935 RDS720935:RDV720935 RNO720935:RNR720935 RXK720935:RXN720935 SHG720935:SHJ720935 SRC720935:SRF720935 TAY720935:TBB720935 TKU720935:TKX720935 TUQ720935:TUT720935 UEM720935:UEP720935 UOI720935:UOL720935 UYE720935:UYH720935 VIA720935:VID720935 VRW720935:VRZ720935 WBS720935:WBV720935 WLO720935:WLR720935 WVK720935:WVN720935 D786471:G786471 IY786471:JB786471 SU786471:SX786471 ACQ786471:ACT786471 AMM786471:AMP786471 AWI786471:AWL786471 BGE786471:BGH786471 BQA786471:BQD786471 BZW786471:BZZ786471 CJS786471:CJV786471 CTO786471:CTR786471 DDK786471:DDN786471 DNG786471:DNJ786471 DXC786471:DXF786471 EGY786471:EHB786471 EQU786471:EQX786471 FAQ786471:FAT786471 FKM786471:FKP786471 FUI786471:FUL786471 GEE786471:GEH786471 GOA786471:GOD786471 GXW786471:GXZ786471 HHS786471:HHV786471 HRO786471:HRR786471 IBK786471:IBN786471 ILG786471:ILJ786471 IVC786471:IVF786471 JEY786471:JFB786471 JOU786471:JOX786471 JYQ786471:JYT786471 KIM786471:KIP786471 KSI786471:KSL786471 LCE786471:LCH786471 LMA786471:LMD786471 LVW786471:LVZ786471 MFS786471:MFV786471 MPO786471:MPR786471 MZK786471:MZN786471 NJG786471:NJJ786471 NTC786471:NTF786471 OCY786471:ODB786471 OMU786471:OMX786471 OWQ786471:OWT786471 PGM786471:PGP786471 PQI786471:PQL786471 QAE786471:QAH786471 QKA786471:QKD786471 QTW786471:QTZ786471 RDS786471:RDV786471 RNO786471:RNR786471 RXK786471:RXN786471 SHG786471:SHJ786471 SRC786471:SRF786471 TAY786471:TBB786471 TKU786471:TKX786471 TUQ786471:TUT786471 UEM786471:UEP786471 UOI786471:UOL786471 UYE786471:UYH786471 VIA786471:VID786471 VRW786471:VRZ786471 WBS786471:WBV786471 WLO786471:WLR786471 WVK786471:WVN786471 D852007:G852007 IY852007:JB852007 SU852007:SX852007 ACQ852007:ACT852007 AMM852007:AMP852007 AWI852007:AWL852007 BGE852007:BGH852007 BQA852007:BQD852007 BZW852007:BZZ852007 CJS852007:CJV852007 CTO852007:CTR852007 DDK852007:DDN852007 DNG852007:DNJ852007 DXC852007:DXF852007 EGY852007:EHB852007 EQU852007:EQX852007 FAQ852007:FAT852007 FKM852007:FKP852007 FUI852007:FUL852007 GEE852007:GEH852007 GOA852007:GOD852007 GXW852007:GXZ852007 HHS852007:HHV852007 HRO852007:HRR852007 IBK852007:IBN852007 ILG852007:ILJ852007 IVC852007:IVF852007 JEY852007:JFB852007 JOU852007:JOX852007 JYQ852007:JYT852007 KIM852007:KIP852007 KSI852007:KSL852007 LCE852007:LCH852007 LMA852007:LMD852007 LVW852007:LVZ852007 MFS852007:MFV852007 MPO852007:MPR852007 MZK852007:MZN852007 NJG852007:NJJ852007 NTC852007:NTF852007 OCY852007:ODB852007 OMU852007:OMX852007 OWQ852007:OWT852007 PGM852007:PGP852007 PQI852007:PQL852007 QAE852007:QAH852007 QKA852007:QKD852007 QTW852007:QTZ852007 RDS852007:RDV852007 RNO852007:RNR852007 RXK852007:RXN852007 SHG852007:SHJ852007 SRC852007:SRF852007 TAY852007:TBB852007 TKU852007:TKX852007 TUQ852007:TUT852007 UEM852007:UEP852007 UOI852007:UOL852007 UYE852007:UYH852007 VIA852007:VID852007 VRW852007:VRZ852007 WBS852007:WBV852007 WLO852007:WLR852007 WVK852007:WVN852007 D917543:G917543 IY917543:JB917543 SU917543:SX917543 ACQ917543:ACT917543 AMM917543:AMP917543 AWI917543:AWL917543 BGE917543:BGH917543 BQA917543:BQD917543 BZW917543:BZZ917543 CJS917543:CJV917543 CTO917543:CTR917543 DDK917543:DDN917543 DNG917543:DNJ917543 DXC917543:DXF917543 EGY917543:EHB917543 EQU917543:EQX917543 FAQ917543:FAT917543 FKM917543:FKP917543 FUI917543:FUL917543 GEE917543:GEH917543 GOA917543:GOD917543 GXW917543:GXZ917543 HHS917543:HHV917543 HRO917543:HRR917543 IBK917543:IBN917543 ILG917543:ILJ917543 IVC917543:IVF917543 JEY917543:JFB917543 JOU917543:JOX917543 JYQ917543:JYT917543 KIM917543:KIP917543 KSI917543:KSL917543 LCE917543:LCH917543 LMA917543:LMD917543 LVW917543:LVZ917543 MFS917543:MFV917543 MPO917543:MPR917543 MZK917543:MZN917543 NJG917543:NJJ917543 NTC917543:NTF917543 OCY917543:ODB917543 OMU917543:OMX917543 OWQ917543:OWT917543 PGM917543:PGP917543 PQI917543:PQL917543 QAE917543:QAH917543 QKA917543:QKD917543 QTW917543:QTZ917543 RDS917543:RDV917543 RNO917543:RNR917543 RXK917543:RXN917543 SHG917543:SHJ917543 SRC917543:SRF917543 TAY917543:TBB917543 TKU917543:TKX917543 TUQ917543:TUT917543 UEM917543:UEP917543 UOI917543:UOL917543 UYE917543:UYH917543 VIA917543:VID917543 VRW917543:VRZ917543 WBS917543:WBV917543 WLO917543:WLR917543 WVK917543:WVN917543 D983079:G983079 IY983079:JB983079 SU983079:SX983079 ACQ983079:ACT983079 AMM983079:AMP983079 AWI983079:AWL983079 BGE983079:BGH983079 BQA983079:BQD983079 BZW983079:BZZ983079 CJS983079:CJV983079 CTO983079:CTR983079 DDK983079:DDN983079 DNG983079:DNJ983079 DXC983079:DXF983079 EGY983079:EHB983079 EQU983079:EQX983079 FAQ983079:FAT983079 FKM983079:FKP983079 FUI983079:FUL983079 GEE983079:GEH983079 GOA983079:GOD983079 GXW983079:GXZ983079 HHS983079:HHV983079 HRO983079:HRR983079 IBK983079:IBN983079 ILG983079:ILJ983079 IVC983079:IVF983079 JEY983079:JFB983079 JOU983079:JOX983079 JYQ983079:JYT983079 KIM983079:KIP983079 KSI983079:KSL983079 LCE983079:LCH983079 LMA983079:LMD983079 LVW983079:LVZ983079 MFS983079:MFV983079 MPO983079:MPR983079 MZK983079:MZN983079 NJG983079:NJJ983079 NTC983079:NTF983079 OCY983079:ODB983079 OMU983079:OMX983079 OWQ983079:OWT983079 PGM983079:PGP983079 PQI983079:PQL983079 QAE983079:QAH983079 QKA983079:QKD983079 QTW983079:QTZ983079 RDS983079:RDV983079 RNO983079:RNR983079 RXK983079:RXN983079 SHG983079:SHJ983079 SRC983079:SRF983079 TAY983079:TBB983079 TKU983079:TKX983079 TUQ983079:TUT983079 UEM983079:UEP983079 UOI983079:UOL983079 UYE983079:UYH983079 VIA983079:VID983079 VRW983079:VRZ983079 WBS983079:WBV983079 WLO983079:WLR983079 WVK983079:WVN983079">
      <formula1>$M$25:$M$31</formula1>
    </dataValidation>
    <dataValidation allowBlank="1" showInputMessage="1" showErrorMessage="1" promptTitle="Tahun" prompt="Diisi data jumlah tahun menjadi Nasabah / Debitur (apabila pilihan &quot;Ya&quot;" sqref="F65586 JA65586 SW65586 ACS65586 AMO65586 AWK65586 BGG65586 BQC65586 BZY65586 CJU65586 CTQ65586 DDM65586 DNI65586 DXE65586 EHA65586 EQW65586 FAS65586 FKO65586 FUK65586 GEG65586 GOC65586 GXY65586 HHU65586 HRQ65586 IBM65586 ILI65586 IVE65586 JFA65586 JOW65586 JYS65586 KIO65586 KSK65586 LCG65586 LMC65586 LVY65586 MFU65586 MPQ65586 MZM65586 NJI65586 NTE65586 ODA65586 OMW65586 OWS65586 PGO65586 PQK65586 QAG65586 QKC65586 QTY65586 RDU65586 RNQ65586 RXM65586 SHI65586 SRE65586 TBA65586 TKW65586 TUS65586 UEO65586 UOK65586 UYG65586 VIC65586 VRY65586 WBU65586 WLQ65586 WVM65586 F131122 JA131122 SW131122 ACS131122 AMO131122 AWK131122 BGG131122 BQC131122 BZY131122 CJU131122 CTQ131122 DDM131122 DNI131122 DXE131122 EHA131122 EQW131122 FAS131122 FKO131122 FUK131122 GEG131122 GOC131122 GXY131122 HHU131122 HRQ131122 IBM131122 ILI131122 IVE131122 JFA131122 JOW131122 JYS131122 KIO131122 KSK131122 LCG131122 LMC131122 LVY131122 MFU131122 MPQ131122 MZM131122 NJI131122 NTE131122 ODA131122 OMW131122 OWS131122 PGO131122 PQK131122 QAG131122 QKC131122 QTY131122 RDU131122 RNQ131122 RXM131122 SHI131122 SRE131122 TBA131122 TKW131122 TUS131122 UEO131122 UOK131122 UYG131122 VIC131122 VRY131122 WBU131122 WLQ131122 WVM131122 F196658 JA196658 SW196658 ACS196658 AMO196658 AWK196658 BGG196658 BQC196658 BZY196658 CJU196658 CTQ196658 DDM196658 DNI196658 DXE196658 EHA196658 EQW196658 FAS196658 FKO196658 FUK196658 GEG196658 GOC196658 GXY196658 HHU196658 HRQ196658 IBM196658 ILI196658 IVE196658 JFA196658 JOW196658 JYS196658 KIO196658 KSK196658 LCG196658 LMC196658 LVY196658 MFU196658 MPQ196658 MZM196658 NJI196658 NTE196658 ODA196658 OMW196658 OWS196658 PGO196658 PQK196658 QAG196658 QKC196658 QTY196658 RDU196658 RNQ196658 RXM196658 SHI196658 SRE196658 TBA196658 TKW196658 TUS196658 UEO196658 UOK196658 UYG196658 VIC196658 VRY196658 WBU196658 WLQ196658 WVM196658 F262194 JA262194 SW262194 ACS262194 AMO262194 AWK262194 BGG262194 BQC262194 BZY262194 CJU262194 CTQ262194 DDM262194 DNI262194 DXE262194 EHA262194 EQW262194 FAS262194 FKO262194 FUK262194 GEG262194 GOC262194 GXY262194 HHU262194 HRQ262194 IBM262194 ILI262194 IVE262194 JFA262194 JOW262194 JYS262194 KIO262194 KSK262194 LCG262194 LMC262194 LVY262194 MFU262194 MPQ262194 MZM262194 NJI262194 NTE262194 ODA262194 OMW262194 OWS262194 PGO262194 PQK262194 QAG262194 QKC262194 QTY262194 RDU262194 RNQ262194 RXM262194 SHI262194 SRE262194 TBA262194 TKW262194 TUS262194 UEO262194 UOK262194 UYG262194 VIC262194 VRY262194 WBU262194 WLQ262194 WVM262194 F327730 JA327730 SW327730 ACS327730 AMO327730 AWK327730 BGG327730 BQC327730 BZY327730 CJU327730 CTQ327730 DDM327730 DNI327730 DXE327730 EHA327730 EQW327730 FAS327730 FKO327730 FUK327730 GEG327730 GOC327730 GXY327730 HHU327730 HRQ327730 IBM327730 ILI327730 IVE327730 JFA327730 JOW327730 JYS327730 KIO327730 KSK327730 LCG327730 LMC327730 LVY327730 MFU327730 MPQ327730 MZM327730 NJI327730 NTE327730 ODA327730 OMW327730 OWS327730 PGO327730 PQK327730 QAG327730 QKC327730 QTY327730 RDU327730 RNQ327730 RXM327730 SHI327730 SRE327730 TBA327730 TKW327730 TUS327730 UEO327730 UOK327730 UYG327730 VIC327730 VRY327730 WBU327730 WLQ327730 WVM327730 F393266 JA393266 SW393266 ACS393266 AMO393266 AWK393266 BGG393266 BQC393266 BZY393266 CJU393266 CTQ393266 DDM393266 DNI393266 DXE393266 EHA393266 EQW393266 FAS393266 FKO393266 FUK393266 GEG393266 GOC393266 GXY393266 HHU393266 HRQ393266 IBM393266 ILI393266 IVE393266 JFA393266 JOW393266 JYS393266 KIO393266 KSK393266 LCG393266 LMC393266 LVY393266 MFU393266 MPQ393266 MZM393266 NJI393266 NTE393266 ODA393266 OMW393266 OWS393266 PGO393266 PQK393266 QAG393266 QKC393266 QTY393266 RDU393266 RNQ393266 RXM393266 SHI393266 SRE393266 TBA393266 TKW393266 TUS393266 UEO393266 UOK393266 UYG393266 VIC393266 VRY393266 WBU393266 WLQ393266 WVM393266 F458802 JA458802 SW458802 ACS458802 AMO458802 AWK458802 BGG458802 BQC458802 BZY458802 CJU458802 CTQ458802 DDM458802 DNI458802 DXE458802 EHA458802 EQW458802 FAS458802 FKO458802 FUK458802 GEG458802 GOC458802 GXY458802 HHU458802 HRQ458802 IBM458802 ILI458802 IVE458802 JFA458802 JOW458802 JYS458802 KIO458802 KSK458802 LCG458802 LMC458802 LVY458802 MFU458802 MPQ458802 MZM458802 NJI458802 NTE458802 ODA458802 OMW458802 OWS458802 PGO458802 PQK458802 QAG458802 QKC458802 QTY458802 RDU458802 RNQ458802 RXM458802 SHI458802 SRE458802 TBA458802 TKW458802 TUS458802 UEO458802 UOK458802 UYG458802 VIC458802 VRY458802 WBU458802 WLQ458802 WVM458802 F524338 JA524338 SW524338 ACS524338 AMO524338 AWK524338 BGG524338 BQC524338 BZY524338 CJU524338 CTQ524338 DDM524338 DNI524338 DXE524338 EHA524338 EQW524338 FAS524338 FKO524338 FUK524338 GEG524338 GOC524338 GXY524338 HHU524338 HRQ524338 IBM524338 ILI524338 IVE524338 JFA524338 JOW524338 JYS524338 KIO524338 KSK524338 LCG524338 LMC524338 LVY524338 MFU524338 MPQ524338 MZM524338 NJI524338 NTE524338 ODA524338 OMW524338 OWS524338 PGO524338 PQK524338 QAG524338 QKC524338 QTY524338 RDU524338 RNQ524338 RXM524338 SHI524338 SRE524338 TBA524338 TKW524338 TUS524338 UEO524338 UOK524338 UYG524338 VIC524338 VRY524338 WBU524338 WLQ524338 WVM524338 F589874 JA589874 SW589874 ACS589874 AMO589874 AWK589874 BGG589874 BQC589874 BZY589874 CJU589874 CTQ589874 DDM589874 DNI589874 DXE589874 EHA589874 EQW589874 FAS589874 FKO589874 FUK589874 GEG589874 GOC589874 GXY589874 HHU589874 HRQ589874 IBM589874 ILI589874 IVE589874 JFA589874 JOW589874 JYS589874 KIO589874 KSK589874 LCG589874 LMC589874 LVY589874 MFU589874 MPQ589874 MZM589874 NJI589874 NTE589874 ODA589874 OMW589874 OWS589874 PGO589874 PQK589874 QAG589874 QKC589874 QTY589874 RDU589874 RNQ589874 RXM589874 SHI589874 SRE589874 TBA589874 TKW589874 TUS589874 UEO589874 UOK589874 UYG589874 VIC589874 VRY589874 WBU589874 WLQ589874 WVM589874 F655410 JA655410 SW655410 ACS655410 AMO655410 AWK655410 BGG655410 BQC655410 BZY655410 CJU655410 CTQ655410 DDM655410 DNI655410 DXE655410 EHA655410 EQW655410 FAS655410 FKO655410 FUK655410 GEG655410 GOC655410 GXY655410 HHU655410 HRQ655410 IBM655410 ILI655410 IVE655410 JFA655410 JOW655410 JYS655410 KIO655410 KSK655410 LCG655410 LMC655410 LVY655410 MFU655410 MPQ655410 MZM655410 NJI655410 NTE655410 ODA655410 OMW655410 OWS655410 PGO655410 PQK655410 QAG655410 QKC655410 QTY655410 RDU655410 RNQ655410 RXM655410 SHI655410 SRE655410 TBA655410 TKW655410 TUS655410 UEO655410 UOK655410 UYG655410 VIC655410 VRY655410 WBU655410 WLQ655410 WVM655410 F720946 JA720946 SW720946 ACS720946 AMO720946 AWK720946 BGG720946 BQC720946 BZY720946 CJU720946 CTQ720946 DDM720946 DNI720946 DXE720946 EHA720946 EQW720946 FAS720946 FKO720946 FUK720946 GEG720946 GOC720946 GXY720946 HHU720946 HRQ720946 IBM720946 ILI720946 IVE720946 JFA720946 JOW720946 JYS720946 KIO720946 KSK720946 LCG720946 LMC720946 LVY720946 MFU720946 MPQ720946 MZM720946 NJI720946 NTE720946 ODA720946 OMW720946 OWS720946 PGO720946 PQK720946 QAG720946 QKC720946 QTY720946 RDU720946 RNQ720946 RXM720946 SHI720946 SRE720946 TBA720946 TKW720946 TUS720946 UEO720946 UOK720946 UYG720946 VIC720946 VRY720946 WBU720946 WLQ720946 WVM720946 F786482 JA786482 SW786482 ACS786482 AMO786482 AWK786482 BGG786482 BQC786482 BZY786482 CJU786482 CTQ786482 DDM786482 DNI786482 DXE786482 EHA786482 EQW786482 FAS786482 FKO786482 FUK786482 GEG786482 GOC786482 GXY786482 HHU786482 HRQ786482 IBM786482 ILI786482 IVE786482 JFA786482 JOW786482 JYS786482 KIO786482 KSK786482 LCG786482 LMC786482 LVY786482 MFU786482 MPQ786482 MZM786482 NJI786482 NTE786482 ODA786482 OMW786482 OWS786482 PGO786482 PQK786482 QAG786482 QKC786482 QTY786482 RDU786482 RNQ786482 RXM786482 SHI786482 SRE786482 TBA786482 TKW786482 TUS786482 UEO786482 UOK786482 UYG786482 VIC786482 VRY786482 WBU786482 WLQ786482 WVM786482 F852018 JA852018 SW852018 ACS852018 AMO852018 AWK852018 BGG852018 BQC852018 BZY852018 CJU852018 CTQ852018 DDM852018 DNI852018 DXE852018 EHA852018 EQW852018 FAS852018 FKO852018 FUK852018 GEG852018 GOC852018 GXY852018 HHU852018 HRQ852018 IBM852018 ILI852018 IVE852018 JFA852018 JOW852018 JYS852018 KIO852018 KSK852018 LCG852018 LMC852018 LVY852018 MFU852018 MPQ852018 MZM852018 NJI852018 NTE852018 ODA852018 OMW852018 OWS852018 PGO852018 PQK852018 QAG852018 QKC852018 QTY852018 RDU852018 RNQ852018 RXM852018 SHI852018 SRE852018 TBA852018 TKW852018 TUS852018 UEO852018 UOK852018 UYG852018 VIC852018 VRY852018 WBU852018 WLQ852018 WVM852018 F917554 JA917554 SW917554 ACS917554 AMO917554 AWK917554 BGG917554 BQC917554 BZY917554 CJU917554 CTQ917554 DDM917554 DNI917554 DXE917554 EHA917554 EQW917554 FAS917554 FKO917554 FUK917554 GEG917554 GOC917554 GXY917554 HHU917554 HRQ917554 IBM917554 ILI917554 IVE917554 JFA917554 JOW917554 JYS917554 KIO917554 KSK917554 LCG917554 LMC917554 LVY917554 MFU917554 MPQ917554 MZM917554 NJI917554 NTE917554 ODA917554 OMW917554 OWS917554 PGO917554 PQK917554 QAG917554 QKC917554 QTY917554 RDU917554 RNQ917554 RXM917554 SHI917554 SRE917554 TBA917554 TKW917554 TUS917554 UEO917554 UOK917554 UYG917554 VIC917554 VRY917554 WBU917554 WLQ917554 WVM917554 F983090 JA983090 SW983090 ACS983090 AMO983090 AWK983090 BGG983090 BQC983090 BZY983090 CJU983090 CTQ983090 DDM983090 DNI983090 DXE983090 EHA983090 EQW983090 FAS983090 FKO983090 FUK983090 GEG983090 GOC983090 GXY983090 HHU983090 HRQ983090 IBM983090 ILI983090 IVE983090 JFA983090 JOW983090 JYS983090 KIO983090 KSK983090 LCG983090 LMC983090 LVY983090 MFU983090 MPQ983090 MZM983090 NJI983090 NTE983090 ODA983090 OMW983090 OWS983090 PGO983090 PQK983090 QAG983090 QKC983090 QTY983090 RDU983090 RNQ983090 RXM983090 SHI983090 SRE983090 TBA983090 TKW983090 TUS983090 UEO983090 UOK983090 UYG983090 VIC983090 VRY983090 WBU983090 WLQ983090 WVM983090"/>
    <dataValidation allowBlank="1" showInputMessage="1" showErrorMessage="1" promptTitle="Saldo Pokok" prompt="Diisi data saldo pokok / bakidebet pinjaman yang dinikmati oleh Pemohon dari Bank / Lembaga Keuangan Lain (termasuk dari Bank Jabar Banten)" sqref="D65593:F65598 IY65593:JA65598 SU65593:SW65598 ACQ65593:ACS65598 AMM65593:AMO65598 AWI65593:AWK65598 BGE65593:BGG65598 BQA65593:BQC65598 BZW65593:BZY65598 CJS65593:CJU65598 CTO65593:CTQ65598 DDK65593:DDM65598 DNG65593:DNI65598 DXC65593:DXE65598 EGY65593:EHA65598 EQU65593:EQW65598 FAQ65593:FAS65598 FKM65593:FKO65598 FUI65593:FUK65598 GEE65593:GEG65598 GOA65593:GOC65598 GXW65593:GXY65598 HHS65593:HHU65598 HRO65593:HRQ65598 IBK65593:IBM65598 ILG65593:ILI65598 IVC65593:IVE65598 JEY65593:JFA65598 JOU65593:JOW65598 JYQ65593:JYS65598 KIM65593:KIO65598 KSI65593:KSK65598 LCE65593:LCG65598 LMA65593:LMC65598 LVW65593:LVY65598 MFS65593:MFU65598 MPO65593:MPQ65598 MZK65593:MZM65598 NJG65593:NJI65598 NTC65593:NTE65598 OCY65593:ODA65598 OMU65593:OMW65598 OWQ65593:OWS65598 PGM65593:PGO65598 PQI65593:PQK65598 QAE65593:QAG65598 QKA65593:QKC65598 QTW65593:QTY65598 RDS65593:RDU65598 RNO65593:RNQ65598 RXK65593:RXM65598 SHG65593:SHI65598 SRC65593:SRE65598 TAY65593:TBA65598 TKU65593:TKW65598 TUQ65593:TUS65598 UEM65593:UEO65598 UOI65593:UOK65598 UYE65593:UYG65598 VIA65593:VIC65598 VRW65593:VRY65598 WBS65593:WBU65598 WLO65593:WLQ65598 WVK65593:WVM65598 D131129:F131134 IY131129:JA131134 SU131129:SW131134 ACQ131129:ACS131134 AMM131129:AMO131134 AWI131129:AWK131134 BGE131129:BGG131134 BQA131129:BQC131134 BZW131129:BZY131134 CJS131129:CJU131134 CTO131129:CTQ131134 DDK131129:DDM131134 DNG131129:DNI131134 DXC131129:DXE131134 EGY131129:EHA131134 EQU131129:EQW131134 FAQ131129:FAS131134 FKM131129:FKO131134 FUI131129:FUK131134 GEE131129:GEG131134 GOA131129:GOC131134 GXW131129:GXY131134 HHS131129:HHU131134 HRO131129:HRQ131134 IBK131129:IBM131134 ILG131129:ILI131134 IVC131129:IVE131134 JEY131129:JFA131134 JOU131129:JOW131134 JYQ131129:JYS131134 KIM131129:KIO131134 KSI131129:KSK131134 LCE131129:LCG131134 LMA131129:LMC131134 LVW131129:LVY131134 MFS131129:MFU131134 MPO131129:MPQ131134 MZK131129:MZM131134 NJG131129:NJI131134 NTC131129:NTE131134 OCY131129:ODA131134 OMU131129:OMW131134 OWQ131129:OWS131134 PGM131129:PGO131134 PQI131129:PQK131134 QAE131129:QAG131134 QKA131129:QKC131134 QTW131129:QTY131134 RDS131129:RDU131134 RNO131129:RNQ131134 RXK131129:RXM131134 SHG131129:SHI131134 SRC131129:SRE131134 TAY131129:TBA131134 TKU131129:TKW131134 TUQ131129:TUS131134 UEM131129:UEO131134 UOI131129:UOK131134 UYE131129:UYG131134 VIA131129:VIC131134 VRW131129:VRY131134 WBS131129:WBU131134 WLO131129:WLQ131134 WVK131129:WVM131134 D196665:F196670 IY196665:JA196670 SU196665:SW196670 ACQ196665:ACS196670 AMM196665:AMO196670 AWI196665:AWK196670 BGE196665:BGG196670 BQA196665:BQC196670 BZW196665:BZY196670 CJS196665:CJU196670 CTO196665:CTQ196670 DDK196665:DDM196670 DNG196665:DNI196670 DXC196665:DXE196670 EGY196665:EHA196670 EQU196665:EQW196670 FAQ196665:FAS196670 FKM196665:FKO196670 FUI196665:FUK196670 GEE196665:GEG196670 GOA196665:GOC196670 GXW196665:GXY196670 HHS196665:HHU196670 HRO196665:HRQ196670 IBK196665:IBM196670 ILG196665:ILI196670 IVC196665:IVE196670 JEY196665:JFA196670 JOU196665:JOW196670 JYQ196665:JYS196670 KIM196665:KIO196670 KSI196665:KSK196670 LCE196665:LCG196670 LMA196665:LMC196670 LVW196665:LVY196670 MFS196665:MFU196670 MPO196665:MPQ196670 MZK196665:MZM196670 NJG196665:NJI196670 NTC196665:NTE196670 OCY196665:ODA196670 OMU196665:OMW196670 OWQ196665:OWS196670 PGM196665:PGO196670 PQI196665:PQK196670 QAE196665:QAG196670 QKA196665:QKC196670 QTW196665:QTY196670 RDS196665:RDU196670 RNO196665:RNQ196670 RXK196665:RXM196670 SHG196665:SHI196670 SRC196665:SRE196670 TAY196665:TBA196670 TKU196665:TKW196670 TUQ196665:TUS196670 UEM196665:UEO196670 UOI196665:UOK196670 UYE196665:UYG196670 VIA196665:VIC196670 VRW196665:VRY196670 WBS196665:WBU196670 WLO196665:WLQ196670 WVK196665:WVM196670 D262201:F262206 IY262201:JA262206 SU262201:SW262206 ACQ262201:ACS262206 AMM262201:AMO262206 AWI262201:AWK262206 BGE262201:BGG262206 BQA262201:BQC262206 BZW262201:BZY262206 CJS262201:CJU262206 CTO262201:CTQ262206 DDK262201:DDM262206 DNG262201:DNI262206 DXC262201:DXE262206 EGY262201:EHA262206 EQU262201:EQW262206 FAQ262201:FAS262206 FKM262201:FKO262206 FUI262201:FUK262206 GEE262201:GEG262206 GOA262201:GOC262206 GXW262201:GXY262206 HHS262201:HHU262206 HRO262201:HRQ262206 IBK262201:IBM262206 ILG262201:ILI262206 IVC262201:IVE262206 JEY262201:JFA262206 JOU262201:JOW262206 JYQ262201:JYS262206 KIM262201:KIO262206 KSI262201:KSK262206 LCE262201:LCG262206 LMA262201:LMC262206 LVW262201:LVY262206 MFS262201:MFU262206 MPO262201:MPQ262206 MZK262201:MZM262206 NJG262201:NJI262206 NTC262201:NTE262206 OCY262201:ODA262206 OMU262201:OMW262206 OWQ262201:OWS262206 PGM262201:PGO262206 PQI262201:PQK262206 QAE262201:QAG262206 QKA262201:QKC262206 QTW262201:QTY262206 RDS262201:RDU262206 RNO262201:RNQ262206 RXK262201:RXM262206 SHG262201:SHI262206 SRC262201:SRE262206 TAY262201:TBA262206 TKU262201:TKW262206 TUQ262201:TUS262206 UEM262201:UEO262206 UOI262201:UOK262206 UYE262201:UYG262206 VIA262201:VIC262206 VRW262201:VRY262206 WBS262201:WBU262206 WLO262201:WLQ262206 WVK262201:WVM262206 D327737:F327742 IY327737:JA327742 SU327737:SW327742 ACQ327737:ACS327742 AMM327737:AMO327742 AWI327737:AWK327742 BGE327737:BGG327742 BQA327737:BQC327742 BZW327737:BZY327742 CJS327737:CJU327742 CTO327737:CTQ327742 DDK327737:DDM327742 DNG327737:DNI327742 DXC327737:DXE327742 EGY327737:EHA327742 EQU327737:EQW327742 FAQ327737:FAS327742 FKM327737:FKO327742 FUI327737:FUK327742 GEE327737:GEG327742 GOA327737:GOC327742 GXW327737:GXY327742 HHS327737:HHU327742 HRO327737:HRQ327742 IBK327737:IBM327742 ILG327737:ILI327742 IVC327737:IVE327742 JEY327737:JFA327742 JOU327737:JOW327742 JYQ327737:JYS327742 KIM327737:KIO327742 KSI327737:KSK327742 LCE327737:LCG327742 LMA327737:LMC327742 LVW327737:LVY327742 MFS327737:MFU327742 MPO327737:MPQ327742 MZK327737:MZM327742 NJG327737:NJI327742 NTC327737:NTE327742 OCY327737:ODA327742 OMU327737:OMW327742 OWQ327737:OWS327742 PGM327737:PGO327742 PQI327737:PQK327742 QAE327737:QAG327742 QKA327737:QKC327742 QTW327737:QTY327742 RDS327737:RDU327742 RNO327737:RNQ327742 RXK327737:RXM327742 SHG327737:SHI327742 SRC327737:SRE327742 TAY327737:TBA327742 TKU327737:TKW327742 TUQ327737:TUS327742 UEM327737:UEO327742 UOI327737:UOK327742 UYE327737:UYG327742 VIA327737:VIC327742 VRW327737:VRY327742 WBS327737:WBU327742 WLO327737:WLQ327742 WVK327737:WVM327742 D393273:F393278 IY393273:JA393278 SU393273:SW393278 ACQ393273:ACS393278 AMM393273:AMO393278 AWI393273:AWK393278 BGE393273:BGG393278 BQA393273:BQC393278 BZW393273:BZY393278 CJS393273:CJU393278 CTO393273:CTQ393278 DDK393273:DDM393278 DNG393273:DNI393278 DXC393273:DXE393278 EGY393273:EHA393278 EQU393273:EQW393278 FAQ393273:FAS393278 FKM393273:FKO393278 FUI393273:FUK393278 GEE393273:GEG393278 GOA393273:GOC393278 GXW393273:GXY393278 HHS393273:HHU393278 HRO393273:HRQ393278 IBK393273:IBM393278 ILG393273:ILI393278 IVC393273:IVE393278 JEY393273:JFA393278 JOU393273:JOW393278 JYQ393273:JYS393278 KIM393273:KIO393278 KSI393273:KSK393278 LCE393273:LCG393278 LMA393273:LMC393278 LVW393273:LVY393278 MFS393273:MFU393278 MPO393273:MPQ393278 MZK393273:MZM393278 NJG393273:NJI393278 NTC393273:NTE393278 OCY393273:ODA393278 OMU393273:OMW393278 OWQ393273:OWS393278 PGM393273:PGO393278 PQI393273:PQK393278 QAE393273:QAG393278 QKA393273:QKC393278 QTW393273:QTY393278 RDS393273:RDU393278 RNO393273:RNQ393278 RXK393273:RXM393278 SHG393273:SHI393278 SRC393273:SRE393278 TAY393273:TBA393278 TKU393273:TKW393278 TUQ393273:TUS393278 UEM393273:UEO393278 UOI393273:UOK393278 UYE393273:UYG393278 VIA393273:VIC393278 VRW393273:VRY393278 WBS393273:WBU393278 WLO393273:WLQ393278 WVK393273:WVM393278 D458809:F458814 IY458809:JA458814 SU458809:SW458814 ACQ458809:ACS458814 AMM458809:AMO458814 AWI458809:AWK458814 BGE458809:BGG458814 BQA458809:BQC458814 BZW458809:BZY458814 CJS458809:CJU458814 CTO458809:CTQ458814 DDK458809:DDM458814 DNG458809:DNI458814 DXC458809:DXE458814 EGY458809:EHA458814 EQU458809:EQW458814 FAQ458809:FAS458814 FKM458809:FKO458814 FUI458809:FUK458814 GEE458809:GEG458814 GOA458809:GOC458814 GXW458809:GXY458814 HHS458809:HHU458814 HRO458809:HRQ458814 IBK458809:IBM458814 ILG458809:ILI458814 IVC458809:IVE458814 JEY458809:JFA458814 JOU458809:JOW458814 JYQ458809:JYS458814 KIM458809:KIO458814 KSI458809:KSK458814 LCE458809:LCG458814 LMA458809:LMC458814 LVW458809:LVY458814 MFS458809:MFU458814 MPO458809:MPQ458814 MZK458809:MZM458814 NJG458809:NJI458814 NTC458809:NTE458814 OCY458809:ODA458814 OMU458809:OMW458814 OWQ458809:OWS458814 PGM458809:PGO458814 PQI458809:PQK458814 QAE458809:QAG458814 QKA458809:QKC458814 QTW458809:QTY458814 RDS458809:RDU458814 RNO458809:RNQ458814 RXK458809:RXM458814 SHG458809:SHI458814 SRC458809:SRE458814 TAY458809:TBA458814 TKU458809:TKW458814 TUQ458809:TUS458814 UEM458809:UEO458814 UOI458809:UOK458814 UYE458809:UYG458814 VIA458809:VIC458814 VRW458809:VRY458814 WBS458809:WBU458814 WLO458809:WLQ458814 WVK458809:WVM458814 D524345:F524350 IY524345:JA524350 SU524345:SW524350 ACQ524345:ACS524350 AMM524345:AMO524350 AWI524345:AWK524350 BGE524345:BGG524350 BQA524345:BQC524350 BZW524345:BZY524350 CJS524345:CJU524350 CTO524345:CTQ524350 DDK524345:DDM524350 DNG524345:DNI524350 DXC524345:DXE524350 EGY524345:EHA524350 EQU524345:EQW524350 FAQ524345:FAS524350 FKM524345:FKO524350 FUI524345:FUK524350 GEE524345:GEG524350 GOA524345:GOC524350 GXW524345:GXY524350 HHS524345:HHU524350 HRO524345:HRQ524350 IBK524345:IBM524350 ILG524345:ILI524350 IVC524345:IVE524350 JEY524345:JFA524350 JOU524345:JOW524350 JYQ524345:JYS524350 KIM524345:KIO524350 KSI524345:KSK524350 LCE524345:LCG524350 LMA524345:LMC524350 LVW524345:LVY524350 MFS524345:MFU524350 MPO524345:MPQ524350 MZK524345:MZM524350 NJG524345:NJI524350 NTC524345:NTE524350 OCY524345:ODA524350 OMU524345:OMW524350 OWQ524345:OWS524350 PGM524345:PGO524350 PQI524345:PQK524350 QAE524345:QAG524350 QKA524345:QKC524350 QTW524345:QTY524350 RDS524345:RDU524350 RNO524345:RNQ524350 RXK524345:RXM524350 SHG524345:SHI524350 SRC524345:SRE524350 TAY524345:TBA524350 TKU524345:TKW524350 TUQ524345:TUS524350 UEM524345:UEO524350 UOI524345:UOK524350 UYE524345:UYG524350 VIA524345:VIC524350 VRW524345:VRY524350 WBS524345:WBU524350 WLO524345:WLQ524350 WVK524345:WVM524350 D589881:F589886 IY589881:JA589886 SU589881:SW589886 ACQ589881:ACS589886 AMM589881:AMO589886 AWI589881:AWK589886 BGE589881:BGG589886 BQA589881:BQC589886 BZW589881:BZY589886 CJS589881:CJU589886 CTO589881:CTQ589886 DDK589881:DDM589886 DNG589881:DNI589886 DXC589881:DXE589886 EGY589881:EHA589886 EQU589881:EQW589886 FAQ589881:FAS589886 FKM589881:FKO589886 FUI589881:FUK589886 GEE589881:GEG589886 GOA589881:GOC589886 GXW589881:GXY589886 HHS589881:HHU589886 HRO589881:HRQ589886 IBK589881:IBM589886 ILG589881:ILI589886 IVC589881:IVE589886 JEY589881:JFA589886 JOU589881:JOW589886 JYQ589881:JYS589886 KIM589881:KIO589886 KSI589881:KSK589886 LCE589881:LCG589886 LMA589881:LMC589886 LVW589881:LVY589886 MFS589881:MFU589886 MPO589881:MPQ589886 MZK589881:MZM589886 NJG589881:NJI589886 NTC589881:NTE589886 OCY589881:ODA589886 OMU589881:OMW589886 OWQ589881:OWS589886 PGM589881:PGO589886 PQI589881:PQK589886 QAE589881:QAG589886 QKA589881:QKC589886 QTW589881:QTY589886 RDS589881:RDU589886 RNO589881:RNQ589886 RXK589881:RXM589886 SHG589881:SHI589886 SRC589881:SRE589886 TAY589881:TBA589886 TKU589881:TKW589886 TUQ589881:TUS589886 UEM589881:UEO589886 UOI589881:UOK589886 UYE589881:UYG589886 VIA589881:VIC589886 VRW589881:VRY589886 WBS589881:WBU589886 WLO589881:WLQ589886 WVK589881:WVM589886 D655417:F655422 IY655417:JA655422 SU655417:SW655422 ACQ655417:ACS655422 AMM655417:AMO655422 AWI655417:AWK655422 BGE655417:BGG655422 BQA655417:BQC655422 BZW655417:BZY655422 CJS655417:CJU655422 CTO655417:CTQ655422 DDK655417:DDM655422 DNG655417:DNI655422 DXC655417:DXE655422 EGY655417:EHA655422 EQU655417:EQW655422 FAQ655417:FAS655422 FKM655417:FKO655422 FUI655417:FUK655422 GEE655417:GEG655422 GOA655417:GOC655422 GXW655417:GXY655422 HHS655417:HHU655422 HRO655417:HRQ655422 IBK655417:IBM655422 ILG655417:ILI655422 IVC655417:IVE655422 JEY655417:JFA655422 JOU655417:JOW655422 JYQ655417:JYS655422 KIM655417:KIO655422 KSI655417:KSK655422 LCE655417:LCG655422 LMA655417:LMC655422 LVW655417:LVY655422 MFS655417:MFU655422 MPO655417:MPQ655422 MZK655417:MZM655422 NJG655417:NJI655422 NTC655417:NTE655422 OCY655417:ODA655422 OMU655417:OMW655422 OWQ655417:OWS655422 PGM655417:PGO655422 PQI655417:PQK655422 QAE655417:QAG655422 QKA655417:QKC655422 QTW655417:QTY655422 RDS655417:RDU655422 RNO655417:RNQ655422 RXK655417:RXM655422 SHG655417:SHI655422 SRC655417:SRE655422 TAY655417:TBA655422 TKU655417:TKW655422 TUQ655417:TUS655422 UEM655417:UEO655422 UOI655417:UOK655422 UYE655417:UYG655422 VIA655417:VIC655422 VRW655417:VRY655422 WBS655417:WBU655422 WLO655417:WLQ655422 WVK655417:WVM655422 D720953:F720958 IY720953:JA720958 SU720953:SW720958 ACQ720953:ACS720958 AMM720953:AMO720958 AWI720953:AWK720958 BGE720953:BGG720958 BQA720953:BQC720958 BZW720953:BZY720958 CJS720953:CJU720958 CTO720953:CTQ720958 DDK720953:DDM720958 DNG720953:DNI720958 DXC720953:DXE720958 EGY720953:EHA720958 EQU720953:EQW720958 FAQ720953:FAS720958 FKM720953:FKO720958 FUI720953:FUK720958 GEE720953:GEG720958 GOA720953:GOC720958 GXW720953:GXY720958 HHS720953:HHU720958 HRO720953:HRQ720958 IBK720953:IBM720958 ILG720953:ILI720958 IVC720953:IVE720958 JEY720953:JFA720958 JOU720953:JOW720958 JYQ720953:JYS720958 KIM720953:KIO720958 KSI720953:KSK720958 LCE720953:LCG720958 LMA720953:LMC720958 LVW720953:LVY720958 MFS720953:MFU720958 MPO720953:MPQ720958 MZK720953:MZM720958 NJG720953:NJI720958 NTC720953:NTE720958 OCY720953:ODA720958 OMU720953:OMW720958 OWQ720953:OWS720958 PGM720953:PGO720958 PQI720953:PQK720958 QAE720953:QAG720958 QKA720953:QKC720958 QTW720953:QTY720958 RDS720953:RDU720958 RNO720953:RNQ720958 RXK720953:RXM720958 SHG720953:SHI720958 SRC720953:SRE720958 TAY720953:TBA720958 TKU720953:TKW720958 TUQ720953:TUS720958 UEM720953:UEO720958 UOI720953:UOK720958 UYE720953:UYG720958 VIA720953:VIC720958 VRW720953:VRY720958 WBS720953:WBU720958 WLO720953:WLQ720958 WVK720953:WVM720958 D786489:F786494 IY786489:JA786494 SU786489:SW786494 ACQ786489:ACS786494 AMM786489:AMO786494 AWI786489:AWK786494 BGE786489:BGG786494 BQA786489:BQC786494 BZW786489:BZY786494 CJS786489:CJU786494 CTO786489:CTQ786494 DDK786489:DDM786494 DNG786489:DNI786494 DXC786489:DXE786494 EGY786489:EHA786494 EQU786489:EQW786494 FAQ786489:FAS786494 FKM786489:FKO786494 FUI786489:FUK786494 GEE786489:GEG786494 GOA786489:GOC786494 GXW786489:GXY786494 HHS786489:HHU786494 HRO786489:HRQ786494 IBK786489:IBM786494 ILG786489:ILI786494 IVC786489:IVE786494 JEY786489:JFA786494 JOU786489:JOW786494 JYQ786489:JYS786494 KIM786489:KIO786494 KSI786489:KSK786494 LCE786489:LCG786494 LMA786489:LMC786494 LVW786489:LVY786494 MFS786489:MFU786494 MPO786489:MPQ786494 MZK786489:MZM786494 NJG786489:NJI786494 NTC786489:NTE786494 OCY786489:ODA786494 OMU786489:OMW786494 OWQ786489:OWS786494 PGM786489:PGO786494 PQI786489:PQK786494 QAE786489:QAG786494 QKA786489:QKC786494 QTW786489:QTY786494 RDS786489:RDU786494 RNO786489:RNQ786494 RXK786489:RXM786494 SHG786489:SHI786494 SRC786489:SRE786494 TAY786489:TBA786494 TKU786489:TKW786494 TUQ786489:TUS786494 UEM786489:UEO786494 UOI786489:UOK786494 UYE786489:UYG786494 VIA786489:VIC786494 VRW786489:VRY786494 WBS786489:WBU786494 WLO786489:WLQ786494 WVK786489:WVM786494 D852025:F852030 IY852025:JA852030 SU852025:SW852030 ACQ852025:ACS852030 AMM852025:AMO852030 AWI852025:AWK852030 BGE852025:BGG852030 BQA852025:BQC852030 BZW852025:BZY852030 CJS852025:CJU852030 CTO852025:CTQ852030 DDK852025:DDM852030 DNG852025:DNI852030 DXC852025:DXE852030 EGY852025:EHA852030 EQU852025:EQW852030 FAQ852025:FAS852030 FKM852025:FKO852030 FUI852025:FUK852030 GEE852025:GEG852030 GOA852025:GOC852030 GXW852025:GXY852030 HHS852025:HHU852030 HRO852025:HRQ852030 IBK852025:IBM852030 ILG852025:ILI852030 IVC852025:IVE852030 JEY852025:JFA852030 JOU852025:JOW852030 JYQ852025:JYS852030 KIM852025:KIO852030 KSI852025:KSK852030 LCE852025:LCG852030 LMA852025:LMC852030 LVW852025:LVY852030 MFS852025:MFU852030 MPO852025:MPQ852030 MZK852025:MZM852030 NJG852025:NJI852030 NTC852025:NTE852030 OCY852025:ODA852030 OMU852025:OMW852030 OWQ852025:OWS852030 PGM852025:PGO852030 PQI852025:PQK852030 QAE852025:QAG852030 QKA852025:QKC852030 QTW852025:QTY852030 RDS852025:RDU852030 RNO852025:RNQ852030 RXK852025:RXM852030 SHG852025:SHI852030 SRC852025:SRE852030 TAY852025:TBA852030 TKU852025:TKW852030 TUQ852025:TUS852030 UEM852025:UEO852030 UOI852025:UOK852030 UYE852025:UYG852030 VIA852025:VIC852030 VRW852025:VRY852030 WBS852025:WBU852030 WLO852025:WLQ852030 WVK852025:WVM852030 D917561:F917566 IY917561:JA917566 SU917561:SW917566 ACQ917561:ACS917566 AMM917561:AMO917566 AWI917561:AWK917566 BGE917561:BGG917566 BQA917561:BQC917566 BZW917561:BZY917566 CJS917561:CJU917566 CTO917561:CTQ917566 DDK917561:DDM917566 DNG917561:DNI917566 DXC917561:DXE917566 EGY917561:EHA917566 EQU917561:EQW917566 FAQ917561:FAS917566 FKM917561:FKO917566 FUI917561:FUK917566 GEE917561:GEG917566 GOA917561:GOC917566 GXW917561:GXY917566 HHS917561:HHU917566 HRO917561:HRQ917566 IBK917561:IBM917566 ILG917561:ILI917566 IVC917561:IVE917566 JEY917561:JFA917566 JOU917561:JOW917566 JYQ917561:JYS917566 KIM917561:KIO917566 KSI917561:KSK917566 LCE917561:LCG917566 LMA917561:LMC917566 LVW917561:LVY917566 MFS917561:MFU917566 MPO917561:MPQ917566 MZK917561:MZM917566 NJG917561:NJI917566 NTC917561:NTE917566 OCY917561:ODA917566 OMU917561:OMW917566 OWQ917561:OWS917566 PGM917561:PGO917566 PQI917561:PQK917566 QAE917561:QAG917566 QKA917561:QKC917566 QTW917561:QTY917566 RDS917561:RDU917566 RNO917561:RNQ917566 RXK917561:RXM917566 SHG917561:SHI917566 SRC917561:SRE917566 TAY917561:TBA917566 TKU917561:TKW917566 TUQ917561:TUS917566 UEM917561:UEO917566 UOI917561:UOK917566 UYE917561:UYG917566 VIA917561:VIC917566 VRW917561:VRY917566 WBS917561:WBU917566 WLO917561:WLQ917566 WVK917561:WVM917566 D983097:F983102 IY983097:JA983102 SU983097:SW983102 ACQ983097:ACS983102 AMM983097:AMO983102 AWI983097:AWK983102 BGE983097:BGG983102 BQA983097:BQC983102 BZW983097:BZY983102 CJS983097:CJU983102 CTO983097:CTQ983102 DDK983097:DDM983102 DNG983097:DNI983102 DXC983097:DXE983102 EGY983097:EHA983102 EQU983097:EQW983102 FAQ983097:FAS983102 FKM983097:FKO983102 FUI983097:FUK983102 GEE983097:GEG983102 GOA983097:GOC983102 GXW983097:GXY983102 HHS983097:HHU983102 HRO983097:HRQ983102 IBK983097:IBM983102 ILG983097:ILI983102 IVC983097:IVE983102 JEY983097:JFA983102 JOU983097:JOW983102 JYQ983097:JYS983102 KIM983097:KIO983102 KSI983097:KSK983102 LCE983097:LCG983102 LMA983097:LMC983102 LVW983097:LVY983102 MFS983097:MFU983102 MPO983097:MPQ983102 MZK983097:MZM983102 NJG983097:NJI983102 NTC983097:NTE983102 OCY983097:ODA983102 OMU983097:OMW983102 OWQ983097:OWS983102 PGM983097:PGO983102 PQI983097:PQK983102 QAE983097:QAG983102 QKA983097:QKC983102 QTW983097:QTY983102 RDS983097:RDU983102 RNO983097:RNQ983102 RXK983097:RXM983102 SHG983097:SHI983102 SRC983097:SRE983102 TAY983097:TBA983102 TKU983097:TKW983102 TUQ983097:TUS983102 UEM983097:UEO983102 UOI983097:UOK983102 UYE983097:UYG983102 VIA983097:VIC983102 VRW983097:VRY983102 WBS983097:WBU983102 WLO983097:WLQ983102 WVK983097:WVM983102"/>
    <dataValidation allowBlank="1" showInputMessage="1" showErrorMessage="1" promptTitle="Jumlah Angsuran" prompt="Diisi data jumlah angsuran yang dibayarkan oleh Pemohon setiap bulan atas pinjaman yang diterima dari Bank / Lembaga Keuangan (termasuk pinjaman dari Bank Jabar Banten)" sqref="JB65593:JE65598 SX65593:TA65598 ACT65593:ACW65598 AMP65593:AMS65598 AWL65593:AWO65598 BGH65593:BGK65598 BQD65593:BQG65598 BZZ65593:CAC65598 CJV65593:CJY65598 CTR65593:CTU65598 DDN65593:DDQ65598 DNJ65593:DNM65598 DXF65593:DXI65598 EHB65593:EHE65598 EQX65593:ERA65598 FAT65593:FAW65598 FKP65593:FKS65598 FUL65593:FUO65598 GEH65593:GEK65598 GOD65593:GOG65598 GXZ65593:GYC65598 HHV65593:HHY65598 HRR65593:HRU65598 IBN65593:IBQ65598 ILJ65593:ILM65598 IVF65593:IVI65598 JFB65593:JFE65598 JOX65593:JPA65598 JYT65593:JYW65598 KIP65593:KIS65598 KSL65593:KSO65598 LCH65593:LCK65598 LMD65593:LMG65598 LVZ65593:LWC65598 MFV65593:MFY65598 MPR65593:MPU65598 MZN65593:MZQ65598 NJJ65593:NJM65598 NTF65593:NTI65598 ODB65593:ODE65598 OMX65593:ONA65598 OWT65593:OWW65598 PGP65593:PGS65598 PQL65593:PQO65598 QAH65593:QAK65598 QKD65593:QKG65598 QTZ65593:QUC65598 RDV65593:RDY65598 RNR65593:RNU65598 RXN65593:RXQ65598 SHJ65593:SHM65598 SRF65593:SRI65598 TBB65593:TBE65598 TKX65593:TLA65598 TUT65593:TUW65598 UEP65593:UES65598 UOL65593:UOO65598 UYH65593:UYK65598 VID65593:VIG65598 VRZ65593:VSC65598 WBV65593:WBY65598 WLR65593:WLU65598 WVN65593:WVQ65598 JB131129:JE131134 SX131129:TA131134 ACT131129:ACW131134 AMP131129:AMS131134 AWL131129:AWO131134 BGH131129:BGK131134 BQD131129:BQG131134 BZZ131129:CAC131134 CJV131129:CJY131134 CTR131129:CTU131134 DDN131129:DDQ131134 DNJ131129:DNM131134 DXF131129:DXI131134 EHB131129:EHE131134 EQX131129:ERA131134 FAT131129:FAW131134 FKP131129:FKS131134 FUL131129:FUO131134 GEH131129:GEK131134 GOD131129:GOG131134 GXZ131129:GYC131134 HHV131129:HHY131134 HRR131129:HRU131134 IBN131129:IBQ131134 ILJ131129:ILM131134 IVF131129:IVI131134 JFB131129:JFE131134 JOX131129:JPA131134 JYT131129:JYW131134 KIP131129:KIS131134 KSL131129:KSO131134 LCH131129:LCK131134 LMD131129:LMG131134 LVZ131129:LWC131134 MFV131129:MFY131134 MPR131129:MPU131134 MZN131129:MZQ131134 NJJ131129:NJM131134 NTF131129:NTI131134 ODB131129:ODE131134 OMX131129:ONA131134 OWT131129:OWW131134 PGP131129:PGS131134 PQL131129:PQO131134 QAH131129:QAK131134 QKD131129:QKG131134 QTZ131129:QUC131134 RDV131129:RDY131134 RNR131129:RNU131134 RXN131129:RXQ131134 SHJ131129:SHM131134 SRF131129:SRI131134 TBB131129:TBE131134 TKX131129:TLA131134 TUT131129:TUW131134 UEP131129:UES131134 UOL131129:UOO131134 UYH131129:UYK131134 VID131129:VIG131134 VRZ131129:VSC131134 WBV131129:WBY131134 WLR131129:WLU131134 WVN131129:WVQ131134 JB196665:JE196670 SX196665:TA196670 ACT196665:ACW196670 AMP196665:AMS196670 AWL196665:AWO196670 BGH196665:BGK196670 BQD196665:BQG196670 BZZ196665:CAC196670 CJV196665:CJY196670 CTR196665:CTU196670 DDN196665:DDQ196670 DNJ196665:DNM196670 DXF196665:DXI196670 EHB196665:EHE196670 EQX196665:ERA196670 FAT196665:FAW196670 FKP196665:FKS196670 FUL196665:FUO196670 GEH196665:GEK196670 GOD196665:GOG196670 GXZ196665:GYC196670 HHV196665:HHY196670 HRR196665:HRU196670 IBN196665:IBQ196670 ILJ196665:ILM196670 IVF196665:IVI196670 JFB196665:JFE196670 JOX196665:JPA196670 JYT196665:JYW196670 KIP196665:KIS196670 KSL196665:KSO196670 LCH196665:LCK196670 LMD196665:LMG196670 LVZ196665:LWC196670 MFV196665:MFY196670 MPR196665:MPU196670 MZN196665:MZQ196670 NJJ196665:NJM196670 NTF196665:NTI196670 ODB196665:ODE196670 OMX196665:ONA196670 OWT196665:OWW196670 PGP196665:PGS196670 PQL196665:PQO196670 QAH196665:QAK196670 QKD196665:QKG196670 QTZ196665:QUC196670 RDV196665:RDY196670 RNR196665:RNU196670 RXN196665:RXQ196670 SHJ196665:SHM196670 SRF196665:SRI196670 TBB196665:TBE196670 TKX196665:TLA196670 TUT196665:TUW196670 UEP196665:UES196670 UOL196665:UOO196670 UYH196665:UYK196670 VID196665:VIG196670 VRZ196665:VSC196670 WBV196665:WBY196670 WLR196665:WLU196670 WVN196665:WVQ196670 JB262201:JE262206 SX262201:TA262206 ACT262201:ACW262206 AMP262201:AMS262206 AWL262201:AWO262206 BGH262201:BGK262206 BQD262201:BQG262206 BZZ262201:CAC262206 CJV262201:CJY262206 CTR262201:CTU262206 DDN262201:DDQ262206 DNJ262201:DNM262206 DXF262201:DXI262206 EHB262201:EHE262206 EQX262201:ERA262206 FAT262201:FAW262206 FKP262201:FKS262206 FUL262201:FUO262206 GEH262201:GEK262206 GOD262201:GOG262206 GXZ262201:GYC262206 HHV262201:HHY262206 HRR262201:HRU262206 IBN262201:IBQ262206 ILJ262201:ILM262206 IVF262201:IVI262206 JFB262201:JFE262206 JOX262201:JPA262206 JYT262201:JYW262206 KIP262201:KIS262206 KSL262201:KSO262206 LCH262201:LCK262206 LMD262201:LMG262206 LVZ262201:LWC262206 MFV262201:MFY262206 MPR262201:MPU262206 MZN262201:MZQ262206 NJJ262201:NJM262206 NTF262201:NTI262206 ODB262201:ODE262206 OMX262201:ONA262206 OWT262201:OWW262206 PGP262201:PGS262206 PQL262201:PQO262206 QAH262201:QAK262206 QKD262201:QKG262206 QTZ262201:QUC262206 RDV262201:RDY262206 RNR262201:RNU262206 RXN262201:RXQ262206 SHJ262201:SHM262206 SRF262201:SRI262206 TBB262201:TBE262206 TKX262201:TLA262206 TUT262201:TUW262206 UEP262201:UES262206 UOL262201:UOO262206 UYH262201:UYK262206 VID262201:VIG262206 VRZ262201:VSC262206 WBV262201:WBY262206 WLR262201:WLU262206 WVN262201:WVQ262206 JB327737:JE327742 SX327737:TA327742 ACT327737:ACW327742 AMP327737:AMS327742 AWL327737:AWO327742 BGH327737:BGK327742 BQD327737:BQG327742 BZZ327737:CAC327742 CJV327737:CJY327742 CTR327737:CTU327742 DDN327737:DDQ327742 DNJ327737:DNM327742 DXF327737:DXI327742 EHB327737:EHE327742 EQX327737:ERA327742 FAT327737:FAW327742 FKP327737:FKS327742 FUL327737:FUO327742 GEH327737:GEK327742 GOD327737:GOG327742 GXZ327737:GYC327742 HHV327737:HHY327742 HRR327737:HRU327742 IBN327737:IBQ327742 ILJ327737:ILM327742 IVF327737:IVI327742 JFB327737:JFE327742 JOX327737:JPA327742 JYT327737:JYW327742 KIP327737:KIS327742 KSL327737:KSO327742 LCH327737:LCK327742 LMD327737:LMG327742 LVZ327737:LWC327742 MFV327737:MFY327742 MPR327737:MPU327742 MZN327737:MZQ327742 NJJ327737:NJM327742 NTF327737:NTI327742 ODB327737:ODE327742 OMX327737:ONA327742 OWT327737:OWW327742 PGP327737:PGS327742 PQL327737:PQO327742 QAH327737:QAK327742 QKD327737:QKG327742 QTZ327737:QUC327742 RDV327737:RDY327742 RNR327737:RNU327742 RXN327737:RXQ327742 SHJ327737:SHM327742 SRF327737:SRI327742 TBB327737:TBE327742 TKX327737:TLA327742 TUT327737:TUW327742 UEP327737:UES327742 UOL327737:UOO327742 UYH327737:UYK327742 VID327737:VIG327742 VRZ327737:VSC327742 WBV327737:WBY327742 WLR327737:WLU327742 WVN327737:WVQ327742 JB393273:JE393278 SX393273:TA393278 ACT393273:ACW393278 AMP393273:AMS393278 AWL393273:AWO393278 BGH393273:BGK393278 BQD393273:BQG393278 BZZ393273:CAC393278 CJV393273:CJY393278 CTR393273:CTU393278 DDN393273:DDQ393278 DNJ393273:DNM393278 DXF393273:DXI393278 EHB393273:EHE393278 EQX393273:ERA393278 FAT393273:FAW393278 FKP393273:FKS393278 FUL393273:FUO393278 GEH393273:GEK393278 GOD393273:GOG393278 GXZ393273:GYC393278 HHV393273:HHY393278 HRR393273:HRU393278 IBN393273:IBQ393278 ILJ393273:ILM393278 IVF393273:IVI393278 JFB393273:JFE393278 JOX393273:JPA393278 JYT393273:JYW393278 KIP393273:KIS393278 KSL393273:KSO393278 LCH393273:LCK393278 LMD393273:LMG393278 LVZ393273:LWC393278 MFV393273:MFY393278 MPR393273:MPU393278 MZN393273:MZQ393278 NJJ393273:NJM393278 NTF393273:NTI393278 ODB393273:ODE393278 OMX393273:ONA393278 OWT393273:OWW393278 PGP393273:PGS393278 PQL393273:PQO393278 QAH393273:QAK393278 QKD393273:QKG393278 QTZ393273:QUC393278 RDV393273:RDY393278 RNR393273:RNU393278 RXN393273:RXQ393278 SHJ393273:SHM393278 SRF393273:SRI393278 TBB393273:TBE393278 TKX393273:TLA393278 TUT393273:TUW393278 UEP393273:UES393278 UOL393273:UOO393278 UYH393273:UYK393278 VID393273:VIG393278 VRZ393273:VSC393278 WBV393273:WBY393278 WLR393273:WLU393278 WVN393273:WVQ393278 JB458809:JE458814 SX458809:TA458814 ACT458809:ACW458814 AMP458809:AMS458814 AWL458809:AWO458814 BGH458809:BGK458814 BQD458809:BQG458814 BZZ458809:CAC458814 CJV458809:CJY458814 CTR458809:CTU458814 DDN458809:DDQ458814 DNJ458809:DNM458814 DXF458809:DXI458814 EHB458809:EHE458814 EQX458809:ERA458814 FAT458809:FAW458814 FKP458809:FKS458814 FUL458809:FUO458814 GEH458809:GEK458814 GOD458809:GOG458814 GXZ458809:GYC458814 HHV458809:HHY458814 HRR458809:HRU458814 IBN458809:IBQ458814 ILJ458809:ILM458814 IVF458809:IVI458814 JFB458809:JFE458814 JOX458809:JPA458814 JYT458809:JYW458814 KIP458809:KIS458814 KSL458809:KSO458814 LCH458809:LCK458814 LMD458809:LMG458814 LVZ458809:LWC458814 MFV458809:MFY458814 MPR458809:MPU458814 MZN458809:MZQ458814 NJJ458809:NJM458814 NTF458809:NTI458814 ODB458809:ODE458814 OMX458809:ONA458814 OWT458809:OWW458814 PGP458809:PGS458814 PQL458809:PQO458814 QAH458809:QAK458814 QKD458809:QKG458814 QTZ458809:QUC458814 RDV458809:RDY458814 RNR458809:RNU458814 RXN458809:RXQ458814 SHJ458809:SHM458814 SRF458809:SRI458814 TBB458809:TBE458814 TKX458809:TLA458814 TUT458809:TUW458814 UEP458809:UES458814 UOL458809:UOO458814 UYH458809:UYK458814 VID458809:VIG458814 VRZ458809:VSC458814 WBV458809:WBY458814 WLR458809:WLU458814 WVN458809:WVQ458814 JB524345:JE524350 SX524345:TA524350 ACT524345:ACW524350 AMP524345:AMS524350 AWL524345:AWO524350 BGH524345:BGK524350 BQD524345:BQG524350 BZZ524345:CAC524350 CJV524345:CJY524350 CTR524345:CTU524350 DDN524345:DDQ524350 DNJ524345:DNM524350 DXF524345:DXI524350 EHB524345:EHE524350 EQX524345:ERA524350 FAT524345:FAW524350 FKP524345:FKS524350 FUL524345:FUO524350 GEH524345:GEK524350 GOD524345:GOG524350 GXZ524345:GYC524350 HHV524345:HHY524350 HRR524345:HRU524350 IBN524345:IBQ524350 ILJ524345:ILM524350 IVF524345:IVI524350 JFB524345:JFE524350 JOX524345:JPA524350 JYT524345:JYW524350 KIP524345:KIS524350 KSL524345:KSO524350 LCH524345:LCK524350 LMD524345:LMG524350 LVZ524345:LWC524350 MFV524345:MFY524350 MPR524345:MPU524350 MZN524345:MZQ524350 NJJ524345:NJM524350 NTF524345:NTI524350 ODB524345:ODE524350 OMX524345:ONA524350 OWT524345:OWW524350 PGP524345:PGS524350 PQL524345:PQO524350 QAH524345:QAK524350 QKD524345:QKG524350 QTZ524345:QUC524350 RDV524345:RDY524350 RNR524345:RNU524350 RXN524345:RXQ524350 SHJ524345:SHM524350 SRF524345:SRI524350 TBB524345:TBE524350 TKX524345:TLA524350 TUT524345:TUW524350 UEP524345:UES524350 UOL524345:UOO524350 UYH524345:UYK524350 VID524345:VIG524350 VRZ524345:VSC524350 WBV524345:WBY524350 WLR524345:WLU524350 WVN524345:WVQ524350 JB589881:JE589886 SX589881:TA589886 ACT589881:ACW589886 AMP589881:AMS589886 AWL589881:AWO589886 BGH589881:BGK589886 BQD589881:BQG589886 BZZ589881:CAC589886 CJV589881:CJY589886 CTR589881:CTU589886 DDN589881:DDQ589886 DNJ589881:DNM589886 DXF589881:DXI589886 EHB589881:EHE589886 EQX589881:ERA589886 FAT589881:FAW589886 FKP589881:FKS589886 FUL589881:FUO589886 GEH589881:GEK589886 GOD589881:GOG589886 GXZ589881:GYC589886 HHV589881:HHY589886 HRR589881:HRU589886 IBN589881:IBQ589886 ILJ589881:ILM589886 IVF589881:IVI589886 JFB589881:JFE589886 JOX589881:JPA589886 JYT589881:JYW589886 KIP589881:KIS589886 KSL589881:KSO589886 LCH589881:LCK589886 LMD589881:LMG589886 LVZ589881:LWC589886 MFV589881:MFY589886 MPR589881:MPU589886 MZN589881:MZQ589886 NJJ589881:NJM589886 NTF589881:NTI589886 ODB589881:ODE589886 OMX589881:ONA589886 OWT589881:OWW589886 PGP589881:PGS589886 PQL589881:PQO589886 QAH589881:QAK589886 QKD589881:QKG589886 QTZ589881:QUC589886 RDV589881:RDY589886 RNR589881:RNU589886 RXN589881:RXQ589886 SHJ589881:SHM589886 SRF589881:SRI589886 TBB589881:TBE589886 TKX589881:TLA589886 TUT589881:TUW589886 UEP589881:UES589886 UOL589881:UOO589886 UYH589881:UYK589886 VID589881:VIG589886 VRZ589881:VSC589886 WBV589881:WBY589886 WLR589881:WLU589886 WVN589881:WVQ589886 JB655417:JE655422 SX655417:TA655422 ACT655417:ACW655422 AMP655417:AMS655422 AWL655417:AWO655422 BGH655417:BGK655422 BQD655417:BQG655422 BZZ655417:CAC655422 CJV655417:CJY655422 CTR655417:CTU655422 DDN655417:DDQ655422 DNJ655417:DNM655422 DXF655417:DXI655422 EHB655417:EHE655422 EQX655417:ERA655422 FAT655417:FAW655422 FKP655417:FKS655422 FUL655417:FUO655422 GEH655417:GEK655422 GOD655417:GOG655422 GXZ655417:GYC655422 HHV655417:HHY655422 HRR655417:HRU655422 IBN655417:IBQ655422 ILJ655417:ILM655422 IVF655417:IVI655422 JFB655417:JFE655422 JOX655417:JPA655422 JYT655417:JYW655422 KIP655417:KIS655422 KSL655417:KSO655422 LCH655417:LCK655422 LMD655417:LMG655422 LVZ655417:LWC655422 MFV655417:MFY655422 MPR655417:MPU655422 MZN655417:MZQ655422 NJJ655417:NJM655422 NTF655417:NTI655422 ODB655417:ODE655422 OMX655417:ONA655422 OWT655417:OWW655422 PGP655417:PGS655422 PQL655417:PQO655422 QAH655417:QAK655422 QKD655417:QKG655422 QTZ655417:QUC655422 RDV655417:RDY655422 RNR655417:RNU655422 RXN655417:RXQ655422 SHJ655417:SHM655422 SRF655417:SRI655422 TBB655417:TBE655422 TKX655417:TLA655422 TUT655417:TUW655422 UEP655417:UES655422 UOL655417:UOO655422 UYH655417:UYK655422 VID655417:VIG655422 VRZ655417:VSC655422 WBV655417:WBY655422 WLR655417:WLU655422 WVN655417:WVQ655422 JB720953:JE720958 SX720953:TA720958 ACT720953:ACW720958 AMP720953:AMS720958 AWL720953:AWO720958 BGH720953:BGK720958 BQD720953:BQG720958 BZZ720953:CAC720958 CJV720953:CJY720958 CTR720953:CTU720958 DDN720953:DDQ720958 DNJ720953:DNM720958 DXF720953:DXI720958 EHB720953:EHE720958 EQX720953:ERA720958 FAT720953:FAW720958 FKP720953:FKS720958 FUL720953:FUO720958 GEH720953:GEK720958 GOD720953:GOG720958 GXZ720953:GYC720958 HHV720953:HHY720958 HRR720953:HRU720958 IBN720953:IBQ720958 ILJ720953:ILM720958 IVF720953:IVI720958 JFB720953:JFE720958 JOX720953:JPA720958 JYT720953:JYW720958 KIP720953:KIS720958 KSL720953:KSO720958 LCH720953:LCK720958 LMD720953:LMG720958 LVZ720953:LWC720958 MFV720953:MFY720958 MPR720953:MPU720958 MZN720953:MZQ720958 NJJ720953:NJM720958 NTF720953:NTI720958 ODB720953:ODE720958 OMX720953:ONA720958 OWT720953:OWW720958 PGP720953:PGS720958 PQL720953:PQO720958 QAH720953:QAK720958 QKD720953:QKG720958 QTZ720953:QUC720958 RDV720953:RDY720958 RNR720953:RNU720958 RXN720953:RXQ720958 SHJ720953:SHM720958 SRF720953:SRI720958 TBB720953:TBE720958 TKX720953:TLA720958 TUT720953:TUW720958 UEP720953:UES720958 UOL720953:UOO720958 UYH720953:UYK720958 VID720953:VIG720958 VRZ720953:VSC720958 WBV720953:WBY720958 WLR720953:WLU720958 WVN720953:WVQ720958 JB786489:JE786494 SX786489:TA786494 ACT786489:ACW786494 AMP786489:AMS786494 AWL786489:AWO786494 BGH786489:BGK786494 BQD786489:BQG786494 BZZ786489:CAC786494 CJV786489:CJY786494 CTR786489:CTU786494 DDN786489:DDQ786494 DNJ786489:DNM786494 DXF786489:DXI786494 EHB786489:EHE786494 EQX786489:ERA786494 FAT786489:FAW786494 FKP786489:FKS786494 FUL786489:FUO786494 GEH786489:GEK786494 GOD786489:GOG786494 GXZ786489:GYC786494 HHV786489:HHY786494 HRR786489:HRU786494 IBN786489:IBQ786494 ILJ786489:ILM786494 IVF786489:IVI786494 JFB786489:JFE786494 JOX786489:JPA786494 JYT786489:JYW786494 KIP786489:KIS786494 KSL786489:KSO786494 LCH786489:LCK786494 LMD786489:LMG786494 LVZ786489:LWC786494 MFV786489:MFY786494 MPR786489:MPU786494 MZN786489:MZQ786494 NJJ786489:NJM786494 NTF786489:NTI786494 ODB786489:ODE786494 OMX786489:ONA786494 OWT786489:OWW786494 PGP786489:PGS786494 PQL786489:PQO786494 QAH786489:QAK786494 QKD786489:QKG786494 QTZ786489:QUC786494 RDV786489:RDY786494 RNR786489:RNU786494 RXN786489:RXQ786494 SHJ786489:SHM786494 SRF786489:SRI786494 TBB786489:TBE786494 TKX786489:TLA786494 TUT786489:TUW786494 UEP786489:UES786494 UOL786489:UOO786494 UYH786489:UYK786494 VID786489:VIG786494 VRZ786489:VSC786494 WBV786489:WBY786494 WLR786489:WLU786494 WVN786489:WVQ786494 JB852025:JE852030 SX852025:TA852030 ACT852025:ACW852030 AMP852025:AMS852030 AWL852025:AWO852030 BGH852025:BGK852030 BQD852025:BQG852030 BZZ852025:CAC852030 CJV852025:CJY852030 CTR852025:CTU852030 DDN852025:DDQ852030 DNJ852025:DNM852030 DXF852025:DXI852030 EHB852025:EHE852030 EQX852025:ERA852030 FAT852025:FAW852030 FKP852025:FKS852030 FUL852025:FUO852030 GEH852025:GEK852030 GOD852025:GOG852030 GXZ852025:GYC852030 HHV852025:HHY852030 HRR852025:HRU852030 IBN852025:IBQ852030 ILJ852025:ILM852030 IVF852025:IVI852030 JFB852025:JFE852030 JOX852025:JPA852030 JYT852025:JYW852030 KIP852025:KIS852030 KSL852025:KSO852030 LCH852025:LCK852030 LMD852025:LMG852030 LVZ852025:LWC852030 MFV852025:MFY852030 MPR852025:MPU852030 MZN852025:MZQ852030 NJJ852025:NJM852030 NTF852025:NTI852030 ODB852025:ODE852030 OMX852025:ONA852030 OWT852025:OWW852030 PGP852025:PGS852030 PQL852025:PQO852030 QAH852025:QAK852030 QKD852025:QKG852030 QTZ852025:QUC852030 RDV852025:RDY852030 RNR852025:RNU852030 RXN852025:RXQ852030 SHJ852025:SHM852030 SRF852025:SRI852030 TBB852025:TBE852030 TKX852025:TLA852030 TUT852025:TUW852030 UEP852025:UES852030 UOL852025:UOO852030 UYH852025:UYK852030 VID852025:VIG852030 VRZ852025:VSC852030 WBV852025:WBY852030 WLR852025:WLU852030 WVN852025:WVQ852030 JB917561:JE917566 SX917561:TA917566 ACT917561:ACW917566 AMP917561:AMS917566 AWL917561:AWO917566 BGH917561:BGK917566 BQD917561:BQG917566 BZZ917561:CAC917566 CJV917561:CJY917566 CTR917561:CTU917566 DDN917561:DDQ917566 DNJ917561:DNM917566 DXF917561:DXI917566 EHB917561:EHE917566 EQX917561:ERA917566 FAT917561:FAW917566 FKP917561:FKS917566 FUL917561:FUO917566 GEH917561:GEK917566 GOD917561:GOG917566 GXZ917561:GYC917566 HHV917561:HHY917566 HRR917561:HRU917566 IBN917561:IBQ917566 ILJ917561:ILM917566 IVF917561:IVI917566 JFB917561:JFE917566 JOX917561:JPA917566 JYT917561:JYW917566 KIP917561:KIS917566 KSL917561:KSO917566 LCH917561:LCK917566 LMD917561:LMG917566 LVZ917561:LWC917566 MFV917561:MFY917566 MPR917561:MPU917566 MZN917561:MZQ917566 NJJ917561:NJM917566 NTF917561:NTI917566 ODB917561:ODE917566 OMX917561:ONA917566 OWT917561:OWW917566 PGP917561:PGS917566 PQL917561:PQO917566 QAH917561:QAK917566 QKD917561:QKG917566 QTZ917561:QUC917566 RDV917561:RDY917566 RNR917561:RNU917566 RXN917561:RXQ917566 SHJ917561:SHM917566 SRF917561:SRI917566 TBB917561:TBE917566 TKX917561:TLA917566 TUT917561:TUW917566 UEP917561:UES917566 UOL917561:UOO917566 UYH917561:UYK917566 VID917561:VIG917566 VRZ917561:VSC917566 WBV917561:WBY917566 WLR917561:WLU917566 WVN917561:WVQ917566 JB983097:JE983102 SX983097:TA983102 ACT983097:ACW983102 AMP983097:AMS983102 AWL983097:AWO983102 BGH983097:BGK983102 BQD983097:BQG983102 BZZ983097:CAC983102 CJV983097:CJY983102 CTR983097:CTU983102 DDN983097:DDQ983102 DNJ983097:DNM983102 DXF983097:DXI983102 EHB983097:EHE983102 EQX983097:ERA983102 FAT983097:FAW983102 FKP983097:FKS983102 FUL983097:FUO983102 GEH983097:GEK983102 GOD983097:GOG983102 GXZ983097:GYC983102 HHV983097:HHY983102 HRR983097:HRU983102 IBN983097:IBQ983102 ILJ983097:ILM983102 IVF983097:IVI983102 JFB983097:JFE983102 JOX983097:JPA983102 JYT983097:JYW983102 KIP983097:KIS983102 KSL983097:KSO983102 LCH983097:LCK983102 LMD983097:LMG983102 LVZ983097:LWC983102 MFV983097:MFY983102 MPR983097:MPU983102 MZN983097:MZQ983102 NJJ983097:NJM983102 NTF983097:NTI983102 ODB983097:ODE983102 OMX983097:ONA983102 OWT983097:OWW983102 PGP983097:PGS983102 PQL983097:PQO983102 QAH983097:QAK983102 QKD983097:QKG983102 QTZ983097:QUC983102 RDV983097:RDY983102 RNR983097:RNU983102 RXN983097:RXQ983102 SHJ983097:SHM983102 SRF983097:SRI983102 TBB983097:TBE983102 TKX983097:TLA983102 TUT983097:TUW983102 UEP983097:UES983102 UOL983097:UOO983102 UYH983097:UYK983102 VID983097:VIG983102 VRZ983097:VSC983102 WBV983097:WBY983102 WLR983097:WLU983102 WVN983097:WVQ983102 G983097:J983102 G917561:J917566 G852025:J852030 G786489:J786494 G720953:J720958 G655417:J655422 G589881:J589886 G524345:J524350 G458809:J458814 G393273:J393278 G327737:J327742 G262201:J262206 G196665:J196670 G131129:J131134 G65593:J65598"/>
    <dataValidation allowBlank="1" showInputMessage="1" showErrorMessage="1" promptTitle="Pinjaman dari Bank / Lembaga " prompt="Diisi nama Bank/Koperasi/Lembaga keuangan lain/pihak ketiga (rentenir) yang memberikan pinjaman kepada Pemohon" sqref="B65594:B65598 IW65594:IW65598 SS65594:SS65598 ACO65594:ACO65598 AMK65594:AMK65598 AWG65594:AWG65598 BGC65594:BGC65598 BPY65594:BPY65598 BZU65594:BZU65598 CJQ65594:CJQ65598 CTM65594:CTM65598 DDI65594:DDI65598 DNE65594:DNE65598 DXA65594:DXA65598 EGW65594:EGW65598 EQS65594:EQS65598 FAO65594:FAO65598 FKK65594:FKK65598 FUG65594:FUG65598 GEC65594:GEC65598 GNY65594:GNY65598 GXU65594:GXU65598 HHQ65594:HHQ65598 HRM65594:HRM65598 IBI65594:IBI65598 ILE65594:ILE65598 IVA65594:IVA65598 JEW65594:JEW65598 JOS65594:JOS65598 JYO65594:JYO65598 KIK65594:KIK65598 KSG65594:KSG65598 LCC65594:LCC65598 LLY65594:LLY65598 LVU65594:LVU65598 MFQ65594:MFQ65598 MPM65594:MPM65598 MZI65594:MZI65598 NJE65594:NJE65598 NTA65594:NTA65598 OCW65594:OCW65598 OMS65594:OMS65598 OWO65594:OWO65598 PGK65594:PGK65598 PQG65594:PQG65598 QAC65594:QAC65598 QJY65594:QJY65598 QTU65594:QTU65598 RDQ65594:RDQ65598 RNM65594:RNM65598 RXI65594:RXI65598 SHE65594:SHE65598 SRA65594:SRA65598 TAW65594:TAW65598 TKS65594:TKS65598 TUO65594:TUO65598 UEK65594:UEK65598 UOG65594:UOG65598 UYC65594:UYC65598 VHY65594:VHY65598 VRU65594:VRU65598 WBQ65594:WBQ65598 WLM65594:WLM65598 WVI65594:WVI65598 B131130:B131134 IW131130:IW131134 SS131130:SS131134 ACO131130:ACO131134 AMK131130:AMK131134 AWG131130:AWG131134 BGC131130:BGC131134 BPY131130:BPY131134 BZU131130:BZU131134 CJQ131130:CJQ131134 CTM131130:CTM131134 DDI131130:DDI131134 DNE131130:DNE131134 DXA131130:DXA131134 EGW131130:EGW131134 EQS131130:EQS131134 FAO131130:FAO131134 FKK131130:FKK131134 FUG131130:FUG131134 GEC131130:GEC131134 GNY131130:GNY131134 GXU131130:GXU131134 HHQ131130:HHQ131134 HRM131130:HRM131134 IBI131130:IBI131134 ILE131130:ILE131134 IVA131130:IVA131134 JEW131130:JEW131134 JOS131130:JOS131134 JYO131130:JYO131134 KIK131130:KIK131134 KSG131130:KSG131134 LCC131130:LCC131134 LLY131130:LLY131134 LVU131130:LVU131134 MFQ131130:MFQ131134 MPM131130:MPM131134 MZI131130:MZI131134 NJE131130:NJE131134 NTA131130:NTA131134 OCW131130:OCW131134 OMS131130:OMS131134 OWO131130:OWO131134 PGK131130:PGK131134 PQG131130:PQG131134 QAC131130:QAC131134 QJY131130:QJY131134 QTU131130:QTU131134 RDQ131130:RDQ131134 RNM131130:RNM131134 RXI131130:RXI131134 SHE131130:SHE131134 SRA131130:SRA131134 TAW131130:TAW131134 TKS131130:TKS131134 TUO131130:TUO131134 UEK131130:UEK131134 UOG131130:UOG131134 UYC131130:UYC131134 VHY131130:VHY131134 VRU131130:VRU131134 WBQ131130:WBQ131134 WLM131130:WLM131134 WVI131130:WVI131134 B196666:B196670 IW196666:IW196670 SS196666:SS196670 ACO196666:ACO196670 AMK196666:AMK196670 AWG196666:AWG196670 BGC196666:BGC196670 BPY196666:BPY196670 BZU196666:BZU196670 CJQ196666:CJQ196670 CTM196666:CTM196670 DDI196666:DDI196670 DNE196666:DNE196670 DXA196666:DXA196670 EGW196666:EGW196670 EQS196666:EQS196670 FAO196666:FAO196670 FKK196666:FKK196670 FUG196666:FUG196670 GEC196666:GEC196670 GNY196666:GNY196670 GXU196666:GXU196670 HHQ196666:HHQ196670 HRM196666:HRM196670 IBI196666:IBI196670 ILE196666:ILE196670 IVA196666:IVA196670 JEW196666:JEW196670 JOS196666:JOS196670 JYO196666:JYO196670 KIK196666:KIK196670 KSG196666:KSG196670 LCC196666:LCC196670 LLY196666:LLY196670 LVU196666:LVU196670 MFQ196666:MFQ196670 MPM196666:MPM196670 MZI196666:MZI196670 NJE196666:NJE196670 NTA196666:NTA196670 OCW196666:OCW196670 OMS196666:OMS196670 OWO196666:OWO196670 PGK196666:PGK196670 PQG196666:PQG196670 QAC196666:QAC196670 QJY196666:QJY196670 QTU196666:QTU196670 RDQ196666:RDQ196670 RNM196666:RNM196670 RXI196666:RXI196670 SHE196666:SHE196670 SRA196666:SRA196670 TAW196666:TAW196670 TKS196666:TKS196670 TUO196666:TUO196670 UEK196666:UEK196670 UOG196666:UOG196670 UYC196666:UYC196670 VHY196666:VHY196670 VRU196666:VRU196670 WBQ196666:WBQ196670 WLM196666:WLM196670 WVI196666:WVI196670 B262202:B262206 IW262202:IW262206 SS262202:SS262206 ACO262202:ACO262206 AMK262202:AMK262206 AWG262202:AWG262206 BGC262202:BGC262206 BPY262202:BPY262206 BZU262202:BZU262206 CJQ262202:CJQ262206 CTM262202:CTM262206 DDI262202:DDI262206 DNE262202:DNE262206 DXA262202:DXA262206 EGW262202:EGW262206 EQS262202:EQS262206 FAO262202:FAO262206 FKK262202:FKK262206 FUG262202:FUG262206 GEC262202:GEC262206 GNY262202:GNY262206 GXU262202:GXU262206 HHQ262202:HHQ262206 HRM262202:HRM262206 IBI262202:IBI262206 ILE262202:ILE262206 IVA262202:IVA262206 JEW262202:JEW262206 JOS262202:JOS262206 JYO262202:JYO262206 KIK262202:KIK262206 KSG262202:KSG262206 LCC262202:LCC262206 LLY262202:LLY262206 LVU262202:LVU262206 MFQ262202:MFQ262206 MPM262202:MPM262206 MZI262202:MZI262206 NJE262202:NJE262206 NTA262202:NTA262206 OCW262202:OCW262206 OMS262202:OMS262206 OWO262202:OWO262206 PGK262202:PGK262206 PQG262202:PQG262206 QAC262202:QAC262206 QJY262202:QJY262206 QTU262202:QTU262206 RDQ262202:RDQ262206 RNM262202:RNM262206 RXI262202:RXI262206 SHE262202:SHE262206 SRA262202:SRA262206 TAW262202:TAW262206 TKS262202:TKS262206 TUO262202:TUO262206 UEK262202:UEK262206 UOG262202:UOG262206 UYC262202:UYC262206 VHY262202:VHY262206 VRU262202:VRU262206 WBQ262202:WBQ262206 WLM262202:WLM262206 WVI262202:WVI262206 B327738:B327742 IW327738:IW327742 SS327738:SS327742 ACO327738:ACO327742 AMK327738:AMK327742 AWG327738:AWG327742 BGC327738:BGC327742 BPY327738:BPY327742 BZU327738:BZU327742 CJQ327738:CJQ327742 CTM327738:CTM327742 DDI327738:DDI327742 DNE327738:DNE327742 DXA327738:DXA327742 EGW327738:EGW327742 EQS327738:EQS327742 FAO327738:FAO327742 FKK327738:FKK327742 FUG327738:FUG327742 GEC327738:GEC327742 GNY327738:GNY327742 GXU327738:GXU327742 HHQ327738:HHQ327742 HRM327738:HRM327742 IBI327738:IBI327742 ILE327738:ILE327742 IVA327738:IVA327742 JEW327738:JEW327742 JOS327738:JOS327742 JYO327738:JYO327742 KIK327738:KIK327742 KSG327738:KSG327742 LCC327738:LCC327742 LLY327738:LLY327742 LVU327738:LVU327742 MFQ327738:MFQ327742 MPM327738:MPM327742 MZI327738:MZI327742 NJE327738:NJE327742 NTA327738:NTA327742 OCW327738:OCW327742 OMS327738:OMS327742 OWO327738:OWO327742 PGK327738:PGK327742 PQG327738:PQG327742 QAC327738:QAC327742 QJY327738:QJY327742 QTU327738:QTU327742 RDQ327738:RDQ327742 RNM327738:RNM327742 RXI327738:RXI327742 SHE327738:SHE327742 SRA327738:SRA327742 TAW327738:TAW327742 TKS327738:TKS327742 TUO327738:TUO327742 UEK327738:UEK327742 UOG327738:UOG327742 UYC327738:UYC327742 VHY327738:VHY327742 VRU327738:VRU327742 WBQ327738:WBQ327742 WLM327738:WLM327742 WVI327738:WVI327742 B393274:B393278 IW393274:IW393278 SS393274:SS393278 ACO393274:ACO393278 AMK393274:AMK393278 AWG393274:AWG393278 BGC393274:BGC393278 BPY393274:BPY393278 BZU393274:BZU393278 CJQ393274:CJQ393278 CTM393274:CTM393278 DDI393274:DDI393278 DNE393274:DNE393278 DXA393274:DXA393278 EGW393274:EGW393278 EQS393274:EQS393278 FAO393274:FAO393278 FKK393274:FKK393278 FUG393274:FUG393278 GEC393274:GEC393278 GNY393274:GNY393278 GXU393274:GXU393278 HHQ393274:HHQ393278 HRM393274:HRM393278 IBI393274:IBI393278 ILE393274:ILE393278 IVA393274:IVA393278 JEW393274:JEW393278 JOS393274:JOS393278 JYO393274:JYO393278 KIK393274:KIK393278 KSG393274:KSG393278 LCC393274:LCC393278 LLY393274:LLY393278 LVU393274:LVU393278 MFQ393274:MFQ393278 MPM393274:MPM393278 MZI393274:MZI393278 NJE393274:NJE393278 NTA393274:NTA393278 OCW393274:OCW393278 OMS393274:OMS393278 OWO393274:OWO393278 PGK393274:PGK393278 PQG393274:PQG393278 QAC393274:QAC393278 QJY393274:QJY393278 QTU393274:QTU393278 RDQ393274:RDQ393278 RNM393274:RNM393278 RXI393274:RXI393278 SHE393274:SHE393278 SRA393274:SRA393278 TAW393274:TAW393278 TKS393274:TKS393278 TUO393274:TUO393278 UEK393274:UEK393278 UOG393274:UOG393278 UYC393274:UYC393278 VHY393274:VHY393278 VRU393274:VRU393278 WBQ393274:WBQ393278 WLM393274:WLM393278 WVI393274:WVI393278 B458810:B458814 IW458810:IW458814 SS458810:SS458814 ACO458810:ACO458814 AMK458810:AMK458814 AWG458810:AWG458814 BGC458810:BGC458814 BPY458810:BPY458814 BZU458810:BZU458814 CJQ458810:CJQ458814 CTM458810:CTM458814 DDI458810:DDI458814 DNE458810:DNE458814 DXA458810:DXA458814 EGW458810:EGW458814 EQS458810:EQS458814 FAO458810:FAO458814 FKK458810:FKK458814 FUG458810:FUG458814 GEC458810:GEC458814 GNY458810:GNY458814 GXU458810:GXU458814 HHQ458810:HHQ458814 HRM458810:HRM458814 IBI458810:IBI458814 ILE458810:ILE458814 IVA458810:IVA458814 JEW458810:JEW458814 JOS458810:JOS458814 JYO458810:JYO458814 KIK458810:KIK458814 KSG458810:KSG458814 LCC458810:LCC458814 LLY458810:LLY458814 LVU458810:LVU458814 MFQ458810:MFQ458814 MPM458810:MPM458814 MZI458810:MZI458814 NJE458810:NJE458814 NTA458810:NTA458814 OCW458810:OCW458814 OMS458810:OMS458814 OWO458810:OWO458814 PGK458810:PGK458814 PQG458810:PQG458814 QAC458810:QAC458814 QJY458810:QJY458814 QTU458810:QTU458814 RDQ458810:RDQ458814 RNM458810:RNM458814 RXI458810:RXI458814 SHE458810:SHE458814 SRA458810:SRA458814 TAW458810:TAW458814 TKS458810:TKS458814 TUO458810:TUO458814 UEK458810:UEK458814 UOG458810:UOG458814 UYC458810:UYC458814 VHY458810:VHY458814 VRU458810:VRU458814 WBQ458810:WBQ458814 WLM458810:WLM458814 WVI458810:WVI458814 B524346:B524350 IW524346:IW524350 SS524346:SS524350 ACO524346:ACO524350 AMK524346:AMK524350 AWG524346:AWG524350 BGC524346:BGC524350 BPY524346:BPY524350 BZU524346:BZU524350 CJQ524346:CJQ524350 CTM524346:CTM524350 DDI524346:DDI524350 DNE524346:DNE524350 DXA524346:DXA524350 EGW524346:EGW524350 EQS524346:EQS524350 FAO524346:FAO524350 FKK524346:FKK524350 FUG524346:FUG524350 GEC524346:GEC524350 GNY524346:GNY524350 GXU524346:GXU524350 HHQ524346:HHQ524350 HRM524346:HRM524350 IBI524346:IBI524350 ILE524346:ILE524350 IVA524346:IVA524350 JEW524346:JEW524350 JOS524346:JOS524350 JYO524346:JYO524350 KIK524346:KIK524350 KSG524346:KSG524350 LCC524346:LCC524350 LLY524346:LLY524350 LVU524346:LVU524350 MFQ524346:MFQ524350 MPM524346:MPM524350 MZI524346:MZI524350 NJE524346:NJE524350 NTA524346:NTA524350 OCW524346:OCW524350 OMS524346:OMS524350 OWO524346:OWO524350 PGK524346:PGK524350 PQG524346:PQG524350 QAC524346:QAC524350 QJY524346:QJY524350 QTU524346:QTU524350 RDQ524346:RDQ524350 RNM524346:RNM524350 RXI524346:RXI524350 SHE524346:SHE524350 SRA524346:SRA524350 TAW524346:TAW524350 TKS524346:TKS524350 TUO524346:TUO524350 UEK524346:UEK524350 UOG524346:UOG524350 UYC524346:UYC524350 VHY524346:VHY524350 VRU524346:VRU524350 WBQ524346:WBQ524350 WLM524346:WLM524350 WVI524346:WVI524350 B589882:B589886 IW589882:IW589886 SS589882:SS589886 ACO589882:ACO589886 AMK589882:AMK589886 AWG589882:AWG589886 BGC589882:BGC589886 BPY589882:BPY589886 BZU589882:BZU589886 CJQ589882:CJQ589886 CTM589882:CTM589886 DDI589882:DDI589886 DNE589882:DNE589886 DXA589882:DXA589886 EGW589882:EGW589886 EQS589882:EQS589886 FAO589882:FAO589886 FKK589882:FKK589886 FUG589882:FUG589886 GEC589882:GEC589886 GNY589882:GNY589886 GXU589882:GXU589886 HHQ589882:HHQ589886 HRM589882:HRM589886 IBI589882:IBI589886 ILE589882:ILE589886 IVA589882:IVA589886 JEW589882:JEW589886 JOS589882:JOS589886 JYO589882:JYO589886 KIK589882:KIK589886 KSG589882:KSG589886 LCC589882:LCC589886 LLY589882:LLY589886 LVU589882:LVU589886 MFQ589882:MFQ589886 MPM589882:MPM589886 MZI589882:MZI589886 NJE589882:NJE589886 NTA589882:NTA589886 OCW589882:OCW589886 OMS589882:OMS589886 OWO589882:OWO589886 PGK589882:PGK589886 PQG589882:PQG589886 QAC589882:QAC589886 QJY589882:QJY589886 QTU589882:QTU589886 RDQ589882:RDQ589886 RNM589882:RNM589886 RXI589882:RXI589886 SHE589882:SHE589886 SRA589882:SRA589886 TAW589882:TAW589886 TKS589882:TKS589886 TUO589882:TUO589886 UEK589882:UEK589886 UOG589882:UOG589886 UYC589882:UYC589886 VHY589882:VHY589886 VRU589882:VRU589886 WBQ589882:WBQ589886 WLM589882:WLM589886 WVI589882:WVI589886 B655418:B655422 IW655418:IW655422 SS655418:SS655422 ACO655418:ACO655422 AMK655418:AMK655422 AWG655418:AWG655422 BGC655418:BGC655422 BPY655418:BPY655422 BZU655418:BZU655422 CJQ655418:CJQ655422 CTM655418:CTM655422 DDI655418:DDI655422 DNE655418:DNE655422 DXA655418:DXA655422 EGW655418:EGW655422 EQS655418:EQS655422 FAO655418:FAO655422 FKK655418:FKK655422 FUG655418:FUG655422 GEC655418:GEC655422 GNY655418:GNY655422 GXU655418:GXU655422 HHQ655418:HHQ655422 HRM655418:HRM655422 IBI655418:IBI655422 ILE655418:ILE655422 IVA655418:IVA655422 JEW655418:JEW655422 JOS655418:JOS655422 JYO655418:JYO655422 KIK655418:KIK655422 KSG655418:KSG655422 LCC655418:LCC655422 LLY655418:LLY655422 LVU655418:LVU655422 MFQ655418:MFQ655422 MPM655418:MPM655422 MZI655418:MZI655422 NJE655418:NJE655422 NTA655418:NTA655422 OCW655418:OCW655422 OMS655418:OMS655422 OWO655418:OWO655422 PGK655418:PGK655422 PQG655418:PQG655422 QAC655418:QAC655422 QJY655418:QJY655422 QTU655418:QTU655422 RDQ655418:RDQ655422 RNM655418:RNM655422 RXI655418:RXI655422 SHE655418:SHE655422 SRA655418:SRA655422 TAW655418:TAW655422 TKS655418:TKS655422 TUO655418:TUO655422 UEK655418:UEK655422 UOG655418:UOG655422 UYC655418:UYC655422 VHY655418:VHY655422 VRU655418:VRU655422 WBQ655418:WBQ655422 WLM655418:WLM655422 WVI655418:WVI655422 B720954:B720958 IW720954:IW720958 SS720954:SS720958 ACO720954:ACO720958 AMK720954:AMK720958 AWG720954:AWG720958 BGC720954:BGC720958 BPY720954:BPY720958 BZU720954:BZU720958 CJQ720954:CJQ720958 CTM720954:CTM720958 DDI720954:DDI720958 DNE720954:DNE720958 DXA720954:DXA720958 EGW720954:EGW720958 EQS720954:EQS720958 FAO720954:FAO720958 FKK720954:FKK720958 FUG720954:FUG720958 GEC720954:GEC720958 GNY720954:GNY720958 GXU720954:GXU720958 HHQ720954:HHQ720958 HRM720954:HRM720958 IBI720954:IBI720958 ILE720954:ILE720958 IVA720954:IVA720958 JEW720954:JEW720958 JOS720954:JOS720958 JYO720954:JYO720958 KIK720954:KIK720958 KSG720954:KSG720958 LCC720954:LCC720958 LLY720954:LLY720958 LVU720954:LVU720958 MFQ720954:MFQ720958 MPM720954:MPM720958 MZI720954:MZI720958 NJE720954:NJE720958 NTA720954:NTA720958 OCW720954:OCW720958 OMS720954:OMS720958 OWO720954:OWO720958 PGK720954:PGK720958 PQG720954:PQG720958 QAC720954:QAC720958 QJY720954:QJY720958 QTU720954:QTU720958 RDQ720954:RDQ720958 RNM720954:RNM720958 RXI720954:RXI720958 SHE720954:SHE720958 SRA720954:SRA720958 TAW720954:TAW720958 TKS720954:TKS720958 TUO720954:TUO720958 UEK720954:UEK720958 UOG720954:UOG720958 UYC720954:UYC720958 VHY720954:VHY720958 VRU720954:VRU720958 WBQ720954:WBQ720958 WLM720954:WLM720958 WVI720954:WVI720958 B786490:B786494 IW786490:IW786494 SS786490:SS786494 ACO786490:ACO786494 AMK786490:AMK786494 AWG786490:AWG786494 BGC786490:BGC786494 BPY786490:BPY786494 BZU786490:BZU786494 CJQ786490:CJQ786494 CTM786490:CTM786494 DDI786490:DDI786494 DNE786490:DNE786494 DXA786490:DXA786494 EGW786490:EGW786494 EQS786490:EQS786494 FAO786490:FAO786494 FKK786490:FKK786494 FUG786490:FUG786494 GEC786490:GEC786494 GNY786490:GNY786494 GXU786490:GXU786494 HHQ786490:HHQ786494 HRM786490:HRM786494 IBI786490:IBI786494 ILE786490:ILE786494 IVA786490:IVA786494 JEW786490:JEW786494 JOS786490:JOS786494 JYO786490:JYO786494 KIK786490:KIK786494 KSG786490:KSG786494 LCC786490:LCC786494 LLY786490:LLY786494 LVU786490:LVU786494 MFQ786490:MFQ786494 MPM786490:MPM786494 MZI786490:MZI786494 NJE786490:NJE786494 NTA786490:NTA786494 OCW786490:OCW786494 OMS786490:OMS786494 OWO786490:OWO786494 PGK786490:PGK786494 PQG786490:PQG786494 QAC786490:QAC786494 QJY786490:QJY786494 QTU786490:QTU786494 RDQ786490:RDQ786494 RNM786490:RNM786494 RXI786490:RXI786494 SHE786490:SHE786494 SRA786490:SRA786494 TAW786490:TAW786494 TKS786490:TKS786494 TUO786490:TUO786494 UEK786490:UEK786494 UOG786490:UOG786494 UYC786490:UYC786494 VHY786490:VHY786494 VRU786490:VRU786494 WBQ786490:WBQ786494 WLM786490:WLM786494 WVI786490:WVI786494 B852026:B852030 IW852026:IW852030 SS852026:SS852030 ACO852026:ACO852030 AMK852026:AMK852030 AWG852026:AWG852030 BGC852026:BGC852030 BPY852026:BPY852030 BZU852026:BZU852030 CJQ852026:CJQ852030 CTM852026:CTM852030 DDI852026:DDI852030 DNE852026:DNE852030 DXA852026:DXA852030 EGW852026:EGW852030 EQS852026:EQS852030 FAO852026:FAO852030 FKK852026:FKK852030 FUG852026:FUG852030 GEC852026:GEC852030 GNY852026:GNY852030 GXU852026:GXU852030 HHQ852026:HHQ852030 HRM852026:HRM852030 IBI852026:IBI852030 ILE852026:ILE852030 IVA852026:IVA852030 JEW852026:JEW852030 JOS852026:JOS852030 JYO852026:JYO852030 KIK852026:KIK852030 KSG852026:KSG852030 LCC852026:LCC852030 LLY852026:LLY852030 LVU852026:LVU852030 MFQ852026:MFQ852030 MPM852026:MPM852030 MZI852026:MZI852030 NJE852026:NJE852030 NTA852026:NTA852030 OCW852026:OCW852030 OMS852026:OMS852030 OWO852026:OWO852030 PGK852026:PGK852030 PQG852026:PQG852030 QAC852026:QAC852030 QJY852026:QJY852030 QTU852026:QTU852030 RDQ852026:RDQ852030 RNM852026:RNM852030 RXI852026:RXI852030 SHE852026:SHE852030 SRA852026:SRA852030 TAW852026:TAW852030 TKS852026:TKS852030 TUO852026:TUO852030 UEK852026:UEK852030 UOG852026:UOG852030 UYC852026:UYC852030 VHY852026:VHY852030 VRU852026:VRU852030 WBQ852026:WBQ852030 WLM852026:WLM852030 WVI852026:WVI852030 B917562:B917566 IW917562:IW917566 SS917562:SS917566 ACO917562:ACO917566 AMK917562:AMK917566 AWG917562:AWG917566 BGC917562:BGC917566 BPY917562:BPY917566 BZU917562:BZU917566 CJQ917562:CJQ917566 CTM917562:CTM917566 DDI917562:DDI917566 DNE917562:DNE917566 DXA917562:DXA917566 EGW917562:EGW917566 EQS917562:EQS917566 FAO917562:FAO917566 FKK917562:FKK917566 FUG917562:FUG917566 GEC917562:GEC917566 GNY917562:GNY917566 GXU917562:GXU917566 HHQ917562:HHQ917566 HRM917562:HRM917566 IBI917562:IBI917566 ILE917562:ILE917566 IVA917562:IVA917566 JEW917562:JEW917566 JOS917562:JOS917566 JYO917562:JYO917566 KIK917562:KIK917566 KSG917562:KSG917566 LCC917562:LCC917566 LLY917562:LLY917566 LVU917562:LVU917566 MFQ917562:MFQ917566 MPM917562:MPM917566 MZI917562:MZI917566 NJE917562:NJE917566 NTA917562:NTA917566 OCW917562:OCW917566 OMS917562:OMS917566 OWO917562:OWO917566 PGK917562:PGK917566 PQG917562:PQG917566 QAC917562:QAC917566 QJY917562:QJY917566 QTU917562:QTU917566 RDQ917562:RDQ917566 RNM917562:RNM917566 RXI917562:RXI917566 SHE917562:SHE917566 SRA917562:SRA917566 TAW917562:TAW917566 TKS917562:TKS917566 TUO917562:TUO917566 UEK917562:UEK917566 UOG917562:UOG917566 UYC917562:UYC917566 VHY917562:VHY917566 VRU917562:VRU917566 WBQ917562:WBQ917566 WLM917562:WLM917566 WVI917562:WVI917566 B983098:B983102 IW983098:IW983102 SS983098:SS983102 ACO983098:ACO983102 AMK983098:AMK983102 AWG983098:AWG983102 BGC983098:BGC983102 BPY983098:BPY983102 BZU983098:BZU983102 CJQ983098:CJQ983102 CTM983098:CTM983102 DDI983098:DDI983102 DNE983098:DNE983102 DXA983098:DXA983102 EGW983098:EGW983102 EQS983098:EQS983102 FAO983098:FAO983102 FKK983098:FKK983102 FUG983098:FUG983102 GEC983098:GEC983102 GNY983098:GNY983102 GXU983098:GXU983102 HHQ983098:HHQ983102 HRM983098:HRM983102 IBI983098:IBI983102 ILE983098:ILE983102 IVA983098:IVA983102 JEW983098:JEW983102 JOS983098:JOS983102 JYO983098:JYO983102 KIK983098:KIK983102 KSG983098:KSG983102 LCC983098:LCC983102 LLY983098:LLY983102 LVU983098:LVU983102 MFQ983098:MFQ983102 MPM983098:MPM983102 MZI983098:MZI983102 NJE983098:NJE983102 NTA983098:NTA983102 OCW983098:OCW983102 OMS983098:OMS983102 OWO983098:OWO983102 PGK983098:PGK983102 PQG983098:PQG983102 QAC983098:QAC983102 QJY983098:QJY983102 QTU983098:QTU983102 RDQ983098:RDQ983102 RNM983098:RNM983102 RXI983098:RXI983102 SHE983098:SHE983102 SRA983098:SRA983102 TAW983098:TAW983102 TKS983098:TKS983102 TUO983098:TUO983102 UEK983098:UEK983102 UOG983098:UOG983102 UYC983098:UYC983102 VHY983098:VHY983102 VRU983098:VRU983102 WBQ983098:WBQ983102 WLM983098:WLM983102 WVI983098:WVI983102"/>
    <dataValidation allowBlank="1" showInputMessage="1" showErrorMessage="1" promptTitle="Jenis  Produk / Jasa Bank" prompt="Diisi dengan informasi mengenai jenis produk / jasa Bank yang pernah atau sedang dinikmati oleh Pemohon. Dipilih dengan mencantumkan &quot;X&quot; pada kolom yang disediakan dan pilihan dapat lebih dari 1 (satu)" sqref="IY65589:JD65592 SU65589:SZ65592 ACQ65589:ACV65592 AMM65589:AMR65592 AWI65589:AWN65592 BGE65589:BGJ65592 BQA65589:BQF65592 BZW65589:CAB65592 CJS65589:CJX65592 CTO65589:CTT65592 DDK65589:DDP65592 DNG65589:DNL65592 DXC65589:DXH65592 EGY65589:EHD65592 EQU65589:EQZ65592 FAQ65589:FAV65592 FKM65589:FKR65592 FUI65589:FUN65592 GEE65589:GEJ65592 GOA65589:GOF65592 GXW65589:GYB65592 HHS65589:HHX65592 HRO65589:HRT65592 IBK65589:IBP65592 ILG65589:ILL65592 IVC65589:IVH65592 JEY65589:JFD65592 JOU65589:JOZ65592 JYQ65589:JYV65592 KIM65589:KIR65592 KSI65589:KSN65592 LCE65589:LCJ65592 LMA65589:LMF65592 LVW65589:LWB65592 MFS65589:MFX65592 MPO65589:MPT65592 MZK65589:MZP65592 NJG65589:NJL65592 NTC65589:NTH65592 OCY65589:ODD65592 OMU65589:OMZ65592 OWQ65589:OWV65592 PGM65589:PGR65592 PQI65589:PQN65592 QAE65589:QAJ65592 QKA65589:QKF65592 QTW65589:QUB65592 RDS65589:RDX65592 RNO65589:RNT65592 RXK65589:RXP65592 SHG65589:SHL65592 SRC65589:SRH65592 TAY65589:TBD65592 TKU65589:TKZ65592 TUQ65589:TUV65592 UEM65589:UER65592 UOI65589:UON65592 UYE65589:UYJ65592 VIA65589:VIF65592 VRW65589:VSB65592 WBS65589:WBX65592 WLO65589:WLT65592 WVK65589:WVP65592 IY131125:JD131128 SU131125:SZ131128 ACQ131125:ACV131128 AMM131125:AMR131128 AWI131125:AWN131128 BGE131125:BGJ131128 BQA131125:BQF131128 BZW131125:CAB131128 CJS131125:CJX131128 CTO131125:CTT131128 DDK131125:DDP131128 DNG131125:DNL131128 DXC131125:DXH131128 EGY131125:EHD131128 EQU131125:EQZ131128 FAQ131125:FAV131128 FKM131125:FKR131128 FUI131125:FUN131128 GEE131125:GEJ131128 GOA131125:GOF131128 GXW131125:GYB131128 HHS131125:HHX131128 HRO131125:HRT131128 IBK131125:IBP131128 ILG131125:ILL131128 IVC131125:IVH131128 JEY131125:JFD131128 JOU131125:JOZ131128 JYQ131125:JYV131128 KIM131125:KIR131128 KSI131125:KSN131128 LCE131125:LCJ131128 LMA131125:LMF131128 LVW131125:LWB131128 MFS131125:MFX131128 MPO131125:MPT131128 MZK131125:MZP131128 NJG131125:NJL131128 NTC131125:NTH131128 OCY131125:ODD131128 OMU131125:OMZ131128 OWQ131125:OWV131128 PGM131125:PGR131128 PQI131125:PQN131128 QAE131125:QAJ131128 QKA131125:QKF131128 QTW131125:QUB131128 RDS131125:RDX131128 RNO131125:RNT131128 RXK131125:RXP131128 SHG131125:SHL131128 SRC131125:SRH131128 TAY131125:TBD131128 TKU131125:TKZ131128 TUQ131125:TUV131128 UEM131125:UER131128 UOI131125:UON131128 UYE131125:UYJ131128 VIA131125:VIF131128 VRW131125:VSB131128 WBS131125:WBX131128 WLO131125:WLT131128 WVK131125:WVP131128 IY196661:JD196664 SU196661:SZ196664 ACQ196661:ACV196664 AMM196661:AMR196664 AWI196661:AWN196664 BGE196661:BGJ196664 BQA196661:BQF196664 BZW196661:CAB196664 CJS196661:CJX196664 CTO196661:CTT196664 DDK196661:DDP196664 DNG196661:DNL196664 DXC196661:DXH196664 EGY196661:EHD196664 EQU196661:EQZ196664 FAQ196661:FAV196664 FKM196661:FKR196664 FUI196661:FUN196664 GEE196661:GEJ196664 GOA196661:GOF196664 GXW196661:GYB196664 HHS196661:HHX196664 HRO196661:HRT196664 IBK196661:IBP196664 ILG196661:ILL196664 IVC196661:IVH196664 JEY196661:JFD196664 JOU196661:JOZ196664 JYQ196661:JYV196664 KIM196661:KIR196664 KSI196661:KSN196664 LCE196661:LCJ196664 LMA196661:LMF196664 LVW196661:LWB196664 MFS196661:MFX196664 MPO196661:MPT196664 MZK196661:MZP196664 NJG196661:NJL196664 NTC196661:NTH196664 OCY196661:ODD196664 OMU196661:OMZ196664 OWQ196661:OWV196664 PGM196661:PGR196664 PQI196661:PQN196664 QAE196661:QAJ196664 QKA196661:QKF196664 QTW196661:QUB196664 RDS196661:RDX196664 RNO196661:RNT196664 RXK196661:RXP196664 SHG196661:SHL196664 SRC196661:SRH196664 TAY196661:TBD196664 TKU196661:TKZ196664 TUQ196661:TUV196664 UEM196661:UER196664 UOI196661:UON196664 UYE196661:UYJ196664 VIA196661:VIF196664 VRW196661:VSB196664 WBS196661:WBX196664 WLO196661:WLT196664 WVK196661:WVP196664 IY262197:JD262200 SU262197:SZ262200 ACQ262197:ACV262200 AMM262197:AMR262200 AWI262197:AWN262200 BGE262197:BGJ262200 BQA262197:BQF262200 BZW262197:CAB262200 CJS262197:CJX262200 CTO262197:CTT262200 DDK262197:DDP262200 DNG262197:DNL262200 DXC262197:DXH262200 EGY262197:EHD262200 EQU262197:EQZ262200 FAQ262197:FAV262200 FKM262197:FKR262200 FUI262197:FUN262200 GEE262197:GEJ262200 GOA262197:GOF262200 GXW262197:GYB262200 HHS262197:HHX262200 HRO262197:HRT262200 IBK262197:IBP262200 ILG262197:ILL262200 IVC262197:IVH262200 JEY262197:JFD262200 JOU262197:JOZ262200 JYQ262197:JYV262200 KIM262197:KIR262200 KSI262197:KSN262200 LCE262197:LCJ262200 LMA262197:LMF262200 LVW262197:LWB262200 MFS262197:MFX262200 MPO262197:MPT262200 MZK262197:MZP262200 NJG262197:NJL262200 NTC262197:NTH262200 OCY262197:ODD262200 OMU262197:OMZ262200 OWQ262197:OWV262200 PGM262197:PGR262200 PQI262197:PQN262200 QAE262197:QAJ262200 QKA262197:QKF262200 QTW262197:QUB262200 RDS262197:RDX262200 RNO262197:RNT262200 RXK262197:RXP262200 SHG262197:SHL262200 SRC262197:SRH262200 TAY262197:TBD262200 TKU262197:TKZ262200 TUQ262197:TUV262200 UEM262197:UER262200 UOI262197:UON262200 UYE262197:UYJ262200 VIA262197:VIF262200 VRW262197:VSB262200 WBS262197:WBX262200 WLO262197:WLT262200 WVK262197:WVP262200 IY327733:JD327736 SU327733:SZ327736 ACQ327733:ACV327736 AMM327733:AMR327736 AWI327733:AWN327736 BGE327733:BGJ327736 BQA327733:BQF327736 BZW327733:CAB327736 CJS327733:CJX327736 CTO327733:CTT327736 DDK327733:DDP327736 DNG327733:DNL327736 DXC327733:DXH327736 EGY327733:EHD327736 EQU327733:EQZ327736 FAQ327733:FAV327736 FKM327733:FKR327736 FUI327733:FUN327736 GEE327733:GEJ327736 GOA327733:GOF327736 GXW327733:GYB327736 HHS327733:HHX327736 HRO327733:HRT327736 IBK327733:IBP327736 ILG327733:ILL327736 IVC327733:IVH327736 JEY327733:JFD327736 JOU327733:JOZ327736 JYQ327733:JYV327736 KIM327733:KIR327736 KSI327733:KSN327736 LCE327733:LCJ327736 LMA327733:LMF327736 LVW327733:LWB327736 MFS327733:MFX327736 MPO327733:MPT327736 MZK327733:MZP327736 NJG327733:NJL327736 NTC327733:NTH327736 OCY327733:ODD327736 OMU327733:OMZ327736 OWQ327733:OWV327736 PGM327733:PGR327736 PQI327733:PQN327736 QAE327733:QAJ327736 QKA327733:QKF327736 QTW327733:QUB327736 RDS327733:RDX327736 RNO327733:RNT327736 RXK327733:RXP327736 SHG327733:SHL327736 SRC327733:SRH327736 TAY327733:TBD327736 TKU327733:TKZ327736 TUQ327733:TUV327736 UEM327733:UER327736 UOI327733:UON327736 UYE327733:UYJ327736 VIA327733:VIF327736 VRW327733:VSB327736 WBS327733:WBX327736 WLO327733:WLT327736 WVK327733:WVP327736 IY393269:JD393272 SU393269:SZ393272 ACQ393269:ACV393272 AMM393269:AMR393272 AWI393269:AWN393272 BGE393269:BGJ393272 BQA393269:BQF393272 BZW393269:CAB393272 CJS393269:CJX393272 CTO393269:CTT393272 DDK393269:DDP393272 DNG393269:DNL393272 DXC393269:DXH393272 EGY393269:EHD393272 EQU393269:EQZ393272 FAQ393269:FAV393272 FKM393269:FKR393272 FUI393269:FUN393272 GEE393269:GEJ393272 GOA393269:GOF393272 GXW393269:GYB393272 HHS393269:HHX393272 HRO393269:HRT393272 IBK393269:IBP393272 ILG393269:ILL393272 IVC393269:IVH393272 JEY393269:JFD393272 JOU393269:JOZ393272 JYQ393269:JYV393272 KIM393269:KIR393272 KSI393269:KSN393272 LCE393269:LCJ393272 LMA393269:LMF393272 LVW393269:LWB393272 MFS393269:MFX393272 MPO393269:MPT393272 MZK393269:MZP393272 NJG393269:NJL393272 NTC393269:NTH393272 OCY393269:ODD393272 OMU393269:OMZ393272 OWQ393269:OWV393272 PGM393269:PGR393272 PQI393269:PQN393272 QAE393269:QAJ393272 QKA393269:QKF393272 QTW393269:QUB393272 RDS393269:RDX393272 RNO393269:RNT393272 RXK393269:RXP393272 SHG393269:SHL393272 SRC393269:SRH393272 TAY393269:TBD393272 TKU393269:TKZ393272 TUQ393269:TUV393272 UEM393269:UER393272 UOI393269:UON393272 UYE393269:UYJ393272 VIA393269:VIF393272 VRW393269:VSB393272 WBS393269:WBX393272 WLO393269:WLT393272 WVK393269:WVP393272 IY458805:JD458808 SU458805:SZ458808 ACQ458805:ACV458808 AMM458805:AMR458808 AWI458805:AWN458808 BGE458805:BGJ458808 BQA458805:BQF458808 BZW458805:CAB458808 CJS458805:CJX458808 CTO458805:CTT458808 DDK458805:DDP458808 DNG458805:DNL458808 DXC458805:DXH458808 EGY458805:EHD458808 EQU458805:EQZ458808 FAQ458805:FAV458808 FKM458805:FKR458808 FUI458805:FUN458808 GEE458805:GEJ458808 GOA458805:GOF458808 GXW458805:GYB458808 HHS458805:HHX458808 HRO458805:HRT458808 IBK458805:IBP458808 ILG458805:ILL458808 IVC458805:IVH458808 JEY458805:JFD458808 JOU458805:JOZ458808 JYQ458805:JYV458808 KIM458805:KIR458808 KSI458805:KSN458808 LCE458805:LCJ458808 LMA458805:LMF458808 LVW458805:LWB458808 MFS458805:MFX458808 MPO458805:MPT458808 MZK458805:MZP458808 NJG458805:NJL458808 NTC458805:NTH458808 OCY458805:ODD458808 OMU458805:OMZ458808 OWQ458805:OWV458808 PGM458805:PGR458808 PQI458805:PQN458808 QAE458805:QAJ458808 QKA458805:QKF458808 QTW458805:QUB458808 RDS458805:RDX458808 RNO458805:RNT458808 RXK458805:RXP458808 SHG458805:SHL458808 SRC458805:SRH458808 TAY458805:TBD458808 TKU458805:TKZ458808 TUQ458805:TUV458808 UEM458805:UER458808 UOI458805:UON458808 UYE458805:UYJ458808 VIA458805:VIF458808 VRW458805:VSB458808 WBS458805:WBX458808 WLO458805:WLT458808 WVK458805:WVP458808 IY524341:JD524344 SU524341:SZ524344 ACQ524341:ACV524344 AMM524341:AMR524344 AWI524341:AWN524344 BGE524341:BGJ524344 BQA524341:BQF524344 BZW524341:CAB524344 CJS524341:CJX524344 CTO524341:CTT524344 DDK524341:DDP524344 DNG524341:DNL524344 DXC524341:DXH524344 EGY524341:EHD524344 EQU524341:EQZ524344 FAQ524341:FAV524344 FKM524341:FKR524344 FUI524341:FUN524344 GEE524341:GEJ524344 GOA524341:GOF524344 GXW524341:GYB524344 HHS524341:HHX524344 HRO524341:HRT524344 IBK524341:IBP524344 ILG524341:ILL524344 IVC524341:IVH524344 JEY524341:JFD524344 JOU524341:JOZ524344 JYQ524341:JYV524344 KIM524341:KIR524344 KSI524341:KSN524344 LCE524341:LCJ524344 LMA524341:LMF524344 LVW524341:LWB524344 MFS524341:MFX524344 MPO524341:MPT524344 MZK524341:MZP524344 NJG524341:NJL524344 NTC524341:NTH524344 OCY524341:ODD524344 OMU524341:OMZ524344 OWQ524341:OWV524344 PGM524341:PGR524344 PQI524341:PQN524344 QAE524341:QAJ524344 QKA524341:QKF524344 QTW524341:QUB524344 RDS524341:RDX524344 RNO524341:RNT524344 RXK524341:RXP524344 SHG524341:SHL524344 SRC524341:SRH524344 TAY524341:TBD524344 TKU524341:TKZ524344 TUQ524341:TUV524344 UEM524341:UER524344 UOI524341:UON524344 UYE524341:UYJ524344 VIA524341:VIF524344 VRW524341:VSB524344 WBS524341:WBX524344 WLO524341:WLT524344 WVK524341:WVP524344 IY589877:JD589880 SU589877:SZ589880 ACQ589877:ACV589880 AMM589877:AMR589880 AWI589877:AWN589880 BGE589877:BGJ589880 BQA589877:BQF589880 BZW589877:CAB589880 CJS589877:CJX589880 CTO589877:CTT589880 DDK589877:DDP589880 DNG589877:DNL589880 DXC589877:DXH589880 EGY589877:EHD589880 EQU589877:EQZ589880 FAQ589877:FAV589880 FKM589877:FKR589880 FUI589877:FUN589880 GEE589877:GEJ589880 GOA589877:GOF589880 GXW589877:GYB589880 HHS589877:HHX589880 HRO589877:HRT589880 IBK589877:IBP589880 ILG589877:ILL589880 IVC589877:IVH589880 JEY589877:JFD589880 JOU589877:JOZ589880 JYQ589877:JYV589880 KIM589877:KIR589880 KSI589877:KSN589880 LCE589877:LCJ589880 LMA589877:LMF589880 LVW589877:LWB589880 MFS589877:MFX589880 MPO589877:MPT589880 MZK589877:MZP589880 NJG589877:NJL589880 NTC589877:NTH589880 OCY589877:ODD589880 OMU589877:OMZ589880 OWQ589877:OWV589880 PGM589877:PGR589880 PQI589877:PQN589880 QAE589877:QAJ589880 QKA589877:QKF589880 QTW589877:QUB589880 RDS589877:RDX589880 RNO589877:RNT589880 RXK589877:RXP589880 SHG589877:SHL589880 SRC589877:SRH589880 TAY589877:TBD589880 TKU589877:TKZ589880 TUQ589877:TUV589880 UEM589877:UER589880 UOI589877:UON589880 UYE589877:UYJ589880 VIA589877:VIF589880 VRW589877:VSB589880 WBS589877:WBX589880 WLO589877:WLT589880 WVK589877:WVP589880 IY655413:JD655416 SU655413:SZ655416 ACQ655413:ACV655416 AMM655413:AMR655416 AWI655413:AWN655416 BGE655413:BGJ655416 BQA655413:BQF655416 BZW655413:CAB655416 CJS655413:CJX655416 CTO655413:CTT655416 DDK655413:DDP655416 DNG655413:DNL655416 DXC655413:DXH655416 EGY655413:EHD655416 EQU655413:EQZ655416 FAQ655413:FAV655416 FKM655413:FKR655416 FUI655413:FUN655416 GEE655413:GEJ655416 GOA655413:GOF655416 GXW655413:GYB655416 HHS655413:HHX655416 HRO655413:HRT655416 IBK655413:IBP655416 ILG655413:ILL655416 IVC655413:IVH655416 JEY655413:JFD655416 JOU655413:JOZ655416 JYQ655413:JYV655416 KIM655413:KIR655416 KSI655413:KSN655416 LCE655413:LCJ655416 LMA655413:LMF655416 LVW655413:LWB655416 MFS655413:MFX655416 MPO655413:MPT655416 MZK655413:MZP655416 NJG655413:NJL655416 NTC655413:NTH655416 OCY655413:ODD655416 OMU655413:OMZ655416 OWQ655413:OWV655416 PGM655413:PGR655416 PQI655413:PQN655416 QAE655413:QAJ655416 QKA655413:QKF655416 QTW655413:QUB655416 RDS655413:RDX655416 RNO655413:RNT655416 RXK655413:RXP655416 SHG655413:SHL655416 SRC655413:SRH655416 TAY655413:TBD655416 TKU655413:TKZ655416 TUQ655413:TUV655416 UEM655413:UER655416 UOI655413:UON655416 UYE655413:UYJ655416 VIA655413:VIF655416 VRW655413:VSB655416 WBS655413:WBX655416 WLO655413:WLT655416 WVK655413:WVP655416 IY720949:JD720952 SU720949:SZ720952 ACQ720949:ACV720952 AMM720949:AMR720952 AWI720949:AWN720952 BGE720949:BGJ720952 BQA720949:BQF720952 BZW720949:CAB720952 CJS720949:CJX720952 CTO720949:CTT720952 DDK720949:DDP720952 DNG720949:DNL720952 DXC720949:DXH720952 EGY720949:EHD720952 EQU720949:EQZ720952 FAQ720949:FAV720952 FKM720949:FKR720952 FUI720949:FUN720952 GEE720949:GEJ720952 GOA720949:GOF720952 GXW720949:GYB720952 HHS720949:HHX720952 HRO720949:HRT720952 IBK720949:IBP720952 ILG720949:ILL720952 IVC720949:IVH720952 JEY720949:JFD720952 JOU720949:JOZ720952 JYQ720949:JYV720952 KIM720949:KIR720952 KSI720949:KSN720952 LCE720949:LCJ720952 LMA720949:LMF720952 LVW720949:LWB720952 MFS720949:MFX720952 MPO720949:MPT720952 MZK720949:MZP720952 NJG720949:NJL720952 NTC720949:NTH720952 OCY720949:ODD720952 OMU720949:OMZ720952 OWQ720949:OWV720952 PGM720949:PGR720952 PQI720949:PQN720952 QAE720949:QAJ720952 QKA720949:QKF720952 QTW720949:QUB720952 RDS720949:RDX720952 RNO720949:RNT720952 RXK720949:RXP720952 SHG720949:SHL720952 SRC720949:SRH720952 TAY720949:TBD720952 TKU720949:TKZ720952 TUQ720949:TUV720952 UEM720949:UER720952 UOI720949:UON720952 UYE720949:UYJ720952 VIA720949:VIF720952 VRW720949:VSB720952 WBS720949:WBX720952 WLO720949:WLT720952 WVK720949:WVP720952 IY786485:JD786488 SU786485:SZ786488 ACQ786485:ACV786488 AMM786485:AMR786488 AWI786485:AWN786488 BGE786485:BGJ786488 BQA786485:BQF786488 BZW786485:CAB786488 CJS786485:CJX786488 CTO786485:CTT786488 DDK786485:DDP786488 DNG786485:DNL786488 DXC786485:DXH786488 EGY786485:EHD786488 EQU786485:EQZ786488 FAQ786485:FAV786488 FKM786485:FKR786488 FUI786485:FUN786488 GEE786485:GEJ786488 GOA786485:GOF786488 GXW786485:GYB786488 HHS786485:HHX786488 HRO786485:HRT786488 IBK786485:IBP786488 ILG786485:ILL786488 IVC786485:IVH786488 JEY786485:JFD786488 JOU786485:JOZ786488 JYQ786485:JYV786488 KIM786485:KIR786488 KSI786485:KSN786488 LCE786485:LCJ786488 LMA786485:LMF786488 LVW786485:LWB786488 MFS786485:MFX786488 MPO786485:MPT786488 MZK786485:MZP786488 NJG786485:NJL786488 NTC786485:NTH786488 OCY786485:ODD786488 OMU786485:OMZ786488 OWQ786485:OWV786488 PGM786485:PGR786488 PQI786485:PQN786488 QAE786485:QAJ786488 QKA786485:QKF786488 QTW786485:QUB786488 RDS786485:RDX786488 RNO786485:RNT786488 RXK786485:RXP786488 SHG786485:SHL786488 SRC786485:SRH786488 TAY786485:TBD786488 TKU786485:TKZ786488 TUQ786485:TUV786488 UEM786485:UER786488 UOI786485:UON786488 UYE786485:UYJ786488 VIA786485:VIF786488 VRW786485:VSB786488 WBS786485:WBX786488 WLO786485:WLT786488 WVK786485:WVP786488 IY852021:JD852024 SU852021:SZ852024 ACQ852021:ACV852024 AMM852021:AMR852024 AWI852021:AWN852024 BGE852021:BGJ852024 BQA852021:BQF852024 BZW852021:CAB852024 CJS852021:CJX852024 CTO852021:CTT852024 DDK852021:DDP852024 DNG852021:DNL852024 DXC852021:DXH852024 EGY852021:EHD852024 EQU852021:EQZ852024 FAQ852021:FAV852024 FKM852021:FKR852024 FUI852021:FUN852024 GEE852021:GEJ852024 GOA852021:GOF852024 GXW852021:GYB852024 HHS852021:HHX852024 HRO852021:HRT852024 IBK852021:IBP852024 ILG852021:ILL852024 IVC852021:IVH852024 JEY852021:JFD852024 JOU852021:JOZ852024 JYQ852021:JYV852024 KIM852021:KIR852024 KSI852021:KSN852024 LCE852021:LCJ852024 LMA852021:LMF852024 LVW852021:LWB852024 MFS852021:MFX852024 MPO852021:MPT852024 MZK852021:MZP852024 NJG852021:NJL852024 NTC852021:NTH852024 OCY852021:ODD852024 OMU852021:OMZ852024 OWQ852021:OWV852024 PGM852021:PGR852024 PQI852021:PQN852024 QAE852021:QAJ852024 QKA852021:QKF852024 QTW852021:QUB852024 RDS852021:RDX852024 RNO852021:RNT852024 RXK852021:RXP852024 SHG852021:SHL852024 SRC852021:SRH852024 TAY852021:TBD852024 TKU852021:TKZ852024 TUQ852021:TUV852024 UEM852021:UER852024 UOI852021:UON852024 UYE852021:UYJ852024 VIA852021:VIF852024 VRW852021:VSB852024 WBS852021:WBX852024 WLO852021:WLT852024 WVK852021:WVP852024 IY917557:JD917560 SU917557:SZ917560 ACQ917557:ACV917560 AMM917557:AMR917560 AWI917557:AWN917560 BGE917557:BGJ917560 BQA917557:BQF917560 BZW917557:CAB917560 CJS917557:CJX917560 CTO917557:CTT917560 DDK917557:DDP917560 DNG917557:DNL917560 DXC917557:DXH917560 EGY917557:EHD917560 EQU917557:EQZ917560 FAQ917557:FAV917560 FKM917557:FKR917560 FUI917557:FUN917560 GEE917557:GEJ917560 GOA917557:GOF917560 GXW917557:GYB917560 HHS917557:HHX917560 HRO917557:HRT917560 IBK917557:IBP917560 ILG917557:ILL917560 IVC917557:IVH917560 JEY917557:JFD917560 JOU917557:JOZ917560 JYQ917557:JYV917560 KIM917557:KIR917560 KSI917557:KSN917560 LCE917557:LCJ917560 LMA917557:LMF917560 LVW917557:LWB917560 MFS917557:MFX917560 MPO917557:MPT917560 MZK917557:MZP917560 NJG917557:NJL917560 NTC917557:NTH917560 OCY917557:ODD917560 OMU917557:OMZ917560 OWQ917557:OWV917560 PGM917557:PGR917560 PQI917557:PQN917560 QAE917557:QAJ917560 QKA917557:QKF917560 QTW917557:QUB917560 RDS917557:RDX917560 RNO917557:RNT917560 RXK917557:RXP917560 SHG917557:SHL917560 SRC917557:SRH917560 TAY917557:TBD917560 TKU917557:TKZ917560 TUQ917557:TUV917560 UEM917557:UER917560 UOI917557:UON917560 UYE917557:UYJ917560 VIA917557:VIF917560 VRW917557:VSB917560 WBS917557:WBX917560 WLO917557:WLT917560 WVK917557:WVP917560 IY983093:JD983096 SU983093:SZ983096 ACQ983093:ACV983096 AMM983093:AMR983096 AWI983093:AWN983096 BGE983093:BGJ983096 BQA983093:BQF983096 BZW983093:CAB983096 CJS983093:CJX983096 CTO983093:CTT983096 DDK983093:DDP983096 DNG983093:DNL983096 DXC983093:DXH983096 EGY983093:EHD983096 EQU983093:EQZ983096 FAQ983093:FAV983096 FKM983093:FKR983096 FUI983093:FUN983096 GEE983093:GEJ983096 GOA983093:GOF983096 GXW983093:GYB983096 HHS983093:HHX983096 HRO983093:HRT983096 IBK983093:IBP983096 ILG983093:ILL983096 IVC983093:IVH983096 JEY983093:JFD983096 JOU983093:JOZ983096 JYQ983093:JYV983096 KIM983093:KIR983096 KSI983093:KSN983096 LCE983093:LCJ983096 LMA983093:LMF983096 LVW983093:LWB983096 MFS983093:MFX983096 MPO983093:MPT983096 MZK983093:MZP983096 NJG983093:NJL983096 NTC983093:NTH983096 OCY983093:ODD983096 OMU983093:OMZ983096 OWQ983093:OWV983096 PGM983093:PGR983096 PQI983093:PQN983096 QAE983093:QAJ983096 QKA983093:QKF983096 QTW983093:QUB983096 RDS983093:RDX983096 RNO983093:RNT983096 RXK983093:RXP983096 SHG983093:SHL983096 SRC983093:SRH983096 TAY983093:TBD983096 TKU983093:TKZ983096 TUQ983093:TUV983096 UEM983093:UER983096 UOI983093:UON983096 UYE983093:UYJ983096 VIA983093:VIF983096 VRW983093:VSB983096 WBS983093:WBX983096 WLO983093:WLT983096 WVK983093:WVP983096 J65592 JE65592 TA65592 ACW65592 AMS65592 AWO65592 BGK65592 BQG65592 CAC65592 CJY65592 CTU65592 DDQ65592 DNM65592 DXI65592 EHE65592 ERA65592 FAW65592 FKS65592 FUO65592 GEK65592 GOG65592 GYC65592 HHY65592 HRU65592 IBQ65592 ILM65592 IVI65592 JFE65592 JPA65592 JYW65592 KIS65592 KSO65592 LCK65592 LMG65592 LWC65592 MFY65592 MPU65592 MZQ65592 NJM65592 NTI65592 ODE65592 ONA65592 OWW65592 PGS65592 PQO65592 QAK65592 QKG65592 QUC65592 RDY65592 RNU65592 RXQ65592 SHM65592 SRI65592 TBE65592 TLA65592 TUW65592 UES65592 UOO65592 UYK65592 VIG65592 VSC65592 WBY65592 WLU65592 WVQ65592 J131128 JE131128 TA131128 ACW131128 AMS131128 AWO131128 BGK131128 BQG131128 CAC131128 CJY131128 CTU131128 DDQ131128 DNM131128 DXI131128 EHE131128 ERA131128 FAW131128 FKS131128 FUO131128 GEK131128 GOG131128 GYC131128 HHY131128 HRU131128 IBQ131128 ILM131128 IVI131128 JFE131128 JPA131128 JYW131128 KIS131128 KSO131128 LCK131128 LMG131128 LWC131128 MFY131128 MPU131128 MZQ131128 NJM131128 NTI131128 ODE131128 ONA131128 OWW131128 PGS131128 PQO131128 QAK131128 QKG131128 QUC131128 RDY131128 RNU131128 RXQ131128 SHM131128 SRI131128 TBE131128 TLA131128 TUW131128 UES131128 UOO131128 UYK131128 VIG131128 VSC131128 WBY131128 WLU131128 WVQ131128 J196664 JE196664 TA196664 ACW196664 AMS196664 AWO196664 BGK196664 BQG196664 CAC196664 CJY196664 CTU196664 DDQ196664 DNM196664 DXI196664 EHE196664 ERA196664 FAW196664 FKS196664 FUO196664 GEK196664 GOG196664 GYC196664 HHY196664 HRU196664 IBQ196664 ILM196664 IVI196664 JFE196664 JPA196664 JYW196664 KIS196664 KSO196664 LCK196664 LMG196664 LWC196664 MFY196664 MPU196664 MZQ196664 NJM196664 NTI196664 ODE196664 ONA196664 OWW196664 PGS196664 PQO196664 QAK196664 QKG196664 QUC196664 RDY196664 RNU196664 RXQ196664 SHM196664 SRI196664 TBE196664 TLA196664 TUW196664 UES196664 UOO196664 UYK196664 VIG196664 VSC196664 WBY196664 WLU196664 WVQ196664 J262200 JE262200 TA262200 ACW262200 AMS262200 AWO262200 BGK262200 BQG262200 CAC262200 CJY262200 CTU262200 DDQ262200 DNM262200 DXI262200 EHE262200 ERA262200 FAW262200 FKS262200 FUO262200 GEK262200 GOG262200 GYC262200 HHY262200 HRU262200 IBQ262200 ILM262200 IVI262200 JFE262200 JPA262200 JYW262200 KIS262200 KSO262200 LCK262200 LMG262200 LWC262200 MFY262200 MPU262200 MZQ262200 NJM262200 NTI262200 ODE262200 ONA262200 OWW262200 PGS262200 PQO262200 QAK262200 QKG262200 QUC262200 RDY262200 RNU262200 RXQ262200 SHM262200 SRI262200 TBE262200 TLA262200 TUW262200 UES262200 UOO262200 UYK262200 VIG262200 VSC262200 WBY262200 WLU262200 WVQ262200 J327736 JE327736 TA327736 ACW327736 AMS327736 AWO327736 BGK327736 BQG327736 CAC327736 CJY327736 CTU327736 DDQ327736 DNM327736 DXI327736 EHE327736 ERA327736 FAW327736 FKS327736 FUO327736 GEK327736 GOG327736 GYC327736 HHY327736 HRU327736 IBQ327736 ILM327736 IVI327736 JFE327736 JPA327736 JYW327736 KIS327736 KSO327736 LCK327736 LMG327736 LWC327736 MFY327736 MPU327736 MZQ327736 NJM327736 NTI327736 ODE327736 ONA327736 OWW327736 PGS327736 PQO327736 QAK327736 QKG327736 QUC327736 RDY327736 RNU327736 RXQ327736 SHM327736 SRI327736 TBE327736 TLA327736 TUW327736 UES327736 UOO327736 UYK327736 VIG327736 VSC327736 WBY327736 WLU327736 WVQ327736 J393272 JE393272 TA393272 ACW393272 AMS393272 AWO393272 BGK393272 BQG393272 CAC393272 CJY393272 CTU393272 DDQ393272 DNM393272 DXI393272 EHE393272 ERA393272 FAW393272 FKS393272 FUO393272 GEK393272 GOG393272 GYC393272 HHY393272 HRU393272 IBQ393272 ILM393272 IVI393272 JFE393272 JPA393272 JYW393272 KIS393272 KSO393272 LCK393272 LMG393272 LWC393272 MFY393272 MPU393272 MZQ393272 NJM393272 NTI393272 ODE393272 ONA393272 OWW393272 PGS393272 PQO393272 QAK393272 QKG393272 QUC393272 RDY393272 RNU393272 RXQ393272 SHM393272 SRI393272 TBE393272 TLA393272 TUW393272 UES393272 UOO393272 UYK393272 VIG393272 VSC393272 WBY393272 WLU393272 WVQ393272 J458808 JE458808 TA458808 ACW458808 AMS458808 AWO458808 BGK458808 BQG458808 CAC458808 CJY458808 CTU458808 DDQ458808 DNM458808 DXI458808 EHE458808 ERA458808 FAW458808 FKS458808 FUO458808 GEK458808 GOG458808 GYC458808 HHY458808 HRU458808 IBQ458808 ILM458808 IVI458808 JFE458808 JPA458808 JYW458808 KIS458808 KSO458808 LCK458808 LMG458808 LWC458808 MFY458808 MPU458808 MZQ458808 NJM458808 NTI458808 ODE458808 ONA458808 OWW458808 PGS458808 PQO458808 QAK458808 QKG458808 QUC458808 RDY458808 RNU458808 RXQ458808 SHM458808 SRI458808 TBE458808 TLA458808 TUW458808 UES458808 UOO458808 UYK458808 VIG458808 VSC458808 WBY458808 WLU458808 WVQ458808 J524344 JE524344 TA524344 ACW524344 AMS524344 AWO524344 BGK524344 BQG524344 CAC524344 CJY524344 CTU524344 DDQ524344 DNM524344 DXI524344 EHE524344 ERA524344 FAW524344 FKS524344 FUO524344 GEK524344 GOG524344 GYC524344 HHY524344 HRU524344 IBQ524344 ILM524344 IVI524344 JFE524344 JPA524344 JYW524344 KIS524344 KSO524344 LCK524344 LMG524344 LWC524344 MFY524344 MPU524344 MZQ524344 NJM524344 NTI524344 ODE524344 ONA524344 OWW524344 PGS524344 PQO524344 QAK524344 QKG524344 QUC524344 RDY524344 RNU524344 RXQ524344 SHM524344 SRI524344 TBE524344 TLA524344 TUW524344 UES524344 UOO524344 UYK524344 VIG524344 VSC524344 WBY524344 WLU524344 WVQ524344 J589880 JE589880 TA589880 ACW589880 AMS589880 AWO589880 BGK589880 BQG589880 CAC589880 CJY589880 CTU589880 DDQ589880 DNM589880 DXI589880 EHE589880 ERA589880 FAW589880 FKS589880 FUO589880 GEK589880 GOG589880 GYC589880 HHY589880 HRU589880 IBQ589880 ILM589880 IVI589880 JFE589880 JPA589880 JYW589880 KIS589880 KSO589880 LCK589880 LMG589880 LWC589880 MFY589880 MPU589880 MZQ589880 NJM589880 NTI589880 ODE589880 ONA589880 OWW589880 PGS589880 PQO589880 QAK589880 QKG589880 QUC589880 RDY589880 RNU589880 RXQ589880 SHM589880 SRI589880 TBE589880 TLA589880 TUW589880 UES589880 UOO589880 UYK589880 VIG589880 VSC589880 WBY589880 WLU589880 WVQ589880 J655416 JE655416 TA655416 ACW655416 AMS655416 AWO655416 BGK655416 BQG655416 CAC655416 CJY655416 CTU655416 DDQ655416 DNM655416 DXI655416 EHE655416 ERA655416 FAW655416 FKS655416 FUO655416 GEK655416 GOG655416 GYC655416 HHY655416 HRU655416 IBQ655416 ILM655416 IVI655416 JFE655416 JPA655416 JYW655416 KIS655416 KSO655416 LCK655416 LMG655416 LWC655416 MFY655416 MPU655416 MZQ655416 NJM655416 NTI655416 ODE655416 ONA655416 OWW655416 PGS655416 PQO655416 QAK655416 QKG655416 QUC655416 RDY655416 RNU655416 RXQ655416 SHM655416 SRI655416 TBE655416 TLA655416 TUW655416 UES655416 UOO655416 UYK655416 VIG655416 VSC655416 WBY655416 WLU655416 WVQ655416 J720952 JE720952 TA720952 ACW720952 AMS720952 AWO720952 BGK720952 BQG720952 CAC720952 CJY720952 CTU720952 DDQ720952 DNM720952 DXI720952 EHE720952 ERA720952 FAW720952 FKS720952 FUO720952 GEK720952 GOG720952 GYC720952 HHY720952 HRU720952 IBQ720952 ILM720952 IVI720952 JFE720952 JPA720952 JYW720952 KIS720952 KSO720952 LCK720952 LMG720952 LWC720952 MFY720952 MPU720952 MZQ720952 NJM720952 NTI720952 ODE720952 ONA720952 OWW720952 PGS720952 PQO720952 QAK720952 QKG720952 QUC720952 RDY720952 RNU720952 RXQ720952 SHM720952 SRI720952 TBE720952 TLA720952 TUW720952 UES720952 UOO720952 UYK720952 VIG720952 VSC720952 WBY720952 WLU720952 WVQ720952 J786488 JE786488 TA786488 ACW786488 AMS786488 AWO786488 BGK786488 BQG786488 CAC786488 CJY786488 CTU786488 DDQ786488 DNM786488 DXI786488 EHE786488 ERA786488 FAW786488 FKS786488 FUO786488 GEK786488 GOG786488 GYC786488 HHY786488 HRU786488 IBQ786488 ILM786488 IVI786488 JFE786488 JPA786488 JYW786488 KIS786488 KSO786488 LCK786488 LMG786488 LWC786488 MFY786488 MPU786488 MZQ786488 NJM786488 NTI786488 ODE786488 ONA786488 OWW786488 PGS786488 PQO786488 QAK786488 QKG786488 QUC786488 RDY786488 RNU786488 RXQ786488 SHM786488 SRI786488 TBE786488 TLA786488 TUW786488 UES786488 UOO786488 UYK786488 VIG786488 VSC786488 WBY786488 WLU786488 WVQ786488 J852024 JE852024 TA852024 ACW852024 AMS852024 AWO852024 BGK852024 BQG852024 CAC852024 CJY852024 CTU852024 DDQ852024 DNM852024 DXI852024 EHE852024 ERA852024 FAW852024 FKS852024 FUO852024 GEK852024 GOG852024 GYC852024 HHY852024 HRU852024 IBQ852024 ILM852024 IVI852024 JFE852024 JPA852024 JYW852024 KIS852024 KSO852024 LCK852024 LMG852024 LWC852024 MFY852024 MPU852024 MZQ852024 NJM852024 NTI852024 ODE852024 ONA852024 OWW852024 PGS852024 PQO852024 QAK852024 QKG852024 QUC852024 RDY852024 RNU852024 RXQ852024 SHM852024 SRI852024 TBE852024 TLA852024 TUW852024 UES852024 UOO852024 UYK852024 VIG852024 VSC852024 WBY852024 WLU852024 WVQ852024 J917560 JE917560 TA917560 ACW917560 AMS917560 AWO917560 BGK917560 BQG917560 CAC917560 CJY917560 CTU917560 DDQ917560 DNM917560 DXI917560 EHE917560 ERA917560 FAW917560 FKS917560 FUO917560 GEK917560 GOG917560 GYC917560 HHY917560 HRU917560 IBQ917560 ILM917560 IVI917560 JFE917560 JPA917560 JYW917560 KIS917560 KSO917560 LCK917560 LMG917560 LWC917560 MFY917560 MPU917560 MZQ917560 NJM917560 NTI917560 ODE917560 ONA917560 OWW917560 PGS917560 PQO917560 QAK917560 QKG917560 QUC917560 RDY917560 RNU917560 RXQ917560 SHM917560 SRI917560 TBE917560 TLA917560 TUW917560 UES917560 UOO917560 UYK917560 VIG917560 VSC917560 WBY917560 WLU917560 WVQ917560 J983096 JE983096 TA983096 ACW983096 AMS983096 AWO983096 BGK983096 BQG983096 CAC983096 CJY983096 CTU983096 DDQ983096 DNM983096 DXI983096 EHE983096 ERA983096 FAW983096 FKS983096 FUO983096 GEK983096 GOG983096 GYC983096 HHY983096 HRU983096 IBQ983096 ILM983096 IVI983096 JFE983096 JPA983096 JYW983096 KIS983096 KSO983096 LCK983096 LMG983096 LWC983096 MFY983096 MPU983096 MZQ983096 NJM983096 NTI983096 ODE983096 ONA983096 OWW983096 PGS983096 PQO983096 QAK983096 QKG983096 QUC983096 RDY983096 RNU983096 RXQ983096 SHM983096 SRI983096 TBE983096 TLA983096 TUW983096 UES983096 UOO983096 UYK983096 VIG983096 VSC983096 WBY983096 WLU983096 WVQ983096 J65589:J65590 JE65589:JE65590 TA65589:TA65590 ACW65589:ACW65590 AMS65589:AMS65590 AWO65589:AWO65590 BGK65589:BGK65590 BQG65589:BQG65590 CAC65589:CAC65590 CJY65589:CJY65590 CTU65589:CTU65590 DDQ65589:DDQ65590 DNM65589:DNM65590 DXI65589:DXI65590 EHE65589:EHE65590 ERA65589:ERA65590 FAW65589:FAW65590 FKS65589:FKS65590 FUO65589:FUO65590 GEK65589:GEK65590 GOG65589:GOG65590 GYC65589:GYC65590 HHY65589:HHY65590 HRU65589:HRU65590 IBQ65589:IBQ65590 ILM65589:ILM65590 IVI65589:IVI65590 JFE65589:JFE65590 JPA65589:JPA65590 JYW65589:JYW65590 KIS65589:KIS65590 KSO65589:KSO65590 LCK65589:LCK65590 LMG65589:LMG65590 LWC65589:LWC65590 MFY65589:MFY65590 MPU65589:MPU65590 MZQ65589:MZQ65590 NJM65589:NJM65590 NTI65589:NTI65590 ODE65589:ODE65590 ONA65589:ONA65590 OWW65589:OWW65590 PGS65589:PGS65590 PQO65589:PQO65590 QAK65589:QAK65590 QKG65589:QKG65590 QUC65589:QUC65590 RDY65589:RDY65590 RNU65589:RNU65590 RXQ65589:RXQ65590 SHM65589:SHM65590 SRI65589:SRI65590 TBE65589:TBE65590 TLA65589:TLA65590 TUW65589:TUW65590 UES65589:UES65590 UOO65589:UOO65590 UYK65589:UYK65590 VIG65589:VIG65590 VSC65589:VSC65590 WBY65589:WBY65590 WLU65589:WLU65590 WVQ65589:WVQ65590 J131125:J131126 JE131125:JE131126 TA131125:TA131126 ACW131125:ACW131126 AMS131125:AMS131126 AWO131125:AWO131126 BGK131125:BGK131126 BQG131125:BQG131126 CAC131125:CAC131126 CJY131125:CJY131126 CTU131125:CTU131126 DDQ131125:DDQ131126 DNM131125:DNM131126 DXI131125:DXI131126 EHE131125:EHE131126 ERA131125:ERA131126 FAW131125:FAW131126 FKS131125:FKS131126 FUO131125:FUO131126 GEK131125:GEK131126 GOG131125:GOG131126 GYC131125:GYC131126 HHY131125:HHY131126 HRU131125:HRU131126 IBQ131125:IBQ131126 ILM131125:ILM131126 IVI131125:IVI131126 JFE131125:JFE131126 JPA131125:JPA131126 JYW131125:JYW131126 KIS131125:KIS131126 KSO131125:KSO131126 LCK131125:LCK131126 LMG131125:LMG131126 LWC131125:LWC131126 MFY131125:MFY131126 MPU131125:MPU131126 MZQ131125:MZQ131126 NJM131125:NJM131126 NTI131125:NTI131126 ODE131125:ODE131126 ONA131125:ONA131126 OWW131125:OWW131126 PGS131125:PGS131126 PQO131125:PQO131126 QAK131125:QAK131126 QKG131125:QKG131126 QUC131125:QUC131126 RDY131125:RDY131126 RNU131125:RNU131126 RXQ131125:RXQ131126 SHM131125:SHM131126 SRI131125:SRI131126 TBE131125:TBE131126 TLA131125:TLA131126 TUW131125:TUW131126 UES131125:UES131126 UOO131125:UOO131126 UYK131125:UYK131126 VIG131125:VIG131126 VSC131125:VSC131126 WBY131125:WBY131126 WLU131125:WLU131126 WVQ131125:WVQ131126 J196661:J196662 JE196661:JE196662 TA196661:TA196662 ACW196661:ACW196662 AMS196661:AMS196662 AWO196661:AWO196662 BGK196661:BGK196662 BQG196661:BQG196662 CAC196661:CAC196662 CJY196661:CJY196662 CTU196661:CTU196662 DDQ196661:DDQ196662 DNM196661:DNM196662 DXI196661:DXI196662 EHE196661:EHE196662 ERA196661:ERA196662 FAW196661:FAW196662 FKS196661:FKS196662 FUO196661:FUO196662 GEK196661:GEK196662 GOG196661:GOG196662 GYC196661:GYC196662 HHY196661:HHY196662 HRU196661:HRU196662 IBQ196661:IBQ196662 ILM196661:ILM196662 IVI196661:IVI196662 JFE196661:JFE196662 JPA196661:JPA196662 JYW196661:JYW196662 KIS196661:KIS196662 KSO196661:KSO196662 LCK196661:LCK196662 LMG196661:LMG196662 LWC196661:LWC196662 MFY196661:MFY196662 MPU196661:MPU196662 MZQ196661:MZQ196662 NJM196661:NJM196662 NTI196661:NTI196662 ODE196661:ODE196662 ONA196661:ONA196662 OWW196661:OWW196662 PGS196661:PGS196662 PQO196661:PQO196662 QAK196661:QAK196662 QKG196661:QKG196662 QUC196661:QUC196662 RDY196661:RDY196662 RNU196661:RNU196662 RXQ196661:RXQ196662 SHM196661:SHM196662 SRI196661:SRI196662 TBE196661:TBE196662 TLA196661:TLA196662 TUW196661:TUW196662 UES196661:UES196662 UOO196661:UOO196662 UYK196661:UYK196662 VIG196661:VIG196662 VSC196661:VSC196662 WBY196661:WBY196662 WLU196661:WLU196662 WVQ196661:WVQ196662 J262197:J262198 JE262197:JE262198 TA262197:TA262198 ACW262197:ACW262198 AMS262197:AMS262198 AWO262197:AWO262198 BGK262197:BGK262198 BQG262197:BQG262198 CAC262197:CAC262198 CJY262197:CJY262198 CTU262197:CTU262198 DDQ262197:DDQ262198 DNM262197:DNM262198 DXI262197:DXI262198 EHE262197:EHE262198 ERA262197:ERA262198 FAW262197:FAW262198 FKS262197:FKS262198 FUO262197:FUO262198 GEK262197:GEK262198 GOG262197:GOG262198 GYC262197:GYC262198 HHY262197:HHY262198 HRU262197:HRU262198 IBQ262197:IBQ262198 ILM262197:ILM262198 IVI262197:IVI262198 JFE262197:JFE262198 JPA262197:JPA262198 JYW262197:JYW262198 KIS262197:KIS262198 KSO262197:KSO262198 LCK262197:LCK262198 LMG262197:LMG262198 LWC262197:LWC262198 MFY262197:MFY262198 MPU262197:MPU262198 MZQ262197:MZQ262198 NJM262197:NJM262198 NTI262197:NTI262198 ODE262197:ODE262198 ONA262197:ONA262198 OWW262197:OWW262198 PGS262197:PGS262198 PQO262197:PQO262198 QAK262197:QAK262198 QKG262197:QKG262198 QUC262197:QUC262198 RDY262197:RDY262198 RNU262197:RNU262198 RXQ262197:RXQ262198 SHM262197:SHM262198 SRI262197:SRI262198 TBE262197:TBE262198 TLA262197:TLA262198 TUW262197:TUW262198 UES262197:UES262198 UOO262197:UOO262198 UYK262197:UYK262198 VIG262197:VIG262198 VSC262197:VSC262198 WBY262197:WBY262198 WLU262197:WLU262198 WVQ262197:WVQ262198 J327733:J327734 JE327733:JE327734 TA327733:TA327734 ACW327733:ACW327734 AMS327733:AMS327734 AWO327733:AWO327734 BGK327733:BGK327734 BQG327733:BQG327734 CAC327733:CAC327734 CJY327733:CJY327734 CTU327733:CTU327734 DDQ327733:DDQ327734 DNM327733:DNM327734 DXI327733:DXI327734 EHE327733:EHE327734 ERA327733:ERA327734 FAW327733:FAW327734 FKS327733:FKS327734 FUO327733:FUO327734 GEK327733:GEK327734 GOG327733:GOG327734 GYC327733:GYC327734 HHY327733:HHY327734 HRU327733:HRU327734 IBQ327733:IBQ327734 ILM327733:ILM327734 IVI327733:IVI327734 JFE327733:JFE327734 JPA327733:JPA327734 JYW327733:JYW327734 KIS327733:KIS327734 KSO327733:KSO327734 LCK327733:LCK327734 LMG327733:LMG327734 LWC327733:LWC327734 MFY327733:MFY327734 MPU327733:MPU327734 MZQ327733:MZQ327734 NJM327733:NJM327734 NTI327733:NTI327734 ODE327733:ODE327734 ONA327733:ONA327734 OWW327733:OWW327734 PGS327733:PGS327734 PQO327733:PQO327734 QAK327733:QAK327734 QKG327733:QKG327734 QUC327733:QUC327734 RDY327733:RDY327734 RNU327733:RNU327734 RXQ327733:RXQ327734 SHM327733:SHM327734 SRI327733:SRI327734 TBE327733:TBE327734 TLA327733:TLA327734 TUW327733:TUW327734 UES327733:UES327734 UOO327733:UOO327734 UYK327733:UYK327734 VIG327733:VIG327734 VSC327733:VSC327734 WBY327733:WBY327734 WLU327733:WLU327734 WVQ327733:WVQ327734 J393269:J393270 JE393269:JE393270 TA393269:TA393270 ACW393269:ACW393270 AMS393269:AMS393270 AWO393269:AWO393270 BGK393269:BGK393270 BQG393269:BQG393270 CAC393269:CAC393270 CJY393269:CJY393270 CTU393269:CTU393270 DDQ393269:DDQ393270 DNM393269:DNM393270 DXI393269:DXI393270 EHE393269:EHE393270 ERA393269:ERA393270 FAW393269:FAW393270 FKS393269:FKS393270 FUO393269:FUO393270 GEK393269:GEK393270 GOG393269:GOG393270 GYC393269:GYC393270 HHY393269:HHY393270 HRU393269:HRU393270 IBQ393269:IBQ393270 ILM393269:ILM393270 IVI393269:IVI393270 JFE393269:JFE393270 JPA393269:JPA393270 JYW393269:JYW393270 KIS393269:KIS393270 KSO393269:KSO393270 LCK393269:LCK393270 LMG393269:LMG393270 LWC393269:LWC393270 MFY393269:MFY393270 MPU393269:MPU393270 MZQ393269:MZQ393270 NJM393269:NJM393270 NTI393269:NTI393270 ODE393269:ODE393270 ONA393269:ONA393270 OWW393269:OWW393270 PGS393269:PGS393270 PQO393269:PQO393270 QAK393269:QAK393270 QKG393269:QKG393270 QUC393269:QUC393270 RDY393269:RDY393270 RNU393269:RNU393270 RXQ393269:RXQ393270 SHM393269:SHM393270 SRI393269:SRI393270 TBE393269:TBE393270 TLA393269:TLA393270 TUW393269:TUW393270 UES393269:UES393270 UOO393269:UOO393270 UYK393269:UYK393270 VIG393269:VIG393270 VSC393269:VSC393270 WBY393269:WBY393270 WLU393269:WLU393270 WVQ393269:WVQ393270 J458805:J458806 JE458805:JE458806 TA458805:TA458806 ACW458805:ACW458806 AMS458805:AMS458806 AWO458805:AWO458806 BGK458805:BGK458806 BQG458805:BQG458806 CAC458805:CAC458806 CJY458805:CJY458806 CTU458805:CTU458806 DDQ458805:DDQ458806 DNM458805:DNM458806 DXI458805:DXI458806 EHE458805:EHE458806 ERA458805:ERA458806 FAW458805:FAW458806 FKS458805:FKS458806 FUO458805:FUO458806 GEK458805:GEK458806 GOG458805:GOG458806 GYC458805:GYC458806 HHY458805:HHY458806 HRU458805:HRU458806 IBQ458805:IBQ458806 ILM458805:ILM458806 IVI458805:IVI458806 JFE458805:JFE458806 JPA458805:JPA458806 JYW458805:JYW458806 KIS458805:KIS458806 KSO458805:KSO458806 LCK458805:LCK458806 LMG458805:LMG458806 LWC458805:LWC458806 MFY458805:MFY458806 MPU458805:MPU458806 MZQ458805:MZQ458806 NJM458805:NJM458806 NTI458805:NTI458806 ODE458805:ODE458806 ONA458805:ONA458806 OWW458805:OWW458806 PGS458805:PGS458806 PQO458805:PQO458806 QAK458805:QAK458806 QKG458805:QKG458806 QUC458805:QUC458806 RDY458805:RDY458806 RNU458805:RNU458806 RXQ458805:RXQ458806 SHM458805:SHM458806 SRI458805:SRI458806 TBE458805:TBE458806 TLA458805:TLA458806 TUW458805:TUW458806 UES458805:UES458806 UOO458805:UOO458806 UYK458805:UYK458806 VIG458805:VIG458806 VSC458805:VSC458806 WBY458805:WBY458806 WLU458805:WLU458806 WVQ458805:WVQ458806 J524341:J524342 JE524341:JE524342 TA524341:TA524342 ACW524341:ACW524342 AMS524341:AMS524342 AWO524341:AWO524342 BGK524341:BGK524342 BQG524341:BQG524342 CAC524341:CAC524342 CJY524341:CJY524342 CTU524341:CTU524342 DDQ524341:DDQ524342 DNM524341:DNM524342 DXI524341:DXI524342 EHE524341:EHE524342 ERA524341:ERA524342 FAW524341:FAW524342 FKS524341:FKS524342 FUO524341:FUO524342 GEK524341:GEK524342 GOG524341:GOG524342 GYC524341:GYC524342 HHY524341:HHY524342 HRU524341:HRU524342 IBQ524341:IBQ524342 ILM524341:ILM524342 IVI524341:IVI524342 JFE524341:JFE524342 JPA524341:JPA524342 JYW524341:JYW524342 KIS524341:KIS524342 KSO524341:KSO524342 LCK524341:LCK524342 LMG524341:LMG524342 LWC524341:LWC524342 MFY524341:MFY524342 MPU524341:MPU524342 MZQ524341:MZQ524342 NJM524341:NJM524342 NTI524341:NTI524342 ODE524341:ODE524342 ONA524341:ONA524342 OWW524341:OWW524342 PGS524341:PGS524342 PQO524341:PQO524342 QAK524341:QAK524342 QKG524341:QKG524342 QUC524341:QUC524342 RDY524341:RDY524342 RNU524341:RNU524342 RXQ524341:RXQ524342 SHM524341:SHM524342 SRI524341:SRI524342 TBE524341:TBE524342 TLA524341:TLA524342 TUW524341:TUW524342 UES524341:UES524342 UOO524341:UOO524342 UYK524341:UYK524342 VIG524341:VIG524342 VSC524341:VSC524342 WBY524341:WBY524342 WLU524341:WLU524342 WVQ524341:WVQ524342 J589877:J589878 JE589877:JE589878 TA589877:TA589878 ACW589877:ACW589878 AMS589877:AMS589878 AWO589877:AWO589878 BGK589877:BGK589878 BQG589877:BQG589878 CAC589877:CAC589878 CJY589877:CJY589878 CTU589877:CTU589878 DDQ589877:DDQ589878 DNM589877:DNM589878 DXI589877:DXI589878 EHE589877:EHE589878 ERA589877:ERA589878 FAW589877:FAW589878 FKS589877:FKS589878 FUO589877:FUO589878 GEK589877:GEK589878 GOG589877:GOG589878 GYC589877:GYC589878 HHY589877:HHY589878 HRU589877:HRU589878 IBQ589877:IBQ589878 ILM589877:ILM589878 IVI589877:IVI589878 JFE589877:JFE589878 JPA589877:JPA589878 JYW589877:JYW589878 KIS589877:KIS589878 KSO589877:KSO589878 LCK589877:LCK589878 LMG589877:LMG589878 LWC589877:LWC589878 MFY589877:MFY589878 MPU589877:MPU589878 MZQ589877:MZQ589878 NJM589877:NJM589878 NTI589877:NTI589878 ODE589877:ODE589878 ONA589877:ONA589878 OWW589877:OWW589878 PGS589877:PGS589878 PQO589877:PQO589878 QAK589877:QAK589878 QKG589877:QKG589878 QUC589877:QUC589878 RDY589877:RDY589878 RNU589877:RNU589878 RXQ589877:RXQ589878 SHM589877:SHM589878 SRI589877:SRI589878 TBE589877:TBE589878 TLA589877:TLA589878 TUW589877:TUW589878 UES589877:UES589878 UOO589877:UOO589878 UYK589877:UYK589878 VIG589877:VIG589878 VSC589877:VSC589878 WBY589877:WBY589878 WLU589877:WLU589878 WVQ589877:WVQ589878 J655413:J655414 JE655413:JE655414 TA655413:TA655414 ACW655413:ACW655414 AMS655413:AMS655414 AWO655413:AWO655414 BGK655413:BGK655414 BQG655413:BQG655414 CAC655413:CAC655414 CJY655413:CJY655414 CTU655413:CTU655414 DDQ655413:DDQ655414 DNM655413:DNM655414 DXI655413:DXI655414 EHE655413:EHE655414 ERA655413:ERA655414 FAW655413:FAW655414 FKS655413:FKS655414 FUO655413:FUO655414 GEK655413:GEK655414 GOG655413:GOG655414 GYC655413:GYC655414 HHY655413:HHY655414 HRU655413:HRU655414 IBQ655413:IBQ655414 ILM655413:ILM655414 IVI655413:IVI655414 JFE655413:JFE655414 JPA655413:JPA655414 JYW655413:JYW655414 KIS655413:KIS655414 KSO655413:KSO655414 LCK655413:LCK655414 LMG655413:LMG655414 LWC655413:LWC655414 MFY655413:MFY655414 MPU655413:MPU655414 MZQ655413:MZQ655414 NJM655413:NJM655414 NTI655413:NTI655414 ODE655413:ODE655414 ONA655413:ONA655414 OWW655413:OWW655414 PGS655413:PGS655414 PQO655413:PQO655414 QAK655413:QAK655414 QKG655413:QKG655414 QUC655413:QUC655414 RDY655413:RDY655414 RNU655413:RNU655414 RXQ655413:RXQ655414 SHM655413:SHM655414 SRI655413:SRI655414 TBE655413:TBE655414 TLA655413:TLA655414 TUW655413:TUW655414 UES655413:UES655414 UOO655413:UOO655414 UYK655413:UYK655414 VIG655413:VIG655414 VSC655413:VSC655414 WBY655413:WBY655414 WLU655413:WLU655414 WVQ655413:WVQ655414 J720949:J720950 JE720949:JE720950 TA720949:TA720950 ACW720949:ACW720950 AMS720949:AMS720950 AWO720949:AWO720950 BGK720949:BGK720950 BQG720949:BQG720950 CAC720949:CAC720950 CJY720949:CJY720950 CTU720949:CTU720950 DDQ720949:DDQ720950 DNM720949:DNM720950 DXI720949:DXI720950 EHE720949:EHE720950 ERA720949:ERA720950 FAW720949:FAW720950 FKS720949:FKS720950 FUO720949:FUO720950 GEK720949:GEK720950 GOG720949:GOG720950 GYC720949:GYC720950 HHY720949:HHY720950 HRU720949:HRU720950 IBQ720949:IBQ720950 ILM720949:ILM720950 IVI720949:IVI720950 JFE720949:JFE720950 JPA720949:JPA720950 JYW720949:JYW720950 KIS720949:KIS720950 KSO720949:KSO720950 LCK720949:LCK720950 LMG720949:LMG720950 LWC720949:LWC720950 MFY720949:MFY720950 MPU720949:MPU720950 MZQ720949:MZQ720950 NJM720949:NJM720950 NTI720949:NTI720950 ODE720949:ODE720950 ONA720949:ONA720950 OWW720949:OWW720950 PGS720949:PGS720950 PQO720949:PQO720950 QAK720949:QAK720950 QKG720949:QKG720950 QUC720949:QUC720950 RDY720949:RDY720950 RNU720949:RNU720950 RXQ720949:RXQ720950 SHM720949:SHM720950 SRI720949:SRI720950 TBE720949:TBE720950 TLA720949:TLA720950 TUW720949:TUW720950 UES720949:UES720950 UOO720949:UOO720950 UYK720949:UYK720950 VIG720949:VIG720950 VSC720949:VSC720950 WBY720949:WBY720950 WLU720949:WLU720950 WVQ720949:WVQ720950 J786485:J786486 JE786485:JE786486 TA786485:TA786486 ACW786485:ACW786486 AMS786485:AMS786486 AWO786485:AWO786486 BGK786485:BGK786486 BQG786485:BQG786486 CAC786485:CAC786486 CJY786485:CJY786486 CTU786485:CTU786486 DDQ786485:DDQ786486 DNM786485:DNM786486 DXI786485:DXI786486 EHE786485:EHE786486 ERA786485:ERA786486 FAW786485:FAW786486 FKS786485:FKS786486 FUO786485:FUO786486 GEK786485:GEK786486 GOG786485:GOG786486 GYC786485:GYC786486 HHY786485:HHY786486 HRU786485:HRU786486 IBQ786485:IBQ786486 ILM786485:ILM786486 IVI786485:IVI786486 JFE786485:JFE786486 JPA786485:JPA786486 JYW786485:JYW786486 KIS786485:KIS786486 KSO786485:KSO786486 LCK786485:LCK786486 LMG786485:LMG786486 LWC786485:LWC786486 MFY786485:MFY786486 MPU786485:MPU786486 MZQ786485:MZQ786486 NJM786485:NJM786486 NTI786485:NTI786486 ODE786485:ODE786486 ONA786485:ONA786486 OWW786485:OWW786486 PGS786485:PGS786486 PQO786485:PQO786486 QAK786485:QAK786486 QKG786485:QKG786486 QUC786485:QUC786486 RDY786485:RDY786486 RNU786485:RNU786486 RXQ786485:RXQ786486 SHM786485:SHM786486 SRI786485:SRI786486 TBE786485:TBE786486 TLA786485:TLA786486 TUW786485:TUW786486 UES786485:UES786486 UOO786485:UOO786486 UYK786485:UYK786486 VIG786485:VIG786486 VSC786485:VSC786486 WBY786485:WBY786486 WLU786485:WLU786486 WVQ786485:WVQ786486 J852021:J852022 JE852021:JE852022 TA852021:TA852022 ACW852021:ACW852022 AMS852021:AMS852022 AWO852021:AWO852022 BGK852021:BGK852022 BQG852021:BQG852022 CAC852021:CAC852022 CJY852021:CJY852022 CTU852021:CTU852022 DDQ852021:DDQ852022 DNM852021:DNM852022 DXI852021:DXI852022 EHE852021:EHE852022 ERA852021:ERA852022 FAW852021:FAW852022 FKS852021:FKS852022 FUO852021:FUO852022 GEK852021:GEK852022 GOG852021:GOG852022 GYC852021:GYC852022 HHY852021:HHY852022 HRU852021:HRU852022 IBQ852021:IBQ852022 ILM852021:ILM852022 IVI852021:IVI852022 JFE852021:JFE852022 JPA852021:JPA852022 JYW852021:JYW852022 KIS852021:KIS852022 KSO852021:KSO852022 LCK852021:LCK852022 LMG852021:LMG852022 LWC852021:LWC852022 MFY852021:MFY852022 MPU852021:MPU852022 MZQ852021:MZQ852022 NJM852021:NJM852022 NTI852021:NTI852022 ODE852021:ODE852022 ONA852021:ONA852022 OWW852021:OWW852022 PGS852021:PGS852022 PQO852021:PQO852022 QAK852021:QAK852022 QKG852021:QKG852022 QUC852021:QUC852022 RDY852021:RDY852022 RNU852021:RNU852022 RXQ852021:RXQ852022 SHM852021:SHM852022 SRI852021:SRI852022 TBE852021:TBE852022 TLA852021:TLA852022 TUW852021:TUW852022 UES852021:UES852022 UOO852021:UOO852022 UYK852021:UYK852022 VIG852021:VIG852022 VSC852021:VSC852022 WBY852021:WBY852022 WLU852021:WLU852022 WVQ852021:WVQ852022 J917557:J917558 JE917557:JE917558 TA917557:TA917558 ACW917557:ACW917558 AMS917557:AMS917558 AWO917557:AWO917558 BGK917557:BGK917558 BQG917557:BQG917558 CAC917557:CAC917558 CJY917557:CJY917558 CTU917557:CTU917558 DDQ917557:DDQ917558 DNM917557:DNM917558 DXI917557:DXI917558 EHE917557:EHE917558 ERA917557:ERA917558 FAW917557:FAW917558 FKS917557:FKS917558 FUO917557:FUO917558 GEK917557:GEK917558 GOG917557:GOG917558 GYC917557:GYC917558 HHY917557:HHY917558 HRU917557:HRU917558 IBQ917557:IBQ917558 ILM917557:ILM917558 IVI917557:IVI917558 JFE917557:JFE917558 JPA917557:JPA917558 JYW917557:JYW917558 KIS917557:KIS917558 KSO917557:KSO917558 LCK917557:LCK917558 LMG917557:LMG917558 LWC917557:LWC917558 MFY917557:MFY917558 MPU917557:MPU917558 MZQ917557:MZQ917558 NJM917557:NJM917558 NTI917557:NTI917558 ODE917557:ODE917558 ONA917557:ONA917558 OWW917557:OWW917558 PGS917557:PGS917558 PQO917557:PQO917558 QAK917557:QAK917558 QKG917557:QKG917558 QUC917557:QUC917558 RDY917557:RDY917558 RNU917557:RNU917558 RXQ917557:RXQ917558 SHM917557:SHM917558 SRI917557:SRI917558 TBE917557:TBE917558 TLA917557:TLA917558 TUW917557:TUW917558 UES917557:UES917558 UOO917557:UOO917558 UYK917557:UYK917558 VIG917557:VIG917558 VSC917557:VSC917558 WBY917557:WBY917558 WLU917557:WLU917558 WVQ917557:WVQ917558 J983093:J983094 JE983093:JE983094 TA983093:TA983094 ACW983093:ACW983094 AMS983093:AMS983094 AWO983093:AWO983094 BGK983093:BGK983094 BQG983093:BQG983094 CAC983093:CAC983094 CJY983093:CJY983094 CTU983093:CTU983094 DDQ983093:DDQ983094 DNM983093:DNM983094 DXI983093:DXI983094 EHE983093:EHE983094 ERA983093:ERA983094 FAW983093:FAW983094 FKS983093:FKS983094 FUO983093:FUO983094 GEK983093:GEK983094 GOG983093:GOG983094 GYC983093:GYC983094 HHY983093:HHY983094 HRU983093:HRU983094 IBQ983093:IBQ983094 ILM983093:ILM983094 IVI983093:IVI983094 JFE983093:JFE983094 JPA983093:JPA983094 JYW983093:JYW983094 KIS983093:KIS983094 KSO983093:KSO983094 LCK983093:LCK983094 LMG983093:LMG983094 LWC983093:LWC983094 MFY983093:MFY983094 MPU983093:MPU983094 MZQ983093:MZQ983094 NJM983093:NJM983094 NTI983093:NTI983094 ODE983093:ODE983094 ONA983093:ONA983094 OWW983093:OWW983094 PGS983093:PGS983094 PQO983093:PQO983094 QAK983093:QAK983094 QKG983093:QKG983094 QUC983093:QUC983094 RDY983093:RDY983094 RNU983093:RNU983094 RXQ983093:RXQ983094 SHM983093:SHM983094 SRI983093:SRI983094 TBE983093:TBE983094 TLA983093:TLA983094 TUW983093:TUW983094 UES983093:UES983094 UOO983093:UOO983094 UYK983093:UYK983094 VIG983093:VIG983094 VSC983093:VSC983094 WBY983093:WBY983094 WLU983093:WLU983094 WVQ983093:WVQ983094 D983093:I983096 D917557:I917560 D852021:I852024 D786485:I786488 D720949:I720952 D655413:I655416 D589877:I589880 D524341:I524344 D458805:I458808 D393269:I393272 D327733:I327736 D262197:I262200 D196661:I196664 D131125:I131128 D65589:I65592"/>
    <dataValidation allowBlank="1" showInputMessage="1" showErrorMessage="1" promptTitle="Nama Bank" prompt="Diisi nama Bank dan dapat diisi lebih dari 1 (satu) Bank" sqref="IY65588:JE65588 SU65588:TA65588 ACQ65588:ACW65588 AMM65588:AMS65588 AWI65588:AWO65588 BGE65588:BGK65588 BQA65588:BQG65588 BZW65588:CAC65588 CJS65588:CJY65588 CTO65588:CTU65588 DDK65588:DDQ65588 DNG65588:DNM65588 DXC65588:DXI65588 EGY65588:EHE65588 EQU65588:ERA65588 FAQ65588:FAW65588 FKM65588:FKS65588 FUI65588:FUO65588 GEE65588:GEK65588 GOA65588:GOG65588 GXW65588:GYC65588 HHS65588:HHY65588 HRO65588:HRU65588 IBK65588:IBQ65588 ILG65588:ILM65588 IVC65588:IVI65588 JEY65588:JFE65588 JOU65588:JPA65588 JYQ65588:JYW65588 KIM65588:KIS65588 KSI65588:KSO65588 LCE65588:LCK65588 LMA65588:LMG65588 LVW65588:LWC65588 MFS65588:MFY65588 MPO65588:MPU65588 MZK65588:MZQ65588 NJG65588:NJM65588 NTC65588:NTI65588 OCY65588:ODE65588 OMU65588:ONA65588 OWQ65588:OWW65588 PGM65588:PGS65588 PQI65588:PQO65588 QAE65588:QAK65588 QKA65588:QKG65588 QTW65588:QUC65588 RDS65588:RDY65588 RNO65588:RNU65588 RXK65588:RXQ65588 SHG65588:SHM65588 SRC65588:SRI65588 TAY65588:TBE65588 TKU65588:TLA65588 TUQ65588:TUW65588 UEM65588:UES65588 UOI65588:UOO65588 UYE65588:UYK65588 VIA65588:VIG65588 VRW65588:VSC65588 WBS65588:WBY65588 WLO65588:WLU65588 WVK65588:WVQ65588 IY131124:JE131124 SU131124:TA131124 ACQ131124:ACW131124 AMM131124:AMS131124 AWI131124:AWO131124 BGE131124:BGK131124 BQA131124:BQG131124 BZW131124:CAC131124 CJS131124:CJY131124 CTO131124:CTU131124 DDK131124:DDQ131124 DNG131124:DNM131124 DXC131124:DXI131124 EGY131124:EHE131124 EQU131124:ERA131124 FAQ131124:FAW131124 FKM131124:FKS131124 FUI131124:FUO131124 GEE131124:GEK131124 GOA131124:GOG131124 GXW131124:GYC131124 HHS131124:HHY131124 HRO131124:HRU131124 IBK131124:IBQ131124 ILG131124:ILM131124 IVC131124:IVI131124 JEY131124:JFE131124 JOU131124:JPA131124 JYQ131124:JYW131124 KIM131124:KIS131124 KSI131124:KSO131124 LCE131124:LCK131124 LMA131124:LMG131124 LVW131124:LWC131124 MFS131124:MFY131124 MPO131124:MPU131124 MZK131124:MZQ131124 NJG131124:NJM131124 NTC131124:NTI131124 OCY131124:ODE131124 OMU131124:ONA131124 OWQ131124:OWW131124 PGM131124:PGS131124 PQI131124:PQO131124 QAE131124:QAK131124 QKA131124:QKG131124 QTW131124:QUC131124 RDS131124:RDY131124 RNO131124:RNU131124 RXK131124:RXQ131124 SHG131124:SHM131124 SRC131124:SRI131124 TAY131124:TBE131124 TKU131124:TLA131124 TUQ131124:TUW131124 UEM131124:UES131124 UOI131124:UOO131124 UYE131124:UYK131124 VIA131124:VIG131124 VRW131124:VSC131124 WBS131124:WBY131124 WLO131124:WLU131124 WVK131124:WVQ131124 IY196660:JE196660 SU196660:TA196660 ACQ196660:ACW196660 AMM196660:AMS196660 AWI196660:AWO196660 BGE196660:BGK196660 BQA196660:BQG196660 BZW196660:CAC196660 CJS196660:CJY196660 CTO196660:CTU196660 DDK196660:DDQ196660 DNG196660:DNM196660 DXC196660:DXI196660 EGY196660:EHE196660 EQU196660:ERA196660 FAQ196660:FAW196660 FKM196660:FKS196660 FUI196660:FUO196660 GEE196660:GEK196660 GOA196660:GOG196660 GXW196660:GYC196660 HHS196660:HHY196660 HRO196660:HRU196660 IBK196660:IBQ196660 ILG196660:ILM196660 IVC196660:IVI196660 JEY196660:JFE196660 JOU196660:JPA196660 JYQ196660:JYW196660 KIM196660:KIS196660 KSI196660:KSO196660 LCE196660:LCK196660 LMA196660:LMG196660 LVW196660:LWC196660 MFS196660:MFY196660 MPO196660:MPU196660 MZK196660:MZQ196660 NJG196660:NJM196660 NTC196660:NTI196660 OCY196660:ODE196660 OMU196660:ONA196660 OWQ196660:OWW196660 PGM196660:PGS196660 PQI196660:PQO196660 QAE196660:QAK196660 QKA196660:QKG196660 QTW196660:QUC196660 RDS196660:RDY196660 RNO196660:RNU196660 RXK196660:RXQ196660 SHG196660:SHM196660 SRC196660:SRI196660 TAY196660:TBE196660 TKU196660:TLA196660 TUQ196660:TUW196660 UEM196660:UES196660 UOI196660:UOO196660 UYE196660:UYK196660 VIA196660:VIG196660 VRW196660:VSC196660 WBS196660:WBY196660 WLO196660:WLU196660 WVK196660:WVQ196660 IY262196:JE262196 SU262196:TA262196 ACQ262196:ACW262196 AMM262196:AMS262196 AWI262196:AWO262196 BGE262196:BGK262196 BQA262196:BQG262196 BZW262196:CAC262196 CJS262196:CJY262196 CTO262196:CTU262196 DDK262196:DDQ262196 DNG262196:DNM262196 DXC262196:DXI262196 EGY262196:EHE262196 EQU262196:ERA262196 FAQ262196:FAW262196 FKM262196:FKS262196 FUI262196:FUO262196 GEE262196:GEK262196 GOA262196:GOG262196 GXW262196:GYC262196 HHS262196:HHY262196 HRO262196:HRU262196 IBK262196:IBQ262196 ILG262196:ILM262196 IVC262196:IVI262196 JEY262196:JFE262196 JOU262196:JPA262196 JYQ262196:JYW262196 KIM262196:KIS262196 KSI262196:KSO262196 LCE262196:LCK262196 LMA262196:LMG262196 LVW262196:LWC262196 MFS262196:MFY262196 MPO262196:MPU262196 MZK262196:MZQ262196 NJG262196:NJM262196 NTC262196:NTI262196 OCY262196:ODE262196 OMU262196:ONA262196 OWQ262196:OWW262196 PGM262196:PGS262196 PQI262196:PQO262196 QAE262196:QAK262196 QKA262196:QKG262196 QTW262196:QUC262196 RDS262196:RDY262196 RNO262196:RNU262196 RXK262196:RXQ262196 SHG262196:SHM262196 SRC262196:SRI262196 TAY262196:TBE262196 TKU262196:TLA262196 TUQ262196:TUW262196 UEM262196:UES262196 UOI262196:UOO262196 UYE262196:UYK262196 VIA262196:VIG262196 VRW262196:VSC262196 WBS262196:WBY262196 WLO262196:WLU262196 WVK262196:WVQ262196 IY327732:JE327732 SU327732:TA327732 ACQ327732:ACW327732 AMM327732:AMS327732 AWI327732:AWO327732 BGE327732:BGK327732 BQA327732:BQG327732 BZW327732:CAC327732 CJS327732:CJY327732 CTO327732:CTU327732 DDK327732:DDQ327732 DNG327732:DNM327732 DXC327732:DXI327732 EGY327732:EHE327732 EQU327732:ERA327732 FAQ327732:FAW327732 FKM327732:FKS327732 FUI327732:FUO327732 GEE327732:GEK327732 GOA327732:GOG327732 GXW327732:GYC327732 HHS327732:HHY327732 HRO327732:HRU327732 IBK327732:IBQ327732 ILG327732:ILM327732 IVC327732:IVI327732 JEY327732:JFE327732 JOU327732:JPA327732 JYQ327732:JYW327732 KIM327732:KIS327732 KSI327732:KSO327732 LCE327732:LCK327732 LMA327732:LMG327732 LVW327732:LWC327732 MFS327732:MFY327732 MPO327732:MPU327732 MZK327732:MZQ327732 NJG327732:NJM327732 NTC327732:NTI327732 OCY327732:ODE327732 OMU327732:ONA327732 OWQ327732:OWW327732 PGM327732:PGS327732 PQI327732:PQO327732 QAE327732:QAK327732 QKA327732:QKG327732 QTW327732:QUC327732 RDS327732:RDY327732 RNO327732:RNU327732 RXK327732:RXQ327732 SHG327732:SHM327732 SRC327732:SRI327732 TAY327732:TBE327732 TKU327732:TLA327732 TUQ327732:TUW327732 UEM327732:UES327732 UOI327732:UOO327732 UYE327732:UYK327732 VIA327732:VIG327732 VRW327732:VSC327732 WBS327732:WBY327732 WLO327732:WLU327732 WVK327732:WVQ327732 IY393268:JE393268 SU393268:TA393268 ACQ393268:ACW393268 AMM393268:AMS393268 AWI393268:AWO393268 BGE393268:BGK393268 BQA393268:BQG393268 BZW393268:CAC393268 CJS393268:CJY393268 CTO393268:CTU393268 DDK393268:DDQ393268 DNG393268:DNM393268 DXC393268:DXI393268 EGY393268:EHE393268 EQU393268:ERA393268 FAQ393268:FAW393268 FKM393268:FKS393268 FUI393268:FUO393268 GEE393268:GEK393268 GOA393268:GOG393268 GXW393268:GYC393268 HHS393268:HHY393268 HRO393268:HRU393268 IBK393268:IBQ393268 ILG393268:ILM393268 IVC393268:IVI393268 JEY393268:JFE393268 JOU393268:JPA393268 JYQ393268:JYW393268 KIM393268:KIS393268 KSI393268:KSO393268 LCE393268:LCK393268 LMA393268:LMG393268 LVW393268:LWC393268 MFS393268:MFY393268 MPO393268:MPU393268 MZK393268:MZQ393268 NJG393268:NJM393268 NTC393268:NTI393268 OCY393268:ODE393268 OMU393268:ONA393268 OWQ393268:OWW393268 PGM393268:PGS393268 PQI393268:PQO393268 QAE393268:QAK393268 QKA393268:QKG393268 QTW393268:QUC393268 RDS393268:RDY393268 RNO393268:RNU393268 RXK393268:RXQ393268 SHG393268:SHM393268 SRC393268:SRI393268 TAY393268:TBE393268 TKU393268:TLA393268 TUQ393268:TUW393268 UEM393268:UES393268 UOI393268:UOO393268 UYE393268:UYK393268 VIA393268:VIG393268 VRW393268:VSC393268 WBS393268:WBY393268 WLO393268:WLU393268 WVK393268:WVQ393268 IY458804:JE458804 SU458804:TA458804 ACQ458804:ACW458804 AMM458804:AMS458804 AWI458804:AWO458804 BGE458804:BGK458804 BQA458804:BQG458804 BZW458804:CAC458804 CJS458804:CJY458804 CTO458804:CTU458804 DDK458804:DDQ458804 DNG458804:DNM458804 DXC458804:DXI458804 EGY458804:EHE458804 EQU458804:ERA458804 FAQ458804:FAW458804 FKM458804:FKS458804 FUI458804:FUO458804 GEE458804:GEK458804 GOA458804:GOG458804 GXW458804:GYC458804 HHS458804:HHY458804 HRO458804:HRU458804 IBK458804:IBQ458804 ILG458804:ILM458804 IVC458804:IVI458804 JEY458804:JFE458804 JOU458804:JPA458804 JYQ458804:JYW458804 KIM458804:KIS458804 KSI458804:KSO458804 LCE458804:LCK458804 LMA458804:LMG458804 LVW458804:LWC458804 MFS458804:MFY458804 MPO458804:MPU458804 MZK458804:MZQ458804 NJG458804:NJM458804 NTC458804:NTI458804 OCY458804:ODE458804 OMU458804:ONA458804 OWQ458804:OWW458804 PGM458804:PGS458804 PQI458804:PQO458804 QAE458804:QAK458804 QKA458804:QKG458804 QTW458804:QUC458804 RDS458804:RDY458804 RNO458804:RNU458804 RXK458804:RXQ458804 SHG458804:SHM458804 SRC458804:SRI458804 TAY458804:TBE458804 TKU458804:TLA458804 TUQ458804:TUW458804 UEM458804:UES458804 UOI458804:UOO458804 UYE458804:UYK458804 VIA458804:VIG458804 VRW458804:VSC458804 WBS458804:WBY458804 WLO458804:WLU458804 WVK458804:WVQ458804 IY524340:JE524340 SU524340:TA524340 ACQ524340:ACW524340 AMM524340:AMS524340 AWI524340:AWO524340 BGE524340:BGK524340 BQA524340:BQG524340 BZW524340:CAC524340 CJS524340:CJY524340 CTO524340:CTU524340 DDK524340:DDQ524340 DNG524340:DNM524340 DXC524340:DXI524340 EGY524340:EHE524340 EQU524340:ERA524340 FAQ524340:FAW524340 FKM524340:FKS524340 FUI524340:FUO524340 GEE524340:GEK524340 GOA524340:GOG524340 GXW524340:GYC524340 HHS524340:HHY524340 HRO524340:HRU524340 IBK524340:IBQ524340 ILG524340:ILM524340 IVC524340:IVI524340 JEY524340:JFE524340 JOU524340:JPA524340 JYQ524340:JYW524340 KIM524340:KIS524340 KSI524340:KSO524340 LCE524340:LCK524340 LMA524340:LMG524340 LVW524340:LWC524340 MFS524340:MFY524340 MPO524340:MPU524340 MZK524340:MZQ524340 NJG524340:NJM524340 NTC524340:NTI524340 OCY524340:ODE524340 OMU524340:ONA524340 OWQ524340:OWW524340 PGM524340:PGS524340 PQI524340:PQO524340 QAE524340:QAK524340 QKA524340:QKG524340 QTW524340:QUC524340 RDS524340:RDY524340 RNO524340:RNU524340 RXK524340:RXQ524340 SHG524340:SHM524340 SRC524340:SRI524340 TAY524340:TBE524340 TKU524340:TLA524340 TUQ524340:TUW524340 UEM524340:UES524340 UOI524340:UOO524340 UYE524340:UYK524340 VIA524340:VIG524340 VRW524340:VSC524340 WBS524340:WBY524340 WLO524340:WLU524340 WVK524340:WVQ524340 IY589876:JE589876 SU589876:TA589876 ACQ589876:ACW589876 AMM589876:AMS589876 AWI589876:AWO589876 BGE589876:BGK589876 BQA589876:BQG589876 BZW589876:CAC589876 CJS589876:CJY589876 CTO589876:CTU589876 DDK589876:DDQ589876 DNG589876:DNM589876 DXC589876:DXI589876 EGY589876:EHE589876 EQU589876:ERA589876 FAQ589876:FAW589876 FKM589876:FKS589876 FUI589876:FUO589876 GEE589876:GEK589876 GOA589876:GOG589876 GXW589876:GYC589876 HHS589876:HHY589876 HRO589876:HRU589876 IBK589876:IBQ589876 ILG589876:ILM589876 IVC589876:IVI589876 JEY589876:JFE589876 JOU589876:JPA589876 JYQ589876:JYW589876 KIM589876:KIS589876 KSI589876:KSO589876 LCE589876:LCK589876 LMA589876:LMG589876 LVW589876:LWC589876 MFS589876:MFY589876 MPO589876:MPU589876 MZK589876:MZQ589876 NJG589876:NJM589876 NTC589876:NTI589876 OCY589876:ODE589876 OMU589876:ONA589876 OWQ589876:OWW589876 PGM589876:PGS589876 PQI589876:PQO589876 QAE589876:QAK589876 QKA589876:QKG589876 QTW589876:QUC589876 RDS589876:RDY589876 RNO589876:RNU589876 RXK589876:RXQ589876 SHG589876:SHM589876 SRC589876:SRI589876 TAY589876:TBE589876 TKU589876:TLA589876 TUQ589876:TUW589876 UEM589876:UES589876 UOI589876:UOO589876 UYE589876:UYK589876 VIA589876:VIG589876 VRW589876:VSC589876 WBS589876:WBY589876 WLO589876:WLU589876 WVK589876:WVQ589876 IY655412:JE655412 SU655412:TA655412 ACQ655412:ACW655412 AMM655412:AMS655412 AWI655412:AWO655412 BGE655412:BGK655412 BQA655412:BQG655412 BZW655412:CAC655412 CJS655412:CJY655412 CTO655412:CTU655412 DDK655412:DDQ655412 DNG655412:DNM655412 DXC655412:DXI655412 EGY655412:EHE655412 EQU655412:ERA655412 FAQ655412:FAW655412 FKM655412:FKS655412 FUI655412:FUO655412 GEE655412:GEK655412 GOA655412:GOG655412 GXW655412:GYC655412 HHS655412:HHY655412 HRO655412:HRU655412 IBK655412:IBQ655412 ILG655412:ILM655412 IVC655412:IVI655412 JEY655412:JFE655412 JOU655412:JPA655412 JYQ655412:JYW655412 KIM655412:KIS655412 KSI655412:KSO655412 LCE655412:LCK655412 LMA655412:LMG655412 LVW655412:LWC655412 MFS655412:MFY655412 MPO655412:MPU655412 MZK655412:MZQ655412 NJG655412:NJM655412 NTC655412:NTI655412 OCY655412:ODE655412 OMU655412:ONA655412 OWQ655412:OWW655412 PGM655412:PGS655412 PQI655412:PQO655412 QAE655412:QAK655412 QKA655412:QKG655412 QTW655412:QUC655412 RDS655412:RDY655412 RNO655412:RNU655412 RXK655412:RXQ655412 SHG655412:SHM655412 SRC655412:SRI655412 TAY655412:TBE655412 TKU655412:TLA655412 TUQ655412:TUW655412 UEM655412:UES655412 UOI655412:UOO655412 UYE655412:UYK655412 VIA655412:VIG655412 VRW655412:VSC655412 WBS655412:WBY655412 WLO655412:WLU655412 WVK655412:WVQ655412 IY720948:JE720948 SU720948:TA720948 ACQ720948:ACW720948 AMM720948:AMS720948 AWI720948:AWO720948 BGE720948:BGK720948 BQA720948:BQG720948 BZW720948:CAC720948 CJS720948:CJY720948 CTO720948:CTU720948 DDK720948:DDQ720948 DNG720948:DNM720948 DXC720948:DXI720948 EGY720948:EHE720948 EQU720948:ERA720948 FAQ720948:FAW720948 FKM720948:FKS720948 FUI720948:FUO720948 GEE720948:GEK720948 GOA720948:GOG720948 GXW720948:GYC720948 HHS720948:HHY720948 HRO720948:HRU720948 IBK720948:IBQ720948 ILG720948:ILM720948 IVC720948:IVI720948 JEY720948:JFE720948 JOU720948:JPA720948 JYQ720948:JYW720948 KIM720948:KIS720948 KSI720948:KSO720948 LCE720948:LCK720948 LMA720948:LMG720948 LVW720948:LWC720948 MFS720948:MFY720948 MPO720948:MPU720948 MZK720948:MZQ720948 NJG720948:NJM720948 NTC720948:NTI720948 OCY720948:ODE720948 OMU720948:ONA720948 OWQ720948:OWW720948 PGM720948:PGS720948 PQI720948:PQO720948 QAE720948:QAK720948 QKA720948:QKG720948 QTW720948:QUC720948 RDS720948:RDY720948 RNO720948:RNU720948 RXK720948:RXQ720948 SHG720948:SHM720948 SRC720948:SRI720948 TAY720948:TBE720948 TKU720948:TLA720948 TUQ720948:TUW720948 UEM720948:UES720948 UOI720948:UOO720948 UYE720948:UYK720948 VIA720948:VIG720948 VRW720948:VSC720948 WBS720948:WBY720948 WLO720948:WLU720948 WVK720948:WVQ720948 IY786484:JE786484 SU786484:TA786484 ACQ786484:ACW786484 AMM786484:AMS786484 AWI786484:AWO786484 BGE786484:BGK786484 BQA786484:BQG786484 BZW786484:CAC786484 CJS786484:CJY786484 CTO786484:CTU786484 DDK786484:DDQ786484 DNG786484:DNM786484 DXC786484:DXI786484 EGY786484:EHE786484 EQU786484:ERA786484 FAQ786484:FAW786484 FKM786484:FKS786484 FUI786484:FUO786484 GEE786484:GEK786484 GOA786484:GOG786484 GXW786484:GYC786484 HHS786484:HHY786484 HRO786484:HRU786484 IBK786484:IBQ786484 ILG786484:ILM786484 IVC786484:IVI786484 JEY786484:JFE786484 JOU786484:JPA786484 JYQ786484:JYW786484 KIM786484:KIS786484 KSI786484:KSO786484 LCE786484:LCK786484 LMA786484:LMG786484 LVW786484:LWC786484 MFS786484:MFY786484 MPO786484:MPU786484 MZK786484:MZQ786484 NJG786484:NJM786484 NTC786484:NTI786484 OCY786484:ODE786484 OMU786484:ONA786484 OWQ786484:OWW786484 PGM786484:PGS786484 PQI786484:PQO786484 QAE786484:QAK786484 QKA786484:QKG786484 QTW786484:QUC786484 RDS786484:RDY786484 RNO786484:RNU786484 RXK786484:RXQ786484 SHG786484:SHM786484 SRC786484:SRI786484 TAY786484:TBE786484 TKU786484:TLA786484 TUQ786484:TUW786484 UEM786484:UES786484 UOI786484:UOO786484 UYE786484:UYK786484 VIA786484:VIG786484 VRW786484:VSC786484 WBS786484:WBY786484 WLO786484:WLU786484 WVK786484:WVQ786484 IY852020:JE852020 SU852020:TA852020 ACQ852020:ACW852020 AMM852020:AMS852020 AWI852020:AWO852020 BGE852020:BGK852020 BQA852020:BQG852020 BZW852020:CAC852020 CJS852020:CJY852020 CTO852020:CTU852020 DDK852020:DDQ852020 DNG852020:DNM852020 DXC852020:DXI852020 EGY852020:EHE852020 EQU852020:ERA852020 FAQ852020:FAW852020 FKM852020:FKS852020 FUI852020:FUO852020 GEE852020:GEK852020 GOA852020:GOG852020 GXW852020:GYC852020 HHS852020:HHY852020 HRO852020:HRU852020 IBK852020:IBQ852020 ILG852020:ILM852020 IVC852020:IVI852020 JEY852020:JFE852020 JOU852020:JPA852020 JYQ852020:JYW852020 KIM852020:KIS852020 KSI852020:KSO852020 LCE852020:LCK852020 LMA852020:LMG852020 LVW852020:LWC852020 MFS852020:MFY852020 MPO852020:MPU852020 MZK852020:MZQ852020 NJG852020:NJM852020 NTC852020:NTI852020 OCY852020:ODE852020 OMU852020:ONA852020 OWQ852020:OWW852020 PGM852020:PGS852020 PQI852020:PQO852020 QAE852020:QAK852020 QKA852020:QKG852020 QTW852020:QUC852020 RDS852020:RDY852020 RNO852020:RNU852020 RXK852020:RXQ852020 SHG852020:SHM852020 SRC852020:SRI852020 TAY852020:TBE852020 TKU852020:TLA852020 TUQ852020:TUW852020 UEM852020:UES852020 UOI852020:UOO852020 UYE852020:UYK852020 VIA852020:VIG852020 VRW852020:VSC852020 WBS852020:WBY852020 WLO852020:WLU852020 WVK852020:WVQ852020 IY917556:JE917556 SU917556:TA917556 ACQ917556:ACW917556 AMM917556:AMS917556 AWI917556:AWO917556 BGE917556:BGK917556 BQA917556:BQG917556 BZW917556:CAC917556 CJS917556:CJY917556 CTO917556:CTU917556 DDK917556:DDQ917556 DNG917556:DNM917556 DXC917556:DXI917556 EGY917556:EHE917556 EQU917556:ERA917556 FAQ917556:FAW917556 FKM917556:FKS917556 FUI917556:FUO917556 GEE917556:GEK917556 GOA917556:GOG917556 GXW917556:GYC917556 HHS917556:HHY917556 HRO917556:HRU917556 IBK917556:IBQ917556 ILG917556:ILM917556 IVC917556:IVI917556 JEY917556:JFE917556 JOU917556:JPA917556 JYQ917556:JYW917556 KIM917556:KIS917556 KSI917556:KSO917556 LCE917556:LCK917556 LMA917556:LMG917556 LVW917556:LWC917556 MFS917556:MFY917556 MPO917556:MPU917556 MZK917556:MZQ917556 NJG917556:NJM917556 NTC917556:NTI917556 OCY917556:ODE917556 OMU917556:ONA917556 OWQ917556:OWW917556 PGM917556:PGS917556 PQI917556:PQO917556 QAE917556:QAK917556 QKA917556:QKG917556 QTW917556:QUC917556 RDS917556:RDY917556 RNO917556:RNU917556 RXK917556:RXQ917556 SHG917556:SHM917556 SRC917556:SRI917556 TAY917556:TBE917556 TKU917556:TLA917556 TUQ917556:TUW917556 UEM917556:UES917556 UOI917556:UOO917556 UYE917556:UYK917556 VIA917556:VIG917556 VRW917556:VSC917556 WBS917556:WBY917556 WLO917556:WLU917556 WVK917556:WVQ917556 IY983092:JE983092 SU983092:TA983092 ACQ983092:ACW983092 AMM983092:AMS983092 AWI983092:AWO983092 BGE983092:BGK983092 BQA983092:BQG983092 BZW983092:CAC983092 CJS983092:CJY983092 CTO983092:CTU983092 DDK983092:DDQ983092 DNG983092:DNM983092 DXC983092:DXI983092 EGY983092:EHE983092 EQU983092:ERA983092 FAQ983092:FAW983092 FKM983092:FKS983092 FUI983092:FUO983092 GEE983092:GEK983092 GOA983092:GOG983092 GXW983092:GYC983092 HHS983092:HHY983092 HRO983092:HRU983092 IBK983092:IBQ983092 ILG983092:ILM983092 IVC983092:IVI983092 JEY983092:JFE983092 JOU983092:JPA983092 JYQ983092:JYW983092 KIM983092:KIS983092 KSI983092:KSO983092 LCE983092:LCK983092 LMA983092:LMG983092 LVW983092:LWC983092 MFS983092:MFY983092 MPO983092:MPU983092 MZK983092:MZQ983092 NJG983092:NJM983092 NTC983092:NTI983092 OCY983092:ODE983092 OMU983092:ONA983092 OWQ983092:OWW983092 PGM983092:PGS983092 PQI983092:PQO983092 QAE983092:QAK983092 QKA983092:QKG983092 QTW983092:QUC983092 RDS983092:RDY983092 RNO983092:RNU983092 RXK983092:RXQ983092 SHG983092:SHM983092 SRC983092:SRI983092 TAY983092:TBE983092 TKU983092:TLA983092 TUQ983092:TUW983092 UEM983092:UES983092 UOI983092:UOO983092 UYE983092:UYK983092 VIA983092:VIG983092 VRW983092:VSC983092 WBS983092:WBY983092 WLO983092:WLU983092 WVK983092:WVQ983092 D983092:J983092 D917556:J917556 D852020:J852020 D786484:J786484 D720948:J720948 D655412:J655412 D589876:J589876 D524340:J524340 D458804:J458804 D393268:J393268 D327732:J327732 D262196:J262196 D196660:J196660 D131124:J131124 D65588:J65588"/>
    <dataValidation type="list" allowBlank="1" showInputMessage="1" showErrorMessage="1" promptTitle="Nasabah / Debitur Bank" prompt="Dipilih apakah Pemohon merupakan nasabah / debitur Bank, baik Bank Jabar Banten maupun Bank lain. Apabila pilihan &quot;Ya&quot; masukan berapa lama ybs menjadi nasabah / debitur Bank" sqref="WVK983090 D65586 IY65586 SU65586 ACQ65586 AMM65586 AWI65586 BGE65586 BQA65586 BZW65586 CJS65586 CTO65586 DDK65586 DNG65586 DXC65586 EGY65586 EQU65586 FAQ65586 FKM65586 FUI65586 GEE65586 GOA65586 GXW65586 HHS65586 HRO65586 IBK65586 ILG65586 IVC65586 JEY65586 JOU65586 JYQ65586 KIM65586 KSI65586 LCE65586 LMA65586 LVW65586 MFS65586 MPO65586 MZK65586 NJG65586 NTC65586 OCY65586 OMU65586 OWQ65586 PGM65586 PQI65586 QAE65586 QKA65586 QTW65586 RDS65586 RNO65586 RXK65586 SHG65586 SRC65586 TAY65586 TKU65586 TUQ65586 UEM65586 UOI65586 UYE65586 VIA65586 VRW65586 WBS65586 WLO65586 WVK65586 D131122 IY131122 SU131122 ACQ131122 AMM131122 AWI131122 BGE131122 BQA131122 BZW131122 CJS131122 CTO131122 DDK131122 DNG131122 DXC131122 EGY131122 EQU131122 FAQ131122 FKM131122 FUI131122 GEE131122 GOA131122 GXW131122 HHS131122 HRO131122 IBK131122 ILG131122 IVC131122 JEY131122 JOU131122 JYQ131122 KIM131122 KSI131122 LCE131122 LMA131122 LVW131122 MFS131122 MPO131122 MZK131122 NJG131122 NTC131122 OCY131122 OMU131122 OWQ131122 PGM131122 PQI131122 QAE131122 QKA131122 QTW131122 RDS131122 RNO131122 RXK131122 SHG131122 SRC131122 TAY131122 TKU131122 TUQ131122 UEM131122 UOI131122 UYE131122 VIA131122 VRW131122 WBS131122 WLO131122 WVK131122 D196658 IY196658 SU196658 ACQ196658 AMM196658 AWI196658 BGE196658 BQA196658 BZW196658 CJS196658 CTO196658 DDK196658 DNG196658 DXC196658 EGY196658 EQU196658 FAQ196658 FKM196658 FUI196658 GEE196658 GOA196658 GXW196658 HHS196658 HRO196658 IBK196658 ILG196658 IVC196658 JEY196658 JOU196658 JYQ196658 KIM196658 KSI196658 LCE196658 LMA196658 LVW196658 MFS196658 MPO196658 MZK196658 NJG196658 NTC196658 OCY196658 OMU196658 OWQ196658 PGM196658 PQI196658 QAE196658 QKA196658 QTW196658 RDS196658 RNO196658 RXK196658 SHG196658 SRC196658 TAY196658 TKU196658 TUQ196658 UEM196658 UOI196658 UYE196658 VIA196658 VRW196658 WBS196658 WLO196658 WVK196658 D262194 IY262194 SU262194 ACQ262194 AMM262194 AWI262194 BGE262194 BQA262194 BZW262194 CJS262194 CTO262194 DDK262194 DNG262194 DXC262194 EGY262194 EQU262194 FAQ262194 FKM262194 FUI262194 GEE262194 GOA262194 GXW262194 HHS262194 HRO262194 IBK262194 ILG262194 IVC262194 JEY262194 JOU262194 JYQ262194 KIM262194 KSI262194 LCE262194 LMA262194 LVW262194 MFS262194 MPO262194 MZK262194 NJG262194 NTC262194 OCY262194 OMU262194 OWQ262194 PGM262194 PQI262194 QAE262194 QKA262194 QTW262194 RDS262194 RNO262194 RXK262194 SHG262194 SRC262194 TAY262194 TKU262194 TUQ262194 UEM262194 UOI262194 UYE262194 VIA262194 VRW262194 WBS262194 WLO262194 WVK262194 D327730 IY327730 SU327730 ACQ327730 AMM327730 AWI327730 BGE327730 BQA327730 BZW327730 CJS327730 CTO327730 DDK327730 DNG327730 DXC327730 EGY327730 EQU327730 FAQ327730 FKM327730 FUI327730 GEE327730 GOA327730 GXW327730 HHS327730 HRO327730 IBK327730 ILG327730 IVC327730 JEY327730 JOU327730 JYQ327730 KIM327730 KSI327730 LCE327730 LMA327730 LVW327730 MFS327730 MPO327730 MZK327730 NJG327730 NTC327730 OCY327730 OMU327730 OWQ327730 PGM327730 PQI327730 QAE327730 QKA327730 QTW327730 RDS327730 RNO327730 RXK327730 SHG327730 SRC327730 TAY327730 TKU327730 TUQ327730 UEM327730 UOI327730 UYE327730 VIA327730 VRW327730 WBS327730 WLO327730 WVK327730 D393266 IY393266 SU393266 ACQ393266 AMM393266 AWI393266 BGE393266 BQA393266 BZW393266 CJS393266 CTO393266 DDK393266 DNG393266 DXC393266 EGY393266 EQU393266 FAQ393266 FKM393266 FUI393266 GEE393266 GOA393266 GXW393266 HHS393266 HRO393266 IBK393266 ILG393266 IVC393266 JEY393266 JOU393266 JYQ393266 KIM393266 KSI393266 LCE393266 LMA393266 LVW393266 MFS393266 MPO393266 MZK393266 NJG393266 NTC393266 OCY393266 OMU393266 OWQ393266 PGM393266 PQI393266 QAE393266 QKA393266 QTW393266 RDS393266 RNO393266 RXK393266 SHG393266 SRC393266 TAY393266 TKU393266 TUQ393266 UEM393266 UOI393266 UYE393266 VIA393266 VRW393266 WBS393266 WLO393266 WVK393266 D458802 IY458802 SU458802 ACQ458802 AMM458802 AWI458802 BGE458802 BQA458802 BZW458802 CJS458802 CTO458802 DDK458802 DNG458802 DXC458802 EGY458802 EQU458802 FAQ458802 FKM458802 FUI458802 GEE458802 GOA458802 GXW458802 HHS458802 HRO458802 IBK458802 ILG458802 IVC458802 JEY458802 JOU458802 JYQ458802 KIM458802 KSI458802 LCE458802 LMA458802 LVW458802 MFS458802 MPO458802 MZK458802 NJG458802 NTC458802 OCY458802 OMU458802 OWQ458802 PGM458802 PQI458802 QAE458802 QKA458802 QTW458802 RDS458802 RNO458802 RXK458802 SHG458802 SRC458802 TAY458802 TKU458802 TUQ458802 UEM458802 UOI458802 UYE458802 VIA458802 VRW458802 WBS458802 WLO458802 WVK458802 D524338 IY524338 SU524338 ACQ524338 AMM524338 AWI524338 BGE524338 BQA524338 BZW524338 CJS524338 CTO524338 DDK524338 DNG524338 DXC524338 EGY524338 EQU524338 FAQ524338 FKM524338 FUI524338 GEE524338 GOA524338 GXW524338 HHS524338 HRO524338 IBK524338 ILG524338 IVC524338 JEY524338 JOU524338 JYQ524338 KIM524338 KSI524338 LCE524338 LMA524338 LVW524338 MFS524338 MPO524338 MZK524338 NJG524338 NTC524338 OCY524338 OMU524338 OWQ524338 PGM524338 PQI524338 QAE524338 QKA524338 QTW524338 RDS524338 RNO524338 RXK524338 SHG524338 SRC524338 TAY524338 TKU524338 TUQ524338 UEM524338 UOI524338 UYE524338 VIA524338 VRW524338 WBS524338 WLO524338 WVK524338 D589874 IY589874 SU589874 ACQ589874 AMM589874 AWI589874 BGE589874 BQA589874 BZW589874 CJS589874 CTO589874 DDK589874 DNG589874 DXC589874 EGY589874 EQU589874 FAQ589874 FKM589874 FUI589874 GEE589874 GOA589874 GXW589874 HHS589874 HRO589874 IBK589874 ILG589874 IVC589874 JEY589874 JOU589874 JYQ589874 KIM589874 KSI589874 LCE589874 LMA589874 LVW589874 MFS589874 MPO589874 MZK589874 NJG589874 NTC589874 OCY589874 OMU589874 OWQ589874 PGM589874 PQI589874 QAE589874 QKA589874 QTW589874 RDS589874 RNO589874 RXK589874 SHG589874 SRC589874 TAY589874 TKU589874 TUQ589874 UEM589874 UOI589874 UYE589874 VIA589874 VRW589874 WBS589874 WLO589874 WVK589874 D655410 IY655410 SU655410 ACQ655410 AMM655410 AWI655410 BGE655410 BQA655410 BZW655410 CJS655410 CTO655410 DDK655410 DNG655410 DXC655410 EGY655410 EQU655410 FAQ655410 FKM655410 FUI655410 GEE655410 GOA655410 GXW655410 HHS655410 HRO655410 IBK655410 ILG655410 IVC655410 JEY655410 JOU655410 JYQ655410 KIM655410 KSI655410 LCE655410 LMA655410 LVW655410 MFS655410 MPO655410 MZK655410 NJG655410 NTC655410 OCY655410 OMU655410 OWQ655410 PGM655410 PQI655410 QAE655410 QKA655410 QTW655410 RDS655410 RNO655410 RXK655410 SHG655410 SRC655410 TAY655410 TKU655410 TUQ655410 UEM655410 UOI655410 UYE655410 VIA655410 VRW655410 WBS655410 WLO655410 WVK655410 D720946 IY720946 SU720946 ACQ720946 AMM720946 AWI720946 BGE720946 BQA720946 BZW720946 CJS720946 CTO720946 DDK720946 DNG720946 DXC720946 EGY720946 EQU720946 FAQ720946 FKM720946 FUI720946 GEE720946 GOA720946 GXW720946 HHS720946 HRO720946 IBK720946 ILG720946 IVC720946 JEY720946 JOU720946 JYQ720946 KIM720946 KSI720946 LCE720946 LMA720946 LVW720946 MFS720946 MPO720946 MZK720946 NJG720946 NTC720946 OCY720946 OMU720946 OWQ720946 PGM720946 PQI720946 QAE720946 QKA720946 QTW720946 RDS720946 RNO720946 RXK720946 SHG720946 SRC720946 TAY720946 TKU720946 TUQ720946 UEM720946 UOI720946 UYE720946 VIA720946 VRW720946 WBS720946 WLO720946 WVK720946 D786482 IY786482 SU786482 ACQ786482 AMM786482 AWI786482 BGE786482 BQA786482 BZW786482 CJS786482 CTO786482 DDK786482 DNG786482 DXC786482 EGY786482 EQU786482 FAQ786482 FKM786482 FUI786482 GEE786482 GOA786482 GXW786482 HHS786482 HRO786482 IBK786482 ILG786482 IVC786482 JEY786482 JOU786482 JYQ786482 KIM786482 KSI786482 LCE786482 LMA786482 LVW786482 MFS786482 MPO786482 MZK786482 NJG786482 NTC786482 OCY786482 OMU786482 OWQ786482 PGM786482 PQI786482 QAE786482 QKA786482 QTW786482 RDS786482 RNO786482 RXK786482 SHG786482 SRC786482 TAY786482 TKU786482 TUQ786482 UEM786482 UOI786482 UYE786482 VIA786482 VRW786482 WBS786482 WLO786482 WVK786482 D852018 IY852018 SU852018 ACQ852018 AMM852018 AWI852018 BGE852018 BQA852018 BZW852018 CJS852018 CTO852018 DDK852018 DNG852018 DXC852018 EGY852018 EQU852018 FAQ852018 FKM852018 FUI852018 GEE852018 GOA852018 GXW852018 HHS852018 HRO852018 IBK852018 ILG852018 IVC852018 JEY852018 JOU852018 JYQ852018 KIM852018 KSI852018 LCE852018 LMA852018 LVW852018 MFS852018 MPO852018 MZK852018 NJG852018 NTC852018 OCY852018 OMU852018 OWQ852018 PGM852018 PQI852018 QAE852018 QKA852018 QTW852018 RDS852018 RNO852018 RXK852018 SHG852018 SRC852018 TAY852018 TKU852018 TUQ852018 UEM852018 UOI852018 UYE852018 VIA852018 VRW852018 WBS852018 WLO852018 WVK852018 D917554 IY917554 SU917554 ACQ917554 AMM917554 AWI917554 BGE917554 BQA917554 BZW917554 CJS917554 CTO917554 DDK917554 DNG917554 DXC917554 EGY917554 EQU917554 FAQ917554 FKM917554 FUI917554 GEE917554 GOA917554 GXW917554 HHS917554 HRO917554 IBK917554 ILG917554 IVC917554 JEY917554 JOU917554 JYQ917554 KIM917554 KSI917554 LCE917554 LMA917554 LVW917554 MFS917554 MPO917554 MZK917554 NJG917554 NTC917554 OCY917554 OMU917554 OWQ917554 PGM917554 PQI917554 QAE917554 QKA917554 QTW917554 RDS917554 RNO917554 RXK917554 SHG917554 SRC917554 TAY917554 TKU917554 TUQ917554 UEM917554 UOI917554 UYE917554 VIA917554 VRW917554 WBS917554 WLO917554 WVK917554 D983090 IY983090 SU983090 ACQ983090 AMM983090 AWI983090 BGE983090 BQA983090 BZW983090 CJS983090 CTO983090 DDK983090 DNG983090 DXC983090 EGY983090 EQU983090 FAQ983090 FKM983090 FUI983090 GEE983090 GOA983090 GXW983090 HHS983090 HRO983090 IBK983090 ILG983090 IVC983090 JEY983090 JOU983090 JYQ983090 KIM983090 KSI983090 LCE983090 LMA983090 LVW983090 MFS983090 MPO983090 MZK983090 NJG983090 NTC983090 OCY983090 OMU983090 OWQ983090 PGM983090 PQI983090 QAE983090 QKA983090 QTW983090 RDS983090 RNO983090 RXK983090 SHG983090 SRC983090 TAY983090 TKU983090 TUQ983090 UEM983090 UOI983090 UYE983090 VIA983090 VRW983090 WBS983090 WLO983090">
      <formula1>#REF!</formula1>
    </dataValidation>
    <dataValidation type="list" allowBlank="1" showInputMessage="1" showErrorMessage="1" promptTitle="Pengelolaan Keuangan" prompt="Dipilih pengelolaan Keuangan yang dilakukan oleh Pemohon berdasarkan hasil verifikasi di lapangan." sqref="WVK983085:WVQ983086 IY51:JE52 D131117:J131118 D196653:J196654 D262189:J262190 D327725:J327726 D393261:J393262 D458797:J458798 D524333:J524334 D589869:J589870 D655405:J655406 D720941:J720942 D786477:J786478 D852013:J852014 D917549:J917550 D983085:J983086 D65581:J65582 SU51:TA52 WLO983085:WLU983086 WBS983085:WBY983086 VRW983085:VSC983086 VIA983085:VIG983086 UYE983085:UYK983086 UOI983085:UOO983086 UEM983085:UES983086 TUQ983085:TUW983086 TKU983085:TLA983086 TAY983085:TBE983086 SRC983085:SRI983086 SHG983085:SHM983086 RXK983085:RXQ983086 RNO983085:RNU983086 RDS983085:RDY983086 QTW983085:QUC983086 QKA983085:QKG983086 QAE983085:QAK983086 PQI983085:PQO983086 PGM983085:PGS983086 OWQ983085:OWW983086 OMU983085:ONA983086 OCY983085:ODE983086 NTC983085:NTI983086 NJG983085:NJM983086 MZK983085:MZQ983086 MPO983085:MPU983086 MFS983085:MFY983086 LVW983085:LWC983086 LMA983085:LMG983086 LCE983085:LCK983086 KSI983085:KSO983086 KIM983085:KIS983086 JYQ983085:JYW983086 JOU983085:JPA983086 JEY983085:JFE983086 IVC983085:IVI983086 ILG983085:ILM983086 IBK983085:IBQ983086 HRO983085:HRU983086 HHS983085:HHY983086 GXW983085:GYC983086 GOA983085:GOG983086 GEE983085:GEK983086 FUI983085:FUO983086 FKM983085:FKS983086 FAQ983085:FAW983086 EQU983085:ERA983086 EGY983085:EHE983086 DXC983085:DXI983086 DNG983085:DNM983086 DDK983085:DDQ983086 CTO983085:CTU983086 CJS983085:CJY983086 BZW983085:CAC983086 BQA983085:BQG983086 BGE983085:BGK983086 AWI983085:AWO983086 AMM983085:AMS983086 ACQ983085:ACW983086 SU983085:TA983086 IY983085:JE983086 WVK917549:WVQ917550 WLO917549:WLU917550 WBS917549:WBY917550 VRW917549:VSC917550 VIA917549:VIG917550 UYE917549:UYK917550 UOI917549:UOO917550 UEM917549:UES917550 TUQ917549:TUW917550 TKU917549:TLA917550 TAY917549:TBE917550 SRC917549:SRI917550 SHG917549:SHM917550 RXK917549:RXQ917550 RNO917549:RNU917550 RDS917549:RDY917550 QTW917549:QUC917550 QKA917549:QKG917550 QAE917549:QAK917550 PQI917549:PQO917550 PGM917549:PGS917550 OWQ917549:OWW917550 OMU917549:ONA917550 OCY917549:ODE917550 NTC917549:NTI917550 NJG917549:NJM917550 MZK917549:MZQ917550 MPO917549:MPU917550 MFS917549:MFY917550 LVW917549:LWC917550 LMA917549:LMG917550 LCE917549:LCK917550 KSI917549:KSO917550 KIM917549:KIS917550 JYQ917549:JYW917550 JOU917549:JPA917550 JEY917549:JFE917550 IVC917549:IVI917550 ILG917549:ILM917550 IBK917549:IBQ917550 HRO917549:HRU917550 HHS917549:HHY917550 GXW917549:GYC917550 GOA917549:GOG917550 GEE917549:GEK917550 FUI917549:FUO917550 FKM917549:FKS917550 FAQ917549:FAW917550 EQU917549:ERA917550 EGY917549:EHE917550 DXC917549:DXI917550 DNG917549:DNM917550 DDK917549:DDQ917550 CTO917549:CTU917550 CJS917549:CJY917550 BZW917549:CAC917550 BQA917549:BQG917550 BGE917549:BGK917550 AWI917549:AWO917550 AMM917549:AMS917550 ACQ917549:ACW917550 SU917549:TA917550 IY917549:JE917550 WVK852013:WVQ852014 WLO852013:WLU852014 WBS852013:WBY852014 VRW852013:VSC852014 VIA852013:VIG852014 UYE852013:UYK852014 UOI852013:UOO852014 UEM852013:UES852014 TUQ852013:TUW852014 TKU852013:TLA852014 TAY852013:TBE852014 SRC852013:SRI852014 SHG852013:SHM852014 RXK852013:RXQ852014 RNO852013:RNU852014 RDS852013:RDY852014 QTW852013:QUC852014 QKA852013:QKG852014 QAE852013:QAK852014 PQI852013:PQO852014 PGM852013:PGS852014 OWQ852013:OWW852014 OMU852013:ONA852014 OCY852013:ODE852014 NTC852013:NTI852014 NJG852013:NJM852014 MZK852013:MZQ852014 MPO852013:MPU852014 MFS852013:MFY852014 LVW852013:LWC852014 LMA852013:LMG852014 LCE852013:LCK852014 KSI852013:KSO852014 KIM852013:KIS852014 JYQ852013:JYW852014 JOU852013:JPA852014 JEY852013:JFE852014 IVC852013:IVI852014 ILG852013:ILM852014 IBK852013:IBQ852014 HRO852013:HRU852014 HHS852013:HHY852014 GXW852013:GYC852014 GOA852013:GOG852014 GEE852013:GEK852014 FUI852013:FUO852014 FKM852013:FKS852014 FAQ852013:FAW852014 EQU852013:ERA852014 EGY852013:EHE852014 DXC852013:DXI852014 DNG852013:DNM852014 DDK852013:DDQ852014 CTO852013:CTU852014 CJS852013:CJY852014 BZW852013:CAC852014 BQA852013:BQG852014 BGE852013:BGK852014 AWI852013:AWO852014 AMM852013:AMS852014 ACQ852013:ACW852014 SU852013:TA852014 IY852013:JE852014 WVK786477:WVQ786478 WLO786477:WLU786478 WBS786477:WBY786478 VRW786477:VSC786478 VIA786477:VIG786478 UYE786477:UYK786478 UOI786477:UOO786478 UEM786477:UES786478 TUQ786477:TUW786478 TKU786477:TLA786478 TAY786477:TBE786478 SRC786477:SRI786478 SHG786477:SHM786478 RXK786477:RXQ786478 RNO786477:RNU786478 RDS786477:RDY786478 QTW786477:QUC786478 QKA786477:QKG786478 QAE786477:QAK786478 PQI786477:PQO786478 PGM786477:PGS786478 OWQ786477:OWW786478 OMU786477:ONA786478 OCY786477:ODE786478 NTC786477:NTI786478 NJG786477:NJM786478 MZK786477:MZQ786478 MPO786477:MPU786478 MFS786477:MFY786478 LVW786477:LWC786478 LMA786477:LMG786478 LCE786477:LCK786478 KSI786477:KSO786478 KIM786477:KIS786478 JYQ786477:JYW786478 JOU786477:JPA786478 JEY786477:JFE786478 IVC786477:IVI786478 ILG786477:ILM786478 IBK786477:IBQ786478 HRO786477:HRU786478 HHS786477:HHY786478 GXW786477:GYC786478 GOA786477:GOG786478 GEE786477:GEK786478 FUI786477:FUO786478 FKM786477:FKS786478 FAQ786477:FAW786478 EQU786477:ERA786478 EGY786477:EHE786478 DXC786477:DXI786478 DNG786477:DNM786478 DDK786477:DDQ786478 CTO786477:CTU786478 CJS786477:CJY786478 BZW786477:CAC786478 BQA786477:BQG786478 BGE786477:BGK786478 AWI786477:AWO786478 AMM786477:AMS786478 ACQ786477:ACW786478 SU786477:TA786478 IY786477:JE786478 WVK720941:WVQ720942 WLO720941:WLU720942 WBS720941:WBY720942 VRW720941:VSC720942 VIA720941:VIG720942 UYE720941:UYK720942 UOI720941:UOO720942 UEM720941:UES720942 TUQ720941:TUW720942 TKU720941:TLA720942 TAY720941:TBE720942 SRC720941:SRI720942 SHG720941:SHM720942 RXK720941:RXQ720942 RNO720941:RNU720942 RDS720941:RDY720942 QTW720941:QUC720942 QKA720941:QKG720942 QAE720941:QAK720942 PQI720941:PQO720942 PGM720941:PGS720942 OWQ720941:OWW720942 OMU720941:ONA720942 OCY720941:ODE720942 NTC720941:NTI720942 NJG720941:NJM720942 MZK720941:MZQ720942 MPO720941:MPU720942 MFS720941:MFY720942 LVW720941:LWC720942 LMA720941:LMG720942 LCE720941:LCK720942 KSI720941:KSO720942 KIM720941:KIS720942 JYQ720941:JYW720942 JOU720941:JPA720942 JEY720941:JFE720942 IVC720941:IVI720942 ILG720941:ILM720942 IBK720941:IBQ720942 HRO720941:HRU720942 HHS720941:HHY720942 GXW720941:GYC720942 GOA720941:GOG720942 GEE720941:GEK720942 FUI720941:FUO720942 FKM720941:FKS720942 FAQ720941:FAW720942 EQU720941:ERA720942 EGY720941:EHE720942 DXC720941:DXI720942 DNG720941:DNM720942 DDK720941:DDQ720942 CTO720941:CTU720942 CJS720941:CJY720942 BZW720941:CAC720942 BQA720941:BQG720942 BGE720941:BGK720942 AWI720941:AWO720942 AMM720941:AMS720942 ACQ720941:ACW720942 SU720941:TA720942 IY720941:JE720942 WVK655405:WVQ655406 WLO655405:WLU655406 WBS655405:WBY655406 VRW655405:VSC655406 VIA655405:VIG655406 UYE655405:UYK655406 UOI655405:UOO655406 UEM655405:UES655406 TUQ655405:TUW655406 TKU655405:TLA655406 TAY655405:TBE655406 SRC655405:SRI655406 SHG655405:SHM655406 RXK655405:RXQ655406 RNO655405:RNU655406 RDS655405:RDY655406 QTW655405:QUC655406 QKA655405:QKG655406 QAE655405:QAK655406 PQI655405:PQO655406 PGM655405:PGS655406 OWQ655405:OWW655406 OMU655405:ONA655406 OCY655405:ODE655406 NTC655405:NTI655406 NJG655405:NJM655406 MZK655405:MZQ655406 MPO655405:MPU655406 MFS655405:MFY655406 LVW655405:LWC655406 LMA655405:LMG655406 LCE655405:LCK655406 KSI655405:KSO655406 KIM655405:KIS655406 JYQ655405:JYW655406 JOU655405:JPA655406 JEY655405:JFE655406 IVC655405:IVI655406 ILG655405:ILM655406 IBK655405:IBQ655406 HRO655405:HRU655406 HHS655405:HHY655406 GXW655405:GYC655406 GOA655405:GOG655406 GEE655405:GEK655406 FUI655405:FUO655406 FKM655405:FKS655406 FAQ655405:FAW655406 EQU655405:ERA655406 EGY655405:EHE655406 DXC655405:DXI655406 DNG655405:DNM655406 DDK655405:DDQ655406 CTO655405:CTU655406 CJS655405:CJY655406 BZW655405:CAC655406 BQA655405:BQG655406 BGE655405:BGK655406 AWI655405:AWO655406 AMM655405:AMS655406 ACQ655405:ACW655406 SU655405:TA655406 IY655405:JE655406 WVK589869:WVQ589870 WLO589869:WLU589870 WBS589869:WBY589870 VRW589869:VSC589870 VIA589869:VIG589870 UYE589869:UYK589870 UOI589869:UOO589870 UEM589869:UES589870 TUQ589869:TUW589870 TKU589869:TLA589870 TAY589869:TBE589870 SRC589869:SRI589870 SHG589869:SHM589870 RXK589869:RXQ589870 RNO589869:RNU589870 RDS589869:RDY589870 QTW589869:QUC589870 QKA589869:QKG589870 QAE589869:QAK589870 PQI589869:PQO589870 PGM589869:PGS589870 OWQ589869:OWW589870 OMU589869:ONA589870 OCY589869:ODE589870 NTC589869:NTI589870 NJG589869:NJM589870 MZK589869:MZQ589870 MPO589869:MPU589870 MFS589869:MFY589870 LVW589869:LWC589870 LMA589869:LMG589870 LCE589869:LCK589870 KSI589869:KSO589870 KIM589869:KIS589870 JYQ589869:JYW589870 JOU589869:JPA589870 JEY589869:JFE589870 IVC589869:IVI589870 ILG589869:ILM589870 IBK589869:IBQ589870 HRO589869:HRU589870 HHS589869:HHY589870 GXW589869:GYC589870 GOA589869:GOG589870 GEE589869:GEK589870 FUI589869:FUO589870 FKM589869:FKS589870 FAQ589869:FAW589870 EQU589869:ERA589870 EGY589869:EHE589870 DXC589869:DXI589870 DNG589869:DNM589870 DDK589869:DDQ589870 CTO589869:CTU589870 CJS589869:CJY589870 BZW589869:CAC589870 BQA589869:BQG589870 BGE589869:BGK589870 AWI589869:AWO589870 AMM589869:AMS589870 ACQ589869:ACW589870 SU589869:TA589870 IY589869:JE589870 WVK524333:WVQ524334 WLO524333:WLU524334 WBS524333:WBY524334 VRW524333:VSC524334 VIA524333:VIG524334 UYE524333:UYK524334 UOI524333:UOO524334 UEM524333:UES524334 TUQ524333:TUW524334 TKU524333:TLA524334 TAY524333:TBE524334 SRC524333:SRI524334 SHG524333:SHM524334 RXK524333:RXQ524334 RNO524333:RNU524334 RDS524333:RDY524334 QTW524333:QUC524334 QKA524333:QKG524334 QAE524333:QAK524334 PQI524333:PQO524334 PGM524333:PGS524334 OWQ524333:OWW524334 OMU524333:ONA524334 OCY524333:ODE524334 NTC524333:NTI524334 NJG524333:NJM524334 MZK524333:MZQ524334 MPO524333:MPU524334 MFS524333:MFY524334 LVW524333:LWC524334 LMA524333:LMG524334 LCE524333:LCK524334 KSI524333:KSO524334 KIM524333:KIS524334 JYQ524333:JYW524334 JOU524333:JPA524334 JEY524333:JFE524334 IVC524333:IVI524334 ILG524333:ILM524334 IBK524333:IBQ524334 HRO524333:HRU524334 HHS524333:HHY524334 GXW524333:GYC524334 GOA524333:GOG524334 GEE524333:GEK524334 FUI524333:FUO524334 FKM524333:FKS524334 FAQ524333:FAW524334 EQU524333:ERA524334 EGY524333:EHE524334 DXC524333:DXI524334 DNG524333:DNM524334 DDK524333:DDQ524334 CTO524333:CTU524334 CJS524333:CJY524334 BZW524333:CAC524334 BQA524333:BQG524334 BGE524333:BGK524334 AWI524333:AWO524334 AMM524333:AMS524334 ACQ524333:ACW524334 SU524333:TA524334 IY524333:JE524334 WVK458797:WVQ458798 WLO458797:WLU458798 WBS458797:WBY458798 VRW458797:VSC458798 VIA458797:VIG458798 UYE458797:UYK458798 UOI458797:UOO458798 UEM458797:UES458798 TUQ458797:TUW458798 TKU458797:TLA458798 TAY458797:TBE458798 SRC458797:SRI458798 SHG458797:SHM458798 RXK458797:RXQ458798 RNO458797:RNU458798 RDS458797:RDY458798 QTW458797:QUC458798 QKA458797:QKG458798 QAE458797:QAK458798 PQI458797:PQO458798 PGM458797:PGS458798 OWQ458797:OWW458798 OMU458797:ONA458798 OCY458797:ODE458798 NTC458797:NTI458798 NJG458797:NJM458798 MZK458797:MZQ458798 MPO458797:MPU458798 MFS458797:MFY458798 LVW458797:LWC458798 LMA458797:LMG458798 LCE458797:LCK458798 KSI458797:KSO458798 KIM458797:KIS458798 JYQ458797:JYW458798 JOU458797:JPA458798 JEY458797:JFE458798 IVC458797:IVI458798 ILG458797:ILM458798 IBK458797:IBQ458798 HRO458797:HRU458798 HHS458797:HHY458798 GXW458797:GYC458798 GOA458797:GOG458798 GEE458797:GEK458798 FUI458797:FUO458798 FKM458797:FKS458798 FAQ458797:FAW458798 EQU458797:ERA458798 EGY458797:EHE458798 DXC458797:DXI458798 DNG458797:DNM458798 DDK458797:DDQ458798 CTO458797:CTU458798 CJS458797:CJY458798 BZW458797:CAC458798 BQA458797:BQG458798 BGE458797:BGK458798 AWI458797:AWO458798 AMM458797:AMS458798 ACQ458797:ACW458798 SU458797:TA458798 IY458797:JE458798 WVK393261:WVQ393262 WLO393261:WLU393262 WBS393261:WBY393262 VRW393261:VSC393262 VIA393261:VIG393262 UYE393261:UYK393262 UOI393261:UOO393262 UEM393261:UES393262 TUQ393261:TUW393262 TKU393261:TLA393262 TAY393261:TBE393262 SRC393261:SRI393262 SHG393261:SHM393262 RXK393261:RXQ393262 RNO393261:RNU393262 RDS393261:RDY393262 QTW393261:QUC393262 QKA393261:QKG393262 QAE393261:QAK393262 PQI393261:PQO393262 PGM393261:PGS393262 OWQ393261:OWW393262 OMU393261:ONA393262 OCY393261:ODE393262 NTC393261:NTI393262 NJG393261:NJM393262 MZK393261:MZQ393262 MPO393261:MPU393262 MFS393261:MFY393262 LVW393261:LWC393262 LMA393261:LMG393262 LCE393261:LCK393262 KSI393261:KSO393262 KIM393261:KIS393262 JYQ393261:JYW393262 JOU393261:JPA393262 JEY393261:JFE393262 IVC393261:IVI393262 ILG393261:ILM393262 IBK393261:IBQ393262 HRO393261:HRU393262 HHS393261:HHY393262 GXW393261:GYC393262 GOA393261:GOG393262 GEE393261:GEK393262 FUI393261:FUO393262 FKM393261:FKS393262 FAQ393261:FAW393262 EQU393261:ERA393262 EGY393261:EHE393262 DXC393261:DXI393262 DNG393261:DNM393262 DDK393261:DDQ393262 CTO393261:CTU393262 CJS393261:CJY393262 BZW393261:CAC393262 BQA393261:BQG393262 BGE393261:BGK393262 AWI393261:AWO393262 AMM393261:AMS393262 ACQ393261:ACW393262 SU393261:TA393262 IY393261:JE393262 WVK327725:WVQ327726 WLO327725:WLU327726 WBS327725:WBY327726 VRW327725:VSC327726 VIA327725:VIG327726 UYE327725:UYK327726 UOI327725:UOO327726 UEM327725:UES327726 TUQ327725:TUW327726 TKU327725:TLA327726 TAY327725:TBE327726 SRC327725:SRI327726 SHG327725:SHM327726 RXK327725:RXQ327726 RNO327725:RNU327726 RDS327725:RDY327726 QTW327725:QUC327726 QKA327725:QKG327726 QAE327725:QAK327726 PQI327725:PQO327726 PGM327725:PGS327726 OWQ327725:OWW327726 OMU327725:ONA327726 OCY327725:ODE327726 NTC327725:NTI327726 NJG327725:NJM327726 MZK327725:MZQ327726 MPO327725:MPU327726 MFS327725:MFY327726 LVW327725:LWC327726 LMA327725:LMG327726 LCE327725:LCK327726 KSI327725:KSO327726 KIM327725:KIS327726 JYQ327725:JYW327726 JOU327725:JPA327726 JEY327725:JFE327726 IVC327725:IVI327726 ILG327725:ILM327726 IBK327725:IBQ327726 HRO327725:HRU327726 HHS327725:HHY327726 GXW327725:GYC327726 GOA327725:GOG327726 GEE327725:GEK327726 FUI327725:FUO327726 FKM327725:FKS327726 FAQ327725:FAW327726 EQU327725:ERA327726 EGY327725:EHE327726 DXC327725:DXI327726 DNG327725:DNM327726 DDK327725:DDQ327726 CTO327725:CTU327726 CJS327725:CJY327726 BZW327725:CAC327726 BQA327725:BQG327726 BGE327725:BGK327726 AWI327725:AWO327726 AMM327725:AMS327726 ACQ327725:ACW327726 SU327725:TA327726 IY327725:JE327726 WVK262189:WVQ262190 WLO262189:WLU262190 WBS262189:WBY262190 VRW262189:VSC262190 VIA262189:VIG262190 UYE262189:UYK262190 UOI262189:UOO262190 UEM262189:UES262190 TUQ262189:TUW262190 TKU262189:TLA262190 TAY262189:TBE262190 SRC262189:SRI262190 SHG262189:SHM262190 RXK262189:RXQ262190 RNO262189:RNU262190 RDS262189:RDY262190 QTW262189:QUC262190 QKA262189:QKG262190 QAE262189:QAK262190 PQI262189:PQO262190 PGM262189:PGS262190 OWQ262189:OWW262190 OMU262189:ONA262190 OCY262189:ODE262190 NTC262189:NTI262190 NJG262189:NJM262190 MZK262189:MZQ262190 MPO262189:MPU262190 MFS262189:MFY262190 LVW262189:LWC262190 LMA262189:LMG262190 LCE262189:LCK262190 KSI262189:KSO262190 KIM262189:KIS262190 JYQ262189:JYW262190 JOU262189:JPA262190 JEY262189:JFE262190 IVC262189:IVI262190 ILG262189:ILM262190 IBK262189:IBQ262190 HRO262189:HRU262190 HHS262189:HHY262190 GXW262189:GYC262190 GOA262189:GOG262190 GEE262189:GEK262190 FUI262189:FUO262190 FKM262189:FKS262190 FAQ262189:FAW262190 EQU262189:ERA262190 EGY262189:EHE262190 DXC262189:DXI262190 DNG262189:DNM262190 DDK262189:DDQ262190 CTO262189:CTU262190 CJS262189:CJY262190 BZW262189:CAC262190 BQA262189:BQG262190 BGE262189:BGK262190 AWI262189:AWO262190 AMM262189:AMS262190 ACQ262189:ACW262190 SU262189:TA262190 IY262189:JE262190 WVK196653:WVQ196654 WLO196653:WLU196654 WBS196653:WBY196654 VRW196653:VSC196654 VIA196653:VIG196654 UYE196653:UYK196654 UOI196653:UOO196654 UEM196653:UES196654 TUQ196653:TUW196654 TKU196653:TLA196654 TAY196653:TBE196654 SRC196653:SRI196654 SHG196653:SHM196654 RXK196653:RXQ196654 RNO196653:RNU196654 RDS196653:RDY196654 QTW196653:QUC196654 QKA196653:QKG196654 QAE196653:QAK196654 PQI196653:PQO196654 PGM196653:PGS196654 OWQ196653:OWW196654 OMU196653:ONA196654 OCY196653:ODE196654 NTC196653:NTI196654 NJG196653:NJM196654 MZK196653:MZQ196654 MPO196653:MPU196654 MFS196653:MFY196654 LVW196653:LWC196654 LMA196653:LMG196654 LCE196653:LCK196654 KSI196653:KSO196654 KIM196653:KIS196654 JYQ196653:JYW196654 JOU196653:JPA196654 JEY196653:JFE196654 IVC196653:IVI196654 ILG196653:ILM196654 IBK196653:IBQ196654 HRO196653:HRU196654 HHS196653:HHY196654 GXW196653:GYC196654 GOA196653:GOG196654 GEE196653:GEK196654 FUI196653:FUO196654 FKM196653:FKS196654 FAQ196653:FAW196654 EQU196653:ERA196654 EGY196653:EHE196654 DXC196653:DXI196654 DNG196653:DNM196654 DDK196653:DDQ196654 CTO196653:CTU196654 CJS196653:CJY196654 BZW196653:CAC196654 BQA196653:BQG196654 BGE196653:BGK196654 AWI196653:AWO196654 AMM196653:AMS196654 ACQ196653:ACW196654 SU196653:TA196654 IY196653:JE196654 WVK131117:WVQ131118 WLO131117:WLU131118 WBS131117:WBY131118 VRW131117:VSC131118 VIA131117:VIG131118 UYE131117:UYK131118 UOI131117:UOO131118 UEM131117:UES131118 TUQ131117:TUW131118 TKU131117:TLA131118 TAY131117:TBE131118 SRC131117:SRI131118 SHG131117:SHM131118 RXK131117:RXQ131118 RNO131117:RNU131118 RDS131117:RDY131118 QTW131117:QUC131118 QKA131117:QKG131118 QAE131117:QAK131118 PQI131117:PQO131118 PGM131117:PGS131118 OWQ131117:OWW131118 OMU131117:ONA131118 OCY131117:ODE131118 NTC131117:NTI131118 NJG131117:NJM131118 MZK131117:MZQ131118 MPO131117:MPU131118 MFS131117:MFY131118 LVW131117:LWC131118 LMA131117:LMG131118 LCE131117:LCK131118 KSI131117:KSO131118 KIM131117:KIS131118 JYQ131117:JYW131118 JOU131117:JPA131118 JEY131117:JFE131118 IVC131117:IVI131118 ILG131117:ILM131118 IBK131117:IBQ131118 HRO131117:HRU131118 HHS131117:HHY131118 GXW131117:GYC131118 GOA131117:GOG131118 GEE131117:GEK131118 FUI131117:FUO131118 FKM131117:FKS131118 FAQ131117:FAW131118 EQU131117:ERA131118 EGY131117:EHE131118 DXC131117:DXI131118 DNG131117:DNM131118 DDK131117:DDQ131118 CTO131117:CTU131118 CJS131117:CJY131118 BZW131117:CAC131118 BQA131117:BQG131118 BGE131117:BGK131118 AWI131117:AWO131118 AMM131117:AMS131118 ACQ131117:ACW131118 SU131117:TA131118 IY131117:JE131118 WVK65581:WVQ65582 WLO65581:WLU65582 WBS65581:WBY65582 VRW65581:VSC65582 VIA65581:VIG65582 UYE65581:UYK65582 UOI65581:UOO65582 UEM65581:UES65582 TUQ65581:TUW65582 TKU65581:TLA65582 TAY65581:TBE65582 SRC65581:SRI65582 SHG65581:SHM65582 RXK65581:RXQ65582 RNO65581:RNU65582 RDS65581:RDY65582 QTW65581:QUC65582 QKA65581:QKG65582 QAE65581:QAK65582 PQI65581:PQO65582 PGM65581:PGS65582 OWQ65581:OWW65582 OMU65581:ONA65582 OCY65581:ODE65582 NTC65581:NTI65582 NJG65581:NJM65582 MZK65581:MZQ65582 MPO65581:MPU65582 MFS65581:MFY65582 LVW65581:LWC65582 LMA65581:LMG65582 LCE65581:LCK65582 KSI65581:KSO65582 KIM65581:KIS65582 JYQ65581:JYW65582 JOU65581:JPA65582 JEY65581:JFE65582 IVC65581:IVI65582 ILG65581:ILM65582 IBK65581:IBQ65582 HRO65581:HRU65582 HHS65581:HHY65582 GXW65581:GYC65582 GOA65581:GOG65582 GEE65581:GEK65582 FUI65581:FUO65582 FKM65581:FKS65582 FAQ65581:FAW65582 EQU65581:ERA65582 EGY65581:EHE65582 DXC65581:DXI65582 DNG65581:DNM65582 DDK65581:DDQ65582 CTO65581:CTU65582 CJS65581:CJY65582 BZW65581:CAC65582 BQA65581:BQG65582 BGE65581:BGK65582 AWI65581:AWO65582 AMM65581:AMS65582 ACQ65581:ACW65582 SU65581:TA65582 IY65581:JE65582 WVK51:WVQ52 WLO51:WLU52 WBS51:WBY52 VRW51:VSC52 VIA51:VIG52 UYE51:UYK52 UOI51:UOO52 UEM51:UES52 TUQ51:TUW52 TKU51:TLA52 TAY51:TBE52 SRC51:SRI52 SHG51:SHM52 RXK51:RXQ52 RNO51:RNU52 RDS51:RDY52 QTW51:QUC52 QKA51:QKG52 QAE51:QAK52 PQI51:PQO52 PGM51:PGS52 OWQ51:OWW52 OMU51:ONA52 OCY51:ODE52 NTC51:NTI52 NJG51:NJM52 MZK51:MZQ52 MPO51:MPU52 MFS51:MFY52 LVW51:LWC52 LMA51:LMG52 LCE51:LCK52 KSI51:KSO52 KIM51:KIS52 JYQ51:JYW52 JOU51:JPA52 JEY51:JFE52 IVC51:IVI52 ILG51:ILM52 IBK51:IBQ52 HRO51:HRU52 HHS51:HHY52 GXW51:GYC52 GOA51:GOG52 GEE51:GEK52 FUI51:FUO52 FKM51:FKS52 FAQ51:FAW52 EQU51:ERA52 EGY51:EHE52 DXC51:DXI52 DNG51:DNM52 DDK51:DDQ52 CTO51:CTU52 CJS51:CJY52 BZW51:CAC52 BQA51:BQG52 BGE51:BGK52 AWI51:AWO52 AMM51:AMS52 ACQ51:ACW52">
      <formula1>$M$51:$M$52</formula1>
    </dataValidation>
    <dataValidation type="list" allowBlank="1" showInputMessage="1" showErrorMessage="1" sqref="D3:G3">
      <formula1>"PUSAT,CABANG"</formula1>
    </dataValidation>
    <dataValidation type="list" allowBlank="1" showInputMessage="1" showErrorMessage="1" sqref="D69:E69">
      <formula1>"Modal Kerja,Investasi,Konsumtif"</formula1>
    </dataValidation>
    <dataValidation type="list" allowBlank="1" showInputMessage="1" showErrorMessage="1" sqref="D63:E63">
      <formula1>"Ada,Tidak Ada"</formula1>
    </dataValidation>
    <dataValidation type="list" allowBlank="1" showInputMessage="1" showErrorMessage="1" promptTitle="Nama" prompt="Ketik Nama Lengkap Pemohon sesuai dengan KTP yang masih berlaku" sqref="D11:E11">
      <formula1>"Walk In Customer,Solisitasi,Referral"</formula1>
    </dataValidation>
    <dataValidation type="list" allowBlank="1" showInputMessage="1" showErrorMessage="1" sqref="E66">
      <formula1>"Flat,Efektif"</formula1>
    </dataValidation>
    <dataValidation type="list" allowBlank="1" showInputMessage="1" showErrorMessage="1" sqref="D13:E13">
      <formula1>"Pria,Wanita"</formula1>
    </dataValidation>
  </dataValidations>
  <pageMargins left="0.25" right="0.25" top="0.25" bottom="0.93" header="0.3" footer="0.3"/>
  <pageSetup paperSize="10000" scale="92" fitToHeight="0" orientation="portrait" r:id="rId1"/>
  <drawing r:id="rId2"/>
  <legacyDrawing r:id="rId3"/>
  <oleObjects>
    <mc:AlternateContent xmlns:mc="http://schemas.openxmlformats.org/markup-compatibility/2006">
      <mc:Choice Requires="x14">
        <oleObject progId="CorelDRAW.Graphic.12" shapeId="1025" r:id="rId4">
          <objectPr defaultSize="0" autoPict="0" r:id="rId5">
            <anchor moveWithCells="1">
              <from>
                <xdr:col>0</xdr:col>
                <xdr:colOff>45720</xdr:colOff>
                <xdr:row>0</xdr:row>
                <xdr:rowOff>22860</xdr:rowOff>
              </from>
              <to>
                <xdr:col>1</xdr:col>
                <xdr:colOff>2080260</xdr:colOff>
                <xdr:row>2</xdr:row>
                <xdr:rowOff>30480</xdr:rowOff>
              </to>
            </anchor>
          </objectPr>
        </oleObject>
      </mc:Choice>
      <mc:Fallback>
        <oleObject progId="CorelDRAW.Graphic.12" shapeId="1025" r:id="rId4"/>
      </mc:Fallback>
    </mc:AlternateContent>
    <mc:AlternateContent xmlns:mc="http://schemas.openxmlformats.org/markup-compatibility/2006">
      <mc:Choice Requires="x14">
        <oleObject progId="CorelDRAW.Graphic.12" shapeId="1026" r:id="rId6">
          <objectPr defaultSize="0" autoPict="0" r:id="rId7">
            <anchor moveWithCells="1">
              <from>
                <xdr:col>9</xdr:col>
                <xdr:colOff>289560</xdr:colOff>
                <xdr:row>0</xdr:row>
                <xdr:rowOff>22860</xdr:rowOff>
              </from>
              <to>
                <xdr:col>9</xdr:col>
                <xdr:colOff>647700</xdr:colOff>
                <xdr:row>1</xdr:row>
                <xdr:rowOff>137160</xdr:rowOff>
              </to>
            </anchor>
          </objectPr>
        </oleObject>
      </mc:Choice>
      <mc:Fallback>
        <oleObject progId="CorelDRAW.Graphic.12" shapeId="1026" r:id="rId6"/>
      </mc:Fallback>
    </mc:AlternateContent>
  </oleObjects>
  <extLst>
    <ext xmlns:x14="http://schemas.microsoft.com/office/spreadsheetml/2009/9/main" uri="{CCE6A557-97BC-4b89-ADB6-D9C93CAAB3DF}">
      <x14:dataValidations xmlns:xm="http://schemas.microsoft.com/office/excel/2006/main" xWindow="1335" yWindow="613" count="19">
        <x14:dataValidation type="list" allowBlank="1" showInputMessage="1" showErrorMessage="1" promptTitle="Handphone" prompt="Diisi Nomor Handphone Pemohon (apabila memiliki) dan diisi 'N/A' apabila tidak memiliki HP. Untuk Pemohon yang memiliki lebih dari 1 nomor HP agar diinput seluruhnya dengan format penulisan {HP1} / {HP2} / {HP3} / .....dst">
          <x14:formula1>
            <xm:f>Parameter!$E$11:$E$13</xm:f>
          </x14:formula1>
          <xm:sqref>D22</xm:sqref>
        </x14:dataValidation>
        <x14:dataValidation type="list" allowBlank="1" showInputMessage="1" showErrorMessage="1" promptTitle="Jumlah Tanggungan" prompt="Diisi dengan angka, jumlah orang yang menjadi tanggungan Pemohon (isteri/anak/orangtua/saudara) yang untuk keperluan sehari-harinya bergantung kepada Pemohon">
          <x14:formula1>
            <xm:f>Parameter!$E$15:$E$18</xm:f>
          </x14:formula1>
          <xm:sqref>D23</xm:sqref>
        </x14:dataValidation>
        <x14:dataValidation type="list" allowBlank="1" showInputMessage="1" showErrorMessage="1">
          <x14:formula1>
            <xm:f>Parameter!$E$20:$E$23</xm:f>
          </x14:formula1>
          <xm:sqref>D24</xm:sqref>
        </x14:dataValidation>
        <x14:dataValidation type="list" allowBlank="1" showInputMessage="1" showErrorMessage="1">
          <x14:formula1>
            <xm:f>Parameter!$E$27:$E$30</xm:f>
          </x14:formula1>
          <xm:sqref>D36</xm:sqref>
        </x14:dataValidation>
        <x14:dataValidation type="list" allowBlank="1" showInputMessage="1" showErrorMessage="1" promptTitle="Lama Menetap" prompt="Diisi data/informasi tentang lamanya Pemohon mendiami tempat tinggal berdasarkan hasil verifikasi di lapangan.">
          <x14:formula1>
            <xm:f>Parameter!$E$32:$E$35</xm:f>
          </x14:formula1>
          <xm:sqref>D37</xm:sqref>
        </x14:dataValidation>
        <x14:dataValidation type="list" allowBlank="1" showInputMessage="1" showErrorMessage="1" promptTitle="Lama Menetap" prompt="Diisi data/informasi tentang lamanya Pemohon mendiami tempat tinggal berdasarkan hasil verifikasi di lapangan.">
          <x14:formula1>
            <xm:f>Parameter!$E$37:$E$40</xm:f>
          </x14:formula1>
          <xm:sqref>D38</xm:sqref>
        </x14:dataValidation>
        <x14:dataValidation type="list" allowBlank="1" showInputMessage="1" showErrorMessage="1" promptTitle="Lama Berusaha" prompt="Diisi data/informasi mengenai lama Pemohon menjalankan Usaha yang SAMA (dalam tahun)">
          <x14:formula1>
            <xm:f>Parameter!$E$50:$E$53</xm:f>
          </x14:formula1>
          <xm:sqref>D44</xm:sqref>
        </x14:dataValidation>
        <x14:dataValidation type="list" allowBlank="1" showInputMessage="1" showErrorMessage="1" promptTitle="Sistem Penjualan" prompt="Dipilih sistem penjualan produk/jasa yang dilakukan oleh Pemohon.">
          <x14:formula1>
            <xm:f>Parameter!$E$55:$E$58</xm:f>
          </x14:formula1>
          <xm:sqref>D45</xm:sqref>
        </x14:dataValidation>
        <x14:dataValidation type="list" allowBlank="1" showInputMessage="1" showErrorMessage="1" promptTitle="Kepemilikan Tempat Usaha" prompt="Dipilih status kepemilikan tempat usaha Pemohon. Apabila memiliki berbagai macam tempat usaha, dipilih status kepemilikan dari tempat usaha yang utama atau tempat usaha yang memiliki kontribusi terbesar atas penjualan">
          <x14:formula1>
            <xm:f>Parameter!$E$60:$E$63</xm:f>
          </x14:formula1>
          <xm:sqref>D47</xm:sqref>
        </x14:dataValidation>
        <x14:dataValidation type="list" allowBlank="1" showInputMessage="1" showErrorMessage="1" promptTitle="Lokasi Usaha" prompt="Pilih lokasi usaha sesuai dengan hasil verifikasi di lapangan">
          <x14:formula1>
            <xm:f>Parameter!$E$65:$E$68</xm:f>
          </x14:formula1>
          <xm:sqref>D48</xm:sqref>
        </x14:dataValidation>
        <x14:dataValidation type="list" allowBlank="1" showInputMessage="1" showErrorMessage="1" promptTitle="Cabang" prompt="Dipilih apakah usaha Pemohon memilik cabang atau tidak. Apabila dipilih 'Ada' agar diinput jumlah cabang yang dimiliki pada kolom yang disediakan. Apabila 'Tidak' agar diinput dengan angka '0'">
          <x14:formula1>
            <xm:f>Parameter!$E$77:$E$80</xm:f>
          </x14:formula1>
          <xm:sqref>D50</xm:sqref>
        </x14:dataValidation>
        <x14:dataValidation type="list" allowBlank="1" showInputMessage="1" showErrorMessage="1" promptTitle="Pengelolaan Keuangan" prompt="Dipilih pengelolaan Keuangan yang dilakukan oleh Pemohon berdasarkan hasil verifikasi di lapangan.">
          <x14:formula1>
            <xm:f>Parameter!$E$82:$E$85</xm:f>
          </x14:formula1>
          <xm:sqref>D51</xm:sqref>
        </x14:dataValidation>
        <x14:dataValidation type="list" allowBlank="1" showInputMessage="1" showErrorMessage="1" promptTitle="Pengelolaan Keuangan" prompt="Dipilih pengelolaan Keuangan yang dilakukan oleh Pemohon berdasarkan hasil verifikasi di lapangan.">
          <x14:formula1>
            <xm:f>Parameter!$E$87:$E$90</xm:f>
          </x14:formula1>
          <xm:sqref>D52</xm:sqref>
        </x14:dataValidation>
        <x14:dataValidation type="list" allowBlank="1" showInputMessage="1" showErrorMessage="1">
          <x14:formula1>
            <xm:f>Parameter!$E$94:$E$97</xm:f>
          </x14:formula1>
          <xm:sqref>D56</xm:sqref>
        </x14:dataValidation>
        <x14:dataValidation type="list" allowBlank="1" showInputMessage="1" showErrorMessage="1" promptTitle="Tanggal Permohonan" prompt="Diisi tanggal permohonan sebagaimana yang tertera dalam Formulir Permohonan KMU atau tanggal lain saat persyaratan administrasi untuk keperluan pemrosesan permohonan kredit dinyatakan lengkap._x000a_Format Penulisan : DD/MM/YYYY">
          <x14:formula1>
            <xm:f>Parameter!$E$109:$E$112</xm:f>
          </x14:formula1>
          <xm:sqref>D57</xm:sqref>
        </x14:dataValidation>
        <x14:dataValidation type="list" allowBlank="1" showInputMessage="1" showErrorMessage="1">
          <x14:formula1>
            <xm:f>Parameter!$D$259:$D$263</xm:f>
          </x14:formula1>
          <xm:sqref>D68:E68</xm:sqref>
        </x14:dataValidation>
        <x14:dataValidation type="list" allowBlank="1" showInputMessage="1" showErrorMessage="1" promptTitle="Daerah Pemasaran" prompt="Dipilih sasaran atau area pemasaran atas produk / jasa yang dimiliki oleh Pemohon. Apabila terdapat beberapa daerah Pemasaran, dipilih area pemasaran yang memberikan kontribusi terbesar terhadap penjualan.">
          <x14:formula1>
            <xm:f>Parameter!$E$70:$E$75</xm:f>
          </x14:formula1>
          <xm:sqref>D49:G49</xm:sqref>
        </x14:dataValidation>
        <x14:dataValidation type="list" allowBlank="1" showInputMessage="1" showErrorMessage="1">
          <x14:formula1>
            <xm:f>'Usulan Pembiayaan'!$AB$3:$AB$14</xm:f>
          </x14:formula1>
          <xm:sqref>D67:E67</xm:sqref>
        </x14:dataValidation>
        <x14:dataValidation type="list" allowBlank="1" showInputMessage="1" showErrorMessage="1" promptTitle="Lama Berusaha" prompt="Diisi data/informasi mengenai lama Pemohon menjalankan Usaha yang SAMA (dalam tahun)">
          <x14:formula1>
            <xm:f>Parameter!$E$44:$E$48</xm:f>
          </x14:formula1>
          <xm:sqref>D43:E43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230"/>
  <sheetViews>
    <sheetView topLeftCell="A138" zoomScale="120" zoomScaleNormal="120" workbookViewId="0">
      <selection activeCell="L153" sqref="L153"/>
    </sheetView>
  </sheetViews>
  <sheetFormatPr defaultColWidth="8.88671875" defaultRowHeight="14.4"/>
  <cols>
    <col min="1" max="1" width="2.44140625" customWidth="1"/>
    <col min="2" max="2" width="9" customWidth="1"/>
    <col min="3" max="5" width="3.44140625" customWidth="1"/>
    <col min="6" max="6" width="5" customWidth="1"/>
    <col min="7" max="7" width="5.44140625" customWidth="1"/>
    <col min="8" max="8" width="4.44140625" customWidth="1"/>
    <col min="9" max="9" width="3.44140625" customWidth="1"/>
    <col min="10" max="10" width="0.6640625" customWidth="1"/>
    <col min="11" max="11" width="6.109375" customWidth="1"/>
    <col min="12" max="12" width="5.109375" customWidth="1"/>
    <col min="13" max="13" width="4.109375" customWidth="1"/>
    <col min="14" max="14" width="7" customWidth="1"/>
    <col min="15" max="15" width="6" customWidth="1"/>
    <col min="16" max="16" width="7.33203125" customWidth="1"/>
    <col min="17" max="17" width="11.6640625" customWidth="1"/>
    <col min="18" max="18" width="0.33203125" customWidth="1"/>
    <col min="19" max="19" width="5.44140625" customWidth="1"/>
    <col min="20" max="20" width="1.6640625" bestFit="1" customWidth="1"/>
    <col min="21" max="21" width="4.33203125" customWidth="1"/>
    <col min="22" max="22" width="7.109375" customWidth="1"/>
    <col min="23" max="23" width="0.109375" customWidth="1"/>
    <col min="24" max="24" width="2.6640625" customWidth="1"/>
    <col min="25" max="25" width="3.33203125" customWidth="1"/>
    <col min="26" max="26" width="6.44140625" customWidth="1"/>
    <col min="27" max="27" width="2.109375" customWidth="1"/>
    <col min="28" max="28" width="12.44140625" hidden="1" customWidth="1"/>
    <col min="29" max="29" width="12.88671875" hidden="1" customWidth="1"/>
    <col min="30" max="32" width="3.109375" hidden="1" customWidth="1"/>
    <col min="33" max="33" width="9.109375" hidden="1" customWidth="1"/>
    <col min="34" max="34" width="14.88671875" hidden="1" customWidth="1"/>
    <col min="35" max="38" width="9.109375" hidden="1" customWidth="1"/>
    <col min="39" max="48" width="0" hidden="1" customWidth="1"/>
  </cols>
  <sheetData>
    <row r="1" spans="1:26" ht="17.25" customHeight="1" thickBot="1">
      <c r="A1" s="1274" t="s">
        <v>51</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6"/>
    </row>
    <row r="2" spans="1:26" ht="6" customHeight="1" thickBot="1">
      <c r="A2" s="100"/>
      <c r="B2" s="55"/>
      <c r="C2" s="55"/>
      <c r="D2" s="55"/>
      <c r="E2" s="55"/>
      <c r="F2" s="55"/>
      <c r="G2" s="55"/>
      <c r="H2" s="55"/>
      <c r="I2" s="55"/>
      <c r="J2" s="55"/>
      <c r="K2" s="55"/>
      <c r="L2" s="55"/>
      <c r="M2" s="55"/>
      <c r="N2" s="55"/>
      <c r="O2" s="55"/>
      <c r="P2" s="55"/>
      <c r="Q2" s="55"/>
      <c r="R2" s="55"/>
      <c r="S2" s="55"/>
      <c r="T2" s="55"/>
      <c r="U2" s="55"/>
      <c r="V2" s="55"/>
      <c r="W2" s="55"/>
      <c r="X2" s="55"/>
      <c r="Y2" s="55"/>
      <c r="Z2" s="55"/>
    </row>
    <row r="3" spans="1:26" ht="18.600000000000001" thickBot="1">
      <c r="A3" s="1270" t="s">
        <v>52</v>
      </c>
      <c r="B3" s="1271"/>
      <c r="C3" s="1271"/>
      <c r="D3" s="1271"/>
      <c r="E3" s="1271"/>
      <c r="F3" s="1271"/>
      <c r="G3" s="1271"/>
      <c r="H3" s="1271"/>
      <c r="I3" s="1271"/>
      <c r="J3" s="1204"/>
      <c r="K3" s="1204"/>
      <c r="L3" s="1204"/>
      <c r="M3" s="1204"/>
      <c r="N3" s="1204"/>
      <c r="O3" s="1204"/>
      <c r="P3" s="1204"/>
      <c r="Q3" s="1204"/>
      <c r="R3" s="1204"/>
      <c r="S3" s="1204"/>
      <c r="T3" s="1204"/>
      <c r="U3" s="1204"/>
      <c r="V3" s="1204"/>
      <c r="W3" s="1204"/>
      <c r="X3" s="1204"/>
      <c r="Y3" s="1204"/>
      <c r="Z3" s="1205"/>
    </row>
    <row r="4" spans="1:26" ht="15" customHeight="1">
      <c r="A4" s="924" t="s">
        <v>53</v>
      </c>
      <c r="B4" s="925" t="s">
        <v>1067</v>
      </c>
      <c r="C4" s="155"/>
      <c r="D4" s="155"/>
      <c r="E4" s="155"/>
      <c r="F4" s="155"/>
      <c r="G4" s="155"/>
      <c r="H4" s="155"/>
      <c r="I4" s="155"/>
      <c r="J4" s="926" t="s">
        <v>0</v>
      </c>
      <c r="K4" s="494"/>
      <c r="L4" s="219"/>
      <c r="M4" s="219"/>
      <c r="N4" s="219"/>
      <c r="O4" s="219"/>
      <c r="P4" s="219"/>
      <c r="Q4" s="219"/>
      <c r="R4" s="219"/>
      <c r="S4" s="219"/>
      <c r="T4" s="219"/>
      <c r="U4" s="219"/>
      <c r="V4" s="219"/>
      <c r="W4" s="219"/>
      <c r="X4" s="219"/>
      <c r="Y4" s="219"/>
      <c r="Z4" s="219"/>
    </row>
    <row r="5">
      <c r="A5" s="217"/>
      <c r="B5" s="1291"/>
      <c r="C5" s="1292"/>
      <c r="D5" s="1292"/>
      <c r="E5" s="1292"/>
      <c r="F5" s="1292"/>
      <c r="G5" s="1292"/>
      <c r="H5" s="1292"/>
      <c r="I5" s="1292"/>
      <c r="J5" s="1292"/>
      <c r="K5" s="1292"/>
      <c r="L5" s="1292"/>
      <c r="M5" s="1292"/>
      <c r="N5" s="1292"/>
      <c r="O5" s="1292"/>
      <c r="P5" s="1292"/>
      <c r="Q5" s="1292"/>
      <c r="R5" s="1292"/>
      <c r="S5" s="1292"/>
      <c r="T5" s="1292"/>
      <c r="U5" s="1292"/>
      <c r="V5" s="1292"/>
      <c r="W5" s="1292"/>
      <c r="X5" s="1292"/>
      <c r="Y5" s="1292"/>
      <c r="Z5" s="1293"/>
    </row>
    <row r="6" spans="1:26">
      <c r="A6" s="217"/>
      <c r="B6" s="1294"/>
      <c r="C6" s="1295"/>
      <c r="D6" s="1295"/>
      <c r="E6" s="1295"/>
      <c r="F6" s="1295"/>
      <c r="G6" s="1295"/>
      <c r="H6" s="1295"/>
      <c r="I6" s="1295"/>
      <c r="J6" s="1295"/>
      <c r="K6" s="1295"/>
      <c r="L6" s="1295"/>
      <c r="M6" s="1295"/>
      <c r="N6" s="1295"/>
      <c r="O6" s="1295"/>
      <c r="P6" s="1295"/>
      <c r="Q6" s="1295"/>
      <c r="R6" s="1295"/>
      <c r="S6" s="1295"/>
      <c r="T6" s="1295"/>
      <c r="U6" s="1295"/>
      <c r="V6" s="1295"/>
      <c r="W6" s="1295"/>
      <c r="X6" s="1295"/>
      <c r="Y6" s="1295"/>
      <c r="Z6" s="1296"/>
    </row>
    <row r="7" spans="1:26">
      <c r="A7" s="217"/>
      <c r="B7" s="1294"/>
      <c r="C7" s="1295"/>
      <c r="D7" s="1295"/>
      <c r="E7" s="1295"/>
      <c r="F7" s="1295"/>
      <c r="G7" s="1295"/>
      <c r="H7" s="1295"/>
      <c r="I7" s="1295"/>
      <c r="J7" s="1295"/>
      <c r="K7" s="1295"/>
      <c r="L7" s="1295"/>
      <c r="M7" s="1295"/>
      <c r="N7" s="1295"/>
      <c r="O7" s="1295"/>
      <c r="P7" s="1295"/>
      <c r="Q7" s="1295"/>
      <c r="R7" s="1295"/>
      <c r="S7" s="1295"/>
      <c r="T7" s="1295"/>
      <c r="U7" s="1295"/>
      <c r="V7" s="1295"/>
      <c r="W7" s="1295"/>
      <c r="X7" s="1295"/>
      <c r="Y7" s="1295"/>
      <c r="Z7" s="1296"/>
    </row>
    <row r="8" spans="1:26">
      <c r="A8" s="217"/>
      <c r="B8" s="1294"/>
      <c r="C8" s="1295"/>
      <c r="D8" s="1295"/>
      <c r="E8" s="1295"/>
      <c r="F8" s="1295"/>
      <c r="G8" s="1295"/>
      <c r="H8" s="1295"/>
      <c r="I8" s="1295"/>
      <c r="J8" s="1295"/>
      <c r="K8" s="1295"/>
      <c r="L8" s="1295"/>
      <c r="M8" s="1295"/>
      <c r="N8" s="1295"/>
      <c r="O8" s="1295"/>
      <c r="P8" s="1295"/>
      <c r="Q8" s="1295"/>
      <c r="R8" s="1295"/>
      <c r="S8" s="1295"/>
      <c r="T8" s="1295"/>
      <c r="U8" s="1295"/>
      <c r="V8" s="1295"/>
      <c r="W8" s="1295"/>
      <c r="X8" s="1295"/>
      <c r="Y8" s="1295"/>
      <c r="Z8" s="1296"/>
    </row>
    <row r="9" spans="1:26">
      <c r="A9" s="217"/>
      <c r="B9" s="1294"/>
      <c r="C9" s="1295"/>
      <c r="D9" s="1295"/>
      <c r="E9" s="1295"/>
      <c r="F9" s="1295"/>
      <c r="G9" s="1295"/>
      <c r="H9" s="1295"/>
      <c r="I9" s="1295"/>
      <c r="J9" s="1295"/>
      <c r="K9" s="1295"/>
      <c r="L9" s="1295"/>
      <c r="M9" s="1295"/>
      <c r="N9" s="1295"/>
      <c r="O9" s="1295"/>
      <c r="P9" s="1295"/>
      <c r="Q9" s="1295"/>
      <c r="R9" s="1295"/>
      <c r="S9" s="1295"/>
      <c r="T9" s="1295"/>
      <c r="U9" s="1295"/>
      <c r="V9" s="1295"/>
      <c r="W9" s="1295"/>
      <c r="X9" s="1295"/>
      <c r="Y9" s="1295"/>
      <c r="Z9" s="1296"/>
    </row>
    <row r="10" spans="1:26">
      <c r="A10" s="217"/>
      <c r="B10" s="1294"/>
      <c r="C10" s="1295"/>
      <c r="D10" s="1295"/>
      <c r="E10" s="1295"/>
      <c r="F10" s="1295"/>
      <c r="G10" s="1295"/>
      <c r="H10" s="1295"/>
      <c r="I10" s="1295"/>
      <c r="J10" s="1295"/>
      <c r="K10" s="1295"/>
      <c r="L10" s="1295"/>
      <c r="M10" s="1295"/>
      <c r="N10" s="1295"/>
      <c r="O10" s="1295"/>
      <c r="P10" s="1295"/>
      <c r="Q10" s="1295"/>
      <c r="R10" s="1295"/>
      <c r="S10" s="1295"/>
      <c r="T10" s="1295"/>
      <c r="U10" s="1295"/>
      <c r="V10" s="1295"/>
      <c r="W10" s="1295"/>
      <c r="X10" s="1295"/>
      <c r="Y10" s="1295"/>
      <c r="Z10" s="1296"/>
    </row>
    <row r="11" spans="1:26">
      <c r="A11" s="217"/>
      <c r="B11" s="1297"/>
      <c r="C11" s="1298"/>
      <c r="D11" s="1298"/>
      <c r="E11" s="1298"/>
      <c r="F11" s="1298"/>
      <c r="G11" s="1298"/>
      <c r="H11" s="1298"/>
      <c r="I11" s="1298"/>
      <c r="J11" s="1298"/>
      <c r="K11" s="1298"/>
      <c r="L11" s="1298"/>
      <c r="M11" s="1298"/>
      <c r="N11" s="1298"/>
      <c r="O11" s="1298"/>
      <c r="P11" s="1298"/>
      <c r="Q11" s="1298"/>
      <c r="R11" s="1298"/>
      <c r="S11" s="1298"/>
      <c r="T11" s="1298"/>
      <c r="U11" s="1298"/>
      <c r="V11" s="1298"/>
      <c r="W11" s="1298"/>
      <c r="X11" s="1298"/>
      <c r="Y11" s="1298"/>
      <c r="Z11" s="1299"/>
    </row>
    <row r="12" spans="1:26" ht="6.75" customHeight="1">
      <c r="A12" s="225"/>
      <c r="B12" s="226"/>
      <c r="C12" s="226"/>
      <c r="D12" s="226"/>
      <c r="E12" s="226"/>
      <c r="F12" s="226"/>
      <c r="G12" s="226"/>
      <c r="H12" s="226"/>
      <c r="I12" s="226"/>
      <c r="J12" s="56"/>
      <c r="K12" s="226"/>
      <c r="L12" s="226"/>
      <c r="M12" s="226"/>
      <c r="N12" s="226"/>
      <c r="O12" s="226"/>
      <c r="P12" s="226"/>
      <c r="Q12" s="226"/>
      <c r="R12" s="226"/>
      <c r="S12" s="226"/>
      <c r="T12" s="226"/>
      <c r="U12" s="226"/>
      <c r="V12" s="226"/>
      <c r="W12" s="226"/>
      <c r="X12" s="226"/>
      <c r="Y12" s="226"/>
      <c r="Z12" s="226"/>
    </row>
    <row r="13" ht="15" customHeight="1">
      <c r="A13" s="1277" t="s">
        <v>54</v>
      </c>
      <c r="B13" s="1249" t="s">
        <v>1068</v>
      </c>
      <c r="C13" s="1250"/>
      <c r="D13" s="1250"/>
      <c r="E13" s="1250"/>
      <c r="F13" s="1250"/>
      <c r="G13" s="1250"/>
      <c r="H13" s="1250"/>
      <c r="I13" s="1250"/>
      <c r="J13" s="1258" t="s">
        <v>0</v>
      </c>
      <c r="K13" s="1281"/>
      <c r="L13" s="1282"/>
      <c r="M13" s="1282"/>
      <c r="N13" s="1282"/>
      <c r="O13" s="1282"/>
      <c r="P13" s="1282"/>
      <c r="Q13" s="1282"/>
      <c r="R13" s="1282"/>
      <c r="S13" s="1282"/>
      <c r="T13" s="1282"/>
      <c r="U13" s="1282"/>
      <c r="V13" s="1282"/>
      <c r="W13" s="1282"/>
      <c r="X13" s="1282"/>
      <c r="Y13" s="1282"/>
      <c r="Z13" s="1283"/>
    </row>
    <row r="14" spans="1:26">
      <c r="A14" s="1277"/>
      <c r="B14" s="1250"/>
      <c r="C14" s="1250"/>
      <c r="D14" s="1250"/>
      <c r="E14" s="1250"/>
      <c r="F14" s="1250"/>
      <c r="G14" s="1250"/>
      <c r="H14" s="1250"/>
      <c r="I14" s="1250"/>
      <c r="J14" s="1258"/>
      <c r="K14" s="1290"/>
      <c r="L14" s="1285"/>
      <c r="M14" s="1285"/>
      <c r="N14" s="1285"/>
      <c r="O14" s="1285"/>
      <c r="P14" s="1285"/>
      <c r="Q14" s="1285"/>
      <c r="R14" s="1285"/>
      <c r="S14" s="1285"/>
      <c r="T14" s="1285"/>
      <c r="U14" s="1285"/>
      <c r="V14" s="1285"/>
      <c r="W14" s="1285"/>
      <c r="X14" s="1285"/>
      <c r="Y14" s="1285"/>
      <c r="Z14" s="1286"/>
    </row>
    <row r="15" spans="1:26">
      <c r="A15" s="1277"/>
      <c r="B15" s="1250"/>
      <c r="C15" s="1250"/>
      <c r="D15" s="1250"/>
      <c r="E15" s="1250"/>
      <c r="F15" s="1250"/>
      <c r="G15" s="1250"/>
      <c r="H15" s="1250"/>
      <c r="I15" s="1250"/>
      <c r="J15" s="1258"/>
      <c r="K15" s="1287"/>
      <c r="L15" s="1288"/>
      <c r="M15" s="1288"/>
      <c r="N15" s="1288"/>
      <c r="O15" s="1288"/>
      <c r="P15" s="1288"/>
      <c r="Q15" s="1288"/>
      <c r="R15" s="1288"/>
      <c r="S15" s="1288"/>
      <c r="T15" s="1288"/>
      <c r="U15" s="1288"/>
      <c r="V15" s="1288"/>
      <c r="W15" s="1288"/>
      <c r="X15" s="1288"/>
      <c r="Y15" s="1288"/>
      <c r="Z15" s="1289"/>
    </row>
    <row r="16" spans="1:26" ht="15" thickBot="1">
      <c r="A16" s="147"/>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spans="1:26" ht="18.600000000000001" thickBot="1">
      <c r="A17" s="1270" t="s">
        <v>1058</v>
      </c>
      <c r="B17" s="1204"/>
      <c r="C17" s="1204"/>
      <c r="D17" s="1204"/>
      <c r="E17" s="1204"/>
      <c r="F17" s="1204"/>
      <c r="G17" s="1204"/>
      <c r="H17" s="1204"/>
      <c r="I17" s="1204"/>
      <c r="J17" s="1204"/>
      <c r="K17" s="1204"/>
      <c r="L17" s="1204"/>
      <c r="M17" s="1204"/>
      <c r="N17" s="1204"/>
      <c r="O17" s="1204"/>
      <c r="P17" s="1204"/>
      <c r="Q17" s="1204"/>
      <c r="R17" s="1204"/>
      <c r="S17" s="1204"/>
      <c r="T17" s="1204"/>
      <c r="U17" s="1204"/>
      <c r="V17" s="1204"/>
      <c r="W17" s="1204"/>
      <c r="X17" s="1204"/>
      <c r="Y17" s="1204"/>
      <c r="Z17" s="1205"/>
    </row>
    <row r="18" ht="19.5" customHeight="1">
      <c r="A18" s="927" t="s">
        <v>53</v>
      </c>
      <c r="B18" s="1278" t="s">
        <v>839</v>
      </c>
      <c r="C18" s="1279"/>
      <c r="D18" s="1279"/>
      <c r="E18" s="1279"/>
      <c r="F18" s="1279"/>
      <c r="G18" s="1279"/>
      <c r="H18" s="1279"/>
      <c r="I18" s="1280"/>
      <c r="J18" s="118" t="s">
        <v>0</v>
      </c>
      <c r="K18" s="1278"/>
      <c r="L18" s="1279"/>
      <c r="M18" s="1279"/>
      <c r="N18" s="1279"/>
      <c r="O18" s="1279"/>
      <c r="P18" s="1279"/>
      <c r="Q18" s="1279"/>
      <c r="R18" s="1279"/>
      <c r="S18" s="1279"/>
      <c r="T18" s="1279"/>
      <c r="U18" s="1279"/>
      <c r="V18" s="1279"/>
      <c r="W18" s="1279"/>
      <c r="X18" s="1279"/>
      <c r="Y18" s="1279"/>
      <c r="Z18" s="1280"/>
    </row>
    <row r="19" ht="15" customHeight="1">
      <c r="A19" s="1256" t="s">
        <v>54</v>
      </c>
      <c r="B19" s="1249" t="s">
        <v>840</v>
      </c>
      <c r="C19" s="1250"/>
      <c r="D19" s="1250"/>
      <c r="E19" s="1250"/>
      <c r="F19" s="1250"/>
      <c r="G19" s="1250"/>
      <c r="H19" s="1250"/>
      <c r="I19" s="1250"/>
      <c r="J19" s="1258" t="s">
        <v>0</v>
      </c>
      <c r="K19" s="1249"/>
      <c r="L19" s="1250"/>
      <c r="M19" s="1250"/>
      <c r="N19" s="1250"/>
      <c r="O19" s="1250"/>
      <c r="P19" s="1250"/>
      <c r="Q19" s="1250"/>
      <c r="R19" s="1250"/>
      <c r="S19" s="1250"/>
      <c r="T19" s="1250"/>
      <c r="U19" s="1250"/>
      <c r="V19" s="1250"/>
      <c r="W19" s="1250"/>
      <c r="X19" s="1250"/>
      <c r="Y19" s="1250"/>
      <c r="Z19" s="1250"/>
    </row>
    <row r="20" spans="1:26">
      <c r="A20" s="1256"/>
      <c r="B20" s="1249"/>
      <c r="C20" s="1250"/>
      <c r="D20" s="1250"/>
      <c r="E20" s="1250"/>
      <c r="F20" s="1250"/>
      <c r="G20" s="1250"/>
      <c r="H20" s="1250"/>
      <c r="I20" s="1250"/>
      <c r="J20" s="1258"/>
      <c r="K20" s="1249"/>
      <c r="L20" s="1250"/>
      <c r="M20" s="1250"/>
      <c r="N20" s="1250"/>
      <c r="O20" s="1250"/>
      <c r="P20" s="1250"/>
      <c r="Q20" s="1250"/>
      <c r="R20" s="1250"/>
      <c r="S20" s="1250"/>
      <c r="T20" s="1250"/>
      <c r="U20" s="1250"/>
      <c r="V20" s="1250"/>
      <c r="W20" s="1250"/>
      <c r="X20" s="1250"/>
      <c r="Y20" s="1250"/>
      <c r="Z20" s="1250"/>
    </row>
    <row r="21" spans="1:26">
      <c r="A21" s="1256"/>
      <c r="B21" s="1249"/>
      <c r="C21" s="1250"/>
      <c r="D21" s="1250"/>
      <c r="E21" s="1250"/>
      <c r="F21" s="1250"/>
      <c r="G21" s="1250"/>
      <c r="H21" s="1250"/>
      <c r="I21" s="1250"/>
      <c r="J21" s="1258"/>
      <c r="K21" s="1249"/>
      <c r="L21" s="1250"/>
      <c r="M21" s="1250"/>
      <c r="N21" s="1250"/>
      <c r="O21" s="1250"/>
      <c r="P21" s="1250"/>
      <c r="Q21" s="1250"/>
      <c r="R21" s="1250"/>
      <c r="S21" s="1250"/>
      <c r="T21" s="1250"/>
      <c r="U21" s="1250"/>
      <c r="V21" s="1250"/>
      <c r="W21" s="1250"/>
      <c r="X21" s="1250"/>
      <c r="Y21" s="1250"/>
      <c r="Z21" s="1250"/>
    </row>
    <row r="22" spans="1:26">
      <c r="A22" s="1256"/>
      <c r="B22" s="1250"/>
      <c r="C22" s="1250"/>
      <c r="D22" s="1250"/>
      <c r="E22" s="1250"/>
      <c r="F22" s="1250"/>
      <c r="G22" s="1250"/>
      <c r="H22" s="1250"/>
      <c r="I22" s="1250"/>
      <c r="J22" s="1259"/>
      <c r="K22" s="1250"/>
      <c r="L22" s="1250"/>
      <c r="M22" s="1250"/>
      <c r="N22" s="1250"/>
      <c r="O22" s="1250"/>
      <c r="P22" s="1250"/>
      <c r="Q22" s="1250"/>
      <c r="R22" s="1250"/>
      <c r="S22" s="1250"/>
      <c r="T22" s="1250"/>
      <c r="U22" s="1250"/>
      <c r="V22" s="1250"/>
      <c r="W22" s="1250"/>
      <c r="X22" s="1250"/>
      <c r="Y22" s="1250"/>
      <c r="Z22" s="1250"/>
    </row>
    <row r="23">
      <c r="A23" s="1256" t="s">
        <v>56</v>
      </c>
      <c r="B23" s="1281" t="s">
        <v>841</v>
      </c>
      <c r="C23" s="1282"/>
      <c r="D23" s="1282"/>
      <c r="E23" s="1282"/>
      <c r="F23" s="1282"/>
      <c r="G23" s="1282"/>
      <c r="H23" s="1282"/>
      <c r="I23" s="1283"/>
      <c r="J23" s="1258" t="s">
        <v>0</v>
      </c>
      <c r="K23" s="1281"/>
      <c r="L23" s="1282"/>
      <c r="M23" s="1282"/>
      <c r="N23" s="1282"/>
      <c r="O23" s="1282"/>
      <c r="P23" s="1282"/>
      <c r="Q23" s="1282"/>
      <c r="R23" s="1282"/>
      <c r="S23" s="1282"/>
      <c r="T23" s="1282"/>
      <c r="U23" s="1282"/>
      <c r="V23" s="1282"/>
      <c r="W23" s="1282"/>
      <c r="X23" s="1282"/>
      <c r="Y23" s="1282"/>
      <c r="Z23" s="1283"/>
    </row>
    <row r="24" spans="1:26">
      <c r="A24" s="1256"/>
      <c r="B24" s="1284"/>
      <c r="C24" s="1285"/>
      <c r="D24" s="1285"/>
      <c r="E24" s="1285"/>
      <c r="F24" s="1285"/>
      <c r="G24" s="1285"/>
      <c r="H24" s="1285"/>
      <c r="I24" s="1286"/>
      <c r="J24" s="1258"/>
      <c r="K24" s="1284"/>
      <c r="L24" s="1285"/>
      <c r="M24" s="1285"/>
      <c r="N24" s="1285"/>
      <c r="O24" s="1285"/>
      <c r="P24" s="1285"/>
      <c r="Q24" s="1285"/>
      <c r="R24" s="1285"/>
      <c r="S24" s="1285"/>
      <c r="T24" s="1285"/>
      <c r="U24" s="1285"/>
      <c r="V24" s="1285"/>
      <c r="W24" s="1285"/>
      <c r="X24" s="1285"/>
      <c r="Y24" s="1285"/>
      <c r="Z24" s="1286"/>
    </row>
    <row r="25" spans="1:26">
      <c r="A25" s="1256"/>
      <c r="B25" s="1284"/>
      <c r="C25" s="1285"/>
      <c r="D25" s="1285"/>
      <c r="E25" s="1285"/>
      <c r="F25" s="1285"/>
      <c r="G25" s="1285"/>
      <c r="H25" s="1285"/>
      <c r="I25" s="1286"/>
      <c r="J25" s="1258"/>
      <c r="K25" s="1284"/>
      <c r="L25" s="1285"/>
      <c r="M25" s="1285"/>
      <c r="N25" s="1285"/>
      <c r="O25" s="1285"/>
      <c r="P25" s="1285"/>
      <c r="Q25" s="1285"/>
      <c r="R25" s="1285"/>
      <c r="S25" s="1285"/>
      <c r="T25" s="1285"/>
      <c r="U25" s="1285"/>
      <c r="V25" s="1285"/>
      <c r="W25" s="1285"/>
      <c r="X25" s="1285"/>
      <c r="Y25" s="1285"/>
      <c r="Z25" s="1286"/>
    </row>
    <row r="26" spans="1:26">
      <c r="A26" s="1257"/>
      <c r="B26" s="1287"/>
      <c r="C26" s="1288"/>
      <c r="D26" s="1288"/>
      <c r="E26" s="1288"/>
      <c r="F26" s="1288"/>
      <c r="G26" s="1288"/>
      <c r="H26" s="1288"/>
      <c r="I26" s="1289"/>
      <c r="J26" s="1259"/>
      <c r="K26" s="1287"/>
      <c r="L26" s="1288"/>
      <c r="M26" s="1288"/>
      <c r="N26" s="1288"/>
      <c r="O26" s="1288"/>
      <c r="P26" s="1288"/>
      <c r="Q26" s="1288"/>
      <c r="R26" s="1288"/>
      <c r="S26" s="1288"/>
      <c r="T26" s="1288"/>
      <c r="U26" s="1288"/>
      <c r="V26" s="1288"/>
      <c r="W26" s="1288"/>
      <c r="X26" s="1288"/>
      <c r="Y26" s="1288"/>
      <c r="Z26" s="1289"/>
    </row>
    <row r="27" ht="15" customHeight="1">
      <c r="A27" s="1256" t="s">
        <v>57</v>
      </c>
      <c r="B27" s="1249" t="s">
        <v>842</v>
      </c>
      <c r="C27" s="1250"/>
      <c r="D27" s="1250"/>
      <c r="E27" s="1250"/>
      <c r="F27" s="1250"/>
      <c r="G27" s="1250"/>
      <c r="H27" s="1250"/>
      <c r="I27" s="1250"/>
      <c r="J27" s="1258" t="s">
        <v>0</v>
      </c>
      <c r="K27" s="1249"/>
      <c r="L27" s="1250"/>
      <c r="M27" s="1250"/>
      <c r="N27" s="1250"/>
      <c r="O27" s="1250"/>
      <c r="P27" s="1250"/>
      <c r="Q27" s="1250"/>
      <c r="R27" s="1250"/>
      <c r="S27" s="1250"/>
      <c r="T27" s="1250"/>
      <c r="U27" s="1250"/>
      <c r="V27" s="1250"/>
      <c r="W27" s="1250"/>
      <c r="X27" s="1250"/>
      <c r="Y27" s="1250"/>
      <c r="Z27" s="1250"/>
    </row>
    <row r="28" spans="1:26">
      <c r="A28" s="1256"/>
      <c r="B28" s="1249"/>
      <c r="C28" s="1250"/>
      <c r="D28" s="1250"/>
      <c r="E28" s="1250"/>
      <c r="F28" s="1250"/>
      <c r="G28" s="1250"/>
      <c r="H28" s="1250"/>
      <c r="I28" s="1250"/>
      <c r="J28" s="1258"/>
      <c r="K28" s="1249"/>
      <c r="L28" s="1250"/>
      <c r="M28" s="1250"/>
      <c r="N28" s="1250"/>
      <c r="O28" s="1250"/>
      <c r="P28" s="1250"/>
      <c r="Q28" s="1250"/>
      <c r="R28" s="1250"/>
      <c r="S28" s="1250"/>
      <c r="T28" s="1250"/>
      <c r="U28" s="1250"/>
      <c r="V28" s="1250"/>
      <c r="W28" s="1250"/>
      <c r="X28" s="1250"/>
      <c r="Y28" s="1250"/>
      <c r="Z28" s="1250"/>
    </row>
    <row r="29" spans="1:26">
      <c r="A29" s="1256"/>
      <c r="B29" s="1249"/>
      <c r="C29" s="1250"/>
      <c r="D29" s="1250"/>
      <c r="E29" s="1250"/>
      <c r="F29" s="1250"/>
      <c r="G29" s="1250"/>
      <c r="H29" s="1250"/>
      <c r="I29" s="1250"/>
      <c r="J29" s="1258"/>
      <c r="K29" s="1249"/>
      <c r="L29" s="1250"/>
      <c r="M29" s="1250"/>
      <c r="N29" s="1250"/>
      <c r="O29" s="1250"/>
      <c r="P29" s="1250"/>
      <c r="Q29" s="1250"/>
      <c r="R29" s="1250"/>
      <c r="S29" s="1250"/>
      <c r="T29" s="1250"/>
      <c r="U29" s="1250"/>
      <c r="V29" s="1250"/>
      <c r="W29" s="1250"/>
      <c r="X29" s="1250"/>
      <c r="Y29" s="1250"/>
      <c r="Z29" s="1250"/>
    </row>
    <row r="30" spans="1:26">
      <c r="A30" s="1257"/>
      <c r="B30" s="1250"/>
      <c r="C30" s="1250"/>
      <c r="D30" s="1250"/>
      <c r="E30" s="1250"/>
      <c r="F30" s="1250"/>
      <c r="G30" s="1250"/>
      <c r="H30" s="1250"/>
      <c r="I30" s="1250"/>
      <c r="J30" s="1259"/>
      <c r="K30" s="1250"/>
      <c r="L30" s="1250"/>
      <c r="M30" s="1250"/>
      <c r="N30" s="1250"/>
      <c r="O30" s="1250"/>
      <c r="P30" s="1250"/>
      <c r="Q30" s="1250"/>
      <c r="R30" s="1250"/>
      <c r="S30" s="1250"/>
      <c r="T30" s="1250"/>
      <c r="U30" s="1250"/>
      <c r="V30" s="1250"/>
      <c r="W30" s="1250"/>
      <c r="X30" s="1250"/>
      <c r="Y30" s="1250"/>
      <c r="Z30" s="1250"/>
    </row>
    <row r="31">
      <c r="A31" s="1256" t="s">
        <v>58</v>
      </c>
      <c r="B31" s="1249" t="s">
        <v>843</v>
      </c>
      <c r="C31" s="1250"/>
      <c r="D31" s="1250"/>
      <c r="E31" s="1250"/>
      <c r="F31" s="1250"/>
      <c r="G31" s="1250"/>
      <c r="H31" s="1250"/>
      <c r="I31" s="1250"/>
      <c r="J31" s="1258" t="s">
        <v>0</v>
      </c>
      <c r="K31" s="1249"/>
      <c r="L31" s="1250"/>
      <c r="M31" s="1250"/>
      <c r="N31" s="1250"/>
      <c r="O31" s="1250"/>
      <c r="P31" s="1250"/>
      <c r="Q31" s="1250"/>
      <c r="R31" s="1250"/>
      <c r="S31" s="1250"/>
      <c r="T31" s="1250"/>
      <c r="U31" s="1250"/>
      <c r="V31" s="1250"/>
      <c r="W31" s="1250"/>
      <c r="X31" s="1250"/>
      <c r="Y31" s="1250"/>
      <c r="Z31" s="1250"/>
    </row>
    <row r="32" spans="1:26">
      <c r="A32" s="1256"/>
      <c r="B32" s="1249"/>
      <c r="C32" s="1250"/>
      <c r="D32" s="1250"/>
      <c r="E32" s="1250"/>
      <c r="F32" s="1250"/>
      <c r="G32" s="1250"/>
      <c r="H32" s="1250"/>
      <c r="I32" s="1250"/>
      <c r="J32" s="1258"/>
      <c r="K32" s="1249"/>
      <c r="L32" s="1250"/>
      <c r="M32" s="1250"/>
      <c r="N32" s="1250"/>
      <c r="O32" s="1250"/>
      <c r="P32" s="1250"/>
      <c r="Q32" s="1250"/>
      <c r="R32" s="1250"/>
      <c r="S32" s="1250"/>
      <c r="T32" s="1250"/>
      <c r="U32" s="1250"/>
      <c r="V32" s="1250"/>
      <c r="W32" s="1250"/>
      <c r="X32" s="1250"/>
      <c r="Y32" s="1250"/>
      <c r="Z32" s="1250"/>
    </row>
    <row r="33" spans="1:26">
      <c r="A33" s="1256"/>
      <c r="B33" s="1249"/>
      <c r="C33" s="1250"/>
      <c r="D33" s="1250"/>
      <c r="E33" s="1250"/>
      <c r="F33" s="1250"/>
      <c r="G33" s="1250"/>
      <c r="H33" s="1250"/>
      <c r="I33" s="1250"/>
      <c r="J33" s="1258"/>
      <c r="K33" s="1249"/>
      <c r="L33" s="1250"/>
      <c r="M33" s="1250"/>
      <c r="N33" s="1250"/>
      <c r="O33" s="1250"/>
      <c r="P33" s="1250"/>
      <c r="Q33" s="1250"/>
      <c r="R33" s="1250"/>
      <c r="S33" s="1250"/>
      <c r="T33" s="1250"/>
      <c r="U33" s="1250"/>
      <c r="V33" s="1250"/>
      <c r="W33" s="1250"/>
      <c r="X33" s="1250"/>
      <c r="Y33" s="1250"/>
      <c r="Z33" s="1250"/>
    </row>
    <row r="34" spans="1:26">
      <c r="A34" s="1257"/>
      <c r="B34" s="1250"/>
      <c r="C34" s="1250"/>
      <c r="D34" s="1250"/>
      <c r="E34" s="1250"/>
      <c r="F34" s="1250"/>
      <c r="G34" s="1250"/>
      <c r="H34" s="1250"/>
      <c r="I34" s="1250"/>
      <c r="J34" s="1259"/>
      <c r="K34" s="1250"/>
      <c r="L34" s="1250"/>
      <c r="M34" s="1250"/>
      <c r="N34" s="1250"/>
      <c r="O34" s="1250"/>
      <c r="P34" s="1250"/>
      <c r="Q34" s="1250"/>
      <c r="R34" s="1250"/>
      <c r="S34" s="1250"/>
      <c r="T34" s="1250"/>
      <c r="U34" s="1250"/>
      <c r="V34" s="1250"/>
      <c r="W34" s="1250"/>
      <c r="X34" s="1250"/>
      <c r="Y34" s="1250"/>
      <c r="Z34" s="1250"/>
    </row>
    <row r="35">
      <c r="A35" s="1256" t="s">
        <v>59</v>
      </c>
      <c r="B35" s="1249" t="s">
        <v>844</v>
      </c>
      <c r="C35" s="1250"/>
      <c r="D35" s="1250"/>
      <c r="E35" s="1250"/>
      <c r="F35" s="1250"/>
      <c r="G35" s="1250"/>
      <c r="H35" s="1250"/>
      <c r="I35" s="1250"/>
      <c r="J35" s="1258" t="s">
        <v>0</v>
      </c>
      <c r="K35" s="1261"/>
      <c r="L35" s="1262"/>
      <c r="M35" s="1262"/>
      <c r="N35" s="1262"/>
      <c r="O35" s="1262"/>
      <c r="P35" s="1262"/>
      <c r="Q35" s="1262"/>
      <c r="R35" s="1262"/>
      <c r="S35" s="1262"/>
      <c r="T35" s="1262"/>
      <c r="U35" s="1262"/>
      <c r="V35" s="1262"/>
      <c r="W35" s="1262"/>
      <c r="X35" s="1262"/>
      <c r="Y35" s="1262"/>
      <c r="Z35" s="1263"/>
    </row>
    <row r="36" spans="1:26">
      <c r="A36" s="1256"/>
      <c r="B36" s="1249"/>
      <c r="C36" s="1250"/>
      <c r="D36" s="1250"/>
      <c r="E36" s="1250"/>
      <c r="F36" s="1250"/>
      <c r="G36" s="1250"/>
      <c r="H36" s="1250"/>
      <c r="I36" s="1250"/>
      <c r="J36" s="1258"/>
      <c r="K36" s="1264"/>
      <c r="L36" s="1265"/>
      <c r="M36" s="1265"/>
      <c r="N36" s="1265"/>
      <c r="O36" s="1265"/>
      <c r="P36" s="1265"/>
      <c r="Q36" s="1265"/>
      <c r="R36" s="1265"/>
      <c r="S36" s="1265"/>
      <c r="T36" s="1265"/>
      <c r="U36" s="1265"/>
      <c r="V36" s="1265"/>
      <c r="W36" s="1265"/>
      <c r="X36" s="1265"/>
      <c r="Y36" s="1265"/>
      <c r="Z36" s="1266"/>
    </row>
    <row r="37" spans="1:26">
      <c r="A37" s="1256"/>
      <c r="B37" s="1249"/>
      <c r="C37" s="1250"/>
      <c r="D37" s="1250"/>
      <c r="E37" s="1250"/>
      <c r="F37" s="1250"/>
      <c r="G37" s="1250"/>
      <c r="H37" s="1250"/>
      <c r="I37" s="1250"/>
      <c r="J37" s="1258"/>
      <c r="K37" s="1264"/>
      <c r="L37" s="1265"/>
      <c r="M37" s="1265"/>
      <c r="N37" s="1265"/>
      <c r="O37" s="1265"/>
      <c r="P37" s="1265"/>
      <c r="Q37" s="1265"/>
      <c r="R37" s="1265"/>
      <c r="S37" s="1265"/>
      <c r="T37" s="1265"/>
      <c r="U37" s="1265"/>
      <c r="V37" s="1265"/>
      <c r="W37" s="1265"/>
      <c r="X37" s="1265"/>
      <c r="Y37" s="1265"/>
      <c r="Z37" s="1266"/>
    </row>
    <row r="38" spans="1:26">
      <c r="A38" s="1257"/>
      <c r="B38" s="1250"/>
      <c r="C38" s="1250"/>
      <c r="D38" s="1250"/>
      <c r="E38" s="1250"/>
      <c r="F38" s="1250"/>
      <c r="G38" s="1250"/>
      <c r="H38" s="1250"/>
      <c r="I38" s="1250"/>
      <c r="J38" s="1259"/>
      <c r="K38" s="1267"/>
      <c r="L38" s="1268"/>
      <c r="M38" s="1268"/>
      <c r="N38" s="1268"/>
      <c r="O38" s="1268"/>
      <c r="P38" s="1268"/>
      <c r="Q38" s="1268"/>
      <c r="R38" s="1268"/>
      <c r="S38" s="1268"/>
      <c r="T38" s="1268"/>
      <c r="U38" s="1268"/>
      <c r="V38" s="1268"/>
      <c r="W38" s="1268"/>
      <c r="X38" s="1268"/>
      <c r="Y38" s="1268"/>
      <c r="Z38" s="1269"/>
    </row>
    <row r="39" spans="1:26" ht="15" thickBot="1">
      <c r="A39" s="100"/>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8.600000000000001" thickBot="1">
      <c r="A40" s="1270" t="s">
        <v>60</v>
      </c>
      <c r="B40" s="1271"/>
      <c r="C40" s="1271"/>
      <c r="D40" s="1271"/>
      <c r="E40" s="1271"/>
      <c r="F40" s="1271"/>
      <c r="G40" s="1271"/>
      <c r="H40" s="1271"/>
      <c r="I40" s="1271"/>
      <c r="J40" s="1204"/>
      <c r="K40" s="1204"/>
      <c r="L40" s="1204"/>
      <c r="M40" s="1204"/>
      <c r="N40" s="1204"/>
      <c r="O40" s="1204"/>
      <c r="P40" s="1204"/>
      <c r="Q40" s="1204"/>
      <c r="R40" s="1204"/>
      <c r="S40" s="1204"/>
      <c r="T40" s="1204"/>
      <c r="U40" s="1204"/>
      <c r="V40" s="1204"/>
      <c r="W40" s="1204"/>
      <c r="X40" s="1204"/>
      <c r="Y40" s="1204"/>
      <c r="Z40" s="1205"/>
    </row>
    <row r="41">
      <c r="A41" s="927" t="s">
        <v>53</v>
      </c>
      <c r="B41" s="1255" t="s">
        <v>845</v>
      </c>
      <c r="C41" s="1260"/>
      <c r="D41" s="1260"/>
      <c r="E41" s="1260"/>
      <c r="F41" s="1260"/>
      <c r="G41" s="1260"/>
      <c r="H41" s="1260"/>
      <c r="I41" s="1260"/>
      <c r="J41" s="118" t="s">
        <v>0</v>
      </c>
      <c r="K41" s="1272"/>
      <c r="L41" s="1273"/>
      <c r="M41" s="1273"/>
      <c r="N41" s="1273"/>
      <c r="O41" s="1273"/>
      <c r="P41" s="1273"/>
      <c r="Q41" s="1273"/>
      <c r="R41" s="1273"/>
      <c r="S41" s="1273"/>
      <c r="T41" s="1273"/>
      <c r="U41" s="1273"/>
      <c r="V41" s="1273"/>
      <c r="W41" s="1273"/>
      <c r="X41" s="1273"/>
      <c r="Y41" s="1273"/>
      <c r="Z41" s="1273"/>
    </row>
    <row r="42">
      <c r="A42" s="1256" t="s">
        <v>54</v>
      </c>
      <c r="B42" s="1255" t="s">
        <v>846</v>
      </c>
      <c r="C42" s="1260"/>
      <c r="D42" s="1260"/>
      <c r="E42" s="1260"/>
      <c r="F42" s="1260"/>
      <c r="G42" s="1260"/>
      <c r="H42" s="1260"/>
      <c r="I42" s="1260"/>
      <c r="J42" s="1258" t="s">
        <v>0</v>
      </c>
      <c r="K42" s="1245"/>
      <c r="L42" s="1246"/>
      <c r="M42" s="1246"/>
      <c r="N42" s="1246"/>
      <c r="O42" s="1246"/>
      <c r="P42" s="1246"/>
      <c r="Q42" s="1246"/>
      <c r="R42" s="1246"/>
      <c r="S42" s="1246"/>
      <c r="T42" s="1246"/>
      <c r="U42" s="1246"/>
      <c r="V42" s="1246"/>
      <c r="W42" s="1246"/>
      <c r="X42" s="1246"/>
      <c r="Y42" s="1246"/>
      <c r="Z42" s="1246"/>
    </row>
    <row r="43" spans="1:26">
      <c r="A43" s="1257"/>
      <c r="B43" s="1260"/>
      <c r="C43" s="1260"/>
      <c r="D43" s="1260"/>
      <c r="E43" s="1260"/>
      <c r="F43" s="1260"/>
      <c r="G43" s="1260"/>
      <c r="H43" s="1260"/>
      <c r="I43" s="1260"/>
      <c r="J43" s="1259"/>
      <c r="K43" s="1246"/>
      <c r="L43" s="1246"/>
      <c r="M43" s="1246"/>
      <c r="N43" s="1246"/>
      <c r="O43" s="1246"/>
      <c r="P43" s="1246"/>
      <c r="Q43" s="1246"/>
      <c r="R43" s="1246"/>
      <c r="S43" s="1246"/>
      <c r="T43" s="1246"/>
      <c r="U43" s="1246"/>
      <c r="V43" s="1246"/>
      <c r="W43" s="1246"/>
      <c r="X43" s="1246"/>
      <c r="Y43" s="1246"/>
      <c r="Z43" s="1246"/>
    </row>
    <row r="44">
      <c r="A44" s="1256" t="s">
        <v>56</v>
      </c>
      <c r="B44" s="1255" t="s">
        <v>847</v>
      </c>
      <c r="C44" s="1260"/>
      <c r="D44" s="1260"/>
      <c r="E44" s="1260"/>
      <c r="F44" s="1260"/>
      <c r="G44" s="1260"/>
      <c r="H44" s="1260"/>
      <c r="I44" s="1260"/>
      <c r="J44" s="1258" t="s">
        <v>0</v>
      </c>
      <c r="K44" s="1247"/>
      <c r="L44" s="1248"/>
      <c r="M44" s="1248"/>
      <c r="N44" s="1248"/>
      <c r="O44" s="1248"/>
      <c r="P44" s="1248"/>
      <c r="Q44" s="1248"/>
      <c r="R44" s="1248"/>
      <c r="S44" s="1248"/>
      <c r="T44" s="1248"/>
      <c r="U44" s="1248"/>
      <c r="V44" s="1248"/>
      <c r="W44" s="1248"/>
      <c r="X44" s="1248"/>
      <c r="Y44" s="1248"/>
      <c r="Z44" s="1248"/>
    </row>
    <row r="45" spans="1:26">
      <c r="A45" s="1257"/>
      <c r="B45" s="1260"/>
      <c r="C45" s="1260"/>
      <c r="D45" s="1260"/>
      <c r="E45" s="1260"/>
      <c r="F45" s="1260"/>
      <c r="G45" s="1260"/>
      <c r="H45" s="1260"/>
      <c r="I45" s="1260"/>
      <c r="J45" s="1259"/>
      <c r="K45" s="1248"/>
      <c r="L45" s="1248"/>
      <c r="M45" s="1248"/>
      <c r="N45" s="1248"/>
      <c r="O45" s="1248"/>
      <c r="P45" s="1248"/>
      <c r="Q45" s="1248"/>
      <c r="R45" s="1248"/>
      <c r="S45" s="1248"/>
      <c r="T45" s="1248"/>
      <c r="U45" s="1248"/>
      <c r="V45" s="1248"/>
      <c r="W45" s="1248"/>
      <c r="X45" s="1248"/>
      <c r="Y45" s="1248"/>
      <c r="Z45" s="1248"/>
    </row>
    <row r="46">
      <c r="A46" s="1256" t="s">
        <v>57</v>
      </c>
      <c r="B46" s="1255" t="s">
        <v>1059</v>
      </c>
      <c r="C46" s="1255"/>
      <c r="D46" s="1255"/>
      <c r="E46" s="1255"/>
      <c r="F46" s="1255"/>
      <c r="G46" s="1255"/>
      <c r="H46" s="1255"/>
      <c r="I46" s="1255"/>
      <c r="J46" s="1258" t="s">
        <v>0</v>
      </c>
      <c r="K46" s="1249"/>
      <c r="L46" s="1250"/>
      <c r="M46" s="1250"/>
      <c r="N46" s="1250"/>
      <c r="O46" s="1250"/>
      <c r="P46" s="1250"/>
      <c r="Q46" s="1250"/>
      <c r="R46" s="1250"/>
      <c r="S46" s="1250"/>
      <c r="T46" s="1250"/>
      <c r="U46" s="1250"/>
      <c r="V46" s="1250"/>
      <c r="W46" s="1250"/>
      <c r="X46" s="1250"/>
      <c r="Y46" s="1250"/>
      <c r="Z46" s="1250"/>
    </row>
    <row r="47" spans="1:26">
      <c r="A47" s="1257"/>
      <c r="B47" s="1255"/>
      <c r="C47" s="1255"/>
      <c r="D47" s="1255"/>
      <c r="E47" s="1255"/>
      <c r="F47" s="1255"/>
      <c r="G47" s="1255"/>
      <c r="H47" s="1255"/>
      <c r="I47" s="1255"/>
      <c r="J47" s="1259"/>
      <c r="K47" s="1250"/>
      <c r="L47" s="1250"/>
      <c r="M47" s="1250"/>
      <c r="N47" s="1250"/>
      <c r="O47" s="1250"/>
      <c r="P47" s="1250"/>
      <c r="Q47" s="1250"/>
      <c r="R47" s="1250"/>
      <c r="S47" s="1250"/>
      <c r="T47" s="1250"/>
      <c r="U47" s="1250"/>
      <c r="V47" s="1250"/>
      <c r="W47" s="1250"/>
      <c r="X47" s="1250"/>
      <c r="Y47" s="1250"/>
      <c r="Z47" s="1250"/>
    </row>
    <row r="48" spans="1:26">
      <c r="A48" s="1257"/>
      <c r="B48" s="1255"/>
      <c r="C48" s="1255"/>
      <c r="D48" s="1255"/>
      <c r="E48" s="1255"/>
      <c r="F48" s="1255"/>
      <c r="G48" s="1255"/>
      <c r="H48" s="1255"/>
      <c r="I48" s="1255"/>
      <c r="J48" s="1259"/>
      <c r="K48" s="1250"/>
      <c r="L48" s="1250"/>
      <c r="M48" s="1250"/>
      <c r="N48" s="1250"/>
      <c r="O48" s="1250"/>
      <c r="P48" s="1250"/>
      <c r="Q48" s="1250"/>
      <c r="R48" s="1250"/>
      <c r="S48" s="1250"/>
      <c r="T48" s="1250"/>
      <c r="U48" s="1250"/>
      <c r="V48" s="1250"/>
      <c r="W48" s="1250"/>
      <c r="X48" s="1250"/>
      <c r="Y48" s="1250"/>
      <c r="Z48" s="1250"/>
    </row>
    <row r="49" spans="1:26" ht="15" thickBot="1">
      <c r="A49" s="147"/>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6"/>
    </row>
    <row r="50" spans="1:26" ht="18.600000000000001" thickBot="1">
      <c r="A50" s="1203" t="s">
        <v>945</v>
      </c>
      <c r="B50" s="1204"/>
      <c r="C50" s="1204"/>
      <c r="D50" s="1204"/>
      <c r="E50" s="1204"/>
      <c r="F50" s="1204"/>
      <c r="G50" s="1204"/>
      <c r="H50" s="1204"/>
      <c r="I50" s="1204"/>
      <c r="J50" s="1204"/>
      <c r="K50" s="1204"/>
      <c r="L50" s="1204"/>
      <c r="M50" s="1204"/>
      <c r="N50" s="1204"/>
      <c r="O50" s="1204"/>
      <c r="P50" s="1204"/>
      <c r="Q50" s="1204"/>
      <c r="R50" s="1204"/>
      <c r="S50" s="1204"/>
      <c r="T50" s="1204"/>
      <c r="U50" s="1204"/>
      <c r="V50" s="1204"/>
      <c r="W50" s="1204"/>
      <c r="X50" s="1204"/>
      <c r="Y50" s="1204"/>
      <c r="Z50" s="1205"/>
    </row>
    <row r="51" spans="1:26" ht="5.25" customHeight="1">
      <c r="A51" s="102"/>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c r="A52" s="53" t="s">
        <v>53</v>
      </c>
      <c r="B52" s="1253" t="s">
        <v>848</v>
      </c>
      <c r="C52" s="1254"/>
      <c r="D52" s="1254"/>
      <c r="E52" s="1254"/>
      <c r="F52" s="1254"/>
      <c r="G52" s="1254"/>
      <c r="H52" s="1254"/>
      <c r="I52" s="1254"/>
      <c r="J52" s="118" t="s">
        <v>0</v>
      </c>
      <c r="K52" s="1251"/>
      <c r="L52" s="1252"/>
      <c r="M52" s="1252"/>
      <c r="N52" s="1252"/>
      <c r="O52" s="1252"/>
      <c r="P52" s="1252"/>
      <c r="Q52" s="1252"/>
      <c r="R52" s="1252"/>
      <c r="S52" s="1252"/>
      <c r="T52" s="1252"/>
      <c r="U52" s="1252"/>
      <c r="V52" s="1252"/>
      <c r="W52" s="1252"/>
      <c r="X52" s="1252"/>
      <c r="Y52" s="148"/>
      <c r="Z52" s="149"/>
    </row>
    <row r="53" spans="1:26">
      <c r="A53" s="53"/>
      <c r="B53" s="461"/>
      <c r="C53" s="462"/>
      <c r="D53" s="462"/>
      <c r="E53" s="462"/>
      <c r="F53" s="462"/>
      <c r="G53" s="462"/>
      <c r="H53" s="462"/>
      <c r="I53" s="462"/>
      <c r="J53" s="118"/>
      <c r="K53" s="55"/>
      <c r="L53" s="55"/>
      <c r="M53" s="55"/>
      <c r="N53" s="55"/>
      <c r="O53" s="55"/>
      <c r="P53" s="55"/>
      <c r="Q53" s="55"/>
      <c r="R53" s="55"/>
      <c r="S53" s="55"/>
      <c r="T53" s="55"/>
      <c r="U53" s="54"/>
      <c r="V53" s="54"/>
      <c r="W53" s="54"/>
      <c r="X53" s="54"/>
      <c r="Y53" s="54"/>
      <c r="Z53" s="99"/>
    </row>
    <row r="54" spans="1:26">
      <c r="A54" s="53" t="s">
        <v>54</v>
      </c>
      <c r="B54" s="56" t="s">
        <v>666</v>
      </c>
      <c r="C54" s="55"/>
      <c r="D54" s="55"/>
      <c r="E54" s="55"/>
      <c r="F54" s="55"/>
      <c r="G54" s="55"/>
      <c r="H54" s="55"/>
      <c r="I54" s="55"/>
      <c r="J54" s="55"/>
      <c r="K54" s="55"/>
      <c r="L54" s="55"/>
      <c r="M54" s="55"/>
      <c r="N54" s="55"/>
      <c r="O54" s="55"/>
      <c r="P54" s="55"/>
      <c r="Q54" s="55"/>
      <c r="R54" s="55"/>
      <c r="S54" s="55"/>
      <c r="T54" s="55"/>
      <c r="U54" s="54"/>
      <c r="V54" s="54"/>
      <c r="W54" s="54"/>
      <c r="X54" s="54"/>
      <c r="Y54" s="54"/>
      <c r="Z54" s="99"/>
    </row>
    <row r="55" spans="1:26">
      <c r="A55" s="53"/>
      <c r="B55" s="1217" t="s">
        <v>188</v>
      </c>
      <c r="C55" s="1217"/>
      <c r="D55" s="1217"/>
      <c r="E55" s="1217"/>
      <c r="F55" s="1217" t="s">
        <v>189</v>
      </c>
      <c r="G55" s="1217"/>
      <c r="H55" s="1217"/>
      <c r="I55" s="1217"/>
      <c r="J55" s="1217"/>
      <c r="K55" s="1217"/>
      <c r="L55" s="1217"/>
      <c r="M55" s="1217" t="s">
        <v>190</v>
      </c>
      <c r="N55" s="1217"/>
      <c r="O55" s="1217"/>
      <c r="P55" s="1217"/>
      <c r="Q55" s="1217"/>
      <c r="R55" s="1217"/>
      <c r="S55" s="1217" t="s">
        <v>191</v>
      </c>
      <c r="T55" s="1217"/>
      <c r="U55" s="1217"/>
      <c r="V55" s="1217"/>
      <c r="W55" s="1217"/>
      <c r="X55" s="1217"/>
      <c r="Y55" s="54"/>
      <c r="Z55" s="99"/>
    </row>
    <row r="56" ht="18" customHeight="1">
      <c r="A56" s="53"/>
      <c r="B56" s="1239" t="s">
        <v>937</v>
      </c>
      <c r="C56" s="1239"/>
      <c r="D56" s="1239"/>
      <c r="E56" s="1239"/>
      <c r="F56" s="1236"/>
      <c r="G56" s="1236"/>
      <c r="H56" s="1236"/>
      <c r="I56" s="1236"/>
      <c r="J56" s="1236"/>
      <c r="K56" s="1236"/>
      <c r="L56" s="1236"/>
      <c r="M56" s="1237"/>
      <c r="N56" s="1237"/>
      <c r="O56" s="1237"/>
      <c r="P56" s="1237"/>
      <c r="Q56" s="1237"/>
      <c r="R56" s="1237"/>
      <c r="S56" s="1236"/>
      <c r="T56" s="1236"/>
      <c r="U56" s="1236"/>
      <c r="V56" s="1236"/>
      <c r="W56" s="1236"/>
      <c r="X56" s="1236"/>
      <c r="Y56" s="54"/>
      <c r="Z56" s="99"/>
    </row>
    <row r="57" ht="18" customHeight="1">
      <c r="A57" s="53"/>
      <c r="B57" s="1238" t="s">
        <v>1164</v>
      </c>
      <c r="C57" s="1239"/>
      <c r="D57" s="1239"/>
      <c r="E57" s="1239"/>
      <c r="F57" s="1236"/>
      <c r="G57" s="1236"/>
      <c r="H57" s="1236"/>
      <c r="I57" s="1236"/>
      <c r="J57" s="1236"/>
      <c r="K57" s="1236"/>
      <c r="L57" s="1236"/>
      <c r="M57" s="1240"/>
      <c r="N57" s="1236"/>
      <c r="O57" s="1236"/>
      <c r="P57" s="1236"/>
      <c r="Q57" s="1236"/>
      <c r="R57" s="1236"/>
      <c r="S57" s="1236"/>
      <c r="T57" s="1236"/>
      <c r="U57" s="1236"/>
      <c r="V57" s="1236"/>
      <c r="W57" s="1236"/>
      <c r="X57" s="1236"/>
      <c r="Y57" s="54"/>
      <c r="Z57" s="99"/>
    </row>
    <row r="58" ht="27.75" customHeight="1">
      <c r="A58" s="53"/>
      <c r="B58" s="1243" t="s">
        <v>1188</v>
      </c>
      <c r="C58" s="1244"/>
      <c r="D58" s="1244"/>
      <c r="E58" s="1244"/>
      <c r="F58" s="1236"/>
      <c r="G58" s="1236"/>
      <c r="H58" s="1236"/>
      <c r="I58" s="1236"/>
      <c r="J58" s="1236"/>
      <c r="K58" s="1236"/>
      <c r="L58" s="1236"/>
      <c r="M58" s="1240"/>
      <c r="N58" s="1236"/>
      <c r="O58" s="1236"/>
      <c r="P58" s="1236"/>
      <c r="Q58" s="1236"/>
      <c r="R58" s="1236"/>
      <c r="S58" s="1236"/>
      <c r="T58" s="1236"/>
      <c r="U58" s="1236"/>
      <c r="V58" s="1236"/>
      <c r="W58" s="1236"/>
      <c r="X58" s="1236"/>
      <c r="Y58" s="54"/>
      <c r="Z58" s="99"/>
    </row>
    <row r="59" ht="18" hidden="1" customHeight="1">
      <c r="A59" s="53"/>
      <c r="B59" s="1242"/>
      <c r="C59" s="1242"/>
      <c r="D59" s="1242"/>
      <c r="E59" s="1242"/>
      <c r="F59" s="1236"/>
      <c r="G59" s="1236"/>
      <c r="H59" s="1236"/>
      <c r="I59" s="1236"/>
      <c r="J59" s="1236"/>
      <c r="K59" s="1236"/>
      <c r="L59" s="1236"/>
      <c r="M59" s="1240"/>
      <c r="N59" s="1236"/>
      <c r="O59" s="1236"/>
      <c r="P59" s="1236"/>
      <c r="Q59" s="1236"/>
      <c r="R59" s="1236"/>
      <c r="S59" s="1236"/>
      <c r="T59" s="1236"/>
      <c r="U59" s="1236"/>
      <c r="V59" s="1236"/>
      <c r="W59" s="1236"/>
      <c r="X59" s="1236"/>
      <c r="Y59" s="54"/>
      <c r="Z59" s="99"/>
    </row>
    <row r="60" ht="18" hidden="1" customHeight="1">
      <c r="A60" s="53"/>
      <c r="B60" s="1242"/>
      <c r="C60" s="1242"/>
      <c r="D60" s="1242"/>
      <c r="E60" s="1242"/>
      <c r="F60" s="1236"/>
      <c r="G60" s="1236"/>
      <c r="H60" s="1236"/>
      <c r="I60" s="1236"/>
      <c r="J60" s="1236"/>
      <c r="K60" s="1236"/>
      <c r="L60" s="1236"/>
      <c r="M60" s="1240"/>
      <c r="N60" s="1236"/>
      <c r="O60" s="1236"/>
      <c r="P60" s="1236"/>
      <c r="Q60" s="1236"/>
      <c r="R60" s="1236"/>
      <c r="S60" s="1236"/>
      <c r="T60" s="1236"/>
      <c r="U60" s="1236"/>
      <c r="V60" s="1236"/>
      <c r="W60" s="1236"/>
      <c r="X60" s="1236"/>
      <c r="Y60" s="54"/>
      <c r="Z60" s="99"/>
    </row>
    <row r="61" ht="27.75" hidden="1" customHeight="1">
      <c r="A61" s="53"/>
      <c r="B61" s="1241"/>
      <c r="C61" s="1241"/>
      <c r="D61" s="1241"/>
      <c r="E61" s="1241"/>
      <c r="F61" s="1236"/>
      <c r="G61" s="1236"/>
      <c r="H61" s="1236"/>
      <c r="I61" s="1236"/>
      <c r="J61" s="1236"/>
      <c r="K61" s="1236"/>
      <c r="L61" s="1236"/>
      <c r="M61" s="1236"/>
      <c r="N61" s="1236"/>
      <c r="O61" s="1236"/>
      <c r="P61" s="1236"/>
      <c r="Q61" s="1236"/>
      <c r="R61" s="1236"/>
      <c r="S61" s="1236"/>
      <c r="T61" s="1236"/>
      <c r="U61" s="1236"/>
      <c r="V61" s="1236"/>
      <c r="W61" s="1236"/>
      <c r="X61" s="1236"/>
      <c r="Y61" s="54"/>
      <c r="Z61" s="99"/>
    </row>
    <row r="62" spans="1:26" ht="15" thickBot="1">
      <c r="A62" s="53"/>
      <c r="B62" s="57"/>
      <c r="C62" s="57"/>
      <c r="D62" s="57"/>
      <c r="E62" s="57"/>
      <c r="F62" s="58"/>
      <c r="G62" s="58"/>
      <c r="H62" s="58"/>
      <c r="I62" s="58"/>
      <c r="J62" s="58"/>
      <c r="K62" s="58"/>
      <c r="L62" s="58"/>
      <c r="M62" s="58"/>
      <c r="N62" s="58"/>
      <c r="O62" s="58"/>
      <c r="P62" s="58"/>
      <c r="Q62" s="58"/>
      <c r="R62" s="58"/>
      <c r="S62" s="58"/>
      <c r="T62" s="58"/>
      <c r="U62" s="58"/>
      <c r="V62" s="58"/>
      <c r="W62" s="58"/>
      <c r="X62" s="58"/>
      <c r="Y62" s="54"/>
      <c r="Z62" s="99"/>
    </row>
    <row r="63" spans="1:26" ht="23.25" hidden="1" customHeight="1" thickBot="1">
      <c r="A63" s="53"/>
      <c r="B63" s="55"/>
      <c r="C63" s="55"/>
      <c r="D63" s="55"/>
      <c r="E63" s="55"/>
      <c r="F63" s="55"/>
      <c r="G63" s="55"/>
      <c r="H63" s="55"/>
      <c r="I63" s="55"/>
      <c r="J63" s="55"/>
      <c r="K63" s="55"/>
      <c r="L63" s="55"/>
      <c r="M63" s="55"/>
      <c r="N63" s="55"/>
      <c r="O63" s="55"/>
      <c r="P63" s="55"/>
      <c r="Q63" s="55"/>
      <c r="R63" s="55"/>
      <c r="S63" s="55"/>
      <c r="T63" s="55"/>
      <c r="U63" s="54"/>
      <c r="V63" s="54"/>
      <c r="W63" s="54"/>
      <c r="X63" s="54"/>
      <c r="Y63" s="54"/>
      <c r="Z63" s="99"/>
    </row>
    <row r="64" spans="1:26" ht="18.600000000000001" thickBot="1">
      <c r="A64" s="1203" t="s">
        <v>1064</v>
      </c>
      <c r="B64" s="1204"/>
      <c r="C64" s="1204"/>
      <c r="D64" s="1204"/>
      <c r="E64" s="1204"/>
      <c r="F64" s="1204"/>
      <c r="G64" s="1204"/>
      <c r="H64" s="1204"/>
      <c r="I64" s="1204"/>
      <c r="J64" s="1204"/>
      <c r="K64" s="1204"/>
      <c r="L64" s="1204"/>
      <c r="M64" s="1204"/>
      <c r="N64" s="1204"/>
      <c r="O64" s="1204"/>
      <c r="P64" s="1204"/>
      <c r="Q64" s="1204"/>
      <c r="R64" s="1204"/>
      <c r="S64" s="1204"/>
      <c r="T64" s="1204"/>
      <c r="U64" s="1204"/>
      <c r="V64" s="1204"/>
      <c r="W64" s="1204"/>
      <c r="X64" s="1204"/>
      <c r="Y64" s="1204"/>
      <c r="Z64" s="1205"/>
    </row>
    <row r="65" spans="1:30" s="151" customFormat="1" ht="4.5" customHeight="1">
      <c r="A65" s="153"/>
      <c r="AA65" s="224"/>
      <c r="AD65" s="583"/>
    </row>
    <row r="66" spans="1:30" s="151" customFormat="1" ht="12.75" customHeight="1">
      <c r="A66" s="928" t="s">
        <v>944</v>
      </c>
      <c r="AA66" s="224"/>
      <c r="AD66" s="583"/>
    </row>
    <row r="67" spans="1:30" s="151" customFormat="1" ht="12.75" customHeight="1">
      <c r="A67" s="1209" t="s">
        <v>10</v>
      </c>
      <c r="B67" s="1209" t="s">
        <v>985</v>
      </c>
      <c r="C67" s="1209"/>
      <c r="D67" s="1209"/>
      <c r="E67" s="1209"/>
      <c r="F67" s="1209"/>
      <c r="G67" s="1209" t="s">
        <v>769</v>
      </c>
      <c r="H67" s="1209" t="s">
        <v>878</v>
      </c>
      <c r="I67" s="1209"/>
      <c r="J67" s="1209"/>
      <c r="K67" s="1209"/>
      <c r="L67" s="1209" t="s">
        <v>938</v>
      </c>
      <c r="M67" s="1209" t="s">
        <v>939</v>
      </c>
      <c r="N67" s="1210" t="s">
        <v>65</v>
      </c>
      <c r="O67" s="1210"/>
      <c r="P67" s="930" t="s">
        <v>67</v>
      </c>
      <c r="Q67" s="929" t="s">
        <v>940</v>
      </c>
      <c r="R67" s="1196" t="s">
        <v>986</v>
      </c>
      <c r="S67" s="1197"/>
      <c r="T67" s="1197"/>
      <c r="U67" s="1197"/>
      <c r="V67" s="1189" t="s">
        <v>1071</v>
      </c>
      <c r="W67" s="1189"/>
      <c r="X67" s="1189" t="s">
        <v>1087</v>
      </c>
      <c r="Y67" s="1189"/>
      <c r="Z67" s="1190"/>
      <c r="AA67" s="590"/>
      <c r="AD67" s="583"/>
    </row>
    <row r="68" spans="1:30" s="151" customFormat="1" ht="27" customHeight="1">
      <c r="A68" s="1209"/>
      <c r="B68" s="1209"/>
      <c r="C68" s="1209"/>
      <c r="D68" s="1209"/>
      <c r="E68" s="1209"/>
      <c r="F68" s="1209"/>
      <c r="G68" s="1209"/>
      <c r="H68" s="1209"/>
      <c r="I68" s="1209"/>
      <c r="J68" s="1209"/>
      <c r="K68" s="1209"/>
      <c r="L68" s="1209"/>
      <c r="M68" s="1209"/>
      <c r="N68" s="1211" t="s">
        <v>1088</v>
      </c>
      <c r="O68" s="1211"/>
      <c r="P68" s="932" t="s">
        <v>989</v>
      </c>
      <c r="Q68" s="932" t="s">
        <v>988</v>
      </c>
      <c r="R68" s="1198"/>
      <c r="S68" s="1199"/>
      <c r="T68" s="1199"/>
      <c r="U68" s="1199"/>
      <c r="V68" s="1189"/>
      <c r="W68" s="1189"/>
      <c r="X68" s="1189"/>
      <c r="Y68" s="1189"/>
      <c r="Z68" s="1190"/>
      <c r="AA68" s="590"/>
      <c r="AD68" s="583"/>
    </row>
    <row r="69" s="151" customFormat="1" ht="23.25" customHeight="1">
      <c r="A69" s="584">
        <v>1</v>
      </c>
      <c r="B69" s="1206"/>
      <c r="C69" s="1207"/>
      <c r="D69" s="1207"/>
      <c r="E69" s="1207"/>
      <c r="F69" s="1208"/>
      <c r="G69" s="764"/>
      <c r="H69" s="1200"/>
      <c r="I69" s="1201"/>
      <c r="J69" s="1201"/>
      <c r="K69" s="1202"/>
      <c r="L69" s="584"/>
      <c r="M69" s="584"/>
      <c r="N69" s="1170"/>
      <c r="O69" s="1172"/>
      <c r="P69" s="588"/>
      <c r="Q69" s="586"/>
      <c r="R69" s="1194">
        <f>(N69*P69)-Q69</f>
      </c>
      <c r="S69" s="1195"/>
      <c r="T69" s="1195"/>
      <c r="U69" s="1195"/>
      <c r="V69" s="1181"/>
      <c r="W69" s="1181"/>
      <c r="X69" s="1182"/>
      <c r="Y69" s="1182"/>
      <c r="Z69" s="1183"/>
      <c r="AA69" s="591"/>
      <c r="AD69" s="583"/>
    </row>
    <row r="70" s="151" customFormat="1" ht="23.25" hidden="1" customHeight="1">
      <c r="A70" s="584">
        <f>A69+1</f>
      </c>
      <c r="B70" s="1191"/>
      <c r="C70" s="1192"/>
      <c r="D70" s="1192"/>
      <c r="E70" s="1192"/>
      <c r="F70" s="1193"/>
      <c r="G70" s="585"/>
      <c r="H70" s="1200"/>
      <c r="I70" s="1201"/>
      <c r="J70" s="1201"/>
      <c r="K70" s="1202"/>
      <c r="L70" s="584"/>
      <c r="M70" s="584"/>
      <c r="N70" s="1170"/>
      <c r="O70" s="1172"/>
      <c r="P70" s="588"/>
      <c r="Q70" s="587"/>
      <c r="R70" s="1194">
        <f t="shared" ref="R70:R75" si="0">(N70*P70)-Q70</f>
      </c>
      <c r="S70" s="1195"/>
      <c r="T70" s="1195"/>
      <c r="U70" s="1195"/>
      <c r="V70" s="1181"/>
      <c r="W70" s="1181"/>
      <c r="X70" s="1182"/>
      <c r="Y70" s="1182"/>
      <c r="Z70" s="1183"/>
      <c r="AA70" s="591"/>
      <c r="AD70" s="583"/>
    </row>
    <row r="71" s="151" customFormat="1" ht="23.25" hidden="1" customHeight="1">
      <c r="A71" s="584">
        <f t="shared" ref="A71:A75" si="1">A70+1</f>
      </c>
      <c r="B71" s="1191"/>
      <c r="C71" s="1192"/>
      <c r="D71" s="1192"/>
      <c r="E71" s="1192"/>
      <c r="F71" s="1193"/>
      <c r="G71" s="585"/>
      <c r="H71" s="1200"/>
      <c r="I71" s="1201"/>
      <c r="J71" s="1201"/>
      <c r="K71" s="1202"/>
      <c r="L71" s="584"/>
      <c r="M71" s="584"/>
      <c r="N71" s="1170"/>
      <c r="O71" s="1172"/>
      <c r="P71" s="588"/>
      <c r="Q71" s="587"/>
      <c r="R71" s="1194">
        <f t="shared" si="0"/>
      </c>
      <c r="S71" s="1195"/>
      <c r="T71" s="1195"/>
      <c r="U71" s="1195"/>
      <c r="V71" s="1181"/>
      <c r="W71" s="1181"/>
      <c r="X71" s="1182"/>
      <c r="Y71" s="1182"/>
      <c r="Z71" s="1183"/>
      <c r="AA71" s="591"/>
      <c r="AD71" s="583"/>
    </row>
    <row r="72" s="151" customFormat="1" ht="23.25" hidden="1" customHeight="1">
      <c r="A72" s="584">
        <f t="shared" si="1"/>
      </c>
      <c r="B72" s="1191"/>
      <c r="C72" s="1192"/>
      <c r="D72" s="1192"/>
      <c r="E72" s="1192"/>
      <c r="F72" s="1193"/>
      <c r="G72" s="585"/>
      <c r="H72" s="1200"/>
      <c r="I72" s="1201"/>
      <c r="J72" s="1201"/>
      <c r="K72" s="1202"/>
      <c r="L72" s="584"/>
      <c r="M72" s="584"/>
      <c r="N72" s="1170"/>
      <c r="O72" s="1172"/>
      <c r="P72" s="588"/>
      <c r="Q72" s="587"/>
      <c r="R72" s="1194">
        <f t="shared" si="0"/>
      </c>
      <c r="S72" s="1195"/>
      <c r="T72" s="1195"/>
      <c r="U72" s="1195"/>
      <c r="V72" s="1181"/>
      <c r="W72" s="1181"/>
      <c r="X72" s="1182"/>
      <c r="Y72" s="1182"/>
      <c r="Z72" s="1183"/>
      <c r="AA72" s="591"/>
      <c r="AD72" s="583"/>
    </row>
    <row r="73" s="151" customFormat="1" ht="23.25" hidden="1" customHeight="1">
      <c r="A73" s="584">
        <f t="shared" si="1"/>
      </c>
      <c r="B73" s="1191"/>
      <c r="C73" s="1192"/>
      <c r="D73" s="1192"/>
      <c r="E73" s="1192"/>
      <c r="F73" s="1193"/>
      <c r="G73" s="585"/>
      <c r="H73" s="1200"/>
      <c r="I73" s="1201"/>
      <c r="J73" s="1201"/>
      <c r="K73" s="1202"/>
      <c r="L73" s="584"/>
      <c r="M73" s="584"/>
      <c r="N73" s="1170"/>
      <c r="O73" s="1172"/>
      <c r="P73" s="588"/>
      <c r="Q73" s="587"/>
      <c r="R73" s="1194">
        <f t="shared" si="0"/>
      </c>
      <c r="S73" s="1195"/>
      <c r="T73" s="1195"/>
      <c r="U73" s="1195"/>
      <c r="V73" s="1181"/>
      <c r="W73" s="1181"/>
      <c r="X73" s="1182"/>
      <c r="Y73" s="1182"/>
      <c r="Z73" s="1183"/>
      <c r="AA73" s="591"/>
      <c r="AD73" s="583"/>
    </row>
    <row r="74" s="151" customFormat="1" ht="23.25" hidden="1" customHeight="1">
      <c r="A74" s="584">
        <f t="shared" si="1"/>
      </c>
      <c r="B74" s="1191"/>
      <c r="C74" s="1192"/>
      <c r="D74" s="1192"/>
      <c r="E74" s="1192"/>
      <c r="F74" s="1193"/>
      <c r="G74" s="585"/>
      <c r="H74" s="1200"/>
      <c r="I74" s="1201"/>
      <c r="J74" s="1201"/>
      <c r="K74" s="1202"/>
      <c r="L74" s="584"/>
      <c r="M74" s="584"/>
      <c r="N74" s="1170"/>
      <c r="O74" s="1172"/>
      <c r="P74" s="588"/>
      <c r="Q74" s="587"/>
      <c r="R74" s="1194">
        <f t="shared" si="0"/>
      </c>
      <c r="S74" s="1195"/>
      <c r="T74" s="1195"/>
      <c r="U74" s="1195"/>
      <c r="V74" s="1181"/>
      <c r="W74" s="1181"/>
      <c r="X74" s="1182"/>
      <c r="Y74" s="1182"/>
      <c r="Z74" s="1183"/>
      <c r="AA74" s="591"/>
      <c r="AD74" s="583"/>
    </row>
    <row r="75" s="151" customFormat="1" ht="23.25" hidden="1" customHeight="1">
      <c r="A75" s="584">
        <f t="shared" si="1"/>
      </c>
      <c r="B75" s="1191"/>
      <c r="C75" s="1192"/>
      <c r="D75" s="1192"/>
      <c r="E75" s="1192"/>
      <c r="F75" s="1193"/>
      <c r="G75" s="585"/>
      <c r="H75" s="1200"/>
      <c r="I75" s="1201"/>
      <c r="J75" s="1201"/>
      <c r="K75" s="1202"/>
      <c r="L75" s="584"/>
      <c r="M75" s="584"/>
      <c r="N75" s="1170"/>
      <c r="O75" s="1172"/>
      <c r="P75" s="588"/>
      <c r="Q75" s="587"/>
      <c r="R75" s="1194">
        <f t="shared" si="0"/>
      </c>
      <c r="S75" s="1195"/>
      <c r="T75" s="1195"/>
      <c r="U75" s="1195"/>
      <c r="V75" s="1181"/>
      <c r="W75" s="1181"/>
      <c r="X75" s="1182"/>
      <c r="Y75" s="1182"/>
      <c r="Z75" s="1183"/>
      <c r="AA75" s="591"/>
      <c r="AD75" s="583"/>
    </row>
    <row r="76" spans="1:30" s="151" customFormat="1" ht="16.5" customHeight="1">
      <c r="A76" s="1184" t="s">
        <v>987</v>
      </c>
      <c r="B76" s="1185"/>
      <c r="C76" s="1185"/>
      <c r="D76" s="1185"/>
      <c r="E76" s="1185"/>
      <c r="F76" s="1185"/>
      <c r="G76" s="1185"/>
      <c r="H76" s="1185"/>
      <c r="I76" s="1185"/>
      <c r="J76" s="1185"/>
      <c r="K76" s="1185"/>
      <c r="L76" s="1185"/>
      <c r="M76" s="1186"/>
      <c r="N76" s="1158">
        <f>SUM(N69:O75)</f>
      </c>
      <c r="O76" s="1160"/>
      <c r="P76" s="588"/>
      <c r="Q76" s="587"/>
      <c r="R76" s="1180">
        <f>SUM(R69:U75)</f>
      </c>
      <c r="S76" s="1180"/>
      <c r="T76" s="1180"/>
      <c r="U76" s="1158"/>
      <c r="V76" s="1181"/>
      <c r="W76" s="1181"/>
      <c r="X76" s="1182"/>
      <c r="Y76" s="1182"/>
      <c r="Z76" s="1183"/>
      <c r="AA76" s="591"/>
      <c r="AD76" s="583"/>
    </row>
    <row r="77" spans="1:30" ht="9" customHeight="1">
      <c r="A77" s="102"/>
      <c r="B77" s="116"/>
      <c r="C77" s="116"/>
      <c r="D77" s="116"/>
      <c r="E77" s="116"/>
      <c r="F77" s="116"/>
      <c r="G77" s="116"/>
      <c r="H77" s="116"/>
      <c r="I77" s="116"/>
      <c r="J77" s="116"/>
      <c r="K77" s="116"/>
      <c r="L77" s="116"/>
      <c r="M77" s="137"/>
      <c r="N77" s="137"/>
      <c r="O77" s="137"/>
      <c r="P77" s="137"/>
      <c r="Q77" s="103"/>
      <c r="R77" s="137"/>
      <c r="S77" s="137"/>
      <c r="T77" s="137"/>
      <c r="U77" s="137"/>
      <c r="V77" s="137"/>
      <c r="W77" s="137"/>
      <c r="X77" s="137"/>
      <c r="Y77" s="137"/>
      <c r="Z77" s="138"/>
    </row>
    <row r="78" spans="1:30" s="151" customFormat="1" ht="12.75" hidden="1" customHeight="1">
      <c r="A78" s="616" t="s">
        <v>1063</v>
      </c>
      <c r="B78" s="617"/>
      <c r="C78" s="617"/>
      <c r="D78" s="617"/>
      <c r="E78" s="617"/>
      <c r="F78" s="617"/>
      <c r="AA78" s="224"/>
      <c r="AD78" s="583"/>
    </row>
    <row r="79" spans="1:30" s="151" customFormat="1" ht="12.75" hidden="1" customHeight="1">
      <c r="A79" s="1187" t="s">
        <v>10</v>
      </c>
      <c r="B79" s="1187" t="s">
        <v>954</v>
      </c>
      <c r="C79" s="1187"/>
      <c r="D79" s="1187"/>
      <c r="E79" s="1187" t="s">
        <v>955</v>
      </c>
      <c r="F79" s="1187"/>
      <c r="G79" s="1187"/>
      <c r="H79" s="1187" t="s">
        <v>956</v>
      </c>
      <c r="I79" s="1188" t="s">
        <v>878</v>
      </c>
      <c r="J79" s="1188"/>
      <c r="K79" s="1188"/>
      <c r="L79" s="1187" t="s">
        <v>957</v>
      </c>
      <c r="M79" s="1187"/>
      <c r="N79" s="1187" t="s">
        <v>958</v>
      </c>
      <c r="O79" s="1173" t="s">
        <v>65</v>
      </c>
      <c r="P79" s="1173"/>
      <c r="Q79" s="773" t="s">
        <v>67</v>
      </c>
      <c r="R79" s="1173" t="s">
        <v>959</v>
      </c>
      <c r="S79" s="1173"/>
      <c r="T79" s="1173"/>
      <c r="U79" s="1173"/>
      <c r="V79" s="1187" t="s">
        <v>600</v>
      </c>
      <c r="W79" s="1187"/>
      <c r="X79" s="1187"/>
      <c r="Y79" s="1187"/>
      <c r="Z79" s="1188" t="s">
        <v>953</v>
      </c>
      <c r="AA79" s="589"/>
      <c r="AD79" s="583"/>
    </row>
    <row r="80" spans="1:30" s="151" customFormat="1" ht="12.75" hidden="1" customHeight="1">
      <c r="A80" s="1187"/>
      <c r="B80" s="1187"/>
      <c r="C80" s="1187"/>
      <c r="D80" s="1187"/>
      <c r="E80" s="1187"/>
      <c r="F80" s="1187"/>
      <c r="G80" s="1187"/>
      <c r="H80" s="1187"/>
      <c r="I80" s="1188"/>
      <c r="J80" s="1188"/>
      <c r="K80" s="1188"/>
      <c r="L80" s="1187"/>
      <c r="M80" s="1187"/>
      <c r="N80" s="1187"/>
      <c r="O80" s="1174" t="s">
        <v>941</v>
      </c>
      <c r="P80" s="1174"/>
      <c r="Q80" s="774" t="s">
        <v>989</v>
      </c>
      <c r="R80" s="1174" t="s">
        <v>988</v>
      </c>
      <c r="S80" s="1174"/>
      <c r="T80" s="1174"/>
      <c r="U80" s="1174"/>
      <c r="V80" s="1187"/>
      <c r="W80" s="1187"/>
      <c r="X80" s="1187"/>
      <c r="Y80" s="1187"/>
      <c r="Z80" s="1188"/>
      <c r="AA80" s="589"/>
      <c r="AD80" s="583"/>
    </row>
    <row r="81" s="151" customFormat="1" ht="23.25" hidden="1" customHeight="1">
      <c r="A81" s="584">
        <v>1</v>
      </c>
      <c r="B81" s="1175"/>
      <c r="C81" s="1175"/>
      <c r="D81" s="1175"/>
      <c r="E81" s="1175"/>
      <c r="F81" s="1175"/>
      <c r="G81" s="1175"/>
      <c r="H81" s="584"/>
      <c r="I81" s="1176"/>
      <c r="J81" s="1176"/>
      <c r="K81" s="1176"/>
      <c r="L81" s="1175"/>
      <c r="M81" s="1175"/>
      <c r="N81" s="585"/>
      <c r="O81" s="1170"/>
      <c r="P81" s="1172"/>
      <c r="Q81" s="588"/>
      <c r="R81" s="1170"/>
      <c r="S81" s="1171"/>
      <c r="T81" s="1171"/>
      <c r="U81" s="1172"/>
      <c r="V81" s="1177">
        <f>(O81*Q81)-R81</f>
      </c>
      <c r="W81" s="1178"/>
      <c r="X81" s="1178"/>
      <c r="Y81" s="1179"/>
      <c r="Z81" s="866"/>
      <c r="AA81" s="591"/>
      <c r="AD81" s="583"/>
    </row>
    <row r="82" s="151" customFormat="1" ht="23.25" hidden="1" customHeight="1">
      <c r="A82" s="584">
        <v>2</v>
      </c>
      <c r="B82" s="1175"/>
      <c r="C82" s="1175"/>
      <c r="D82" s="1175"/>
      <c r="E82" s="1175"/>
      <c r="F82" s="1175"/>
      <c r="G82" s="1175"/>
      <c r="H82" s="584"/>
      <c r="I82" s="1176"/>
      <c r="J82" s="1176"/>
      <c r="K82" s="1176"/>
      <c r="L82" s="1175"/>
      <c r="M82" s="1175"/>
      <c r="N82" s="585"/>
      <c r="O82" s="1170"/>
      <c r="P82" s="1172"/>
      <c r="Q82" s="588"/>
      <c r="R82" s="1170"/>
      <c r="S82" s="1171"/>
      <c r="T82" s="1171"/>
      <c r="U82" s="1172"/>
      <c r="V82" s="1177">
        <f t="shared" ref="V82:V85" si="2">(O82*Q82)-R82</f>
      </c>
      <c r="W82" s="1178"/>
      <c r="X82" s="1178"/>
      <c r="Y82" s="1179"/>
      <c r="Z82" s="867"/>
      <c r="AA82" s="591"/>
      <c r="AD82" s="583"/>
    </row>
    <row r="83" s="151" customFormat="1" ht="23.25" hidden="1" customHeight="1">
      <c r="A83" s="584">
        <v>3</v>
      </c>
      <c r="B83" s="1175"/>
      <c r="C83" s="1175"/>
      <c r="D83" s="1175"/>
      <c r="E83" s="1175"/>
      <c r="F83" s="1175"/>
      <c r="G83" s="1175"/>
      <c r="H83" s="584"/>
      <c r="I83" s="1176"/>
      <c r="J83" s="1176"/>
      <c r="K83" s="1176"/>
      <c r="L83" s="1175"/>
      <c r="M83" s="1175"/>
      <c r="N83" s="585"/>
      <c r="O83" s="1170"/>
      <c r="P83" s="1172"/>
      <c r="Q83" s="588"/>
      <c r="R83" s="1170"/>
      <c r="S83" s="1171"/>
      <c r="T83" s="1171"/>
      <c r="U83" s="1172"/>
      <c r="V83" s="1177">
        <f t="shared" si="2"/>
      </c>
      <c r="W83" s="1178"/>
      <c r="X83" s="1178"/>
      <c r="Y83" s="1179"/>
      <c r="Z83" s="867"/>
      <c r="AA83" s="591"/>
      <c r="AD83" s="583"/>
    </row>
    <row r="84" s="151" customFormat="1" ht="23.25" hidden="1" customHeight="1">
      <c r="A84" s="584">
        <v>4</v>
      </c>
      <c r="B84" s="1175"/>
      <c r="C84" s="1175"/>
      <c r="D84" s="1175"/>
      <c r="E84" s="1175"/>
      <c r="F84" s="1175"/>
      <c r="G84" s="1175"/>
      <c r="H84" s="584"/>
      <c r="I84" s="1176"/>
      <c r="J84" s="1176"/>
      <c r="K84" s="1176"/>
      <c r="L84" s="1175"/>
      <c r="M84" s="1175"/>
      <c r="N84" s="585"/>
      <c r="O84" s="1170"/>
      <c r="P84" s="1172"/>
      <c r="Q84" s="588"/>
      <c r="R84" s="1170"/>
      <c r="S84" s="1171"/>
      <c r="T84" s="1171"/>
      <c r="U84" s="1172"/>
      <c r="V84" s="1177">
        <f t="shared" si="2"/>
      </c>
      <c r="W84" s="1178"/>
      <c r="X84" s="1178"/>
      <c r="Y84" s="1179"/>
      <c r="Z84" s="867"/>
      <c r="AA84" s="591"/>
      <c r="AD84" s="583"/>
    </row>
    <row r="85" s="151" customFormat="1" ht="23.25" hidden="1" customHeight="1">
      <c r="A85" s="584">
        <v>5</v>
      </c>
      <c r="B85" s="1175"/>
      <c r="C85" s="1175"/>
      <c r="D85" s="1175"/>
      <c r="E85" s="1175"/>
      <c r="F85" s="1175"/>
      <c r="G85" s="1175"/>
      <c r="H85" s="584"/>
      <c r="I85" s="1176"/>
      <c r="J85" s="1176"/>
      <c r="K85" s="1176"/>
      <c r="L85" s="1175"/>
      <c r="M85" s="1175"/>
      <c r="N85" s="585"/>
      <c r="O85" s="1170"/>
      <c r="P85" s="1172"/>
      <c r="Q85" s="588"/>
      <c r="R85" s="1170"/>
      <c r="S85" s="1171"/>
      <c r="T85" s="1171"/>
      <c r="U85" s="1172"/>
      <c r="V85" s="1177">
        <f t="shared" si="2"/>
      </c>
      <c r="W85" s="1178"/>
      <c r="X85" s="1178"/>
      <c r="Y85" s="1179"/>
      <c r="Z85" s="867"/>
      <c r="AA85" s="591"/>
      <c r="AD85" s="583"/>
    </row>
    <row r="86" spans="1:30" s="151" customFormat="1" ht="18" hidden="1" customHeight="1">
      <c r="A86" s="1167" t="s">
        <v>987</v>
      </c>
      <c r="B86" s="1168"/>
      <c r="C86" s="1168"/>
      <c r="D86" s="1168"/>
      <c r="E86" s="1168"/>
      <c r="F86" s="1168"/>
      <c r="G86" s="1168"/>
      <c r="H86" s="1168"/>
      <c r="I86" s="1168"/>
      <c r="J86" s="1168"/>
      <c r="K86" s="1168"/>
      <c r="L86" s="1168"/>
      <c r="M86" s="1168"/>
      <c r="N86" s="1169"/>
      <c r="O86" s="1158">
        <f>SUM(O81:P85)</f>
      </c>
      <c r="P86" s="1160"/>
      <c r="Q86" s="592"/>
      <c r="R86" s="1158">
        <f>SUM(R81:U85)</f>
      </c>
      <c r="S86" s="1159"/>
      <c r="T86" s="1159"/>
      <c r="U86" s="1160"/>
      <c r="V86" s="1158">
        <f>SUM(V81:Y85)</f>
      </c>
      <c r="W86" s="1159"/>
      <c r="X86" s="1159"/>
      <c r="Y86" s="1160"/>
      <c r="Z86" s="868"/>
      <c r="AA86" s="591"/>
      <c r="AD86" s="583"/>
    </row>
    <row r="87" spans="1:30" hidden="1">
      <c r="A87" s="102"/>
      <c r="B87" s="116"/>
      <c r="C87" s="116"/>
      <c r="D87" s="116"/>
      <c r="E87" s="116"/>
      <c r="F87" s="116"/>
      <c r="G87" s="116"/>
      <c r="H87" s="116"/>
      <c r="I87" s="116"/>
      <c r="J87" s="116"/>
      <c r="K87" s="116"/>
      <c r="L87" s="116"/>
      <c r="M87" s="137"/>
      <c r="N87" s="137"/>
      <c r="O87" s="137"/>
      <c r="P87" s="137"/>
      <c r="Q87" s="103"/>
      <c r="R87" s="137"/>
      <c r="S87" s="137"/>
      <c r="T87" s="137"/>
      <c r="U87" s="137"/>
      <c r="V87" s="137"/>
      <c r="W87" s="137"/>
      <c r="X87" s="137"/>
      <c r="Y87" s="137"/>
      <c r="Z87" s="138"/>
    </row>
    <row r="88" spans="1:30" hidden="1">
      <c r="A88" s="616" t="s">
        <v>960</v>
      </c>
      <c r="B88" s="618"/>
      <c r="C88" s="618"/>
      <c r="D88" s="618"/>
      <c r="E88" s="618"/>
      <c r="F88" s="618"/>
      <c r="G88" s="116"/>
      <c r="H88" s="116"/>
      <c r="I88" s="116"/>
      <c r="J88" s="116"/>
      <c r="K88" s="116"/>
      <c r="L88" s="116"/>
      <c r="M88" s="137"/>
      <c r="N88" s="137"/>
      <c r="O88" s="137"/>
      <c r="P88" s="137"/>
      <c r="Q88" s="103"/>
      <c r="R88" s="137"/>
      <c r="S88" s="137"/>
      <c r="T88" s="137"/>
      <c r="U88" s="137"/>
      <c r="V88" s="137"/>
      <c r="W88" s="137"/>
      <c r="X88" s="137"/>
      <c r="Y88" s="137"/>
      <c r="Z88" s="138"/>
    </row>
    <row r="89" spans="1:30" hidden="1">
      <c r="A89" s="1153" t="s">
        <v>10</v>
      </c>
      <c r="B89" s="1147" t="s">
        <v>1072</v>
      </c>
      <c r="C89" s="1148"/>
      <c r="D89" s="1149"/>
      <c r="E89" s="1147" t="s">
        <v>1073</v>
      </c>
      <c r="F89" s="1148"/>
      <c r="G89" s="1149"/>
      <c r="H89" s="1147" t="s">
        <v>1074</v>
      </c>
      <c r="I89" s="1148"/>
      <c r="J89" s="1148"/>
      <c r="K89" s="1149"/>
      <c r="L89" s="1147" t="s">
        <v>1075</v>
      </c>
      <c r="M89" s="1148"/>
      <c r="N89" s="1149"/>
      <c r="O89" s="1161" t="s">
        <v>1076</v>
      </c>
      <c r="P89" s="1163"/>
      <c r="Q89" s="1147" t="s">
        <v>940</v>
      </c>
      <c r="R89" s="1149"/>
      <c r="S89" s="1161" t="s">
        <v>986</v>
      </c>
      <c r="T89" s="1162"/>
      <c r="U89" s="1162"/>
      <c r="V89" s="1162"/>
      <c r="W89" s="1163"/>
      <c r="X89" s="137"/>
      <c r="Y89" s="137"/>
      <c r="Z89" s="138"/>
    </row>
    <row r="90" spans="1:30" hidden="1">
      <c r="A90" s="1154"/>
      <c r="B90" s="1150"/>
      <c r="C90" s="1151"/>
      <c r="D90" s="1152"/>
      <c r="E90" s="1150"/>
      <c r="F90" s="1151"/>
      <c r="G90" s="1152"/>
      <c r="H90" s="1150"/>
      <c r="I90" s="1151"/>
      <c r="J90" s="1151"/>
      <c r="K90" s="1152"/>
      <c r="L90" s="1150"/>
      <c r="M90" s="1151"/>
      <c r="N90" s="1152"/>
      <c r="O90" s="1164"/>
      <c r="P90" s="1166"/>
      <c r="Q90" s="1150" t="s">
        <v>988</v>
      </c>
      <c r="R90" s="1152"/>
      <c r="S90" s="1164"/>
      <c r="T90" s="1165"/>
      <c r="U90" s="1165"/>
      <c r="V90" s="1165"/>
      <c r="W90" s="1166"/>
      <c r="X90" s="137"/>
      <c r="Y90" s="137"/>
      <c r="Z90" s="138"/>
    </row>
    <row r="91" hidden="1">
      <c r="A91" s="593">
        <v>1</v>
      </c>
      <c r="B91" s="1142" t="s">
        <v>1134</v>
      </c>
      <c r="C91" s="1143"/>
      <c r="D91" s="1144"/>
      <c r="E91" s="1155"/>
      <c r="F91" s="1156"/>
      <c r="G91" s="1157"/>
      <c r="H91" s="1142"/>
      <c r="I91" s="1143"/>
      <c r="J91" s="1143"/>
      <c r="K91" s="1144"/>
      <c r="L91" s="1136"/>
      <c r="M91" s="1145"/>
      <c r="N91" s="1137"/>
      <c r="O91" s="1138"/>
      <c r="P91" s="1139"/>
      <c r="Q91" s="1136"/>
      <c r="R91" s="1137"/>
      <c r="S91" s="1126">
        <f>(L91*O91)-Q91</f>
      </c>
      <c r="T91" s="1127"/>
      <c r="U91" s="1127"/>
      <c r="V91" s="1127"/>
      <c r="W91" s="1128"/>
      <c r="X91" s="137"/>
      <c r="Y91" s="137"/>
      <c r="Z91" s="138"/>
    </row>
    <row r="92" hidden="1">
      <c r="A92" s="593">
        <v>2</v>
      </c>
      <c r="B92" s="1142"/>
      <c r="C92" s="1143"/>
      <c r="D92" s="1144"/>
      <c r="E92" s="1155"/>
      <c r="F92" s="1156"/>
      <c r="G92" s="1157"/>
      <c r="H92" s="1142"/>
      <c r="I92" s="1143"/>
      <c r="J92" s="1143"/>
      <c r="K92" s="1144"/>
      <c r="L92" s="1136"/>
      <c r="M92" s="1145"/>
      <c r="N92" s="1137"/>
      <c r="O92" s="1138"/>
      <c r="P92" s="1139"/>
      <c r="Q92" s="1136"/>
      <c r="R92" s="1137"/>
      <c r="S92" s="1126">
        <f t="shared" ref="S92:S94" si="3">(L92*O92)-Q92</f>
      </c>
      <c r="T92" s="1127"/>
      <c r="U92" s="1127"/>
      <c r="V92" s="1127"/>
      <c r="W92" s="1128"/>
      <c r="X92" s="137"/>
      <c r="Y92" s="137"/>
      <c r="Z92" s="138"/>
    </row>
    <row r="93" hidden="1">
      <c r="A93" s="593">
        <v>3</v>
      </c>
      <c r="B93" s="1142"/>
      <c r="C93" s="1143"/>
      <c r="D93" s="1144"/>
      <c r="E93" s="1155"/>
      <c r="F93" s="1156"/>
      <c r="G93" s="1157"/>
      <c r="H93" s="1142"/>
      <c r="I93" s="1143"/>
      <c r="J93" s="1143"/>
      <c r="K93" s="1144"/>
      <c r="L93" s="1136"/>
      <c r="M93" s="1145"/>
      <c r="N93" s="1137"/>
      <c r="O93" s="1138"/>
      <c r="P93" s="1139"/>
      <c r="Q93" s="1136"/>
      <c r="R93" s="1137"/>
      <c r="S93" s="1126">
        <f t="shared" si="3"/>
      </c>
      <c r="T93" s="1127"/>
      <c r="U93" s="1127"/>
      <c r="V93" s="1127"/>
      <c r="W93" s="1128"/>
      <c r="X93" s="137"/>
      <c r="Y93" s="137"/>
      <c r="Z93" s="138"/>
    </row>
    <row r="94" hidden="1">
      <c r="A94" s="593">
        <v>4</v>
      </c>
      <c r="B94" s="1142"/>
      <c r="C94" s="1143"/>
      <c r="D94" s="1144"/>
      <c r="E94" s="1155"/>
      <c r="F94" s="1156"/>
      <c r="G94" s="1157"/>
      <c r="H94" s="1142"/>
      <c r="I94" s="1143"/>
      <c r="J94" s="1143"/>
      <c r="K94" s="1144"/>
      <c r="L94" s="1136"/>
      <c r="M94" s="1145"/>
      <c r="N94" s="1137"/>
      <c r="O94" s="1138"/>
      <c r="P94" s="1139"/>
      <c r="Q94" s="1136"/>
      <c r="R94" s="1137"/>
      <c r="S94" s="1126">
        <f t="shared" si="3"/>
      </c>
      <c r="T94" s="1127"/>
      <c r="U94" s="1127"/>
      <c r="V94" s="1127"/>
      <c r="W94" s="1128"/>
      <c r="X94" s="137"/>
      <c r="Y94" s="137"/>
      <c r="Z94" s="138"/>
    </row>
    <row r="95" spans="1:30" hidden="1">
      <c r="A95" s="1132" t="s">
        <v>987</v>
      </c>
      <c r="B95" s="1133"/>
      <c r="C95" s="1133"/>
      <c r="D95" s="1133"/>
      <c r="E95" s="1133"/>
      <c r="F95" s="1133"/>
      <c r="G95" s="1133"/>
      <c r="H95" s="1133"/>
      <c r="I95" s="1133"/>
      <c r="J95" s="1133"/>
      <c r="K95" s="1134"/>
      <c r="L95" s="1140">
        <f>SUM(L91:N94)</f>
      </c>
      <c r="M95" s="1146"/>
      <c r="N95" s="1141"/>
      <c r="O95" s="1138"/>
      <c r="P95" s="1139"/>
      <c r="Q95" s="1140">
        <f>SUM(Q91:R94)</f>
      </c>
      <c r="R95" s="1141"/>
      <c r="S95" s="1129">
        <f>SUM(S91:W94)</f>
      </c>
      <c r="T95" s="1130"/>
      <c r="U95" s="1130"/>
      <c r="V95" s="1130"/>
      <c r="W95" s="1131"/>
      <c r="X95" s="137"/>
      <c r="Y95" s="137"/>
      <c r="Z95" s="138"/>
    </row>
    <row r="96" spans="1:30" ht="11.25" customHeight="1">
      <c r="A96" s="102"/>
      <c r="B96" s="116"/>
      <c r="C96" s="116"/>
      <c r="D96" s="116"/>
      <c r="E96" s="116"/>
      <c r="F96" s="116"/>
      <c r="G96" s="116"/>
      <c r="H96" s="116"/>
      <c r="I96" s="116"/>
      <c r="J96" s="116"/>
      <c r="K96" s="116"/>
      <c r="L96" s="116"/>
      <c r="M96" s="137"/>
      <c r="N96" s="137"/>
      <c r="O96" s="137"/>
      <c r="P96" s="137"/>
      <c r="Q96" s="103"/>
      <c r="R96" s="137"/>
      <c r="S96" s="137"/>
      <c r="T96" s="137"/>
      <c r="U96" s="137"/>
      <c r="V96" s="137"/>
      <c r="W96" s="137"/>
      <c r="X96" s="137"/>
      <c r="Y96" s="137"/>
      <c r="Z96" s="138"/>
    </row>
    <row r="97" spans="1:29" ht="18" customHeight="1">
      <c r="A97" s="102"/>
      <c r="B97" s="619" t="s">
        <v>1125</v>
      </c>
      <c r="C97" s="620"/>
      <c r="D97" s="620"/>
      <c r="E97" s="620"/>
      <c r="F97" s="620"/>
      <c r="G97" s="621"/>
      <c r="H97" s="621"/>
      <c r="I97" s="1135">
        <f>R76+V86+S95</f>
      </c>
      <c r="J97" s="1135"/>
      <c r="K97" s="1135"/>
      <c r="L97" s="1135"/>
      <c r="M97" s="1135"/>
      <c r="N97" s="1135"/>
      <c r="O97" s="137"/>
      <c r="P97" s="137"/>
      <c r="Q97" s="103"/>
      <c r="R97" s="137"/>
      <c r="S97" s="137"/>
      <c r="T97" s="137"/>
      <c r="U97" s="137"/>
      <c r="V97" s="137"/>
      <c r="W97" s="137"/>
      <c r="X97" s="137"/>
      <c r="Y97" s="137"/>
      <c r="Z97" s="138"/>
    </row>
    <row r="98" spans="1:29" ht="13.5" customHeight="1" thickBot="1">
      <c r="A98" s="102"/>
      <c r="B98" s="116"/>
      <c r="C98" s="116"/>
      <c r="D98" s="116"/>
      <c r="E98" s="116"/>
      <c r="F98" s="116"/>
      <c r="G98" s="116"/>
      <c r="H98" s="116"/>
      <c r="I98" s="116"/>
      <c r="J98" s="116"/>
      <c r="K98" s="116"/>
      <c r="L98" s="116"/>
      <c r="M98" s="137"/>
      <c r="N98" s="137"/>
      <c r="O98" s="137"/>
      <c r="P98" s="137"/>
      <c r="Q98" s="103"/>
      <c r="R98" s="137"/>
      <c r="S98" s="137"/>
      <c r="T98" s="137"/>
      <c r="U98" s="137"/>
      <c r="V98" s="137"/>
      <c r="W98" s="137"/>
      <c r="X98" s="137"/>
      <c r="Y98" s="137"/>
      <c r="Z98" s="138"/>
    </row>
    <row r="99" spans="1:29" ht="18.600000000000001" thickBot="1">
      <c r="A99" s="1203" t="s">
        <v>694</v>
      </c>
      <c r="B99" s="1204"/>
      <c r="C99" s="1204"/>
      <c r="D99" s="1204"/>
      <c r="E99" s="1204"/>
      <c r="F99" s="1204"/>
      <c r="G99" s="1204"/>
      <c r="H99" s="1204"/>
      <c r="I99" s="1204"/>
      <c r="J99" s="1204"/>
      <c r="K99" s="1204"/>
      <c r="L99" s="1204"/>
      <c r="M99" s="1204"/>
      <c r="N99" s="1204"/>
      <c r="O99" s="1204"/>
      <c r="P99" s="1204"/>
      <c r="Q99" s="1204"/>
      <c r="R99" s="1204"/>
      <c r="S99" s="1204"/>
      <c r="T99" s="1204"/>
      <c r="U99" s="1204"/>
      <c r="V99" s="1204"/>
      <c r="W99" s="1204"/>
      <c r="X99" s="1204"/>
      <c r="Y99" s="1204"/>
      <c r="Z99" s="1205"/>
      <c r="AA99" s="103"/>
      <c r="AB99" s="103"/>
      <c r="AC99" s="103"/>
    </row>
    <row r="100" spans="1:29" ht="4.5" customHeight="1">
      <c r="A100" s="160"/>
      <c r="B100" s="156"/>
      <c r="C100" s="156"/>
      <c r="D100" s="156"/>
      <c r="E100" s="156"/>
      <c r="F100" s="156"/>
      <c r="G100" s="156"/>
      <c r="H100" s="156"/>
      <c r="I100" s="156"/>
      <c r="J100" s="156"/>
      <c r="K100" s="156"/>
      <c r="L100" s="156"/>
      <c r="M100" s="157"/>
      <c r="N100" s="157"/>
      <c r="O100" s="157"/>
      <c r="P100" s="157"/>
      <c r="Q100" s="158"/>
      <c r="R100" s="157"/>
      <c r="S100" s="157"/>
      <c r="T100" s="157"/>
      <c r="U100" s="157"/>
      <c r="V100" s="157"/>
      <c r="W100" s="157"/>
      <c r="X100" s="157"/>
      <c r="Y100" s="157"/>
      <c r="Z100" s="159"/>
    </row>
    <row r="101" spans="1:29">
      <c r="A101" s="170" t="s">
        <v>392</v>
      </c>
      <c r="B101" s="153" t="s">
        <v>784</v>
      </c>
      <c r="C101" s="116"/>
      <c r="D101" s="116"/>
      <c r="E101" s="116"/>
      <c r="F101" s="116"/>
      <c r="G101" s="116"/>
      <c r="H101" s="116"/>
      <c r="I101" s="116"/>
      <c r="J101" s="116"/>
      <c r="K101" s="116"/>
      <c r="L101" s="116"/>
      <c r="M101" s="137"/>
      <c r="N101" s="137"/>
      <c r="O101" s="137"/>
      <c r="P101" s="137"/>
      <c r="Q101" s="103"/>
      <c r="R101" s="137"/>
      <c r="S101" s="137"/>
      <c r="T101" s="137"/>
      <c r="U101" s="137"/>
      <c r="V101" s="137"/>
      <c r="W101" s="137"/>
      <c r="X101" s="137"/>
      <c r="Y101" s="137"/>
      <c r="Z101" s="138"/>
      <c r="AB101" s="161" t="s">
        <v>695</v>
      </c>
    </row>
    <row r="102" spans="1:29">
      <c r="A102" s="102"/>
      <c r="B102" s="869" t="s">
        <v>894</v>
      </c>
      <c r="C102" s="870"/>
      <c r="D102" s="870"/>
      <c r="E102" s="870"/>
      <c r="F102" s="870"/>
      <c r="G102" s="870"/>
      <c r="H102" s="870"/>
      <c r="I102" s="870"/>
      <c r="J102" s="870"/>
      <c r="K102" s="870"/>
      <c r="L102" s="870"/>
      <c r="M102" s="870"/>
      <c r="N102" s="870"/>
      <c r="O102" s="870"/>
      <c r="P102" s="870"/>
      <c r="Q102" s="243"/>
      <c r="R102" s="172"/>
      <c r="S102" s="172"/>
      <c r="T102" s="172"/>
      <c r="U102" s="243"/>
      <c r="V102" s="137"/>
      <c r="W102" s="137"/>
      <c r="X102" s="137"/>
      <c r="Y102" s="137"/>
      <c r="Z102" s="138"/>
      <c r="AB102" s="161" t="s">
        <v>696</v>
      </c>
    </row>
    <row r="103" spans="1:29">
      <c r="A103" s="102"/>
      <c r="B103" s="607" t="s">
        <v>965</v>
      </c>
      <c r="D103" s="171"/>
      <c r="E103" s="171"/>
      <c r="F103" s="608" t="s">
        <v>0</v>
      </c>
      <c r="G103" s="171" t="s">
        <v>936</v>
      </c>
      <c r="I103" s="171"/>
      <c r="J103" s="171"/>
      <c r="K103" s="171"/>
      <c r="L103" s="171"/>
      <c r="M103" s="171"/>
      <c r="N103" s="171"/>
      <c r="O103" s="171"/>
      <c r="P103" s="171"/>
      <c r="Q103" s="171"/>
      <c r="R103" s="171"/>
      <c r="S103" s="171"/>
      <c r="T103" s="171"/>
      <c r="U103" s="171"/>
      <c r="V103" s="137"/>
      <c r="W103" s="137"/>
      <c r="X103" s="137"/>
      <c r="Y103" s="137"/>
      <c r="Z103" s="138"/>
      <c r="AB103" s="161"/>
    </row>
    <row r="104" spans="1:29" ht="5.25" customHeight="1">
      <c r="A104" s="102"/>
      <c r="B104" s="171"/>
      <c r="C104" s="171"/>
      <c r="D104" s="171"/>
      <c r="E104" s="171"/>
      <c r="F104" s="171"/>
      <c r="G104" s="171"/>
      <c r="H104" s="171"/>
      <c r="I104" s="171"/>
      <c r="J104" s="171"/>
      <c r="K104" s="171"/>
      <c r="L104" s="171"/>
      <c r="M104" s="171"/>
      <c r="N104" s="171"/>
      <c r="O104" s="171"/>
      <c r="P104" s="171"/>
      <c r="Q104" s="171"/>
      <c r="R104" s="171"/>
      <c r="S104" s="171"/>
      <c r="T104" s="171"/>
      <c r="U104" s="171"/>
      <c r="V104" s="137"/>
      <c r="W104" s="137"/>
      <c r="X104" s="137"/>
      <c r="Y104" s="137"/>
      <c r="Z104" s="138"/>
      <c r="AB104" s="161"/>
    </row>
    <row r="105" spans="1:29">
      <c r="A105" s="170" t="s">
        <v>394</v>
      </c>
      <c r="B105" s="153" t="s">
        <v>895</v>
      </c>
      <c r="C105" s="116"/>
      <c r="D105" s="116"/>
      <c r="E105" s="116"/>
      <c r="F105" s="116"/>
      <c r="G105" s="116"/>
      <c r="H105" s="116"/>
      <c r="I105" s="116"/>
      <c r="J105" s="116"/>
      <c r="K105" s="116"/>
      <c r="L105" s="116"/>
      <c r="M105" s="137"/>
      <c r="N105" s="137"/>
      <c r="O105" s="137"/>
      <c r="P105" s="137"/>
      <c r="Q105" s="103"/>
      <c r="R105" s="137"/>
      <c r="S105" s="137"/>
      <c r="T105" s="137"/>
      <c r="U105" s="137"/>
      <c r="V105" s="137"/>
      <c r="W105" s="137"/>
      <c r="X105" s="137"/>
      <c r="Y105" s="137"/>
      <c r="Z105" s="138"/>
      <c r="AB105" s="161" t="s">
        <v>697</v>
      </c>
    </row>
    <row r="106" spans="1:29">
      <c r="A106" s="170"/>
      <c r="B106" s="871" t="s">
        <v>849</v>
      </c>
      <c r="C106" s="872"/>
      <c r="D106" s="872"/>
      <c r="E106" s="872"/>
      <c r="F106" s="872"/>
      <c r="G106" s="872"/>
      <c r="H106" s="872"/>
      <c r="I106" s="872"/>
      <c r="J106" s="872"/>
      <c r="K106" s="872"/>
      <c r="L106" s="872"/>
      <c r="M106" s="137"/>
      <c r="N106" s="137"/>
      <c r="O106" s="137"/>
      <c r="P106" s="137"/>
      <c r="Q106" s="103"/>
      <c r="R106" s="137"/>
      <c r="S106" s="137"/>
      <c r="T106" s="137"/>
      <c r="U106" s="137"/>
      <c r="V106" s="137"/>
      <c r="W106" s="137"/>
      <c r="X106" s="137"/>
      <c r="Y106" s="137"/>
      <c r="Z106" s="138"/>
      <c r="AB106" s="161"/>
    </row>
    <row r="107" spans="1:29">
      <c r="A107" s="102"/>
      <c r="B107" s="607" t="s">
        <v>965</v>
      </c>
      <c r="D107" s="171"/>
      <c r="E107" s="171"/>
      <c r="F107" s="608" t="s">
        <v>0</v>
      </c>
      <c r="G107" s="172" t="s">
        <v>966</v>
      </c>
      <c r="H107" s="172"/>
      <c r="I107" s="172"/>
      <c r="J107" s="116"/>
      <c r="K107" s="116"/>
      <c r="L107" s="116"/>
      <c r="M107" s="137"/>
      <c r="N107" s="137"/>
      <c r="O107" s="137"/>
      <c r="P107" s="137"/>
      <c r="Q107" s="103"/>
      <c r="R107" s="137"/>
      <c r="S107" s="137"/>
      <c r="T107" s="137"/>
      <c r="U107" s="137"/>
      <c r="V107" s="137"/>
      <c r="W107" s="137"/>
      <c r="X107" s="137"/>
      <c r="Y107" s="137"/>
      <c r="Z107" s="138"/>
    </row>
    <row r="108" spans="1:29" ht="3.75" customHeight="1">
      <c r="A108" s="102"/>
      <c r="B108" s="210"/>
      <c r="C108" s="172"/>
      <c r="D108" s="172"/>
      <c r="E108" s="172"/>
      <c r="F108" s="172"/>
      <c r="G108" s="172"/>
      <c r="H108" s="172"/>
      <c r="I108" s="172"/>
      <c r="J108" s="116"/>
      <c r="K108" s="116"/>
      <c r="L108" s="116"/>
      <c r="M108" s="137"/>
      <c r="N108" s="137"/>
      <c r="O108" s="137"/>
      <c r="P108" s="137"/>
      <c r="Q108" s="103"/>
      <c r="R108" s="137"/>
      <c r="S108" s="137"/>
      <c r="T108" s="137"/>
      <c r="U108" s="137"/>
      <c r="V108" s="137"/>
      <c r="W108" s="137"/>
      <c r="X108" s="137"/>
      <c r="Y108" s="137"/>
      <c r="Z108" s="138"/>
    </row>
    <row r="109" spans="1:29">
      <c r="A109" s="170" t="s">
        <v>396</v>
      </c>
      <c r="B109" s="153" t="s">
        <v>698</v>
      </c>
      <c r="C109" s="116"/>
      <c r="D109" s="116"/>
      <c r="E109" s="116"/>
      <c r="F109" s="116"/>
      <c r="G109" s="116"/>
      <c r="H109" s="116"/>
      <c r="I109" s="116"/>
      <c r="J109" s="116"/>
      <c r="K109" s="116"/>
      <c r="L109" s="116"/>
      <c r="M109" s="137"/>
      <c r="N109" s="137"/>
      <c r="O109" s="137"/>
      <c r="P109" s="137"/>
      <c r="Q109" s="103"/>
      <c r="R109" s="137"/>
      <c r="S109" s="137"/>
      <c r="T109" s="137"/>
      <c r="U109" s="137"/>
      <c r="V109" s="137"/>
      <c r="W109" s="137"/>
      <c r="X109" s="137"/>
      <c r="Y109" s="137"/>
      <c r="Z109" s="138"/>
    </row>
    <row r="110" spans="1:29">
      <c r="A110" s="170"/>
      <c r="B110" s="871" t="s">
        <v>934</v>
      </c>
      <c r="C110" s="872"/>
      <c r="D110" s="872"/>
      <c r="E110" s="872"/>
      <c r="F110" s="872"/>
      <c r="G110" s="872"/>
      <c r="H110" s="872"/>
      <c r="I110" s="872"/>
      <c r="J110" s="872"/>
      <c r="K110" s="872"/>
      <c r="L110" s="872"/>
      <c r="M110" s="873"/>
      <c r="N110" s="873"/>
      <c r="O110" s="873"/>
      <c r="P110" s="137"/>
      <c r="Q110" s="103"/>
      <c r="R110" s="137"/>
      <c r="S110" s="137"/>
      <c r="T110" s="137"/>
      <c r="U110" s="137"/>
      <c r="V110" s="137"/>
      <c r="W110" s="137"/>
      <c r="X110" s="137"/>
      <c r="Y110" s="137"/>
      <c r="Z110" s="138"/>
    </row>
    <row r="111">
      <c r="A111" s="170"/>
      <c r="B111" s="607" t="s">
        <v>964</v>
      </c>
      <c r="D111" s="171"/>
      <c r="E111" s="171"/>
      <c r="F111" s="608" t="s">
        <v>0</v>
      </c>
      <c r="G111" s="1226"/>
      <c r="H111" s="1226"/>
      <c r="I111" s="1226"/>
      <c r="J111" s="1226"/>
      <c r="K111" s="1226"/>
      <c r="L111" s="1226"/>
      <c r="M111" s="259" t="s">
        <v>1114</v>
      </c>
      <c r="N111" s="137"/>
      <c r="P111" s="137"/>
      <c r="Q111" s="103"/>
      <c r="R111" s="137"/>
      <c r="S111" s="137"/>
      <c r="T111" s="137"/>
      <c r="U111" s="137"/>
      <c r="V111" s="137"/>
      <c r="W111" s="137"/>
      <c r="X111" s="137"/>
      <c r="Y111" s="137"/>
      <c r="Z111" s="138"/>
    </row>
    <row r="112" spans="1:29">
      <c r="A112" s="170"/>
      <c r="B112" s="607" t="s">
        <v>965</v>
      </c>
      <c r="C112" s="55"/>
      <c r="D112" s="171"/>
      <c r="E112" s="171"/>
      <c r="F112" s="608" t="s">
        <v>0</v>
      </c>
      <c r="G112" s="172" t="s">
        <v>967</v>
      </c>
      <c r="H112" s="172"/>
      <c r="I112" s="172"/>
      <c r="J112" s="172"/>
      <c r="K112" s="55"/>
      <c r="L112" s="172"/>
      <c r="M112" s="137"/>
      <c r="N112" s="137"/>
      <c r="O112" s="172"/>
      <c r="P112" s="137"/>
      <c r="Q112" s="103"/>
      <c r="R112" s="137"/>
      <c r="S112" s="137"/>
      <c r="T112" s="137"/>
      <c r="U112" s="137"/>
      <c r="V112" s="137"/>
      <c r="W112" s="137"/>
      <c r="X112" s="137"/>
      <c r="Y112" s="137"/>
      <c r="Z112" s="138"/>
    </row>
    <row r="113" spans="1:29">
      <c r="A113" s="170"/>
      <c r="B113" s="607" t="s">
        <v>965</v>
      </c>
      <c r="D113" s="171"/>
      <c r="E113" s="171"/>
      <c r="F113" s="608" t="s">
        <v>0</v>
      </c>
      <c r="G113" s="172" t="s">
        <v>968</v>
      </c>
      <c r="H113" s="172"/>
      <c r="I113" s="172"/>
      <c r="J113" s="172"/>
      <c r="K113" s="172"/>
      <c r="L113" s="172"/>
      <c r="M113" s="582"/>
      <c r="N113" s="582"/>
      <c r="O113" s="582"/>
      <c r="P113" s="582"/>
      <c r="Q113" s="103"/>
      <c r="R113" s="137"/>
      <c r="S113" s="137"/>
      <c r="T113" s="137"/>
      <c r="U113" s="137"/>
      <c r="V113" s="137"/>
      <c r="W113" s="137"/>
      <c r="X113" s="137"/>
      <c r="Y113" s="137"/>
      <c r="Z113" s="138"/>
    </row>
    <row r="114" spans="1:29" ht="3.75" customHeight="1">
      <c r="A114" s="170"/>
      <c r="B114" s="256"/>
      <c r="C114" s="171"/>
      <c r="D114" s="171"/>
      <c r="E114" s="171"/>
      <c r="F114" s="171"/>
      <c r="G114" s="1225"/>
      <c r="H114" s="1225"/>
      <c r="I114" s="1225"/>
      <c r="J114" s="1225"/>
      <c r="K114" s="1225"/>
      <c r="L114" s="1225"/>
      <c r="M114" s="1225"/>
      <c r="N114" s="1225"/>
      <c r="O114" s="1225"/>
      <c r="P114" s="1225"/>
      <c r="Q114" s="103"/>
      <c r="R114" s="137"/>
      <c r="S114" s="137"/>
      <c r="T114" s="137"/>
      <c r="U114" s="137"/>
      <c r="V114" s="137"/>
      <c r="W114" s="137"/>
      <c r="X114" s="137"/>
      <c r="Y114" s="137"/>
      <c r="Z114" s="138"/>
    </row>
    <row r="115" spans="1:29">
      <c r="A115" s="170" t="s">
        <v>688</v>
      </c>
      <c r="B115" s="153" t="s">
        <v>699</v>
      </c>
      <c r="C115" s="116"/>
      <c r="D115" s="116"/>
      <c r="E115" s="116"/>
      <c r="F115" s="116"/>
      <c r="G115" s="116"/>
      <c r="H115" s="116"/>
      <c r="I115" s="116"/>
      <c r="J115" s="116"/>
      <c r="K115" s="116"/>
      <c r="L115" s="116"/>
      <c r="M115" s="137"/>
      <c r="N115" s="137"/>
      <c r="O115" s="137"/>
      <c r="P115" s="137"/>
      <c r="Q115" s="103"/>
      <c r="R115" s="137"/>
      <c r="S115" s="137"/>
      <c r="T115" s="137"/>
      <c r="U115" s="137"/>
      <c r="V115" s="137"/>
      <c r="W115" s="137"/>
      <c r="X115" s="137"/>
      <c r="Y115" s="137"/>
      <c r="Z115" s="138"/>
    </row>
    <row r="116" spans="1:29">
      <c r="A116" s="170"/>
      <c r="B116" s="871" t="s">
        <v>896</v>
      </c>
      <c r="C116" s="872"/>
      <c r="D116" s="872"/>
      <c r="E116" s="872"/>
      <c r="F116" s="872"/>
      <c r="G116" s="116"/>
      <c r="H116" s="116"/>
      <c r="I116" s="116"/>
      <c r="J116" s="116"/>
      <c r="K116" s="116"/>
      <c r="L116" s="116"/>
      <c r="M116" s="137"/>
      <c r="N116" s="137"/>
      <c r="O116" s="137"/>
      <c r="P116" s="137"/>
      <c r="Q116" s="103"/>
      <c r="R116" s="137"/>
      <c r="S116" s="137"/>
      <c r="T116" s="137"/>
      <c r="U116" s="137"/>
      <c r="V116" s="137"/>
      <c r="W116" s="137"/>
      <c r="X116" s="137"/>
      <c r="Y116" s="137"/>
      <c r="Z116" s="138"/>
    </row>
    <row r="117">
      <c r="A117" s="102"/>
      <c r="B117" s="607" t="s">
        <v>964</v>
      </c>
      <c r="D117" s="171"/>
      <c r="E117" s="171"/>
      <c r="F117" s="608" t="s">
        <v>0</v>
      </c>
      <c r="G117" s="1226"/>
      <c r="H117" s="1226"/>
      <c r="I117" s="1226"/>
      <c r="J117" s="1226"/>
      <c r="K117" s="1226"/>
      <c r="L117" s="1226"/>
      <c r="M117" s="137"/>
      <c r="N117" s="137"/>
      <c r="O117" s="137"/>
      <c r="P117" s="137"/>
      <c r="Q117" s="103"/>
      <c r="R117" s="137"/>
      <c r="S117" s="137"/>
      <c r="T117" s="137"/>
      <c r="U117" s="137"/>
      <c r="V117" s="137"/>
      <c r="W117" s="137"/>
      <c r="X117" s="137"/>
      <c r="Y117" s="137"/>
      <c r="Z117" s="138"/>
    </row>
    <row r="118" spans="1:29" ht="5.25" customHeight="1">
      <c r="A118" s="102"/>
      <c r="B118" s="256"/>
      <c r="C118" s="171"/>
      <c r="D118" s="171"/>
      <c r="E118" s="171"/>
      <c r="F118" s="171"/>
      <c r="G118" s="171"/>
      <c r="H118" s="171"/>
      <c r="I118" s="171"/>
      <c r="J118" s="116"/>
      <c r="K118" s="116"/>
      <c r="L118" s="116"/>
      <c r="M118" s="137"/>
      <c r="N118" s="137"/>
      <c r="O118" s="137"/>
      <c r="P118" s="137"/>
      <c r="Q118" s="103"/>
      <c r="R118" s="137"/>
      <c r="S118" s="137"/>
      <c r="T118" s="137"/>
      <c r="U118" s="137"/>
      <c r="V118" s="137"/>
      <c r="W118" s="137"/>
      <c r="X118" s="137"/>
      <c r="Y118" s="137"/>
      <c r="Z118" s="138"/>
    </row>
    <row r="119" spans="1:29">
      <c r="A119" s="170" t="s">
        <v>689</v>
      </c>
      <c r="B119" s="153" t="s">
        <v>785</v>
      </c>
      <c r="C119" s="172"/>
      <c r="D119" s="172"/>
      <c r="E119" s="172"/>
      <c r="F119" s="172"/>
      <c r="G119" s="172"/>
      <c r="H119" s="172"/>
      <c r="I119" s="172"/>
      <c r="J119" s="116"/>
      <c r="K119" s="116"/>
      <c r="L119" s="116"/>
      <c r="M119" s="137"/>
      <c r="N119" s="137"/>
      <c r="O119" s="137"/>
      <c r="P119" s="137"/>
      <c r="Q119" s="103"/>
      <c r="R119" s="137"/>
      <c r="S119" s="137"/>
      <c r="T119" s="137"/>
      <c r="U119" s="137"/>
      <c r="V119" s="137"/>
      <c r="W119" s="137"/>
      <c r="X119" s="137"/>
      <c r="Y119" s="137"/>
      <c r="Z119" s="138"/>
    </row>
    <row r="120" spans="1:29">
      <c r="A120" s="170"/>
      <c r="B120" s="869" t="s">
        <v>969</v>
      </c>
      <c r="C120" s="870"/>
      <c r="D120" s="870"/>
      <c r="E120" s="870"/>
      <c r="F120" s="870"/>
      <c r="G120" s="870"/>
      <c r="H120" s="870"/>
      <c r="I120" s="172"/>
      <c r="J120" s="172"/>
      <c r="K120" s="172"/>
      <c r="L120" s="116"/>
      <c r="M120" s="137"/>
      <c r="N120" s="137"/>
      <c r="O120" s="137"/>
      <c r="P120" s="137"/>
      <c r="Q120" s="103"/>
      <c r="R120" s="137"/>
      <c r="S120" s="137"/>
      <c r="T120" s="137"/>
      <c r="U120" s="137"/>
      <c r="V120" s="137"/>
      <c r="W120" s="137"/>
      <c r="X120" s="137"/>
      <c r="Y120" s="137"/>
      <c r="Z120" s="138"/>
    </row>
    <row r="121" spans="1:29">
      <c r="A121" s="170"/>
      <c r="B121" s="869" t="s">
        <v>970</v>
      </c>
      <c r="C121" s="870"/>
      <c r="D121" s="870"/>
      <c r="E121" s="870"/>
      <c r="F121" s="870"/>
      <c r="G121" s="870"/>
      <c r="H121" s="870"/>
      <c r="I121" s="172"/>
      <c r="J121" s="172"/>
      <c r="K121" s="172"/>
      <c r="L121" s="116"/>
      <c r="M121" s="137"/>
      <c r="N121" s="137"/>
      <c r="O121" s="137"/>
      <c r="P121" s="137"/>
      <c r="Q121" s="103"/>
      <c r="R121" s="137"/>
      <c r="S121" s="137"/>
      <c r="T121" s="137"/>
      <c r="U121" s="137"/>
      <c r="V121" s="137"/>
      <c r="W121" s="137"/>
      <c r="X121" s="137"/>
      <c r="Y121" s="137"/>
      <c r="Z121" s="138"/>
    </row>
    <row r="122">
      <c r="A122" s="170"/>
      <c r="B122" s="607" t="s">
        <v>964</v>
      </c>
      <c r="D122" s="171"/>
      <c r="E122" s="171"/>
      <c r="F122" s="608" t="s">
        <v>0</v>
      </c>
      <c r="G122" s="1226"/>
      <c r="H122" s="1226"/>
      <c r="I122" s="1226"/>
      <c r="J122" s="1226"/>
      <c r="K122" s="1226"/>
      <c r="L122" s="1226"/>
      <c r="M122" s="259" t="s">
        <v>935</v>
      </c>
      <c r="N122" s="137"/>
      <c r="O122" s="137"/>
      <c r="Q122" s="103"/>
      <c r="R122" s="137"/>
      <c r="S122" s="137"/>
      <c r="T122" s="137"/>
      <c r="U122" s="137"/>
      <c r="V122" s="137"/>
      <c r="W122" s="137"/>
      <c r="X122" s="137"/>
      <c r="Y122" s="137"/>
      <c r="Z122" s="138"/>
    </row>
    <row r="123" spans="1:29" ht="15" thickBot="1">
      <c r="A123" s="102"/>
      <c r="C123" s="1212"/>
      <c r="D123" s="1212"/>
      <c r="E123" s="1212"/>
      <c r="F123" s="1212"/>
      <c r="G123" s="1212"/>
      <c r="H123" s="1212"/>
      <c r="I123" s="1212"/>
      <c r="J123" s="1212"/>
      <c r="K123" s="1212"/>
      <c r="L123" s="1212"/>
      <c r="M123" s="1212"/>
      <c r="N123" s="1212"/>
      <c r="O123" s="1212"/>
      <c r="P123" s="1212"/>
      <c r="Q123" s="1212"/>
      <c r="R123" s="1212"/>
      <c r="S123" s="1212"/>
      <c r="T123" s="1212"/>
      <c r="U123" s="1212"/>
      <c r="V123" s="1212"/>
      <c r="W123" s="137"/>
      <c r="X123" s="137"/>
      <c r="Y123" s="137"/>
      <c r="Z123" s="138"/>
    </row>
    <row r="124" spans="1:29" ht="16.2" thickBot="1">
      <c r="A124" s="1214" t="s">
        <v>703</v>
      </c>
      <c r="B124" s="1215"/>
      <c r="C124" s="1215"/>
      <c r="D124" s="1215"/>
      <c r="E124" s="1215"/>
      <c r="F124" s="1215"/>
      <c r="G124" s="1215"/>
      <c r="H124" s="1215"/>
      <c r="I124" s="1215"/>
      <c r="J124" s="1215"/>
      <c r="K124" s="1215"/>
      <c r="L124" s="1215"/>
      <c r="M124" s="1215"/>
      <c r="N124" s="1215"/>
      <c r="O124" s="1215"/>
      <c r="P124" s="1215"/>
      <c r="Q124" s="1215"/>
      <c r="R124" s="1215"/>
      <c r="S124" s="1215"/>
      <c r="T124" s="1215"/>
      <c r="U124" s="1215"/>
      <c r="V124" s="1215"/>
      <c r="W124" s="1215"/>
      <c r="X124" s="1215"/>
      <c r="Y124" s="1215"/>
      <c r="Z124" s="1216"/>
      <c r="AA124" s="103"/>
      <c r="AB124" s="103"/>
      <c r="AC124" s="103"/>
    </row>
    <row r="125" spans="1:29">
      <c r="A125" s="104"/>
      <c r="B125" s="55"/>
      <c r="C125" s="55"/>
      <c r="D125" s="55"/>
      <c r="E125" s="55"/>
      <c r="F125" s="55"/>
      <c r="G125" s="55"/>
      <c r="H125" s="55"/>
      <c r="I125" s="55"/>
      <c r="J125" s="55"/>
      <c r="K125" s="55"/>
      <c r="L125" s="54"/>
      <c r="M125" s="55"/>
      <c r="N125" s="55"/>
      <c r="O125" s="55"/>
      <c r="P125" s="55"/>
      <c r="Q125" s="55"/>
      <c r="R125" s="55"/>
      <c r="S125" s="55"/>
      <c r="T125" s="55"/>
      <c r="U125" s="55"/>
      <c r="V125" s="55"/>
      <c r="W125" s="55"/>
      <c r="X125" s="55"/>
      <c r="Y125" s="55"/>
      <c r="Z125" s="101"/>
      <c r="AA125" s="55"/>
      <c r="AB125" s="55"/>
      <c r="AC125" s="55"/>
    </row>
    <row r="126" spans="1:29" s="55" customFormat="1">
      <c r="A126" s="104"/>
      <c r="L126" s="54"/>
      <c r="R126" s="1227" t="s">
        <v>693</v>
      </c>
      <c r="S126" s="1228"/>
      <c r="T126" s="1228"/>
      <c r="U126" s="1228"/>
      <c r="V126" s="1228"/>
      <c r="W126" s="1228"/>
      <c r="X126" s="1228"/>
      <c r="Y126" s="1229"/>
      <c r="Z126" s="139"/>
    </row>
    <row r="127" spans="1:29" s="55" customFormat="1">
      <c r="A127" s="104"/>
      <c r="L127" s="54"/>
      <c r="R127" s="143"/>
      <c r="S127" s="610"/>
      <c r="Y127" s="142"/>
      <c r="Z127" s="101"/>
    </row>
    <row r="128" spans="1:29" s="55" customFormat="1">
      <c r="A128" s="104"/>
      <c r="L128" s="54"/>
      <c r="R128" s="143"/>
      <c r="Y128" s="142"/>
      <c r="Z128" s="101"/>
    </row>
    <row r="129" spans="1:29" s="55" customFormat="1">
      <c r="A129" s="104"/>
      <c r="L129" s="54"/>
      <c r="R129" s="143"/>
      <c r="Y129" s="142"/>
      <c r="Z129" s="101"/>
    </row>
    <row r="130" spans="1:29" s="55" customFormat="1">
      <c r="A130" s="104"/>
      <c r="L130" s="54"/>
      <c r="R130" s="1233">
        <f>'Informasi Pokok'!D6</f>
      </c>
      <c r="S130" s="1234"/>
      <c r="T130" s="1234"/>
      <c r="U130" s="1234"/>
      <c r="V130" s="1234"/>
      <c r="W130" s="1234"/>
      <c r="X130" s="1234"/>
      <c r="Y130" s="1235"/>
      <c r="Z130" s="139"/>
    </row>
    <row r="131" spans="1:29" s="55" customFormat="1">
      <c r="A131" s="104"/>
      <c r="L131" s="54"/>
      <c r="R131" s="1230" t="s">
        <v>635</v>
      </c>
      <c r="S131" s="1231"/>
      <c r="T131" s="1231"/>
      <c r="U131" s="1231"/>
      <c r="V131" s="1231"/>
      <c r="W131" s="1231"/>
      <c r="X131" s="1231"/>
      <c r="Y131" s="1232"/>
      <c r="Z131" s="139"/>
    </row>
    <row r="132" spans="1:29" s="55" customFormat="1">
      <c r="A132" s="104"/>
      <c r="L132" s="54"/>
      <c r="Z132" s="101"/>
    </row>
    <row r="133" spans="1:29">
      <c r="A133" s="100"/>
      <c r="B133" s="1219" t="s">
        <v>604</v>
      </c>
      <c r="C133" s="1220"/>
      <c r="D133" s="1220"/>
      <c r="E133" s="1220"/>
      <c r="F133" s="1220"/>
      <c r="G133" s="1220"/>
      <c r="H133" s="1220"/>
      <c r="I133" s="1220"/>
      <c r="J133" s="1220"/>
      <c r="K133" s="1220"/>
      <c r="L133" s="1220"/>
      <c r="M133" s="1220"/>
      <c r="N133" s="1220"/>
      <c r="O133" s="1217" t="s">
        <v>605</v>
      </c>
      <c r="P133" s="1217"/>
      <c r="Q133" s="1217"/>
      <c r="R133" s="1217"/>
      <c r="S133" s="1217"/>
      <c r="T133" s="1217"/>
      <c r="U133" s="1217"/>
      <c r="V133" s="1217"/>
      <c r="W133" s="1217"/>
      <c r="X133" s="1217"/>
      <c r="Y133" s="1217"/>
      <c r="Z133" s="145"/>
      <c r="AA133" s="115"/>
      <c r="AB133" s="115"/>
      <c r="AC133" s="115"/>
    </row>
    <row r="134" spans="1:29">
      <c r="A134" s="100"/>
      <c r="B134" s="107"/>
      <c r="C134" s="11" t="s">
        <v>1</v>
      </c>
      <c r="D134" s="11"/>
      <c r="E134" s="11"/>
      <c r="F134" s="11"/>
      <c r="G134" s="11" t="s">
        <v>0</v>
      </c>
      <c r="H134" s="1221"/>
      <c r="I134" s="1221"/>
      <c r="J134" s="1221"/>
      <c r="K134" s="1221"/>
      <c r="L134" s="1221"/>
      <c r="M134" s="1221"/>
      <c r="N134" s="1221"/>
      <c r="O134" s="1218"/>
      <c r="P134" s="1218"/>
      <c r="Q134" s="1218"/>
      <c r="R134" s="1218"/>
      <c r="S134" s="1218"/>
      <c r="T134" s="1218"/>
      <c r="U134" s="1218"/>
      <c r="V134" s="1218"/>
      <c r="W134" s="1218"/>
      <c r="X134" s="1218"/>
      <c r="Y134" s="1218"/>
      <c r="Z134" s="146"/>
      <c r="AA134" s="11"/>
      <c r="AB134" s="11"/>
      <c r="AC134" s="11"/>
    </row>
    <row r="135" spans="1:29">
      <c r="A135" s="100"/>
      <c r="B135" s="107"/>
      <c r="C135" s="11" t="s">
        <v>606</v>
      </c>
      <c r="D135" s="11"/>
      <c r="E135" s="11"/>
      <c r="F135" s="11"/>
      <c r="G135" s="11" t="s">
        <v>0</v>
      </c>
      <c r="H135" s="1222" t="s">
        <v>1191</v>
      </c>
      <c r="I135" s="1223"/>
      <c r="J135" s="1223"/>
      <c r="K135" s="1223"/>
      <c r="L135" s="1223"/>
      <c r="M135" s="1223"/>
      <c r="N135" s="1223"/>
      <c r="O135" s="1218"/>
      <c r="P135" s="1218"/>
      <c r="Q135" s="1218"/>
      <c r="R135" s="1218"/>
      <c r="S135" s="1218"/>
      <c r="T135" s="1218"/>
      <c r="U135" s="1218"/>
      <c r="V135" s="1218"/>
      <c r="W135" s="1218"/>
      <c r="X135" s="1218"/>
      <c r="Y135" s="1218"/>
      <c r="Z135" s="146"/>
      <c r="AA135" s="11"/>
      <c r="AB135" s="11"/>
      <c r="AC135" s="11"/>
    </row>
    <row r="136" spans="1:29">
      <c r="A136" s="100"/>
      <c r="B136" s="107"/>
      <c r="C136" s="11" t="s">
        <v>152</v>
      </c>
      <c r="D136" s="11"/>
      <c r="E136" s="11"/>
      <c r="F136" s="11"/>
      <c r="G136" s="11" t="s">
        <v>0</v>
      </c>
      <c r="H136" s="1213"/>
      <c r="I136" s="1213"/>
      <c r="J136" s="1213"/>
      <c r="K136" s="1213"/>
      <c r="L136" s="1213"/>
      <c r="M136" s="1213"/>
      <c r="N136" s="1213"/>
      <c r="O136" s="1218"/>
      <c r="P136" s="1218"/>
      <c r="Q136" s="1218"/>
      <c r="R136" s="1218"/>
      <c r="S136" s="1218"/>
      <c r="T136" s="1218"/>
      <c r="U136" s="1218"/>
      <c r="V136" s="1218"/>
      <c r="W136" s="1218"/>
      <c r="X136" s="1218"/>
      <c r="Y136" s="1218"/>
      <c r="Z136" s="146"/>
      <c r="AA136" s="11"/>
      <c r="AB136" s="11"/>
      <c r="AC136" s="11"/>
    </row>
    <row r="137" spans="1:29">
      <c r="A137" s="100"/>
      <c r="B137" s="107"/>
      <c r="C137" s="11" t="s">
        <v>607</v>
      </c>
      <c r="D137" s="11"/>
      <c r="E137" s="11"/>
      <c r="F137" s="11"/>
      <c r="G137" s="11" t="s">
        <v>0</v>
      </c>
      <c r="H137" s="113"/>
      <c r="I137" s="144"/>
      <c r="J137" s="144"/>
      <c r="K137" s="144"/>
      <c r="L137" s="144"/>
      <c r="M137" s="114"/>
      <c r="N137" s="11"/>
      <c r="O137" s="1218"/>
      <c r="P137" s="1218"/>
      <c r="Q137" s="1218"/>
      <c r="R137" s="1218"/>
      <c r="S137" s="1218"/>
      <c r="T137" s="1218"/>
      <c r="U137" s="1218"/>
      <c r="V137" s="1218"/>
      <c r="W137" s="1218"/>
      <c r="X137" s="1218"/>
      <c r="Y137" s="1218"/>
      <c r="Z137" s="146"/>
      <c r="AA137" s="11"/>
      <c r="AB137" s="11"/>
      <c r="AC137" s="11"/>
    </row>
    <row r="138" spans="1:29">
      <c r="A138" s="100"/>
      <c r="B138" s="107"/>
      <c r="C138" s="11"/>
      <c r="D138" s="11"/>
      <c r="E138" s="11"/>
      <c r="F138" s="11"/>
      <c r="G138" s="11"/>
      <c r="H138" s="107"/>
      <c r="I138" s="11"/>
      <c r="J138" s="11"/>
      <c r="K138" s="11"/>
      <c r="L138" s="11"/>
      <c r="M138" s="108"/>
      <c r="N138" s="11"/>
      <c r="O138" s="1218"/>
      <c r="P138" s="1218"/>
      <c r="Q138" s="1218"/>
      <c r="R138" s="1218"/>
      <c r="S138" s="1218"/>
      <c r="T138" s="1218"/>
      <c r="U138" s="1218"/>
      <c r="V138" s="1218"/>
      <c r="W138" s="1218"/>
      <c r="X138" s="1218"/>
      <c r="Y138" s="1218"/>
      <c r="Z138" s="146"/>
      <c r="AA138" s="11"/>
      <c r="AB138" s="11"/>
      <c r="AC138" s="11"/>
    </row>
    <row r="139" spans="1:29">
      <c r="A139" s="100"/>
      <c r="B139" s="107"/>
      <c r="C139" s="11"/>
      <c r="D139" s="11"/>
      <c r="E139" s="11"/>
      <c r="F139" s="11"/>
      <c r="G139" s="11"/>
      <c r="H139" s="110"/>
      <c r="I139" s="111"/>
      <c r="J139" s="111"/>
      <c r="K139" s="111"/>
      <c r="L139" s="111"/>
      <c r="M139" s="112"/>
      <c r="N139" s="11"/>
      <c r="O139" s="1218"/>
      <c r="P139" s="1218"/>
      <c r="Q139" s="1218"/>
      <c r="R139" s="1218"/>
      <c r="S139" s="1218"/>
      <c r="T139" s="1218"/>
      <c r="U139" s="1218"/>
      <c r="V139" s="1218"/>
      <c r="W139" s="1218"/>
      <c r="X139" s="1218"/>
      <c r="Y139" s="1218"/>
      <c r="Z139" s="146"/>
      <c r="AA139" s="11"/>
      <c r="AB139" s="11"/>
      <c r="AC139" s="11"/>
    </row>
    <row r="140" spans="1:29">
      <c r="A140" s="100"/>
      <c r="B140" s="110"/>
      <c r="C140" s="111"/>
      <c r="D140" s="111"/>
      <c r="E140" s="111"/>
      <c r="F140" s="111"/>
      <c r="G140" s="111"/>
      <c r="H140" s="111"/>
      <c r="I140" s="111"/>
      <c r="J140" s="111"/>
      <c r="K140" s="111"/>
      <c r="L140" s="111"/>
      <c r="M140" s="111"/>
      <c r="N140" s="111"/>
      <c r="O140" s="1218"/>
      <c r="P140" s="1218"/>
      <c r="Q140" s="1218"/>
      <c r="R140" s="1218"/>
      <c r="S140" s="1218"/>
      <c r="T140" s="1218"/>
      <c r="U140" s="1218"/>
      <c r="V140" s="1218"/>
      <c r="W140" s="1218"/>
      <c r="X140" s="1218"/>
      <c r="Y140" s="1218"/>
      <c r="Z140" s="146"/>
      <c r="AA140" s="11"/>
      <c r="AB140" s="11"/>
      <c r="AC140" s="11"/>
    </row>
    <row r="141" spans="1:29">
      <c r="A141" s="100"/>
      <c r="B141" s="1219" t="s">
        <v>604</v>
      </c>
      <c r="C141" s="1220"/>
      <c r="D141" s="1220"/>
      <c r="E141" s="1220"/>
      <c r="F141" s="1220"/>
      <c r="G141" s="1220"/>
      <c r="H141" s="1220"/>
      <c r="I141" s="1220"/>
      <c r="J141" s="1220"/>
      <c r="K141" s="1220"/>
      <c r="L141" s="1220"/>
      <c r="M141" s="1220"/>
      <c r="N141" s="1220"/>
      <c r="O141" s="1217" t="s">
        <v>605</v>
      </c>
      <c r="P141" s="1217"/>
      <c r="Q141" s="1217"/>
      <c r="R141" s="1217"/>
      <c r="S141" s="1217"/>
      <c r="T141" s="1217"/>
      <c r="U141" s="1217"/>
      <c r="V141" s="1217"/>
      <c r="W141" s="1217"/>
      <c r="X141" s="1217"/>
      <c r="Y141" s="1217"/>
      <c r="Z141" s="145"/>
      <c r="AA141" s="115"/>
      <c r="AB141" s="115"/>
      <c r="AC141" s="115"/>
    </row>
    <row r="142">
      <c r="A142" s="100"/>
      <c r="B142" s="107"/>
      <c r="C142" s="11" t="s">
        <v>1</v>
      </c>
      <c r="D142" s="11"/>
      <c r="E142" s="11"/>
      <c r="F142" s="11"/>
      <c r="G142" s="11" t="s">
        <v>0</v>
      </c>
      <c r="H142" s="1224"/>
      <c r="I142" s="1221"/>
      <c r="J142" s="1221"/>
      <c r="K142" s="1221"/>
      <c r="L142" s="1221"/>
      <c r="M142" s="1221"/>
      <c r="N142" s="1221"/>
      <c r="O142" s="1218"/>
      <c r="P142" s="1218"/>
      <c r="Q142" s="1218"/>
      <c r="R142" s="1218"/>
      <c r="S142" s="1218"/>
      <c r="T142" s="1218"/>
      <c r="U142" s="1218"/>
      <c r="V142" s="1218"/>
      <c r="W142" s="1218"/>
      <c r="X142" s="1218"/>
      <c r="Y142" s="1218"/>
      <c r="Z142" s="146"/>
      <c r="AA142" s="11"/>
      <c r="AB142" s="11"/>
      <c r="AC142" s="11"/>
    </row>
    <row r="143" spans="1:29">
      <c r="A143" s="100"/>
      <c r="B143" s="107"/>
      <c r="C143" s="11" t="s">
        <v>606</v>
      </c>
      <c r="D143" s="11"/>
      <c r="E143" s="11"/>
      <c r="F143" s="11"/>
      <c r="G143" s="11" t="s">
        <v>0</v>
      </c>
      <c r="H143" s="1222" t="s">
        <v>608</v>
      </c>
      <c r="I143" s="1223"/>
      <c r="J143" s="1223"/>
      <c r="K143" s="1223"/>
      <c r="L143" s="1223"/>
      <c r="M143" s="1223"/>
      <c r="N143" s="1223"/>
      <c r="O143" s="1218"/>
      <c r="P143" s="1218"/>
      <c r="Q143" s="1218"/>
      <c r="R143" s="1218"/>
      <c r="S143" s="1218"/>
      <c r="T143" s="1218"/>
      <c r="U143" s="1218"/>
      <c r="V143" s="1218"/>
      <c r="W143" s="1218"/>
      <c r="X143" s="1218"/>
      <c r="Y143" s="1218"/>
      <c r="Z143" s="146"/>
      <c r="AA143" s="11"/>
      <c r="AB143" s="11"/>
      <c r="AC143" s="11"/>
    </row>
    <row r="144" spans="1:29">
      <c r="A144" s="100"/>
      <c r="B144" s="107"/>
      <c r="C144" s="11" t="s">
        <v>152</v>
      </c>
      <c r="D144" s="11"/>
      <c r="E144" s="11"/>
      <c r="F144" s="11"/>
      <c r="G144" s="11" t="s">
        <v>0</v>
      </c>
      <c r="H144" s="1213"/>
      <c r="I144" s="1213"/>
      <c r="J144" s="1213"/>
      <c r="K144" s="1213"/>
      <c r="L144" s="1213"/>
      <c r="M144" s="1213"/>
      <c r="N144" s="1213"/>
      <c r="O144" s="1218"/>
      <c r="P144" s="1218"/>
      <c r="Q144" s="1218"/>
      <c r="R144" s="1218"/>
      <c r="S144" s="1218"/>
      <c r="T144" s="1218"/>
      <c r="U144" s="1218"/>
      <c r="V144" s="1218"/>
      <c r="W144" s="1218"/>
      <c r="X144" s="1218"/>
      <c r="Y144" s="1218"/>
      <c r="Z144" s="146"/>
      <c r="AA144" s="11"/>
      <c r="AB144" s="11"/>
      <c r="AC144" s="11"/>
    </row>
    <row r="145" spans="1:29">
      <c r="A145" s="100"/>
      <c r="B145" s="107"/>
      <c r="C145" s="11" t="s">
        <v>607</v>
      </c>
      <c r="D145" s="11"/>
      <c r="E145" s="11"/>
      <c r="F145" s="11"/>
      <c r="G145" s="11" t="s">
        <v>0</v>
      </c>
      <c r="H145" s="113"/>
      <c r="I145" s="144"/>
      <c r="J145" s="144"/>
      <c r="K145" s="144"/>
      <c r="L145" s="144"/>
      <c r="M145" s="114"/>
      <c r="N145" s="11"/>
      <c r="O145" s="1218"/>
      <c r="P145" s="1218"/>
      <c r="Q145" s="1218"/>
      <c r="R145" s="1218"/>
      <c r="S145" s="1218"/>
      <c r="T145" s="1218"/>
      <c r="U145" s="1218"/>
      <c r="V145" s="1218"/>
      <c r="W145" s="1218"/>
      <c r="X145" s="1218"/>
      <c r="Y145" s="1218"/>
      <c r="Z145" s="146"/>
      <c r="AA145" s="11"/>
      <c r="AB145" s="11"/>
      <c r="AC145" s="11"/>
    </row>
    <row r="146" spans="1:29">
      <c r="A146" s="100"/>
      <c r="B146" s="107"/>
      <c r="C146" s="11"/>
      <c r="D146" s="11"/>
      <c r="E146" s="11"/>
      <c r="F146" s="11"/>
      <c r="G146" s="11"/>
      <c r="H146" s="107"/>
      <c r="I146" s="11"/>
      <c r="J146" s="11"/>
      <c r="K146" s="11"/>
      <c r="L146" s="11"/>
      <c r="M146" s="108"/>
      <c r="N146" s="11"/>
      <c r="O146" s="1218"/>
      <c r="P146" s="1218"/>
      <c r="Q146" s="1218"/>
      <c r="R146" s="1218"/>
      <c r="S146" s="1218"/>
      <c r="T146" s="1218"/>
      <c r="U146" s="1218"/>
      <c r="V146" s="1218"/>
      <c r="W146" s="1218"/>
      <c r="X146" s="1218"/>
      <c r="Y146" s="1218"/>
      <c r="Z146" s="146"/>
      <c r="AA146" s="11"/>
      <c r="AB146" s="11"/>
      <c r="AC146" s="11"/>
    </row>
    <row r="147" spans="1:29">
      <c r="A147" s="100"/>
      <c r="B147" s="107"/>
      <c r="C147" s="11"/>
      <c r="D147" s="11"/>
      <c r="E147" s="11"/>
      <c r="F147" s="11"/>
      <c r="G147" s="11"/>
      <c r="H147" s="110"/>
      <c r="I147" s="111"/>
      <c r="J147" s="111"/>
      <c r="K147" s="111"/>
      <c r="L147" s="111"/>
      <c r="M147" s="112"/>
      <c r="N147" s="11"/>
      <c r="O147" s="1218"/>
      <c r="P147" s="1218"/>
      <c r="Q147" s="1218"/>
      <c r="R147" s="1218"/>
      <c r="S147" s="1218"/>
      <c r="T147" s="1218"/>
      <c r="U147" s="1218"/>
      <c r="V147" s="1218"/>
      <c r="W147" s="1218"/>
      <c r="X147" s="1218"/>
      <c r="Y147" s="1218"/>
      <c r="Z147" s="146"/>
      <c r="AA147" s="11"/>
      <c r="AB147" s="11"/>
      <c r="AC147" s="11"/>
    </row>
    <row r="148" spans="1:29">
      <c r="A148" s="100"/>
      <c r="B148" s="110"/>
      <c r="C148" s="111"/>
      <c r="D148" s="111"/>
      <c r="E148" s="111"/>
      <c r="F148" s="111"/>
      <c r="G148" s="111"/>
      <c r="H148" s="111"/>
      <c r="I148" s="111"/>
      <c r="J148" s="111"/>
      <c r="K148" s="111"/>
      <c r="L148" s="111"/>
      <c r="M148" s="111"/>
      <c r="N148" s="111"/>
      <c r="O148" s="1218"/>
      <c r="P148" s="1218"/>
      <c r="Q148" s="1218"/>
      <c r="R148" s="1218"/>
      <c r="S148" s="1218"/>
      <c r="T148" s="1218"/>
      <c r="U148" s="1218"/>
      <c r="V148" s="1218"/>
      <c r="W148" s="1218"/>
      <c r="X148" s="1218"/>
      <c r="Y148" s="1218"/>
      <c r="Z148" s="146"/>
      <c r="AA148" s="11"/>
      <c r="AB148" s="11"/>
      <c r="AC148" s="11"/>
    </row>
    <row r="149" spans="1:29" ht="16.8" thickBot="1">
      <c r="A149" s="147"/>
      <c r="B149" s="604"/>
      <c r="C149" s="605"/>
      <c r="D149" s="6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6"/>
      <c r="AA149" s="55"/>
      <c r="AB149" s="55"/>
      <c r="AC149" s="55"/>
    </row>
    <row r="150" spans="1:29">
      <c r="B150" s="374"/>
      <c r="C150" s="25"/>
      <c r="D150" s="25"/>
    </row>
    <row r="151" spans="1:29">
      <c r="B151" s="374"/>
      <c r="C151" s="25"/>
      <c r="D151" s="25"/>
    </row>
    <row r="152" spans="1:29">
      <c r="B152" s="374"/>
      <c r="C152" s="25"/>
      <c r="D152" s="25"/>
    </row>
    <row r="153" spans="1:29">
      <c r="B153" s="374"/>
      <c r="C153" s="25"/>
      <c r="D153" s="25"/>
    </row>
    <row r="207" spans="29:29">
      <c r="AC207" s="20" t="s">
        <v>942</v>
      </c>
    </row>
    <row r="208" spans="29:29">
      <c r="AC208" s="20" t="s">
        <v>943</v>
      </c>
    </row>
    <row r="209" spans="29:29">
      <c r="AC209" s="20" t="s">
        <v>946</v>
      </c>
    </row>
    <row r="210" spans="29:29">
      <c r="AC210" s="172" t="s">
        <v>947</v>
      </c>
    </row>
    <row r="211" spans="29:29">
      <c r="AC211" s="20" t="s">
        <v>948</v>
      </c>
    </row>
    <row r="212" spans="29:29">
      <c r="AC212" s="20" t="s">
        <v>949</v>
      </c>
    </row>
    <row r="213" spans="29:29">
      <c r="AC213" s="20" t="s">
        <v>950</v>
      </c>
    </row>
    <row r="220" spans="29:29">
      <c r="AC220" s="20" t="s">
        <v>763</v>
      </c>
    </row>
    <row r="221" spans="29:29">
      <c r="AC221" s="20" t="s">
        <v>951</v>
      </c>
    </row>
    <row r="222" spans="29:29">
      <c r="AC222" s="20" t="s">
        <v>772</v>
      </c>
    </row>
    <row r="223" spans="29:29">
      <c r="AC223" s="20" t="s">
        <v>774</v>
      </c>
    </row>
    <row r="224" spans="29:29">
      <c r="AC224" s="20" t="s">
        <v>952</v>
      </c>
    </row>
    <row r="225" spans="29:29">
      <c r="AC225" s="20" t="s">
        <v>773</v>
      </c>
    </row>
    <row r="227" spans="29:29">
      <c r="AC227" s="20" t="s">
        <v>599</v>
      </c>
    </row>
    <row r="228" spans="29:29">
      <c r="AC228" s="20" t="s">
        <v>774</v>
      </c>
    </row>
    <row r="229" spans="29:29">
      <c r="AC229" s="20" t="s">
        <v>952</v>
      </c>
    </row>
    <row r="230" spans="29:29">
      <c r="AC230" s="20" t="s">
        <v>773</v>
      </c>
    </row>
  </sheetData>
  <mergeCells count="252">
    <mergeCell ref="A1:Z1"/>
    <mergeCell ref="A3:Z3"/>
    <mergeCell ref="A19:A22"/>
    <mergeCell ref="A23:A26"/>
    <mergeCell ref="A27:A30"/>
    <mergeCell ref="A31:A34"/>
    <mergeCell ref="A13:A15"/>
    <mergeCell ref="K27:Z30"/>
    <mergeCell ref="K31:Z34"/>
    <mergeCell ref="K18:Z18"/>
    <mergeCell ref="K19:Z22"/>
    <mergeCell ref="J31:J34"/>
    <mergeCell ref="K23:Z26"/>
    <mergeCell ref="B13:I15"/>
    <mergeCell ref="J13:J15"/>
    <mergeCell ref="K13:Z15"/>
    <mergeCell ref="A17:Z17"/>
    <mergeCell ref="B18:I18"/>
    <mergeCell ref="B19:I22"/>
    <mergeCell ref="B23:I26"/>
    <mergeCell ref="B31:I34"/>
    <mergeCell ref="B27:I30"/>
    <mergeCell ref="B5:Z11"/>
    <mergeCell ref="A35:A38"/>
    <mergeCell ref="K35:Z38"/>
    <mergeCell ref="J19:J22"/>
    <mergeCell ref="J23:J26"/>
    <mergeCell ref="J27:J30"/>
    <mergeCell ref="B35:I38"/>
    <mergeCell ref="J35:J38"/>
    <mergeCell ref="A40:Z40"/>
    <mergeCell ref="B41:I41"/>
    <mergeCell ref="K41:Z41"/>
    <mergeCell ref="K42:Z43"/>
    <mergeCell ref="K44:Z45"/>
    <mergeCell ref="K46:Z48"/>
    <mergeCell ref="K52:X52"/>
    <mergeCell ref="S55:X55"/>
    <mergeCell ref="A50:Z50"/>
    <mergeCell ref="B52:I52"/>
    <mergeCell ref="B55:E55"/>
    <mergeCell ref="F55:L55"/>
    <mergeCell ref="M55:R55"/>
    <mergeCell ref="B46:I48"/>
    <mergeCell ref="A42:A43"/>
    <mergeCell ref="A44:A45"/>
    <mergeCell ref="A46:A48"/>
    <mergeCell ref="J42:J43"/>
    <mergeCell ref="J44:J45"/>
    <mergeCell ref="J46:J48"/>
    <mergeCell ref="B42:I43"/>
    <mergeCell ref="B44:I45"/>
    <mergeCell ref="F61:L61"/>
    <mergeCell ref="M61:R61"/>
    <mergeCell ref="F59:L59"/>
    <mergeCell ref="S59:X59"/>
    <mergeCell ref="F56:L56"/>
    <mergeCell ref="M56:R56"/>
    <mergeCell ref="S56:X56"/>
    <mergeCell ref="B57:E57"/>
    <mergeCell ref="F57:L57"/>
    <mergeCell ref="M57:R57"/>
    <mergeCell ref="S57:X57"/>
    <mergeCell ref="M59:R59"/>
    <mergeCell ref="S61:X61"/>
    <mergeCell ref="B61:E61"/>
    <mergeCell ref="B56:E56"/>
    <mergeCell ref="B60:E60"/>
    <mergeCell ref="F60:L60"/>
    <mergeCell ref="M60:R60"/>
    <mergeCell ref="S60:X60"/>
    <mergeCell ref="S58:X58"/>
    <mergeCell ref="B58:E58"/>
    <mergeCell ref="F58:L58"/>
    <mergeCell ref="M58:R58"/>
    <mergeCell ref="B59:E59"/>
    <mergeCell ref="C123:V123"/>
    <mergeCell ref="A99:Z99"/>
    <mergeCell ref="H144:N144"/>
    <mergeCell ref="A124:Z124"/>
    <mergeCell ref="O133:Y133"/>
    <mergeCell ref="O134:Y140"/>
    <mergeCell ref="O141:Y141"/>
    <mergeCell ref="O142:Y148"/>
    <mergeCell ref="B133:N133"/>
    <mergeCell ref="H134:N134"/>
    <mergeCell ref="H135:N135"/>
    <mergeCell ref="H136:N136"/>
    <mergeCell ref="B141:N141"/>
    <mergeCell ref="H142:N142"/>
    <mergeCell ref="H143:N143"/>
    <mergeCell ref="G114:P114"/>
    <mergeCell ref="G111:L111"/>
    <mergeCell ref="G117:L117"/>
    <mergeCell ref="G122:L122"/>
    <mergeCell ref="R126:Y126"/>
    <mergeCell ref="R131:Y131"/>
    <mergeCell ref="R130:Y130"/>
    <mergeCell ref="N72:O72"/>
    <mergeCell ref="B69:F69"/>
    <mergeCell ref="H69:K69"/>
    <mergeCell ref="H70:K70"/>
    <mergeCell ref="N70:O70"/>
    <mergeCell ref="A67:A68"/>
    <mergeCell ref="B67:F68"/>
    <mergeCell ref="G67:G68"/>
    <mergeCell ref="H67:K68"/>
    <mergeCell ref="L67:L68"/>
    <mergeCell ref="M67:M68"/>
    <mergeCell ref="N67:O67"/>
    <mergeCell ref="N68:O68"/>
    <mergeCell ref="V71:W71"/>
    <mergeCell ref="V72:W72"/>
    <mergeCell ref="V73:W73"/>
    <mergeCell ref="B75:F75"/>
    <mergeCell ref="H75:K75"/>
    <mergeCell ref="N75:O75"/>
    <mergeCell ref="A64:Z64"/>
    <mergeCell ref="R74:U74"/>
    <mergeCell ref="R75:U75"/>
    <mergeCell ref="V74:W74"/>
    <mergeCell ref="V75:W75"/>
    <mergeCell ref="X74:Z74"/>
    <mergeCell ref="X75:Z75"/>
    <mergeCell ref="B73:F73"/>
    <mergeCell ref="H73:K73"/>
    <mergeCell ref="N73:O73"/>
    <mergeCell ref="B74:F74"/>
    <mergeCell ref="H74:K74"/>
    <mergeCell ref="N74:O74"/>
    <mergeCell ref="B71:F71"/>
    <mergeCell ref="H71:K71"/>
    <mergeCell ref="N71:O71"/>
    <mergeCell ref="B72:F72"/>
    <mergeCell ref="H72:K72"/>
    <mergeCell ref="V81:Y81"/>
    <mergeCell ref="V79:Y80"/>
    <mergeCell ref="B81:D81"/>
    <mergeCell ref="E81:G81"/>
    <mergeCell ref="O79:P79"/>
    <mergeCell ref="O80:P80"/>
    <mergeCell ref="O81:P81"/>
    <mergeCell ref="X67:Z68"/>
    <mergeCell ref="V67:W68"/>
    <mergeCell ref="X69:Z69"/>
    <mergeCell ref="X70:Z70"/>
    <mergeCell ref="X71:Z71"/>
    <mergeCell ref="X72:Z72"/>
    <mergeCell ref="X73:Z73"/>
    <mergeCell ref="N69:O69"/>
    <mergeCell ref="B70:F70"/>
    <mergeCell ref="R69:U69"/>
    <mergeCell ref="R70:U70"/>
    <mergeCell ref="R71:U71"/>
    <mergeCell ref="R72:U72"/>
    <mergeCell ref="R73:U73"/>
    <mergeCell ref="R67:U68"/>
    <mergeCell ref="V69:W69"/>
    <mergeCell ref="V70:W70"/>
    <mergeCell ref="N76:O76"/>
    <mergeCell ref="R76:U76"/>
    <mergeCell ref="V76:W76"/>
    <mergeCell ref="X76:Z76"/>
    <mergeCell ref="A76:M76"/>
    <mergeCell ref="A79:A80"/>
    <mergeCell ref="B79:D80"/>
    <mergeCell ref="E79:G80"/>
    <mergeCell ref="H79:H80"/>
    <mergeCell ref="I79:K80"/>
    <mergeCell ref="L79:M80"/>
    <mergeCell ref="N79:N80"/>
    <mergeCell ref="Z79:Z80"/>
    <mergeCell ref="V83:Y83"/>
    <mergeCell ref="B82:D82"/>
    <mergeCell ref="E82:G82"/>
    <mergeCell ref="I82:K82"/>
    <mergeCell ref="L82:M82"/>
    <mergeCell ref="V82:Y82"/>
    <mergeCell ref="O82:P82"/>
    <mergeCell ref="O83:P83"/>
    <mergeCell ref="B85:D85"/>
    <mergeCell ref="E85:G85"/>
    <mergeCell ref="I85:K85"/>
    <mergeCell ref="L85:M85"/>
    <mergeCell ref="V85:Y85"/>
    <mergeCell ref="B84:D84"/>
    <mergeCell ref="E84:G84"/>
    <mergeCell ref="I84:K84"/>
    <mergeCell ref="L84:M84"/>
    <mergeCell ref="V84:Y84"/>
    <mergeCell ref="O84:P84"/>
    <mergeCell ref="O85:P85"/>
    <mergeCell ref="R81:U81"/>
    <mergeCell ref="R82:U82"/>
    <mergeCell ref="R83:U83"/>
    <mergeCell ref="R84:U84"/>
    <mergeCell ref="R85:U85"/>
    <mergeCell ref="R79:U79"/>
    <mergeCell ref="R80:U80"/>
    <mergeCell ref="R86:U86"/>
    <mergeCell ref="B83:D83"/>
    <mergeCell ref="E83:G83"/>
    <mergeCell ref="I83:K83"/>
    <mergeCell ref="L83:M83"/>
    <mergeCell ref="I81:K81"/>
    <mergeCell ref="L81:M81"/>
    <mergeCell ref="V86:Y86"/>
    <mergeCell ref="Q89:R89"/>
    <mergeCell ref="Q90:R90"/>
    <mergeCell ref="L89:N90"/>
    <mergeCell ref="S89:W90"/>
    <mergeCell ref="H89:K90"/>
    <mergeCell ref="E89:G90"/>
    <mergeCell ref="O89:P90"/>
    <mergeCell ref="A86:N86"/>
    <mergeCell ref="O86:P86"/>
    <mergeCell ref="L94:N94"/>
    <mergeCell ref="L95:N95"/>
    <mergeCell ref="B89:D90"/>
    <mergeCell ref="A89:A90"/>
    <mergeCell ref="B91:D91"/>
    <mergeCell ref="B92:D92"/>
    <mergeCell ref="B93:D93"/>
    <mergeCell ref="B94:D94"/>
    <mergeCell ref="E91:G91"/>
    <mergeCell ref="E92:G92"/>
    <mergeCell ref="E93:G93"/>
    <mergeCell ref="E94:G94"/>
    <mergeCell ref="S91:W91"/>
    <mergeCell ref="S92:W92"/>
    <mergeCell ref="S93:W93"/>
    <mergeCell ref="S94:W94"/>
    <mergeCell ref="S95:W95"/>
    <mergeCell ref="A95:K95"/>
    <mergeCell ref="I97:N97"/>
    <mergeCell ref="Q91:R91"/>
    <mergeCell ref="O91:P91"/>
    <mergeCell ref="O92:P92"/>
    <mergeCell ref="O93:P93"/>
    <mergeCell ref="O94:P94"/>
    <mergeCell ref="O95:P95"/>
    <mergeCell ref="Q92:R92"/>
    <mergeCell ref="Q93:R93"/>
    <mergeCell ref="Q94:R94"/>
    <mergeCell ref="Q95:R95"/>
    <mergeCell ref="H91:K91"/>
    <mergeCell ref="H92:K92"/>
    <mergeCell ref="H93:K93"/>
    <mergeCell ref="H94:K94"/>
    <mergeCell ref="L91:N91"/>
    <mergeCell ref="L92:N92"/>
    <mergeCell ref="L93:N93"/>
  </mergeCells>
  <dataValidations count="3">
    <dataValidation type="list" allowBlank="1" showInputMessage="1" showErrorMessage="1" sqref="B69:F75">
      <formula1>$AC$207:$AC$213</formula1>
    </dataValidation>
    <dataValidation type="list" allowBlank="1" showInputMessage="1" showErrorMessage="1" sqref="V69:W76">
      <formula1>$AC$220:$AC$225</formula1>
    </dataValidation>
    <dataValidation type="list" allowBlank="1" showInputMessage="1" showErrorMessage="1" sqref="Z81">
      <formula1>$AC$227:$AC$230</formula1>
    </dataValidation>
  </dataValidations>
  <pageMargins left="0.25" right="0.25" top="0.5" bottom="1.1200000000000001" header="0.3" footer="0.3"/>
  <pageSetup paperSize="5" scale="85" fitToHeight="0"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Parameter!$E$148:$E$149</xm:f>
          </x14:formula1>
          <xm:sqref>G122</xm:sqref>
        </x14:dataValidation>
        <x14:dataValidation type="list" allowBlank="1" showInputMessage="1" showErrorMessage="1">
          <x14:formula1>
            <xm:f>Parameter!$E$144:$E$145</xm:f>
          </x14:formula1>
          <xm:sqref>G111 C114</xm:sqref>
        </x14:dataValidation>
        <x14:dataValidation type="list" allowBlank="1" showInputMessage="1" showErrorMessage="1">
          <x14:formula1>
            <xm:f>Parameter!$E$151:$E$152</xm:f>
          </x14:formula1>
          <xm:sqref>C118 G117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1"/>
  <sheetViews>
    <sheetView workbookViewId="0">
      <selection activeCell="H8" sqref="H8:X9"/>
    </sheetView>
  </sheetViews>
  <sheetFormatPr defaultColWidth="8.88671875" defaultRowHeight="14.4"/>
  <cols>
    <col min="1" max="25" width="3.6640625" customWidth="1"/>
  </cols>
  <sheetData>
    <row r="1" spans="1:25">
      <c r="A1" s="1300" t="s">
        <v>193</v>
      </c>
      <c r="B1" s="1300"/>
      <c r="C1" s="1300"/>
      <c r="D1" s="1300"/>
      <c r="E1" s="1300"/>
      <c r="F1" s="1300"/>
      <c r="G1" s="1300"/>
      <c r="H1" s="1300"/>
      <c r="I1" s="1300"/>
      <c r="J1" s="1300"/>
      <c r="K1" s="1300"/>
      <c r="L1" s="1300"/>
      <c r="M1" s="1300"/>
      <c r="N1" s="1300"/>
      <c r="O1" s="1300"/>
      <c r="P1" s="1300"/>
      <c r="Q1" s="1300"/>
      <c r="R1" s="1300"/>
      <c r="S1" s="1300"/>
      <c r="T1" s="1300"/>
      <c r="U1" s="1300"/>
      <c r="V1" s="1300"/>
      <c r="W1" s="1300"/>
      <c r="X1" s="1300"/>
      <c r="Y1" s="1300"/>
    </row>
    <row r="2" spans="1:25">
      <c r="A2" s="59"/>
      <c r="B2" s="60"/>
      <c r="C2" s="60"/>
      <c r="D2" s="60"/>
      <c r="E2" s="60"/>
      <c r="F2" s="60"/>
      <c r="G2" s="60"/>
      <c r="H2" s="60"/>
      <c r="I2" s="60"/>
      <c r="J2" s="60"/>
      <c r="K2" s="60"/>
      <c r="L2" s="60"/>
      <c r="M2" s="60"/>
      <c r="N2" s="60"/>
      <c r="O2" s="60"/>
      <c r="P2" s="60"/>
      <c r="Q2" s="60"/>
      <c r="R2" s="60"/>
      <c r="S2" s="60"/>
      <c r="T2" s="60"/>
      <c r="U2" s="60"/>
      <c r="V2" s="60"/>
      <c r="W2" s="60"/>
      <c r="X2" s="60"/>
      <c r="Y2" s="61"/>
    </row>
    <row r="3" spans="1:25">
      <c r="A3" s="1368" t="s">
        <v>60</v>
      </c>
      <c r="B3" s="1368"/>
      <c r="C3" s="1368"/>
      <c r="D3" s="1368"/>
      <c r="E3" s="1368"/>
      <c r="F3" s="1368"/>
      <c r="G3" s="1368"/>
      <c r="H3" s="1368"/>
      <c r="I3" s="1368"/>
      <c r="J3" s="1368"/>
      <c r="K3" s="1368"/>
      <c r="L3" s="1368"/>
      <c r="M3" s="1368"/>
      <c r="N3" s="1368"/>
      <c r="O3" s="1368"/>
      <c r="P3" s="1368"/>
      <c r="Q3" s="1368"/>
      <c r="R3" s="1368"/>
      <c r="S3" s="1368"/>
      <c r="T3" s="1368"/>
      <c r="U3" s="1368"/>
      <c r="V3" s="1368"/>
      <c r="W3" s="1368"/>
      <c r="X3" s="1368"/>
      <c r="Y3" s="1368"/>
    </row>
    <row r="4" spans="1:25">
      <c r="A4" s="62" t="s">
        <v>140</v>
      </c>
      <c r="B4" s="63" t="s">
        <v>194</v>
      </c>
      <c r="C4" s="64"/>
      <c r="D4" s="64"/>
      <c r="E4" s="64"/>
      <c r="F4" s="64"/>
      <c r="G4" s="64"/>
      <c r="H4" s="64"/>
      <c r="I4" s="64"/>
      <c r="J4" s="64"/>
      <c r="K4" s="64"/>
      <c r="L4" s="64"/>
      <c r="M4" s="64"/>
      <c r="N4" s="64"/>
      <c r="O4" s="64"/>
      <c r="P4" s="64"/>
      <c r="Q4" s="64"/>
      <c r="R4" s="64"/>
      <c r="S4" s="64"/>
      <c r="T4" s="64"/>
      <c r="U4" s="64"/>
      <c r="V4" s="64"/>
      <c r="W4" s="64"/>
      <c r="X4" s="64"/>
      <c r="Y4" s="65"/>
    </row>
    <row r="5" spans="1:25">
      <c r="A5" s="66"/>
      <c r="B5" s="1397" t="s">
        <v>195</v>
      </c>
      <c r="C5" s="1397"/>
      <c r="D5" s="1397"/>
      <c r="E5" s="1397"/>
      <c r="F5" s="1397"/>
      <c r="G5" s="1397"/>
      <c r="H5" s="1369" t="s">
        <v>196</v>
      </c>
      <c r="I5" s="1369"/>
      <c r="J5" s="1369"/>
      <c r="K5" s="1369"/>
      <c r="L5" s="1369"/>
      <c r="M5" s="1369"/>
      <c r="N5" s="1369"/>
      <c r="O5" s="1369"/>
      <c r="P5" s="1369"/>
      <c r="Q5" s="1369"/>
      <c r="R5" s="1369"/>
      <c r="S5" s="1369"/>
      <c r="T5" s="1369"/>
      <c r="U5" s="1369"/>
      <c r="V5" s="1369"/>
      <c r="W5" s="1369"/>
      <c r="X5" s="1369"/>
      <c r="Y5" s="65"/>
    </row>
    <row r="6" spans="1:25">
      <c r="A6" s="66"/>
      <c r="B6" s="1370" t="s">
        <v>197</v>
      </c>
      <c r="C6" s="1370"/>
      <c r="D6" s="1370"/>
      <c r="E6" s="1370"/>
      <c r="F6" s="1370"/>
      <c r="G6" s="1370"/>
      <c r="H6" s="1393" t="s">
        <v>198</v>
      </c>
      <c r="I6" s="1393"/>
      <c r="J6" s="1393"/>
      <c r="K6" s="1393"/>
      <c r="L6" s="1393"/>
      <c r="M6" s="1393"/>
      <c r="N6" s="1393"/>
      <c r="O6" s="1393"/>
      <c r="P6" s="1393"/>
      <c r="Q6" s="1393"/>
      <c r="R6" s="1393"/>
      <c r="S6" s="1393"/>
      <c r="T6" s="1393"/>
      <c r="U6" s="1393"/>
      <c r="V6" s="1393"/>
      <c r="W6" s="1393"/>
      <c r="X6" s="1393"/>
      <c r="Y6" s="65"/>
    </row>
    <row r="7" spans="1:25">
      <c r="A7" s="66"/>
      <c r="B7" s="1370"/>
      <c r="C7" s="1370"/>
      <c r="D7" s="1370"/>
      <c r="E7" s="1370"/>
      <c r="F7" s="1370"/>
      <c r="G7" s="1370"/>
      <c r="H7" s="1393"/>
      <c r="I7" s="1393"/>
      <c r="J7" s="1393"/>
      <c r="K7" s="1393"/>
      <c r="L7" s="1393"/>
      <c r="M7" s="1393"/>
      <c r="N7" s="1393"/>
      <c r="O7" s="1393"/>
      <c r="P7" s="1393"/>
      <c r="Q7" s="1393"/>
      <c r="R7" s="1393"/>
      <c r="S7" s="1393"/>
      <c r="T7" s="1393"/>
      <c r="U7" s="1393"/>
      <c r="V7" s="1393"/>
      <c r="W7" s="1393"/>
      <c r="X7" s="1393"/>
      <c r="Y7" s="65"/>
    </row>
    <row r="8" spans="1:25">
      <c r="A8" s="66"/>
      <c r="B8" s="1370" t="s">
        <v>199</v>
      </c>
      <c r="C8" s="1370"/>
      <c r="D8" s="1370"/>
      <c r="E8" s="1370"/>
      <c r="F8" s="1370"/>
      <c r="G8" s="1370"/>
      <c r="H8" s="1393" t="s">
        <v>200</v>
      </c>
      <c r="I8" s="1393"/>
      <c r="J8" s="1393"/>
      <c r="K8" s="1393"/>
      <c r="L8" s="1393"/>
      <c r="M8" s="1393"/>
      <c r="N8" s="1393"/>
      <c r="O8" s="1393"/>
      <c r="P8" s="1393"/>
      <c r="Q8" s="1393"/>
      <c r="R8" s="1393"/>
      <c r="S8" s="1393"/>
      <c r="T8" s="1393"/>
      <c r="U8" s="1393"/>
      <c r="V8" s="1393"/>
      <c r="W8" s="1393"/>
      <c r="X8" s="1393"/>
      <c r="Y8" s="65"/>
    </row>
    <row r="9" spans="1:25">
      <c r="A9" s="66"/>
      <c r="B9" s="1370"/>
      <c r="C9" s="1370"/>
      <c r="D9" s="1370"/>
      <c r="E9" s="1370"/>
      <c r="F9" s="1370"/>
      <c r="G9" s="1370"/>
      <c r="H9" s="1393"/>
      <c r="I9" s="1393"/>
      <c r="J9" s="1393"/>
      <c r="K9" s="1393"/>
      <c r="L9" s="1393"/>
      <c r="M9" s="1393"/>
      <c r="N9" s="1393"/>
      <c r="O9" s="1393"/>
      <c r="P9" s="1393"/>
      <c r="Q9" s="1393"/>
      <c r="R9" s="1393"/>
      <c r="S9" s="1393"/>
      <c r="T9" s="1393"/>
      <c r="U9" s="1393"/>
      <c r="V9" s="1393"/>
      <c r="W9" s="1393"/>
      <c r="X9" s="1393"/>
      <c r="Y9" s="65"/>
    </row>
    <row r="10" spans="1:25">
      <c r="A10" s="66"/>
      <c r="B10" s="1370" t="s">
        <v>201</v>
      </c>
      <c r="C10" s="1370"/>
      <c r="D10" s="1370"/>
      <c r="E10" s="1370"/>
      <c r="F10" s="1370"/>
      <c r="G10" s="1370"/>
      <c r="H10" s="1393" t="s">
        <v>202</v>
      </c>
      <c r="I10" s="1393"/>
      <c r="J10" s="1393"/>
      <c r="K10" s="1393"/>
      <c r="L10" s="1393"/>
      <c r="M10" s="1393"/>
      <c r="N10" s="1393"/>
      <c r="O10" s="1393"/>
      <c r="P10" s="1393"/>
      <c r="Q10" s="1393"/>
      <c r="R10" s="1393"/>
      <c r="S10" s="1393"/>
      <c r="T10" s="1393"/>
      <c r="U10" s="1393"/>
      <c r="V10" s="1393"/>
      <c r="W10" s="1393"/>
      <c r="X10" s="1393"/>
      <c r="Y10" s="65"/>
    </row>
    <row r="11" spans="1:25">
      <c r="A11" s="66"/>
      <c r="B11" s="1370"/>
      <c r="C11" s="1370"/>
      <c r="D11" s="1370"/>
      <c r="E11" s="1370"/>
      <c r="F11" s="1370"/>
      <c r="G11" s="1370"/>
      <c r="H11" s="1393"/>
      <c r="I11" s="1393"/>
      <c r="J11" s="1393"/>
      <c r="K11" s="1393"/>
      <c r="L11" s="1393"/>
      <c r="M11" s="1393"/>
      <c r="N11" s="1393"/>
      <c r="O11" s="1393"/>
      <c r="P11" s="1393"/>
      <c r="Q11" s="1393"/>
      <c r="R11" s="1393"/>
      <c r="S11" s="1393"/>
      <c r="T11" s="1393"/>
      <c r="U11" s="1393"/>
      <c r="V11" s="1393"/>
      <c r="W11" s="1393"/>
      <c r="X11" s="1393"/>
      <c r="Y11" s="65"/>
    </row>
    <row r="12" spans="1:25">
      <c r="A12" s="66"/>
      <c r="B12" s="1370" t="s">
        <v>203</v>
      </c>
      <c r="C12" s="1370"/>
      <c r="D12" s="1370"/>
      <c r="E12" s="1370"/>
      <c r="F12" s="1370"/>
      <c r="G12" s="1370"/>
      <c r="H12" s="1393" t="s">
        <v>204</v>
      </c>
      <c r="I12" s="1393"/>
      <c r="J12" s="1393"/>
      <c r="K12" s="1393"/>
      <c r="L12" s="1393"/>
      <c r="M12" s="1393"/>
      <c r="N12" s="1393"/>
      <c r="O12" s="1393"/>
      <c r="P12" s="1393"/>
      <c r="Q12" s="1393"/>
      <c r="R12" s="1393"/>
      <c r="S12" s="1393"/>
      <c r="T12" s="1393"/>
      <c r="U12" s="1393"/>
      <c r="V12" s="1393"/>
      <c r="W12" s="1393"/>
      <c r="X12" s="1393"/>
      <c r="Y12" s="65"/>
    </row>
    <row r="13" spans="1:25">
      <c r="A13" s="66"/>
      <c r="B13" s="1370"/>
      <c r="C13" s="1370"/>
      <c r="D13" s="1370"/>
      <c r="E13" s="1370"/>
      <c r="F13" s="1370"/>
      <c r="G13" s="1370"/>
      <c r="H13" s="1393"/>
      <c r="I13" s="1393"/>
      <c r="J13" s="1393"/>
      <c r="K13" s="1393"/>
      <c r="L13" s="1393"/>
      <c r="M13" s="1393"/>
      <c r="N13" s="1393"/>
      <c r="O13" s="1393"/>
      <c r="P13" s="1393"/>
      <c r="Q13" s="1393"/>
      <c r="R13" s="1393"/>
      <c r="S13" s="1393"/>
      <c r="T13" s="1393"/>
      <c r="U13" s="1393"/>
      <c r="V13" s="1393"/>
      <c r="W13" s="1393"/>
      <c r="X13" s="1393"/>
      <c r="Y13" s="65"/>
    </row>
    <row r="14" spans="1:25">
      <c r="A14" s="66"/>
      <c r="B14" s="1398" t="s">
        <v>205</v>
      </c>
      <c r="C14" s="1398"/>
      <c r="D14" s="1398"/>
      <c r="E14" s="1398"/>
      <c r="F14" s="1398"/>
      <c r="G14" s="1398"/>
      <c r="H14" s="1399" t="s">
        <v>206</v>
      </c>
      <c r="I14" s="1399"/>
      <c r="J14" s="1399"/>
      <c r="K14" s="1399"/>
      <c r="L14" s="1399"/>
      <c r="M14" s="1399"/>
      <c r="N14" s="1399"/>
      <c r="O14" s="1399"/>
      <c r="P14" s="1399"/>
      <c r="Q14" s="1399"/>
      <c r="R14" s="1399"/>
      <c r="S14" s="1399"/>
      <c r="T14" s="1399"/>
      <c r="U14" s="1399"/>
      <c r="V14" s="1399"/>
      <c r="W14" s="1399"/>
      <c r="X14" s="1399"/>
      <c r="Y14" s="65"/>
    </row>
    <row r="15" spans="1:25">
      <c r="A15" s="66"/>
      <c r="B15" s="1370" t="s">
        <v>207</v>
      </c>
      <c r="C15" s="1370"/>
      <c r="D15" s="1370"/>
      <c r="E15" s="1370"/>
      <c r="F15" s="1370"/>
      <c r="G15" s="1370"/>
      <c r="H15" s="1396" t="s">
        <v>208</v>
      </c>
      <c r="I15" s="1396"/>
      <c r="J15" s="1396"/>
      <c r="K15" s="1396"/>
      <c r="L15" s="1396"/>
      <c r="M15" s="1396"/>
      <c r="N15" s="1396"/>
      <c r="O15" s="1396"/>
      <c r="P15" s="1396"/>
      <c r="Q15" s="1396"/>
      <c r="R15" s="1396"/>
      <c r="S15" s="1396"/>
      <c r="T15" s="1396"/>
      <c r="U15" s="1396"/>
      <c r="V15" s="1396"/>
      <c r="W15" s="1396"/>
      <c r="X15" s="1396"/>
      <c r="Y15" s="65"/>
    </row>
    <row r="16" spans="1:25">
      <c r="A16" s="66"/>
      <c r="B16" s="1370"/>
      <c r="C16" s="1370"/>
      <c r="D16" s="1370"/>
      <c r="E16" s="1370"/>
      <c r="F16" s="1370"/>
      <c r="G16" s="1370"/>
      <c r="H16" s="1396"/>
      <c r="I16" s="1396"/>
      <c r="J16" s="1396"/>
      <c r="K16" s="1396"/>
      <c r="L16" s="1396"/>
      <c r="M16" s="1396"/>
      <c r="N16" s="1396"/>
      <c r="O16" s="1396"/>
      <c r="P16" s="1396"/>
      <c r="Q16" s="1396"/>
      <c r="R16" s="1396"/>
      <c r="S16" s="1396"/>
      <c r="T16" s="1396"/>
      <c r="U16" s="1396"/>
      <c r="V16" s="1396"/>
      <c r="W16" s="1396"/>
      <c r="X16" s="1396"/>
      <c r="Y16" s="65"/>
    </row>
    <row r="17" spans="1:25">
      <c r="A17" s="66"/>
      <c r="B17" s="1370" t="s">
        <v>209</v>
      </c>
      <c r="C17" s="1370"/>
      <c r="D17" s="1370"/>
      <c r="E17" s="1370"/>
      <c r="F17" s="1370"/>
      <c r="G17" s="1370"/>
      <c r="H17" s="1396" t="s">
        <v>210</v>
      </c>
      <c r="I17" s="1396"/>
      <c r="J17" s="1396"/>
      <c r="K17" s="1396"/>
      <c r="L17" s="1396"/>
      <c r="M17" s="1396"/>
      <c r="N17" s="1396"/>
      <c r="O17" s="1396"/>
      <c r="P17" s="1396"/>
      <c r="Q17" s="1396"/>
      <c r="R17" s="1396"/>
      <c r="S17" s="1396"/>
      <c r="T17" s="1396"/>
      <c r="U17" s="1396"/>
      <c r="V17" s="1396"/>
      <c r="W17" s="1396"/>
      <c r="X17" s="1396"/>
      <c r="Y17" s="65"/>
    </row>
    <row r="18" spans="1:25">
      <c r="A18" s="66"/>
      <c r="B18" s="1370"/>
      <c r="C18" s="1370"/>
      <c r="D18" s="1370"/>
      <c r="E18" s="1370"/>
      <c r="F18" s="1370"/>
      <c r="G18" s="1370"/>
      <c r="H18" s="1396"/>
      <c r="I18" s="1396"/>
      <c r="J18" s="1396"/>
      <c r="K18" s="1396"/>
      <c r="L18" s="1396"/>
      <c r="M18" s="1396"/>
      <c r="N18" s="1396"/>
      <c r="O18" s="1396"/>
      <c r="P18" s="1396"/>
      <c r="Q18" s="1396"/>
      <c r="R18" s="1396"/>
      <c r="S18" s="1396"/>
      <c r="T18" s="1396"/>
      <c r="U18" s="1396"/>
      <c r="V18" s="1396"/>
      <c r="W18" s="1396"/>
      <c r="X18" s="1396"/>
      <c r="Y18" s="65"/>
    </row>
    <row r="19" spans="1:25">
      <c r="A19" s="66"/>
      <c r="B19" s="64"/>
      <c r="C19" s="64"/>
      <c r="D19" s="64"/>
      <c r="E19" s="64"/>
      <c r="F19" s="64"/>
      <c r="G19" s="64"/>
      <c r="H19" s="64"/>
      <c r="I19" s="64"/>
      <c r="J19" s="64"/>
      <c r="K19" s="64"/>
      <c r="L19" s="64"/>
      <c r="M19" s="64"/>
      <c r="N19" s="64"/>
      <c r="O19" s="64"/>
      <c r="P19" s="64"/>
      <c r="Q19" s="64"/>
      <c r="R19" s="64"/>
      <c r="S19" s="64"/>
      <c r="T19" s="64"/>
      <c r="U19" s="64"/>
      <c r="V19" s="64"/>
      <c r="W19" s="64"/>
      <c r="X19" s="64"/>
      <c r="Y19" s="65"/>
    </row>
    <row r="20" spans="1:25">
      <c r="A20" s="62" t="s">
        <v>145</v>
      </c>
      <c r="B20" s="63" t="s">
        <v>211</v>
      </c>
      <c r="C20" s="64"/>
      <c r="D20" s="64"/>
      <c r="E20" s="64"/>
      <c r="F20" s="64"/>
      <c r="G20" s="64"/>
      <c r="H20" s="64"/>
      <c r="I20" s="64"/>
      <c r="J20" s="64"/>
      <c r="K20" s="64"/>
      <c r="L20" s="64"/>
      <c r="M20" s="64"/>
      <c r="N20" s="64"/>
      <c r="O20" s="64"/>
      <c r="P20" s="64"/>
      <c r="Q20" s="64"/>
      <c r="R20" s="64"/>
      <c r="S20" s="64"/>
      <c r="T20" s="64"/>
      <c r="U20" s="64"/>
      <c r="V20" s="64"/>
      <c r="W20" s="64"/>
      <c r="X20" s="64"/>
      <c r="Y20" s="65"/>
    </row>
    <row r="21" spans="1:25">
      <c r="A21" s="66"/>
      <c r="B21" s="1397" t="s">
        <v>195</v>
      </c>
      <c r="C21" s="1397"/>
      <c r="D21" s="1397"/>
      <c r="E21" s="1397"/>
      <c r="F21" s="1397"/>
      <c r="G21" s="1397"/>
      <c r="H21" s="1369" t="s">
        <v>196</v>
      </c>
      <c r="I21" s="1369"/>
      <c r="J21" s="1369"/>
      <c r="K21" s="1369"/>
      <c r="L21" s="1369"/>
      <c r="M21" s="1369"/>
      <c r="N21" s="1369"/>
      <c r="O21" s="1369"/>
      <c r="P21" s="1369"/>
      <c r="Q21" s="1369"/>
      <c r="R21" s="1369"/>
      <c r="S21" s="1369"/>
      <c r="T21" s="1369"/>
      <c r="U21" s="1369"/>
      <c r="V21" s="1369"/>
      <c r="W21" s="1369"/>
      <c r="X21" s="1369"/>
      <c r="Y21" s="65"/>
    </row>
    <row r="22" spans="1:25">
      <c r="A22" s="66"/>
      <c r="B22" s="59" t="s">
        <v>212</v>
      </c>
      <c r="C22" s="60"/>
      <c r="D22" s="60"/>
      <c r="E22" s="60"/>
      <c r="F22" s="60"/>
      <c r="G22" s="61"/>
      <c r="H22" s="67" t="s">
        <v>42</v>
      </c>
      <c r="I22" s="1394" t="s">
        <v>398</v>
      </c>
      <c r="J22" s="1394"/>
      <c r="K22" s="1394"/>
      <c r="L22" s="1394"/>
      <c r="M22" s="1394"/>
      <c r="N22" s="1394"/>
      <c r="O22" s="1394"/>
      <c r="P22" s="1394"/>
      <c r="Q22" s="1394"/>
      <c r="R22" s="1394"/>
      <c r="S22" s="1394"/>
      <c r="T22" s="1394"/>
      <c r="U22" s="1394"/>
      <c r="V22" s="1394"/>
      <c r="W22" s="1394"/>
      <c r="X22" s="1395"/>
      <c r="Y22" s="65"/>
    </row>
    <row r="23" spans="1:25">
      <c r="A23" s="66"/>
      <c r="B23" s="66"/>
      <c r="C23" s="64"/>
      <c r="D23" s="64"/>
      <c r="E23" s="64"/>
      <c r="F23" s="64"/>
      <c r="G23" s="65"/>
      <c r="H23" s="66"/>
      <c r="I23" s="1385"/>
      <c r="J23" s="1385"/>
      <c r="K23" s="1385"/>
      <c r="L23" s="1385"/>
      <c r="M23" s="1385"/>
      <c r="N23" s="1385"/>
      <c r="O23" s="1385"/>
      <c r="P23" s="1385"/>
      <c r="Q23" s="1385"/>
      <c r="R23" s="1385"/>
      <c r="S23" s="1385"/>
      <c r="T23" s="1385"/>
      <c r="U23" s="1385"/>
      <c r="V23" s="1385"/>
      <c r="W23" s="1385"/>
      <c r="X23" s="1386"/>
      <c r="Y23" s="65"/>
    </row>
    <row r="24" spans="1:25">
      <c r="A24" s="66"/>
      <c r="B24" s="66"/>
      <c r="C24" s="64"/>
      <c r="D24" s="64"/>
      <c r="E24" s="64"/>
      <c r="F24" s="64"/>
      <c r="G24" s="65"/>
      <c r="H24" s="66"/>
      <c r="I24" s="1385"/>
      <c r="J24" s="1385"/>
      <c r="K24" s="1385"/>
      <c r="L24" s="1385"/>
      <c r="M24" s="1385"/>
      <c r="N24" s="1385"/>
      <c r="O24" s="1385"/>
      <c r="P24" s="1385"/>
      <c r="Q24" s="1385"/>
      <c r="R24" s="1385"/>
      <c r="S24" s="1385"/>
      <c r="T24" s="1385"/>
      <c r="U24" s="1385"/>
      <c r="V24" s="1385"/>
      <c r="W24" s="1385"/>
      <c r="X24" s="1386"/>
      <c r="Y24" s="65"/>
    </row>
    <row r="25" spans="1:25">
      <c r="A25" s="66"/>
      <c r="B25" s="66"/>
      <c r="C25" s="64"/>
      <c r="D25" s="64"/>
      <c r="E25" s="64"/>
      <c r="F25" s="64"/>
      <c r="G25" s="65"/>
      <c r="H25" s="68"/>
      <c r="I25" s="1387"/>
      <c r="J25" s="1387"/>
      <c r="K25" s="1387"/>
      <c r="L25" s="1387"/>
      <c r="M25" s="1387"/>
      <c r="N25" s="1387"/>
      <c r="O25" s="1387"/>
      <c r="P25" s="1387"/>
      <c r="Q25" s="1387"/>
      <c r="R25" s="1387"/>
      <c r="S25" s="1387"/>
      <c r="T25" s="1387"/>
      <c r="U25" s="1387"/>
      <c r="V25" s="1387"/>
      <c r="W25" s="1387"/>
      <c r="X25" s="1388"/>
      <c r="Y25" s="65"/>
    </row>
    <row r="26" spans="1:25">
      <c r="A26" s="66"/>
      <c r="B26" s="66"/>
      <c r="C26" s="64"/>
      <c r="D26" s="64"/>
      <c r="E26" s="64"/>
      <c r="F26" s="64"/>
      <c r="G26" s="65"/>
      <c r="H26" s="67" t="s">
        <v>42</v>
      </c>
      <c r="I26" s="1394" t="s">
        <v>213</v>
      </c>
      <c r="J26" s="1394"/>
      <c r="K26" s="1394"/>
      <c r="L26" s="1394"/>
      <c r="M26" s="1394"/>
      <c r="N26" s="1394"/>
      <c r="O26" s="1394"/>
      <c r="P26" s="1394"/>
      <c r="Q26" s="1394"/>
      <c r="R26" s="1394"/>
      <c r="S26" s="1394"/>
      <c r="T26" s="1394"/>
      <c r="U26" s="1394"/>
      <c r="V26" s="1394"/>
      <c r="W26" s="1394"/>
      <c r="X26" s="1395"/>
      <c r="Y26" s="65"/>
    </row>
    <row r="27" spans="1:25">
      <c r="A27" s="66"/>
      <c r="B27" s="66"/>
      <c r="C27" s="64"/>
      <c r="D27" s="64"/>
      <c r="E27" s="64"/>
      <c r="F27" s="64"/>
      <c r="G27" s="65"/>
      <c r="H27" s="69"/>
      <c r="I27" s="1385"/>
      <c r="J27" s="1385"/>
      <c r="K27" s="1385"/>
      <c r="L27" s="1385"/>
      <c r="M27" s="1385"/>
      <c r="N27" s="1385"/>
      <c r="O27" s="1385"/>
      <c r="P27" s="1385"/>
      <c r="Q27" s="1385"/>
      <c r="R27" s="1385"/>
      <c r="S27" s="1385"/>
      <c r="T27" s="1385"/>
      <c r="U27" s="1385"/>
      <c r="V27" s="1385"/>
      <c r="W27" s="1385"/>
      <c r="X27" s="1386"/>
      <c r="Y27" s="65"/>
    </row>
    <row r="28" spans="1:25">
      <c r="A28" s="66"/>
      <c r="B28" s="66"/>
      <c r="C28" s="64"/>
      <c r="D28" s="64"/>
      <c r="E28" s="64"/>
      <c r="F28" s="64"/>
      <c r="G28" s="65"/>
      <c r="H28" s="69"/>
      <c r="I28" s="1385"/>
      <c r="J28" s="1385"/>
      <c r="K28" s="1385"/>
      <c r="L28" s="1385"/>
      <c r="M28" s="1385"/>
      <c r="N28" s="1385"/>
      <c r="O28" s="1385"/>
      <c r="P28" s="1385"/>
      <c r="Q28" s="1385"/>
      <c r="R28" s="1385"/>
      <c r="S28" s="1385"/>
      <c r="T28" s="1385"/>
      <c r="U28" s="1385"/>
      <c r="V28" s="1385"/>
      <c r="W28" s="1385"/>
      <c r="X28" s="1386"/>
      <c r="Y28" s="65"/>
    </row>
    <row r="29" spans="1:25">
      <c r="A29" s="66"/>
      <c r="B29" s="66"/>
      <c r="C29" s="64"/>
      <c r="D29" s="64"/>
      <c r="E29" s="64"/>
      <c r="F29" s="64"/>
      <c r="G29" s="65"/>
      <c r="H29" s="70"/>
      <c r="I29" s="1387"/>
      <c r="J29" s="1387"/>
      <c r="K29" s="1387"/>
      <c r="L29" s="1387"/>
      <c r="M29" s="1387"/>
      <c r="N29" s="1387"/>
      <c r="O29" s="1387"/>
      <c r="P29" s="1387"/>
      <c r="Q29" s="1387"/>
      <c r="R29" s="1387"/>
      <c r="S29" s="1387"/>
      <c r="T29" s="1387"/>
      <c r="U29" s="1387"/>
      <c r="V29" s="1387"/>
      <c r="W29" s="1387"/>
      <c r="X29" s="1388"/>
      <c r="Y29" s="65"/>
    </row>
    <row r="30" spans="1:25">
      <c r="A30" s="66"/>
      <c r="B30" s="66"/>
      <c r="C30" s="64"/>
      <c r="D30" s="64"/>
      <c r="E30" s="64"/>
      <c r="F30" s="64"/>
      <c r="G30" s="65"/>
      <c r="H30" s="67" t="s">
        <v>42</v>
      </c>
      <c r="I30" s="1394" t="s">
        <v>399</v>
      </c>
      <c r="J30" s="1394"/>
      <c r="K30" s="1394"/>
      <c r="L30" s="1394"/>
      <c r="M30" s="1394"/>
      <c r="N30" s="1394"/>
      <c r="O30" s="1394"/>
      <c r="P30" s="1394"/>
      <c r="Q30" s="1394"/>
      <c r="R30" s="1394"/>
      <c r="S30" s="1394"/>
      <c r="T30" s="1394"/>
      <c r="U30" s="1394"/>
      <c r="V30" s="1394"/>
      <c r="W30" s="1394"/>
      <c r="X30" s="1395"/>
      <c r="Y30" s="65"/>
    </row>
    <row r="31" spans="1:25">
      <c r="A31" s="66"/>
      <c r="B31" s="66"/>
      <c r="C31" s="64"/>
      <c r="D31" s="64"/>
      <c r="E31" s="64"/>
      <c r="F31" s="64"/>
      <c r="G31" s="65"/>
      <c r="H31" s="69"/>
      <c r="I31" s="1385" t="s">
        <v>214</v>
      </c>
      <c r="J31" s="1385"/>
      <c r="K31" s="1385"/>
      <c r="L31" s="1385"/>
      <c r="M31" s="1385"/>
      <c r="N31" s="1385"/>
      <c r="O31" s="1385"/>
      <c r="P31" s="1385"/>
      <c r="Q31" s="1385"/>
      <c r="R31" s="1385"/>
      <c r="S31" s="1385"/>
      <c r="T31" s="1385"/>
      <c r="U31" s="1385"/>
      <c r="V31" s="1385"/>
      <c r="W31" s="1385"/>
      <c r="X31" s="1386"/>
      <c r="Y31" s="65"/>
    </row>
    <row r="32" spans="1:25">
      <c r="A32" s="66"/>
      <c r="B32" s="66"/>
      <c r="C32" s="64"/>
      <c r="D32" s="64"/>
      <c r="E32" s="64"/>
      <c r="F32" s="64"/>
      <c r="G32" s="65"/>
      <c r="H32" s="69"/>
      <c r="I32" s="1385"/>
      <c r="J32" s="1385"/>
      <c r="K32" s="1385"/>
      <c r="L32" s="1385"/>
      <c r="M32" s="1385"/>
      <c r="N32" s="1385"/>
      <c r="O32" s="1385"/>
      <c r="P32" s="1385"/>
      <c r="Q32" s="1385"/>
      <c r="R32" s="1385"/>
      <c r="S32" s="1385"/>
      <c r="T32" s="1385"/>
      <c r="U32" s="1385"/>
      <c r="V32" s="1385"/>
      <c r="W32" s="1385"/>
      <c r="X32" s="1386"/>
      <c r="Y32" s="65"/>
    </row>
    <row r="33" spans="1:25">
      <c r="A33" s="66"/>
      <c r="B33" s="66"/>
      <c r="C33" s="64"/>
      <c r="D33" s="64"/>
      <c r="E33" s="64"/>
      <c r="F33" s="64"/>
      <c r="G33" s="65"/>
      <c r="H33" s="70"/>
      <c r="I33" s="1387"/>
      <c r="J33" s="1387"/>
      <c r="K33" s="1387"/>
      <c r="L33" s="1387"/>
      <c r="M33" s="1387"/>
      <c r="N33" s="1387"/>
      <c r="O33" s="1387"/>
      <c r="P33" s="1387"/>
      <c r="Q33" s="1387"/>
      <c r="R33" s="1387"/>
      <c r="S33" s="1387"/>
      <c r="T33" s="1387"/>
      <c r="U33" s="1387"/>
      <c r="V33" s="1387"/>
      <c r="W33" s="1387"/>
      <c r="X33" s="1388"/>
      <c r="Y33" s="65"/>
    </row>
    <row r="34" spans="1:25">
      <c r="A34" s="66"/>
      <c r="B34" s="66"/>
      <c r="C34" s="64"/>
      <c r="D34" s="64"/>
      <c r="E34" s="64"/>
      <c r="F34" s="64"/>
      <c r="G34" s="65"/>
      <c r="H34" s="67" t="s">
        <v>42</v>
      </c>
      <c r="I34" s="1394" t="s">
        <v>215</v>
      </c>
      <c r="J34" s="1394"/>
      <c r="K34" s="1394"/>
      <c r="L34" s="1394"/>
      <c r="M34" s="1394"/>
      <c r="N34" s="1394"/>
      <c r="O34" s="1394"/>
      <c r="P34" s="1394"/>
      <c r="Q34" s="1394"/>
      <c r="R34" s="1394"/>
      <c r="S34" s="1394"/>
      <c r="T34" s="1394"/>
      <c r="U34" s="1394"/>
      <c r="V34" s="1394"/>
      <c r="W34" s="1394"/>
      <c r="X34" s="1395"/>
      <c r="Y34" s="65"/>
    </row>
    <row r="35" spans="1:25">
      <c r="A35" s="66"/>
      <c r="B35" s="66"/>
      <c r="C35" s="64"/>
      <c r="D35" s="64"/>
      <c r="E35" s="64"/>
      <c r="F35" s="64"/>
      <c r="G35" s="65"/>
      <c r="H35" s="69"/>
      <c r="I35" s="1385" t="s">
        <v>216</v>
      </c>
      <c r="J35" s="1385"/>
      <c r="K35" s="1385"/>
      <c r="L35" s="1385"/>
      <c r="M35" s="1385"/>
      <c r="N35" s="1385"/>
      <c r="O35" s="1385"/>
      <c r="P35" s="1385"/>
      <c r="Q35" s="1385"/>
      <c r="R35" s="1385"/>
      <c r="S35" s="1385"/>
      <c r="T35" s="1385"/>
      <c r="U35" s="1385"/>
      <c r="V35" s="1385"/>
      <c r="W35" s="1385"/>
      <c r="X35" s="1386"/>
      <c r="Y35" s="65"/>
    </row>
    <row r="36" spans="1:25">
      <c r="A36" s="66"/>
      <c r="B36" s="66"/>
      <c r="C36" s="64"/>
      <c r="D36" s="64"/>
      <c r="E36" s="64"/>
      <c r="F36" s="64"/>
      <c r="G36" s="65"/>
      <c r="H36" s="69"/>
      <c r="I36" s="1385"/>
      <c r="J36" s="1385"/>
      <c r="K36" s="1385"/>
      <c r="L36" s="1385"/>
      <c r="M36" s="1385"/>
      <c r="N36" s="1385"/>
      <c r="O36" s="1385"/>
      <c r="P36" s="1385"/>
      <c r="Q36" s="1385"/>
      <c r="R36" s="1385"/>
      <c r="S36" s="1385"/>
      <c r="T36" s="1385"/>
      <c r="U36" s="1385"/>
      <c r="V36" s="1385"/>
      <c r="W36" s="1385"/>
      <c r="X36" s="1386"/>
      <c r="Y36" s="65"/>
    </row>
    <row r="37" spans="1:25">
      <c r="A37" s="66"/>
      <c r="B37" s="66"/>
      <c r="C37" s="64"/>
      <c r="D37" s="64"/>
      <c r="E37" s="64"/>
      <c r="F37" s="64"/>
      <c r="G37" s="65"/>
      <c r="H37" s="69"/>
      <c r="I37" s="1385"/>
      <c r="J37" s="1385"/>
      <c r="K37" s="1385"/>
      <c r="L37" s="1385"/>
      <c r="M37" s="1385"/>
      <c r="N37" s="1385"/>
      <c r="O37" s="1385"/>
      <c r="P37" s="1385"/>
      <c r="Q37" s="1385"/>
      <c r="R37" s="1385"/>
      <c r="S37" s="1385"/>
      <c r="T37" s="1385"/>
      <c r="U37" s="1385"/>
      <c r="V37" s="1385"/>
      <c r="W37" s="1385"/>
      <c r="X37" s="1386"/>
      <c r="Y37" s="65"/>
    </row>
    <row r="38" spans="1:25">
      <c r="A38" s="66"/>
      <c r="B38" s="66"/>
      <c r="C38" s="64"/>
      <c r="D38" s="64"/>
      <c r="E38" s="64"/>
      <c r="F38" s="64"/>
      <c r="G38" s="65"/>
      <c r="H38" s="67" t="s">
        <v>42</v>
      </c>
      <c r="I38" s="1394" t="s">
        <v>217</v>
      </c>
      <c r="J38" s="1394"/>
      <c r="K38" s="1394"/>
      <c r="L38" s="1394"/>
      <c r="M38" s="1394"/>
      <c r="N38" s="1394"/>
      <c r="O38" s="1394"/>
      <c r="P38" s="1394"/>
      <c r="Q38" s="1394"/>
      <c r="R38" s="1394"/>
      <c r="S38" s="1394"/>
      <c r="T38" s="1394"/>
      <c r="U38" s="1394"/>
      <c r="V38" s="1394"/>
      <c r="W38" s="1394"/>
      <c r="X38" s="1395"/>
      <c r="Y38" s="65"/>
    </row>
    <row r="39" spans="1:25">
      <c r="A39" s="66"/>
      <c r="B39" s="66"/>
      <c r="C39" s="64"/>
      <c r="D39" s="64"/>
      <c r="E39" s="64"/>
      <c r="F39" s="64"/>
      <c r="G39" s="65"/>
      <c r="H39" s="69"/>
      <c r="I39" s="1385" t="s">
        <v>218</v>
      </c>
      <c r="J39" s="1385"/>
      <c r="K39" s="1385"/>
      <c r="L39" s="1385"/>
      <c r="M39" s="1385"/>
      <c r="N39" s="1385"/>
      <c r="O39" s="1385"/>
      <c r="P39" s="1385"/>
      <c r="Q39" s="1385"/>
      <c r="R39" s="1385"/>
      <c r="S39" s="1385"/>
      <c r="T39" s="1385"/>
      <c r="U39" s="1385"/>
      <c r="V39" s="1385"/>
      <c r="W39" s="1385"/>
      <c r="X39" s="1386"/>
      <c r="Y39" s="65"/>
    </row>
    <row r="40" spans="1:25">
      <c r="A40" s="66"/>
      <c r="B40" s="66"/>
      <c r="C40" s="64"/>
      <c r="D40" s="64"/>
      <c r="E40" s="64"/>
      <c r="F40" s="64"/>
      <c r="G40" s="65"/>
      <c r="H40" s="69"/>
      <c r="I40" s="1385"/>
      <c r="J40" s="1385"/>
      <c r="K40" s="1385"/>
      <c r="L40" s="1385"/>
      <c r="M40" s="1385"/>
      <c r="N40" s="1385"/>
      <c r="O40" s="1385"/>
      <c r="P40" s="1385"/>
      <c r="Q40" s="1385"/>
      <c r="R40" s="1385"/>
      <c r="S40" s="1385"/>
      <c r="T40" s="1385"/>
      <c r="U40" s="1385"/>
      <c r="V40" s="1385"/>
      <c r="W40" s="1385"/>
      <c r="X40" s="1386"/>
      <c r="Y40" s="65"/>
    </row>
    <row r="41" spans="1:25">
      <c r="A41" s="66"/>
      <c r="B41" s="66"/>
      <c r="C41" s="64"/>
      <c r="D41" s="64"/>
      <c r="E41" s="64"/>
      <c r="F41" s="64"/>
      <c r="G41" s="65"/>
      <c r="H41" s="66"/>
      <c r="I41" s="1385"/>
      <c r="J41" s="1385"/>
      <c r="K41" s="1385"/>
      <c r="L41" s="1385"/>
      <c r="M41" s="1385"/>
      <c r="N41" s="1385"/>
      <c r="O41" s="1385"/>
      <c r="P41" s="1385"/>
      <c r="Q41" s="1385"/>
      <c r="R41" s="1385"/>
      <c r="S41" s="1385"/>
      <c r="T41" s="1385"/>
      <c r="U41" s="1385"/>
      <c r="V41" s="1385"/>
      <c r="W41" s="1385"/>
      <c r="X41" s="1386"/>
      <c r="Y41" s="65"/>
    </row>
    <row r="42" spans="1:25">
      <c r="A42" s="66"/>
      <c r="B42" s="68"/>
      <c r="C42" s="71"/>
      <c r="D42" s="71"/>
      <c r="E42" s="71"/>
      <c r="F42" s="71"/>
      <c r="G42" s="72"/>
      <c r="H42" s="68"/>
      <c r="I42" s="73"/>
      <c r="J42" s="73"/>
      <c r="K42" s="73"/>
      <c r="L42" s="73"/>
      <c r="M42" s="73"/>
      <c r="N42" s="73"/>
      <c r="O42" s="73"/>
      <c r="P42" s="73"/>
      <c r="Q42" s="73"/>
      <c r="R42" s="73"/>
      <c r="S42" s="73"/>
      <c r="T42" s="73"/>
      <c r="U42" s="73"/>
      <c r="V42" s="73"/>
      <c r="W42" s="73"/>
      <c r="X42" s="74"/>
      <c r="Y42" s="65"/>
    </row>
    <row r="43" spans="1:25">
      <c r="A43" s="66"/>
      <c r="B43" s="1326" t="s">
        <v>219</v>
      </c>
      <c r="C43" s="1327"/>
      <c r="D43" s="1327"/>
      <c r="E43" s="1327"/>
      <c r="F43" s="1327"/>
      <c r="G43" s="1328"/>
      <c r="H43" s="1380" t="s">
        <v>220</v>
      </c>
      <c r="I43" s="1381"/>
      <c r="J43" s="1381"/>
      <c r="K43" s="1381"/>
      <c r="L43" s="1381"/>
      <c r="M43" s="1381"/>
      <c r="N43" s="1381"/>
      <c r="O43" s="1381"/>
      <c r="P43" s="1381"/>
      <c r="Q43" s="1381"/>
      <c r="R43" s="1381"/>
      <c r="S43" s="1381"/>
      <c r="T43" s="1381"/>
      <c r="U43" s="1381"/>
      <c r="V43" s="1381"/>
      <c r="W43" s="1381"/>
      <c r="X43" s="1382"/>
      <c r="Y43" s="65"/>
    </row>
    <row r="44" spans="1:25">
      <c r="A44" s="66"/>
      <c r="B44" s="1332"/>
      <c r="C44" s="1333"/>
      <c r="D44" s="1333"/>
      <c r="E44" s="1333"/>
      <c r="F44" s="1333"/>
      <c r="G44" s="1334"/>
      <c r="H44" s="1375"/>
      <c r="I44" s="1376"/>
      <c r="J44" s="1376"/>
      <c r="K44" s="1376"/>
      <c r="L44" s="1376"/>
      <c r="M44" s="1376"/>
      <c r="N44" s="1376"/>
      <c r="O44" s="1376"/>
      <c r="P44" s="1376"/>
      <c r="Q44" s="1376"/>
      <c r="R44" s="1376"/>
      <c r="S44" s="1376"/>
      <c r="T44" s="1376"/>
      <c r="U44" s="1376"/>
      <c r="V44" s="1376"/>
      <c r="W44" s="1376"/>
      <c r="X44" s="1377"/>
      <c r="Y44" s="65"/>
    </row>
    <row r="45" spans="1:25">
      <c r="A45" s="66"/>
      <c r="B45" s="1370" t="s">
        <v>221</v>
      </c>
      <c r="C45" s="1370"/>
      <c r="D45" s="1370"/>
      <c r="E45" s="1370"/>
      <c r="F45" s="1370"/>
      <c r="G45" s="1370"/>
      <c r="H45" s="1378"/>
      <c r="I45" s="1378"/>
      <c r="J45" s="1378"/>
      <c r="K45" s="1378"/>
      <c r="L45" s="1378"/>
      <c r="M45" s="1378"/>
      <c r="N45" s="1378"/>
      <c r="O45" s="1378"/>
      <c r="P45" s="1378"/>
      <c r="Q45" s="1378"/>
      <c r="R45" s="1378"/>
      <c r="S45" s="1378"/>
      <c r="T45" s="1378"/>
      <c r="U45" s="1378"/>
      <c r="V45" s="1378"/>
      <c r="W45" s="1378"/>
      <c r="X45" s="1378"/>
      <c r="Y45" s="65"/>
    </row>
    <row r="46" spans="1:25">
      <c r="A46" s="66"/>
      <c r="B46" s="1370"/>
      <c r="C46" s="1370"/>
      <c r="D46" s="1370"/>
      <c r="E46" s="1370"/>
      <c r="F46" s="1370"/>
      <c r="G46" s="1370"/>
      <c r="H46" s="1378"/>
      <c r="I46" s="1378"/>
      <c r="J46" s="1378"/>
      <c r="K46" s="1378"/>
      <c r="L46" s="1378"/>
      <c r="M46" s="1378"/>
      <c r="N46" s="1378"/>
      <c r="O46" s="1378"/>
      <c r="P46" s="1378"/>
      <c r="Q46" s="1378"/>
      <c r="R46" s="1378"/>
      <c r="S46" s="1378"/>
      <c r="T46" s="1378"/>
      <c r="U46" s="1378"/>
      <c r="V46" s="1378"/>
      <c r="W46" s="1378"/>
      <c r="X46" s="1378"/>
      <c r="Y46" s="65"/>
    </row>
    <row r="47" spans="1:25">
      <c r="A47" s="66"/>
      <c r="B47" s="1370"/>
      <c r="C47" s="1370"/>
      <c r="D47" s="1370"/>
      <c r="E47" s="1370"/>
      <c r="F47" s="1370"/>
      <c r="G47" s="1370"/>
      <c r="H47" s="1378"/>
      <c r="I47" s="1378"/>
      <c r="J47" s="1378"/>
      <c r="K47" s="1378"/>
      <c r="L47" s="1378"/>
      <c r="M47" s="1378"/>
      <c r="N47" s="1378"/>
      <c r="O47" s="1378"/>
      <c r="P47" s="1378"/>
      <c r="Q47" s="1378"/>
      <c r="R47" s="1378"/>
      <c r="S47" s="1378"/>
      <c r="T47" s="1378"/>
      <c r="U47" s="1378"/>
      <c r="V47" s="1378"/>
      <c r="W47" s="1378"/>
      <c r="X47" s="1378"/>
      <c r="Y47" s="65"/>
    </row>
    <row r="48" spans="1:25">
      <c r="A48" s="66"/>
      <c r="B48" s="1370"/>
      <c r="C48" s="1370"/>
      <c r="D48" s="1370"/>
      <c r="E48" s="1370"/>
      <c r="F48" s="1370"/>
      <c r="G48" s="1370"/>
      <c r="H48" s="1378"/>
      <c r="I48" s="1378"/>
      <c r="J48" s="1378"/>
      <c r="K48" s="1378"/>
      <c r="L48" s="1378"/>
      <c r="M48" s="1378"/>
      <c r="N48" s="1378"/>
      <c r="O48" s="1378"/>
      <c r="P48" s="1378"/>
      <c r="Q48" s="1378"/>
      <c r="R48" s="1378"/>
      <c r="S48" s="1378"/>
      <c r="T48" s="1378"/>
      <c r="U48" s="1378"/>
      <c r="V48" s="1378"/>
      <c r="W48" s="1378"/>
      <c r="X48" s="1378"/>
      <c r="Y48" s="65"/>
    </row>
    <row r="49" spans="1:25">
      <c r="A49" s="66"/>
      <c r="B49" s="1370" t="s">
        <v>222</v>
      </c>
      <c r="C49" s="1370"/>
      <c r="D49" s="1370"/>
      <c r="E49" s="1370"/>
      <c r="F49" s="1370"/>
      <c r="G49" s="1370"/>
      <c r="H49" s="1379" t="s">
        <v>223</v>
      </c>
      <c r="I49" s="1379"/>
      <c r="J49" s="1379"/>
      <c r="K49" s="1379"/>
      <c r="L49" s="1379"/>
      <c r="M49" s="1379"/>
      <c r="N49" s="1379"/>
      <c r="O49" s="1379"/>
      <c r="P49" s="1379"/>
      <c r="Q49" s="1379"/>
      <c r="R49" s="1379"/>
      <c r="S49" s="1379"/>
      <c r="T49" s="1379"/>
      <c r="U49" s="1379"/>
      <c r="V49" s="1379"/>
      <c r="W49" s="1379"/>
      <c r="X49" s="1379"/>
      <c r="Y49" s="65"/>
    </row>
    <row r="50" spans="1:25">
      <c r="A50" s="66"/>
      <c r="B50" s="1370"/>
      <c r="C50" s="1370"/>
      <c r="D50" s="1370"/>
      <c r="E50" s="1370"/>
      <c r="F50" s="1370"/>
      <c r="G50" s="1370"/>
      <c r="H50" s="1378"/>
      <c r="I50" s="1378"/>
      <c r="J50" s="1378"/>
      <c r="K50" s="1378"/>
      <c r="L50" s="1378"/>
      <c r="M50" s="1378"/>
      <c r="N50" s="1378"/>
      <c r="O50" s="1378"/>
      <c r="P50" s="1378"/>
      <c r="Q50" s="1378"/>
      <c r="R50" s="1378"/>
      <c r="S50" s="1378"/>
      <c r="T50" s="1378"/>
      <c r="U50" s="1378"/>
      <c r="V50" s="1378"/>
      <c r="W50" s="1378"/>
      <c r="X50" s="1378"/>
      <c r="Y50" s="65"/>
    </row>
    <row r="51" spans="1:25">
      <c r="A51" s="66"/>
      <c r="B51" s="1370"/>
      <c r="C51" s="1370"/>
      <c r="D51" s="1370"/>
      <c r="E51" s="1370"/>
      <c r="F51" s="1370"/>
      <c r="G51" s="1370"/>
      <c r="H51" s="1392"/>
      <c r="I51" s="1392"/>
      <c r="J51" s="1392"/>
      <c r="K51" s="1392"/>
      <c r="L51" s="1392"/>
      <c r="M51" s="1392"/>
      <c r="N51" s="1392"/>
      <c r="O51" s="1392"/>
      <c r="P51" s="1392"/>
      <c r="Q51" s="1392"/>
      <c r="R51" s="1392"/>
      <c r="S51" s="1392"/>
      <c r="T51" s="1392"/>
      <c r="U51" s="1392"/>
      <c r="V51" s="1392"/>
      <c r="W51" s="1392"/>
      <c r="X51" s="1392"/>
      <c r="Y51" s="65"/>
    </row>
    <row r="52" spans="1:25">
      <c r="A52" s="66"/>
      <c r="B52" s="1370"/>
      <c r="C52" s="1370"/>
      <c r="D52" s="1370"/>
      <c r="E52" s="1370"/>
      <c r="F52" s="1370"/>
      <c r="G52" s="1370"/>
      <c r="H52" s="1392"/>
      <c r="I52" s="1392"/>
      <c r="J52" s="1392"/>
      <c r="K52" s="1392"/>
      <c r="L52" s="1392"/>
      <c r="M52" s="1392"/>
      <c r="N52" s="1392"/>
      <c r="O52" s="1392"/>
      <c r="P52" s="1392"/>
      <c r="Q52" s="1392"/>
      <c r="R52" s="1392"/>
      <c r="S52" s="1392"/>
      <c r="T52" s="1392"/>
      <c r="U52" s="1392"/>
      <c r="V52" s="1392"/>
      <c r="W52" s="1392"/>
      <c r="X52" s="1392"/>
      <c r="Y52" s="65"/>
    </row>
    <row r="53" spans="1:25">
      <c r="A53" s="66"/>
      <c r="B53" s="1370" t="s">
        <v>224</v>
      </c>
      <c r="C53" s="1370"/>
      <c r="D53" s="1370"/>
      <c r="E53" s="1370"/>
      <c r="F53" s="1370"/>
      <c r="G53" s="1370"/>
      <c r="H53" s="1378"/>
      <c r="I53" s="1378"/>
      <c r="J53" s="1378"/>
      <c r="K53" s="1378"/>
      <c r="L53" s="1378"/>
      <c r="M53" s="1378"/>
      <c r="N53" s="1378"/>
      <c r="O53" s="1378"/>
      <c r="P53" s="1378"/>
      <c r="Q53" s="1378"/>
      <c r="R53" s="1378"/>
      <c r="S53" s="1378"/>
      <c r="T53" s="1378"/>
      <c r="U53" s="1378"/>
      <c r="V53" s="1378"/>
      <c r="W53" s="1378"/>
      <c r="X53" s="1378"/>
      <c r="Y53" s="65"/>
    </row>
    <row r="54" spans="1:25">
      <c r="A54" s="66"/>
      <c r="B54" s="1370"/>
      <c r="C54" s="1370"/>
      <c r="D54" s="1370"/>
      <c r="E54" s="1370"/>
      <c r="F54" s="1370"/>
      <c r="G54" s="1370"/>
      <c r="H54" s="1378"/>
      <c r="I54" s="1378"/>
      <c r="J54" s="1378"/>
      <c r="K54" s="1378"/>
      <c r="L54" s="1378"/>
      <c r="M54" s="1378"/>
      <c r="N54" s="1378"/>
      <c r="O54" s="1378"/>
      <c r="P54" s="1378"/>
      <c r="Q54" s="1378"/>
      <c r="R54" s="1378"/>
      <c r="S54" s="1378"/>
      <c r="T54" s="1378"/>
      <c r="U54" s="1378"/>
      <c r="V54" s="1378"/>
      <c r="W54" s="1378"/>
      <c r="X54" s="1378"/>
      <c r="Y54" s="65"/>
    </row>
    <row r="55" spans="1:25">
      <c r="A55" s="66"/>
      <c r="B55" s="1370"/>
      <c r="C55" s="1370"/>
      <c r="D55" s="1370"/>
      <c r="E55" s="1370"/>
      <c r="F55" s="1370"/>
      <c r="G55" s="1370"/>
      <c r="H55" s="1378"/>
      <c r="I55" s="1378"/>
      <c r="J55" s="1378"/>
      <c r="K55" s="1378"/>
      <c r="L55" s="1378"/>
      <c r="M55" s="1378"/>
      <c r="N55" s="1378"/>
      <c r="O55" s="1378"/>
      <c r="P55" s="1378"/>
      <c r="Q55" s="1378"/>
      <c r="R55" s="1378"/>
      <c r="S55" s="1378"/>
      <c r="T55" s="1378"/>
      <c r="U55" s="1378"/>
      <c r="V55" s="1378"/>
      <c r="W55" s="1378"/>
      <c r="X55" s="1378"/>
      <c r="Y55" s="65"/>
    </row>
    <row r="56" spans="1:25">
      <c r="A56" s="66"/>
      <c r="B56" s="1370"/>
      <c r="C56" s="1370"/>
      <c r="D56" s="1370"/>
      <c r="E56" s="1370"/>
      <c r="F56" s="1370"/>
      <c r="G56" s="1370"/>
      <c r="H56" s="1378"/>
      <c r="I56" s="1378"/>
      <c r="J56" s="1378"/>
      <c r="K56" s="1378"/>
      <c r="L56" s="1378"/>
      <c r="M56" s="1378"/>
      <c r="N56" s="1378"/>
      <c r="O56" s="1378"/>
      <c r="P56" s="1378"/>
      <c r="Q56" s="1378"/>
      <c r="R56" s="1378"/>
      <c r="S56" s="1378"/>
      <c r="T56" s="1378"/>
      <c r="U56" s="1378"/>
      <c r="V56" s="1378"/>
      <c r="W56" s="1378"/>
      <c r="X56" s="1378"/>
      <c r="Y56" s="65"/>
    </row>
    <row r="57" spans="1:25">
      <c r="A57" s="66"/>
      <c r="B57" s="1324" t="s">
        <v>225</v>
      </c>
      <c r="C57" s="1324"/>
      <c r="D57" s="1324"/>
      <c r="E57" s="1324"/>
      <c r="F57" s="1324"/>
      <c r="G57" s="1324"/>
      <c r="H57" s="1393" t="s">
        <v>226</v>
      </c>
      <c r="I57" s="1393"/>
      <c r="J57" s="1393"/>
      <c r="K57" s="1393"/>
      <c r="L57" s="1393"/>
      <c r="M57" s="1393"/>
      <c r="N57" s="1393"/>
      <c r="O57" s="1393"/>
      <c r="P57" s="1393"/>
      <c r="Q57" s="1393"/>
      <c r="R57" s="1393"/>
      <c r="S57" s="1393"/>
      <c r="T57" s="1393"/>
      <c r="U57" s="1393"/>
      <c r="V57" s="1393"/>
      <c r="W57" s="1393"/>
      <c r="X57" s="1393"/>
      <c r="Y57" s="65"/>
    </row>
    <row r="58" spans="1:25">
      <c r="A58" s="66"/>
      <c r="B58" s="1324"/>
      <c r="C58" s="1324"/>
      <c r="D58" s="1324"/>
      <c r="E58" s="1324"/>
      <c r="F58" s="1324"/>
      <c r="G58" s="1324"/>
      <c r="H58" s="1393"/>
      <c r="I58" s="1393"/>
      <c r="J58" s="1393"/>
      <c r="K58" s="1393"/>
      <c r="L58" s="1393"/>
      <c r="M58" s="1393"/>
      <c r="N58" s="1393"/>
      <c r="O58" s="1393"/>
      <c r="P58" s="1393"/>
      <c r="Q58" s="1393"/>
      <c r="R58" s="1393"/>
      <c r="S58" s="1393"/>
      <c r="T58" s="1393"/>
      <c r="U58" s="1393"/>
      <c r="V58" s="1393"/>
      <c r="W58" s="1393"/>
      <c r="X58" s="1393"/>
      <c r="Y58" s="65"/>
    </row>
    <row r="59" spans="1:25">
      <c r="A59" s="66"/>
      <c r="B59" s="1389" t="s">
        <v>227</v>
      </c>
      <c r="C59" s="1389"/>
      <c r="D59" s="1389"/>
      <c r="E59" s="1389"/>
      <c r="F59" s="1389"/>
      <c r="G59" s="1389"/>
      <c r="H59" s="1390" t="s">
        <v>228</v>
      </c>
      <c r="I59" s="1383"/>
      <c r="J59" s="1383"/>
      <c r="K59" s="1383"/>
      <c r="L59" s="1383"/>
      <c r="M59" s="1383"/>
      <c r="N59" s="1383"/>
      <c r="O59" s="1383"/>
      <c r="P59" s="1383"/>
      <c r="Q59" s="1383"/>
      <c r="R59" s="1383"/>
      <c r="S59" s="1383"/>
      <c r="T59" s="1383"/>
      <c r="U59" s="1383"/>
      <c r="V59" s="1383"/>
      <c r="W59" s="1383"/>
      <c r="X59" s="1384"/>
      <c r="Y59" s="65"/>
    </row>
    <row r="60" spans="1:25">
      <c r="A60" s="66"/>
      <c r="B60" s="1389"/>
      <c r="C60" s="1389"/>
      <c r="D60" s="1389"/>
      <c r="E60" s="1389"/>
      <c r="F60" s="1389"/>
      <c r="G60" s="1389"/>
      <c r="H60" s="1391"/>
      <c r="I60" s="1385"/>
      <c r="J60" s="1385"/>
      <c r="K60" s="1385"/>
      <c r="L60" s="1385"/>
      <c r="M60" s="1385"/>
      <c r="N60" s="1385"/>
      <c r="O60" s="1385"/>
      <c r="P60" s="1385"/>
      <c r="Q60" s="1385"/>
      <c r="R60" s="1385"/>
      <c r="S60" s="1385"/>
      <c r="T60" s="1385"/>
      <c r="U60" s="1385"/>
      <c r="V60" s="1385"/>
      <c r="W60" s="1385"/>
      <c r="X60" s="1386"/>
      <c r="Y60" s="65"/>
    </row>
    <row r="61" spans="1:25">
      <c r="A61" s="66"/>
      <c r="B61" s="1389"/>
      <c r="C61" s="1389"/>
      <c r="D61" s="1389"/>
      <c r="E61" s="1389"/>
      <c r="F61" s="1389"/>
      <c r="G61" s="1389"/>
      <c r="H61" s="1391"/>
      <c r="I61" s="1385"/>
      <c r="J61" s="1385"/>
      <c r="K61" s="1385"/>
      <c r="L61" s="1385"/>
      <c r="M61" s="1385"/>
      <c r="N61" s="1385"/>
      <c r="O61" s="1385"/>
      <c r="P61" s="1385"/>
      <c r="Q61" s="1385"/>
      <c r="R61" s="1385"/>
      <c r="S61" s="1385"/>
      <c r="T61" s="1385"/>
      <c r="U61" s="1385"/>
      <c r="V61" s="1385"/>
      <c r="W61" s="1385"/>
      <c r="X61" s="1386"/>
      <c r="Y61" s="65"/>
    </row>
    <row r="62" spans="1:25">
      <c r="A62" s="66"/>
      <c r="B62" s="1389"/>
      <c r="C62" s="1389"/>
      <c r="D62" s="1389"/>
      <c r="E62" s="1389"/>
      <c r="F62" s="1389"/>
      <c r="G62" s="1389"/>
      <c r="H62" s="1391"/>
      <c r="I62" s="1385"/>
      <c r="J62" s="1385"/>
      <c r="K62" s="1385"/>
      <c r="L62" s="1385"/>
      <c r="M62" s="1385"/>
      <c r="N62" s="1385"/>
      <c r="O62" s="1385"/>
      <c r="P62" s="1385"/>
      <c r="Q62" s="1385"/>
      <c r="R62" s="1385"/>
      <c r="S62" s="1385"/>
      <c r="T62" s="1385"/>
      <c r="U62" s="1385"/>
      <c r="V62" s="1385"/>
      <c r="W62" s="1385"/>
      <c r="X62" s="1386"/>
      <c r="Y62" s="65"/>
    </row>
    <row r="63" spans="1:25">
      <c r="A63" s="66"/>
      <c r="B63" s="1389"/>
      <c r="C63" s="1389"/>
      <c r="D63" s="1389"/>
      <c r="E63" s="1389"/>
      <c r="F63" s="1389"/>
      <c r="G63" s="1389"/>
      <c r="H63" s="75"/>
      <c r="I63" s="76" t="s">
        <v>8</v>
      </c>
      <c r="J63" s="1308" t="s">
        <v>229</v>
      </c>
      <c r="K63" s="1308"/>
      <c r="L63" s="1308"/>
      <c r="M63" s="1308"/>
      <c r="N63" s="1308"/>
      <c r="O63" s="1308"/>
      <c r="P63" s="1308"/>
      <c r="Q63" s="1308"/>
      <c r="R63" s="1308"/>
      <c r="S63" s="1308"/>
      <c r="T63" s="1308"/>
      <c r="U63" s="1308"/>
      <c r="V63" s="1308"/>
      <c r="W63" s="1308"/>
      <c r="X63" s="1309"/>
      <c r="Y63" s="65"/>
    </row>
    <row r="64" spans="1:25">
      <c r="A64" s="66"/>
      <c r="B64" s="1389"/>
      <c r="C64" s="1389"/>
      <c r="D64" s="1389"/>
      <c r="E64" s="1389"/>
      <c r="F64" s="1389"/>
      <c r="G64" s="1389"/>
      <c r="H64" s="75"/>
      <c r="I64" s="76" t="s">
        <v>8</v>
      </c>
      <c r="J64" s="1308" t="s">
        <v>230</v>
      </c>
      <c r="K64" s="1308"/>
      <c r="L64" s="1308"/>
      <c r="M64" s="1308"/>
      <c r="N64" s="1308"/>
      <c r="O64" s="1308"/>
      <c r="P64" s="1308"/>
      <c r="Q64" s="1308"/>
      <c r="R64" s="1308"/>
      <c r="S64" s="1308"/>
      <c r="T64" s="1308"/>
      <c r="U64" s="1308"/>
      <c r="V64" s="1308"/>
      <c r="W64" s="1308"/>
      <c r="X64" s="1309"/>
      <c r="Y64" s="65"/>
    </row>
    <row r="65" spans="1:25">
      <c r="A65" s="66"/>
      <c r="B65" s="1389"/>
      <c r="C65" s="1389"/>
      <c r="D65" s="1389"/>
      <c r="E65" s="1389"/>
      <c r="F65" s="1389"/>
      <c r="G65" s="1389"/>
      <c r="H65" s="75"/>
      <c r="I65" s="76" t="s">
        <v>8</v>
      </c>
      <c r="J65" s="1308" t="s">
        <v>231</v>
      </c>
      <c r="K65" s="1308"/>
      <c r="L65" s="1308"/>
      <c r="M65" s="1308"/>
      <c r="N65" s="1308"/>
      <c r="O65" s="1308"/>
      <c r="P65" s="1308"/>
      <c r="Q65" s="1308"/>
      <c r="R65" s="1308"/>
      <c r="S65" s="1308"/>
      <c r="T65" s="1308"/>
      <c r="U65" s="1308"/>
      <c r="V65" s="1308"/>
      <c r="W65" s="1308"/>
      <c r="X65" s="1309"/>
      <c r="Y65" s="65"/>
    </row>
    <row r="66" spans="1:25">
      <c r="A66" s="66"/>
      <c r="B66" s="1389"/>
      <c r="C66" s="1389"/>
      <c r="D66" s="1389"/>
      <c r="E66" s="1389"/>
      <c r="F66" s="1389"/>
      <c r="G66" s="1389"/>
      <c r="H66" s="77"/>
      <c r="I66" s="78" t="s">
        <v>8</v>
      </c>
      <c r="J66" s="1311"/>
      <c r="K66" s="1311"/>
      <c r="L66" s="1311"/>
      <c r="M66" s="1311"/>
      <c r="N66" s="1311"/>
      <c r="O66" s="1311"/>
      <c r="P66" s="1311"/>
      <c r="Q66" s="1311"/>
      <c r="R66" s="1311"/>
      <c r="S66" s="1311"/>
      <c r="T66" s="1311"/>
      <c r="U66" s="1311"/>
      <c r="V66" s="1311"/>
      <c r="W66" s="1311"/>
      <c r="X66" s="1312"/>
      <c r="Y66" s="65"/>
    </row>
    <row r="67" spans="1:25">
      <c r="A67" s="66"/>
      <c r="B67" s="79"/>
      <c r="C67" s="79"/>
      <c r="D67" s="79"/>
      <c r="E67" s="79"/>
      <c r="F67" s="79"/>
      <c r="G67" s="79"/>
      <c r="H67" s="80"/>
      <c r="I67" s="81"/>
      <c r="J67" s="80"/>
      <c r="K67" s="80"/>
      <c r="L67" s="80"/>
      <c r="M67" s="80"/>
      <c r="N67" s="80"/>
      <c r="O67" s="80"/>
      <c r="P67" s="80"/>
      <c r="Q67" s="80"/>
      <c r="R67" s="80"/>
      <c r="S67" s="80"/>
      <c r="T67" s="80"/>
      <c r="U67" s="80"/>
      <c r="V67" s="80"/>
      <c r="W67" s="80"/>
      <c r="X67" s="80"/>
      <c r="Y67" s="65"/>
    </row>
    <row r="68" spans="1:25">
      <c r="A68" s="62" t="s">
        <v>153</v>
      </c>
      <c r="B68" s="63" t="s">
        <v>232</v>
      </c>
      <c r="C68" s="64"/>
      <c r="D68" s="64"/>
      <c r="E68" s="64"/>
      <c r="F68" s="64"/>
      <c r="G68" s="64"/>
      <c r="H68" s="64"/>
      <c r="I68" s="64"/>
      <c r="J68" s="64"/>
      <c r="K68" s="64"/>
      <c r="L68" s="64"/>
      <c r="M68" s="64"/>
      <c r="N68" s="64"/>
      <c r="O68" s="64"/>
      <c r="P68" s="64"/>
      <c r="Q68" s="64"/>
      <c r="R68" s="64"/>
      <c r="S68" s="64"/>
      <c r="T68" s="64"/>
      <c r="U68" s="64"/>
      <c r="V68" s="64"/>
      <c r="W68" s="64"/>
      <c r="X68" s="64"/>
      <c r="Y68" s="65"/>
    </row>
    <row r="69" spans="1:25">
      <c r="A69" s="66"/>
      <c r="B69" s="1369" t="s">
        <v>195</v>
      </c>
      <c r="C69" s="1369"/>
      <c r="D69" s="1369"/>
      <c r="E69" s="1369"/>
      <c r="F69" s="1369"/>
      <c r="G69" s="1369"/>
      <c r="H69" s="1369" t="s">
        <v>196</v>
      </c>
      <c r="I69" s="1369"/>
      <c r="J69" s="1369"/>
      <c r="K69" s="1369"/>
      <c r="L69" s="1369"/>
      <c r="M69" s="1369"/>
      <c r="N69" s="1369"/>
      <c r="O69" s="1369"/>
      <c r="P69" s="1369"/>
      <c r="Q69" s="1369"/>
      <c r="R69" s="1369"/>
      <c r="S69" s="1369"/>
      <c r="T69" s="1369"/>
      <c r="U69" s="1369"/>
      <c r="V69" s="1369"/>
      <c r="W69" s="1369"/>
      <c r="X69" s="1369"/>
      <c r="Y69" s="65"/>
    </row>
    <row r="70" spans="1:25">
      <c r="A70" s="66"/>
      <c r="B70" s="1352" t="s">
        <v>233</v>
      </c>
      <c r="C70" s="1353"/>
      <c r="D70" s="1353"/>
      <c r="E70" s="1353"/>
      <c r="F70" s="1353"/>
      <c r="G70" s="1354"/>
      <c r="H70" s="1380" t="s">
        <v>234</v>
      </c>
      <c r="I70" s="1381"/>
      <c r="J70" s="1381"/>
      <c r="K70" s="1381"/>
      <c r="L70" s="1381"/>
      <c r="M70" s="1381"/>
      <c r="N70" s="1381"/>
      <c r="O70" s="1381"/>
      <c r="P70" s="1381"/>
      <c r="Q70" s="1381"/>
      <c r="R70" s="1381"/>
      <c r="S70" s="1381"/>
      <c r="T70" s="1381"/>
      <c r="U70" s="1381"/>
      <c r="V70" s="1381"/>
      <c r="W70" s="1381"/>
      <c r="X70" s="1382"/>
      <c r="Y70" s="65"/>
    </row>
    <row r="71" spans="1:25">
      <c r="A71" s="66"/>
      <c r="B71" s="1358"/>
      <c r="C71" s="1359"/>
      <c r="D71" s="1359"/>
      <c r="E71" s="1359"/>
      <c r="F71" s="1359"/>
      <c r="G71" s="1360"/>
      <c r="H71" s="1375"/>
      <c r="I71" s="1376"/>
      <c r="J71" s="1376"/>
      <c r="K71" s="1376"/>
      <c r="L71" s="1376"/>
      <c r="M71" s="1376"/>
      <c r="N71" s="1376"/>
      <c r="O71" s="1376"/>
      <c r="P71" s="1376"/>
      <c r="Q71" s="1376"/>
      <c r="R71" s="1376"/>
      <c r="S71" s="1376"/>
      <c r="T71" s="1376"/>
      <c r="U71" s="1376"/>
      <c r="V71" s="1376"/>
      <c r="W71" s="1376"/>
      <c r="X71" s="1377"/>
      <c r="Y71" s="65"/>
    </row>
    <row r="72" spans="1:25">
      <c r="A72" s="66"/>
      <c r="B72" s="1352" t="s">
        <v>235</v>
      </c>
      <c r="C72" s="1353"/>
      <c r="D72" s="1353"/>
      <c r="E72" s="1353"/>
      <c r="F72" s="1353"/>
      <c r="G72" s="1354"/>
      <c r="H72" s="1385" t="s">
        <v>236</v>
      </c>
      <c r="I72" s="1385"/>
      <c r="J72" s="1385"/>
      <c r="K72" s="1385"/>
      <c r="L72" s="1385"/>
      <c r="M72" s="1385"/>
      <c r="N72" s="1385"/>
      <c r="O72" s="1385"/>
      <c r="P72" s="1385"/>
      <c r="Q72" s="1385"/>
      <c r="R72" s="1385"/>
      <c r="S72" s="1385"/>
      <c r="T72" s="1385"/>
      <c r="U72" s="1385"/>
      <c r="V72" s="1385"/>
      <c r="W72" s="1385"/>
      <c r="X72" s="1386"/>
      <c r="Y72" s="65"/>
    </row>
    <row r="73" spans="1:25">
      <c r="A73" s="66"/>
      <c r="B73" s="1355"/>
      <c r="C73" s="1356"/>
      <c r="D73" s="1356"/>
      <c r="E73" s="1356"/>
      <c r="F73" s="1356"/>
      <c r="G73" s="1357"/>
      <c r="H73" s="1385"/>
      <c r="I73" s="1385"/>
      <c r="J73" s="1385"/>
      <c r="K73" s="1385"/>
      <c r="L73" s="1385"/>
      <c r="M73" s="1385"/>
      <c r="N73" s="1385"/>
      <c r="O73" s="1385"/>
      <c r="P73" s="1385"/>
      <c r="Q73" s="1385"/>
      <c r="R73" s="1385"/>
      <c r="S73" s="1385"/>
      <c r="T73" s="1385"/>
      <c r="U73" s="1385"/>
      <c r="V73" s="1385"/>
      <c r="W73" s="1385"/>
      <c r="X73" s="1386"/>
      <c r="Y73" s="65"/>
    </row>
    <row r="74" spans="1:25">
      <c r="A74" s="66"/>
      <c r="B74" s="1355"/>
      <c r="C74" s="1356"/>
      <c r="D74" s="1356"/>
      <c r="E74" s="1356"/>
      <c r="F74" s="1356"/>
      <c r="G74" s="1357"/>
      <c r="H74" s="1385"/>
      <c r="I74" s="1385"/>
      <c r="J74" s="1385"/>
      <c r="K74" s="1385"/>
      <c r="L74" s="1385"/>
      <c r="M74" s="1385"/>
      <c r="N74" s="1385"/>
      <c r="O74" s="1385"/>
      <c r="P74" s="1385"/>
      <c r="Q74" s="1385"/>
      <c r="R74" s="1385"/>
      <c r="S74" s="1385"/>
      <c r="T74" s="1385"/>
      <c r="U74" s="1385"/>
      <c r="V74" s="1385"/>
      <c r="W74" s="1385"/>
      <c r="X74" s="1386"/>
      <c r="Y74" s="65"/>
    </row>
    <row r="75" spans="1:25">
      <c r="A75" s="66"/>
      <c r="B75" s="1355"/>
      <c r="C75" s="1356"/>
      <c r="D75" s="1356"/>
      <c r="E75" s="1356"/>
      <c r="F75" s="1356"/>
      <c r="G75" s="1357"/>
      <c r="H75" s="82"/>
      <c r="I75" s="83" t="s">
        <v>8</v>
      </c>
      <c r="J75" s="1385" t="s">
        <v>237</v>
      </c>
      <c r="K75" s="1385"/>
      <c r="L75" s="1385"/>
      <c r="M75" s="1385"/>
      <c r="N75" s="1385"/>
      <c r="O75" s="1385"/>
      <c r="P75" s="1385"/>
      <c r="Q75" s="1385"/>
      <c r="R75" s="1385"/>
      <c r="S75" s="1385"/>
      <c r="T75" s="1385"/>
      <c r="U75" s="1385"/>
      <c r="V75" s="1385"/>
      <c r="W75" s="1385"/>
      <c r="X75" s="1386"/>
      <c r="Y75" s="65"/>
    </row>
    <row r="76" spans="1:25">
      <c r="A76" s="66"/>
      <c r="B76" s="1355"/>
      <c r="C76" s="1356"/>
      <c r="D76" s="1356"/>
      <c r="E76" s="1356"/>
      <c r="F76" s="1356"/>
      <c r="G76" s="1357"/>
      <c r="H76" s="82"/>
      <c r="I76" s="83" t="s">
        <v>8</v>
      </c>
      <c r="J76" s="1385" t="s">
        <v>238</v>
      </c>
      <c r="K76" s="1385"/>
      <c r="L76" s="1385"/>
      <c r="M76" s="1385"/>
      <c r="N76" s="1385"/>
      <c r="O76" s="1385"/>
      <c r="P76" s="1385"/>
      <c r="Q76" s="1385"/>
      <c r="R76" s="1385"/>
      <c r="S76" s="1385"/>
      <c r="T76" s="1385"/>
      <c r="U76" s="1385"/>
      <c r="V76" s="1385"/>
      <c r="W76" s="1385"/>
      <c r="X76" s="1386"/>
      <c r="Y76" s="65"/>
    </row>
    <row r="77" spans="1:25">
      <c r="A77" s="66"/>
      <c r="B77" s="1355"/>
      <c r="C77" s="1356"/>
      <c r="D77" s="1356"/>
      <c r="E77" s="1356"/>
      <c r="F77" s="1356"/>
      <c r="G77" s="1357"/>
      <c r="H77" s="82"/>
      <c r="I77" s="83" t="s">
        <v>8</v>
      </c>
      <c r="J77" s="1385" t="s">
        <v>239</v>
      </c>
      <c r="K77" s="1385"/>
      <c r="L77" s="1385"/>
      <c r="M77" s="1385"/>
      <c r="N77" s="1385"/>
      <c r="O77" s="1385"/>
      <c r="P77" s="1385"/>
      <c r="Q77" s="1385"/>
      <c r="R77" s="1385"/>
      <c r="S77" s="1385"/>
      <c r="T77" s="1385"/>
      <c r="U77" s="1385"/>
      <c r="V77" s="1385"/>
      <c r="W77" s="1385"/>
      <c r="X77" s="1386"/>
      <c r="Y77" s="65"/>
    </row>
    <row r="78" spans="1:25">
      <c r="A78" s="66"/>
      <c r="B78" s="1358"/>
      <c r="C78" s="1359"/>
      <c r="D78" s="1359"/>
      <c r="E78" s="1359"/>
      <c r="F78" s="1359"/>
      <c r="G78" s="1360"/>
      <c r="H78" s="84"/>
      <c r="I78" s="85"/>
      <c r="J78" s="1387"/>
      <c r="K78" s="1387"/>
      <c r="L78" s="1387"/>
      <c r="M78" s="1387"/>
      <c r="N78" s="1387"/>
      <c r="O78" s="1387"/>
      <c r="P78" s="1387"/>
      <c r="Q78" s="1387"/>
      <c r="R78" s="1387"/>
      <c r="S78" s="1387"/>
      <c r="T78" s="1387"/>
      <c r="U78" s="1387"/>
      <c r="V78" s="1387"/>
      <c r="W78" s="1387"/>
      <c r="X78" s="1388"/>
      <c r="Y78" s="65"/>
    </row>
    <row r="79" spans="1:25">
      <c r="A79" s="66"/>
      <c r="B79" s="1352" t="s">
        <v>240</v>
      </c>
      <c r="C79" s="1353"/>
      <c r="D79" s="1353"/>
      <c r="E79" s="1353"/>
      <c r="F79" s="1353"/>
      <c r="G79" s="1354"/>
      <c r="H79" s="1383" t="s">
        <v>241</v>
      </c>
      <c r="I79" s="1383"/>
      <c r="J79" s="1383"/>
      <c r="K79" s="1383"/>
      <c r="L79" s="1383"/>
      <c r="M79" s="1383"/>
      <c r="N79" s="1383"/>
      <c r="O79" s="1383"/>
      <c r="P79" s="1383"/>
      <c r="Q79" s="1383"/>
      <c r="R79" s="1383"/>
      <c r="S79" s="1383"/>
      <c r="T79" s="1383"/>
      <c r="U79" s="1383"/>
      <c r="V79" s="1383"/>
      <c r="W79" s="1383"/>
      <c r="X79" s="1384"/>
      <c r="Y79" s="65"/>
    </row>
    <row r="80" spans="1:25">
      <c r="A80" s="66"/>
      <c r="B80" s="1355"/>
      <c r="C80" s="1356"/>
      <c r="D80" s="1356"/>
      <c r="E80" s="1356"/>
      <c r="F80" s="1356"/>
      <c r="G80" s="1357"/>
      <c r="H80" s="1385"/>
      <c r="I80" s="1385"/>
      <c r="J80" s="1385"/>
      <c r="K80" s="1385"/>
      <c r="L80" s="1385"/>
      <c r="M80" s="1385"/>
      <c r="N80" s="1385"/>
      <c r="O80" s="1385"/>
      <c r="P80" s="1385"/>
      <c r="Q80" s="1385"/>
      <c r="R80" s="1385"/>
      <c r="S80" s="1385"/>
      <c r="T80" s="1385"/>
      <c r="U80" s="1385"/>
      <c r="V80" s="1385"/>
      <c r="W80" s="1385"/>
      <c r="X80" s="1386"/>
      <c r="Y80" s="65"/>
    </row>
    <row r="81" spans="1:25">
      <c r="A81" s="66"/>
      <c r="B81" s="1355"/>
      <c r="C81" s="1356"/>
      <c r="D81" s="1356"/>
      <c r="E81" s="1356"/>
      <c r="F81" s="1356"/>
      <c r="G81" s="1357"/>
      <c r="H81" s="1385"/>
      <c r="I81" s="1385"/>
      <c r="J81" s="1385"/>
      <c r="K81" s="1385"/>
      <c r="L81" s="1385"/>
      <c r="M81" s="1385"/>
      <c r="N81" s="1385"/>
      <c r="O81" s="1385"/>
      <c r="P81" s="1385"/>
      <c r="Q81" s="1385"/>
      <c r="R81" s="1385"/>
      <c r="S81" s="1385"/>
      <c r="T81" s="1385"/>
      <c r="U81" s="1385"/>
      <c r="V81" s="1385"/>
      <c r="W81" s="1385"/>
      <c r="X81" s="1386"/>
      <c r="Y81" s="65"/>
    </row>
    <row r="82" spans="1:25">
      <c r="A82" s="66"/>
      <c r="B82" s="1355"/>
      <c r="C82" s="1356"/>
      <c r="D82" s="1356"/>
      <c r="E82" s="1356"/>
      <c r="F82" s="1356"/>
      <c r="G82" s="1357"/>
      <c r="H82" s="82"/>
      <c r="I82" s="83" t="s">
        <v>8</v>
      </c>
      <c r="J82" s="1385" t="s">
        <v>242</v>
      </c>
      <c r="K82" s="1385"/>
      <c r="L82" s="1385"/>
      <c r="M82" s="1385"/>
      <c r="N82" s="1385"/>
      <c r="O82" s="1385"/>
      <c r="P82" s="1385"/>
      <c r="Q82" s="1385"/>
      <c r="R82" s="1385"/>
      <c r="S82" s="1385"/>
      <c r="T82" s="1385"/>
      <c r="U82" s="1385"/>
      <c r="V82" s="1385"/>
      <c r="W82" s="1385"/>
      <c r="X82" s="1386"/>
      <c r="Y82" s="65"/>
    </row>
    <row r="83" spans="1:25">
      <c r="A83" s="66"/>
      <c r="B83" s="1355"/>
      <c r="C83" s="1356"/>
      <c r="D83" s="1356"/>
      <c r="E83" s="1356"/>
      <c r="F83" s="1356"/>
      <c r="G83" s="1357"/>
      <c r="H83" s="82"/>
      <c r="I83" s="83" t="s">
        <v>8</v>
      </c>
      <c r="J83" s="1385"/>
      <c r="K83" s="1385"/>
      <c r="L83" s="1385"/>
      <c r="M83" s="1385"/>
      <c r="N83" s="1385"/>
      <c r="O83" s="1385"/>
      <c r="P83" s="1385"/>
      <c r="Q83" s="1385"/>
      <c r="R83" s="1385"/>
      <c r="S83" s="1385"/>
      <c r="T83" s="1385"/>
      <c r="U83" s="1385"/>
      <c r="V83" s="1385"/>
      <c r="W83" s="1385"/>
      <c r="X83" s="1386"/>
      <c r="Y83" s="65"/>
    </row>
    <row r="84" spans="1:25">
      <c r="A84" s="66"/>
      <c r="B84" s="1355"/>
      <c r="C84" s="1356"/>
      <c r="D84" s="1356"/>
      <c r="E84" s="1356"/>
      <c r="F84" s="1356"/>
      <c r="G84" s="1357"/>
      <c r="H84" s="82"/>
      <c r="I84" s="83" t="s">
        <v>8</v>
      </c>
      <c r="J84" s="1385"/>
      <c r="K84" s="1385"/>
      <c r="L84" s="1385"/>
      <c r="M84" s="1385"/>
      <c r="N84" s="1385"/>
      <c r="O84" s="1385"/>
      <c r="P84" s="1385"/>
      <c r="Q84" s="1385"/>
      <c r="R84" s="1385"/>
      <c r="S84" s="1385"/>
      <c r="T84" s="1385"/>
      <c r="U84" s="1385"/>
      <c r="V84" s="1385"/>
      <c r="W84" s="1385"/>
      <c r="X84" s="1386"/>
      <c r="Y84" s="65"/>
    </row>
    <row r="85" spans="1:25">
      <c r="A85" s="66"/>
      <c r="B85" s="1355"/>
      <c r="C85" s="1356"/>
      <c r="D85" s="1356"/>
      <c r="E85" s="1356"/>
      <c r="F85" s="1356"/>
      <c r="G85" s="1357"/>
      <c r="H85" s="82"/>
      <c r="I85" s="83" t="s">
        <v>8</v>
      </c>
      <c r="J85" s="1385"/>
      <c r="K85" s="1385"/>
      <c r="L85" s="1385"/>
      <c r="M85" s="1385"/>
      <c r="N85" s="1385"/>
      <c r="O85" s="1385"/>
      <c r="P85" s="1385"/>
      <c r="Q85" s="1385"/>
      <c r="R85" s="1385"/>
      <c r="S85" s="1385"/>
      <c r="T85" s="1385"/>
      <c r="U85" s="1385"/>
      <c r="V85" s="1385"/>
      <c r="W85" s="1385"/>
      <c r="X85" s="1386"/>
      <c r="Y85" s="65"/>
    </row>
    <row r="86" spans="1:25">
      <c r="A86" s="66"/>
      <c r="B86" s="1358"/>
      <c r="C86" s="1359"/>
      <c r="D86" s="1359"/>
      <c r="E86" s="1359"/>
      <c r="F86" s="1359"/>
      <c r="G86" s="1360"/>
      <c r="H86" s="84"/>
      <c r="I86" s="85" t="s">
        <v>8</v>
      </c>
      <c r="J86" s="1387"/>
      <c r="K86" s="1387"/>
      <c r="L86" s="1387"/>
      <c r="M86" s="1387"/>
      <c r="N86" s="1387"/>
      <c r="O86" s="1387"/>
      <c r="P86" s="1387"/>
      <c r="Q86" s="1387"/>
      <c r="R86" s="1387"/>
      <c r="S86" s="1387"/>
      <c r="T86" s="1387"/>
      <c r="U86" s="1387"/>
      <c r="V86" s="1387"/>
      <c r="W86" s="1387"/>
      <c r="X86" s="1388"/>
      <c r="Y86" s="65"/>
    </row>
    <row r="87" spans="1:25">
      <c r="A87" s="66"/>
      <c r="B87" s="64"/>
      <c r="C87" s="64"/>
      <c r="D87" s="64"/>
      <c r="E87" s="64"/>
      <c r="F87" s="64"/>
      <c r="G87" s="64"/>
      <c r="H87" s="64"/>
      <c r="I87" s="64"/>
      <c r="J87" s="64"/>
      <c r="K87" s="64"/>
      <c r="L87" s="64"/>
      <c r="M87" s="64"/>
      <c r="N87" s="64"/>
      <c r="O87" s="64"/>
      <c r="P87" s="64"/>
      <c r="Q87" s="64"/>
      <c r="R87" s="64"/>
      <c r="S87" s="64"/>
      <c r="T87" s="64"/>
      <c r="U87" s="64"/>
      <c r="V87" s="64"/>
      <c r="W87" s="64"/>
      <c r="X87" s="64"/>
      <c r="Y87" s="65"/>
    </row>
    <row r="88" spans="1:25">
      <c r="A88" s="62" t="s">
        <v>156</v>
      </c>
      <c r="B88" s="63" t="s">
        <v>243</v>
      </c>
      <c r="C88" s="64"/>
      <c r="D88" s="64"/>
      <c r="E88" s="64"/>
      <c r="F88" s="64"/>
      <c r="G88" s="64"/>
      <c r="H88" s="64"/>
      <c r="I88" s="64"/>
      <c r="J88" s="64"/>
      <c r="K88" s="64"/>
      <c r="L88" s="64"/>
      <c r="M88" s="64"/>
      <c r="N88" s="64"/>
      <c r="O88" s="64"/>
      <c r="P88" s="64"/>
      <c r="Q88" s="64"/>
      <c r="R88" s="64"/>
      <c r="S88" s="64"/>
      <c r="T88" s="64"/>
      <c r="U88" s="64"/>
      <c r="V88" s="64"/>
      <c r="W88" s="64"/>
      <c r="X88" s="64"/>
      <c r="Y88" s="65"/>
    </row>
    <row r="89" spans="1:25">
      <c r="A89" s="66"/>
      <c r="B89" s="1369" t="s">
        <v>195</v>
      </c>
      <c r="C89" s="1369"/>
      <c r="D89" s="1369"/>
      <c r="E89" s="1369"/>
      <c r="F89" s="1369"/>
      <c r="G89" s="1369"/>
      <c r="H89" s="1369" t="s">
        <v>196</v>
      </c>
      <c r="I89" s="1369"/>
      <c r="J89" s="1369"/>
      <c r="K89" s="1369"/>
      <c r="L89" s="1369"/>
      <c r="M89" s="1369"/>
      <c r="N89" s="1369"/>
      <c r="O89" s="1369"/>
      <c r="P89" s="1369"/>
      <c r="Q89" s="1369"/>
      <c r="R89" s="1369"/>
      <c r="S89" s="1369"/>
      <c r="T89" s="1369"/>
      <c r="U89" s="1369"/>
      <c r="V89" s="1369"/>
      <c r="W89" s="1369"/>
      <c r="X89" s="1369"/>
      <c r="Y89" s="65"/>
    </row>
    <row r="90" spans="1:25">
      <c r="A90" s="66"/>
      <c r="B90" s="1326" t="s">
        <v>244</v>
      </c>
      <c r="C90" s="1327"/>
      <c r="D90" s="1327"/>
      <c r="E90" s="1327"/>
      <c r="F90" s="1327"/>
      <c r="G90" s="1328"/>
      <c r="H90" s="1380" t="s">
        <v>245</v>
      </c>
      <c r="I90" s="1381"/>
      <c r="J90" s="1381"/>
      <c r="K90" s="1381"/>
      <c r="L90" s="1381"/>
      <c r="M90" s="1381"/>
      <c r="N90" s="1381"/>
      <c r="O90" s="1381"/>
      <c r="P90" s="1381"/>
      <c r="Q90" s="1381"/>
      <c r="R90" s="1381"/>
      <c r="S90" s="1381"/>
      <c r="T90" s="1381"/>
      <c r="U90" s="1381"/>
      <c r="V90" s="1381"/>
      <c r="W90" s="1381"/>
      <c r="X90" s="1382"/>
      <c r="Y90" s="65"/>
    </row>
    <row r="91" spans="1:25">
      <c r="A91" s="66"/>
      <c r="B91" s="1332"/>
      <c r="C91" s="1333"/>
      <c r="D91" s="1333"/>
      <c r="E91" s="1333"/>
      <c r="F91" s="1333"/>
      <c r="G91" s="1334"/>
      <c r="H91" s="1375"/>
      <c r="I91" s="1376"/>
      <c r="J91" s="1376"/>
      <c r="K91" s="1376"/>
      <c r="L91" s="1376"/>
      <c r="M91" s="1376"/>
      <c r="N91" s="1376"/>
      <c r="O91" s="1376"/>
      <c r="P91" s="1376"/>
      <c r="Q91" s="1376"/>
      <c r="R91" s="1376"/>
      <c r="S91" s="1376"/>
      <c r="T91" s="1376"/>
      <c r="U91" s="1376"/>
      <c r="V91" s="1376"/>
      <c r="W91" s="1376"/>
      <c r="X91" s="1377"/>
      <c r="Y91" s="65"/>
    </row>
    <row r="92" spans="1:25">
      <c r="A92" s="66"/>
      <c r="B92" s="1352" t="s">
        <v>246</v>
      </c>
      <c r="C92" s="1353"/>
      <c r="D92" s="1353"/>
      <c r="E92" s="1353"/>
      <c r="F92" s="1353"/>
      <c r="G92" s="1354"/>
      <c r="H92" s="1383" t="s">
        <v>247</v>
      </c>
      <c r="I92" s="1383"/>
      <c r="J92" s="1383"/>
      <c r="K92" s="1383"/>
      <c r="L92" s="1383"/>
      <c r="M92" s="1383"/>
      <c r="N92" s="1383"/>
      <c r="O92" s="1383"/>
      <c r="P92" s="1383"/>
      <c r="Q92" s="1383"/>
      <c r="R92" s="1383"/>
      <c r="S92" s="1383"/>
      <c r="T92" s="1383"/>
      <c r="U92" s="1383"/>
      <c r="V92" s="1383"/>
      <c r="W92" s="1383"/>
      <c r="X92" s="1384"/>
      <c r="Y92" s="65"/>
    </row>
    <row r="93" spans="1:25">
      <c r="A93" s="66"/>
      <c r="B93" s="1355"/>
      <c r="C93" s="1356"/>
      <c r="D93" s="1356"/>
      <c r="E93" s="1356"/>
      <c r="F93" s="1356"/>
      <c r="G93" s="1357"/>
      <c r="H93" s="1385"/>
      <c r="I93" s="1385"/>
      <c r="J93" s="1385"/>
      <c r="K93" s="1385"/>
      <c r="L93" s="1385"/>
      <c r="M93" s="1385"/>
      <c r="N93" s="1385"/>
      <c r="O93" s="1385"/>
      <c r="P93" s="1385"/>
      <c r="Q93" s="1385"/>
      <c r="R93" s="1385"/>
      <c r="S93" s="1385"/>
      <c r="T93" s="1385"/>
      <c r="U93" s="1385"/>
      <c r="V93" s="1385"/>
      <c r="W93" s="1385"/>
      <c r="X93" s="1386"/>
      <c r="Y93" s="65"/>
    </row>
    <row r="94" spans="1:25">
      <c r="A94" s="66"/>
      <c r="B94" s="1355"/>
      <c r="C94" s="1356"/>
      <c r="D94" s="1356"/>
      <c r="E94" s="1356"/>
      <c r="F94" s="1356"/>
      <c r="G94" s="1357"/>
      <c r="H94" s="1385"/>
      <c r="I94" s="1385"/>
      <c r="J94" s="1385"/>
      <c r="K94" s="1385"/>
      <c r="L94" s="1385"/>
      <c r="M94" s="1385"/>
      <c r="N94" s="1385"/>
      <c r="O94" s="1385"/>
      <c r="P94" s="1385"/>
      <c r="Q94" s="1385"/>
      <c r="R94" s="1385"/>
      <c r="S94" s="1385"/>
      <c r="T94" s="1385"/>
      <c r="U94" s="1385"/>
      <c r="V94" s="1385"/>
      <c r="W94" s="1385"/>
      <c r="X94" s="1386"/>
      <c r="Y94" s="65"/>
    </row>
    <row r="95" spans="1:25">
      <c r="A95" s="66"/>
      <c r="B95" s="1355"/>
      <c r="C95" s="1356"/>
      <c r="D95" s="1356"/>
      <c r="E95" s="1356"/>
      <c r="F95" s="1356"/>
      <c r="G95" s="1357"/>
      <c r="H95" s="82"/>
      <c r="I95" s="83" t="s">
        <v>8</v>
      </c>
      <c r="J95" s="1385" t="s">
        <v>248</v>
      </c>
      <c r="K95" s="1385"/>
      <c r="L95" s="1385"/>
      <c r="M95" s="1385"/>
      <c r="N95" s="1385"/>
      <c r="O95" s="1385"/>
      <c r="P95" s="1385"/>
      <c r="Q95" s="1385"/>
      <c r="R95" s="1385"/>
      <c r="S95" s="1385"/>
      <c r="T95" s="1385"/>
      <c r="U95" s="1385"/>
      <c r="V95" s="1385"/>
      <c r="W95" s="1385"/>
      <c r="X95" s="1386"/>
      <c r="Y95" s="65"/>
    </row>
    <row r="96" spans="1:25">
      <c r="A96" s="66"/>
      <c r="B96" s="1355"/>
      <c r="C96" s="1356"/>
      <c r="D96" s="1356"/>
      <c r="E96" s="1356"/>
      <c r="F96" s="1356"/>
      <c r="G96" s="1357"/>
      <c r="H96" s="82"/>
      <c r="I96" s="83" t="s">
        <v>8</v>
      </c>
      <c r="J96" s="1385" t="s">
        <v>249</v>
      </c>
      <c r="K96" s="1385"/>
      <c r="L96" s="1385"/>
      <c r="M96" s="1385"/>
      <c r="N96" s="1385"/>
      <c r="O96" s="1385"/>
      <c r="P96" s="1385"/>
      <c r="Q96" s="1385"/>
      <c r="R96" s="1385"/>
      <c r="S96" s="1385"/>
      <c r="T96" s="1385"/>
      <c r="U96" s="1385"/>
      <c r="V96" s="1385"/>
      <c r="W96" s="1385"/>
      <c r="X96" s="1386"/>
      <c r="Y96" s="65"/>
    </row>
    <row r="97" spans="1:25">
      <c r="A97" s="66"/>
      <c r="B97" s="1355"/>
      <c r="C97" s="1356"/>
      <c r="D97" s="1356"/>
      <c r="E97" s="1356"/>
      <c r="F97" s="1356"/>
      <c r="G97" s="1357"/>
      <c r="H97" s="82"/>
      <c r="I97" s="83" t="s">
        <v>8</v>
      </c>
      <c r="J97" s="1385"/>
      <c r="K97" s="1385"/>
      <c r="L97" s="1385"/>
      <c r="M97" s="1385"/>
      <c r="N97" s="1385"/>
      <c r="O97" s="1385"/>
      <c r="P97" s="1385"/>
      <c r="Q97" s="1385"/>
      <c r="R97" s="1385"/>
      <c r="S97" s="1385"/>
      <c r="T97" s="1385"/>
      <c r="U97" s="1385"/>
      <c r="V97" s="1385"/>
      <c r="W97" s="1385"/>
      <c r="X97" s="1386"/>
      <c r="Y97" s="65"/>
    </row>
    <row r="98" spans="1:25">
      <c r="A98" s="66"/>
      <c r="B98" s="1326" t="s">
        <v>250</v>
      </c>
      <c r="C98" s="1327"/>
      <c r="D98" s="1327"/>
      <c r="E98" s="1327"/>
      <c r="F98" s="1327"/>
      <c r="G98" s="1328"/>
      <c r="H98" s="1380" t="s">
        <v>251</v>
      </c>
      <c r="I98" s="1381"/>
      <c r="J98" s="1381"/>
      <c r="K98" s="1381"/>
      <c r="L98" s="1381"/>
      <c r="M98" s="1381"/>
      <c r="N98" s="1381"/>
      <c r="O98" s="1381"/>
      <c r="P98" s="1381"/>
      <c r="Q98" s="1381"/>
      <c r="R98" s="1381"/>
      <c r="S98" s="1381"/>
      <c r="T98" s="1381"/>
      <c r="U98" s="1381"/>
      <c r="V98" s="1381"/>
      <c r="W98" s="1381"/>
      <c r="X98" s="1382"/>
      <c r="Y98" s="65"/>
    </row>
    <row r="99" spans="1:25">
      <c r="A99" s="66"/>
      <c r="B99" s="1332"/>
      <c r="C99" s="1333"/>
      <c r="D99" s="1333"/>
      <c r="E99" s="1333"/>
      <c r="F99" s="1333"/>
      <c r="G99" s="1334"/>
      <c r="H99" s="1375"/>
      <c r="I99" s="1376"/>
      <c r="J99" s="1376"/>
      <c r="K99" s="1376"/>
      <c r="L99" s="1376"/>
      <c r="M99" s="1376"/>
      <c r="N99" s="1376"/>
      <c r="O99" s="1376"/>
      <c r="P99" s="1376"/>
      <c r="Q99" s="1376"/>
      <c r="R99" s="1376"/>
      <c r="S99" s="1376"/>
      <c r="T99" s="1376"/>
      <c r="U99" s="1376"/>
      <c r="V99" s="1376"/>
      <c r="W99" s="1376"/>
      <c r="X99" s="1377"/>
      <c r="Y99" s="65"/>
    </row>
    <row r="100" spans="1:25">
      <c r="A100" s="66"/>
      <c r="B100" s="86"/>
      <c r="C100" s="86"/>
      <c r="D100" s="86"/>
      <c r="E100" s="86"/>
      <c r="F100" s="86"/>
      <c r="G100" s="86"/>
      <c r="H100" s="87"/>
      <c r="I100" s="87"/>
      <c r="J100" s="87"/>
      <c r="K100" s="87"/>
      <c r="L100" s="87"/>
      <c r="M100" s="87"/>
      <c r="N100" s="87"/>
      <c r="O100" s="87"/>
      <c r="P100" s="87"/>
      <c r="Q100" s="87"/>
      <c r="R100" s="87"/>
      <c r="S100" s="87"/>
      <c r="T100" s="87"/>
      <c r="U100" s="87"/>
      <c r="V100" s="87"/>
      <c r="W100" s="87"/>
      <c r="X100" s="87"/>
      <c r="Y100" s="65"/>
    </row>
    <row r="101" spans="1:25">
      <c r="A101" s="66"/>
      <c r="B101" s="86"/>
      <c r="C101" s="86"/>
      <c r="D101" s="86"/>
      <c r="E101" s="86"/>
      <c r="F101" s="86"/>
      <c r="G101" s="86"/>
      <c r="H101" s="87"/>
      <c r="I101" s="87"/>
      <c r="J101" s="87"/>
      <c r="K101" s="87"/>
      <c r="L101" s="87"/>
      <c r="M101" s="87"/>
      <c r="N101" s="87"/>
      <c r="O101" s="87"/>
      <c r="P101" s="87"/>
      <c r="Q101" s="87"/>
      <c r="R101" s="87"/>
      <c r="S101" s="87"/>
      <c r="T101" s="87"/>
      <c r="U101" s="87"/>
      <c r="V101" s="87"/>
      <c r="W101" s="87"/>
      <c r="X101" s="87"/>
      <c r="Y101" s="65"/>
    </row>
    <row r="102" spans="1:25">
      <c r="A102" s="66"/>
      <c r="B102" s="86"/>
      <c r="C102" s="86"/>
      <c r="D102" s="86"/>
      <c r="E102" s="86"/>
      <c r="F102" s="86"/>
      <c r="G102" s="86"/>
      <c r="H102" s="87"/>
      <c r="I102" s="87"/>
      <c r="J102" s="87"/>
      <c r="K102" s="87"/>
      <c r="L102" s="87"/>
      <c r="M102" s="87"/>
      <c r="N102" s="87"/>
      <c r="O102" s="87"/>
      <c r="P102" s="87"/>
      <c r="Q102" s="87"/>
      <c r="R102" s="87"/>
      <c r="S102" s="87"/>
      <c r="T102" s="87"/>
      <c r="U102" s="87"/>
      <c r="V102" s="87"/>
      <c r="W102" s="87"/>
      <c r="X102" s="87"/>
      <c r="Y102" s="65"/>
    </row>
    <row r="103" spans="1:25">
      <c r="A103" s="66"/>
      <c r="B103" s="1352" t="s">
        <v>252</v>
      </c>
      <c r="C103" s="1353"/>
      <c r="D103" s="1353"/>
      <c r="E103" s="1353"/>
      <c r="F103" s="1353"/>
      <c r="G103" s="1354"/>
      <c r="H103" s="1383" t="s">
        <v>253</v>
      </c>
      <c r="I103" s="1383"/>
      <c r="J103" s="1383"/>
      <c r="K103" s="1383"/>
      <c r="L103" s="1383"/>
      <c r="M103" s="1383"/>
      <c r="N103" s="1383"/>
      <c r="O103" s="1383"/>
      <c r="P103" s="1383"/>
      <c r="Q103" s="1383"/>
      <c r="R103" s="1383"/>
      <c r="S103" s="1383"/>
      <c r="T103" s="1383"/>
      <c r="U103" s="1383"/>
      <c r="V103" s="1383"/>
      <c r="W103" s="1383"/>
      <c r="X103" s="1384"/>
      <c r="Y103" s="65"/>
    </row>
    <row r="104" spans="1:25">
      <c r="A104" s="66"/>
      <c r="B104" s="1355"/>
      <c r="C104" s="1356"/>
      <c r="D104" s="1356"/>
      <c r="E104" s="1356"/>
      <c r="F104" s="1356"/>
      <c r="G104" s="1357"/>
      <c r="H104" s="1385"/>
      <c r="I104" s="1385"/>
      <c r="J104" s="1385"/>
      <c r="K104" s="1385"/>
      <c r="L104" s="1385"/>
      <c r="M104" s="1385"/>
      <c r="N104" s="1385"/>
      <c r="O104" s="1385"/>
      <c r="P104" s="1385"/>
      <c r="Q104" s="1385"/>
      <c r="R104" s="1385"/>
      <c r="S104" s="1385"/>
      <c r="T104" s="1385"/>
      <c r="U104" s="1385"/>
      <c r="V104" s="1385"/>
      <c r="W104" s="1385"/>
      <c r="X104" s="1386"/>
      <c r="Y104" s="65"/>
    </row>
    <row r="105" spans="1:25">
      <c r="A105" s="66"/>
      <c r="B105" s="1355"/>
      <c r="C105" s="1356"/>
      <c r="D105" s="1356"/>
      <c r="E105" s="1356"/>
      <c r="F105" s="1356"/>
      <c r="G105" s="1357"/>
      <c r="H105" s="1385"/>
      <c r="I105" s="1385"/>
      <c r="J105" s="1385"/>
      <c r="K105" s="1385"/>
      <c r="L105" s="1385"/>
      <c r="M105" s="1385"/>
      <c r="N105" s="1385"/>
      <c r="O105" s="1385"/>
      <c r="P105" s="1385"/>
      <c r="Q105" s="1385"/>
      <c r="R105" s="1385"/>
      <c r="S105" s="1385"/>
      <c r="T105" s="1385"/>
      <c r="U105" s="1385"/>
      <c r="V105" s="1385"/>
      <c r="W105" s="1385"/>
      <c r="X105" s="1386"/>
      <c r="Y105" s="65"/>
    </row>
    <row r="106" spans="1:25">
      <c r="A106" s="66"/>
      <c r="B106" s="1355"/>
      <c r="C106" s="1356"/>
      <c r="D106" s="1356"/>
      <c r="E106" s="1356"/>
      <c r="F106" s="1356"/>
      <c r="G106" s="1357"/>
      <c r="H106" s="82"/>
      <c r="I106" s="83" t="s">
        <v>8</v>
      </c>
      <c r="J106" s="1385" t="s">
        <v>254</v>
      </c>
      <c r="K106" s="1385"/>
      <c r="L106" s="1385"/>
      <c r="M106" s="1385"/>
      <c r="N106" s="1385"/>
      <c r="O106" s="1385"/>
      <c r="P106" s="1385"/>
      <c r="Q106" s="1385"/>
      <c r="R106" s="1385"/>
      <c r="S106" s="1385"/>
      <c r="T106" s="1385"/>
      <c r="U106" s="1385"/>
      <c r="V106" s="1385"/>
      <c r="W106" s="1385"/>
      <c r="X106" s="1386"/>
      <c r="Y106" s="65"/>
    </row>
    <row r="107" spans="1:25">
      <c r="A107" s="66"/>
      <c r="B107" s="1355"/>
      <c r="C107" s="1356"/>
      <c r="D107" s="1356"/>
      <c r="E107" s="1356"/>
      <c r="F107" s="1356"/>
      <c r="G107" s="1357"/>
      <c r="H107" s="82"/>
      <c r="I107" s="83" t="s">
        <v>8</v>
      </c>
      <c r="J107" s="1385" t="s">
        <v>255</v>
      </c>
      <c r="K107" s="1385"/>
      <c r="L107" s="1385"/>
      <c r="M107" s="1385"/>
      <c r="N107" s="1385"/>
      <c r="O107" s="1385"/>
      <c r="P107" s="1385"/>
      <c r="Q107" s="1385"/>
      <c r="R107" s="1385"/>
      <c r="S107" s="1385"/>
      <c r="T107" s="1385"/>
      <c r="U107" s="1385"/>
      <c r="V107" s="1385"/>
      <c r="W107" s="1385"/>
      <c r="X107" s="1386"/>
      <c r="Y107" s="65"/>
    </row>
    <row r="108" spans="1:25">
      <c r="A108" s="66"/>
      <c r="B108" s="1355"/>
      <c r="C108" s="1356"/>
      <c r="D108" s="1356"/>
      <c r="E108" s="1356"/>
      <c r="F108" s="1356"/>
      <c r="G108" s="1357"/>
      <c r="H108" s="82"/>
      <c r="I108" s="83"/>
      <c r="J108" s="1385"/>
      <c r="K108" s="1385"/>
      <c r="L108" s="1385"/>
      <c r="M108" s="1385"/>
      <c r="N108" s="1385"/>
      <c r="O108" s="1385"/>
      <c r="P108" s="1385"/>
      <c r="Q108" s="1385"/>
      <c r="R108" s="1385"/>
      <c r="S108" s="1385"/>
      <c r="T108" s="1385"/>
      <c r="U108" s="1385"/>
      <c r="V108" s="1385"/>
      <c r="W108" s="1385"/>
      <c r="X108" s="1386"/>
      <c r="Y108" s="65"/>
    </row>
    <row r="109" spans="1:25">
      <c r="A109" s="66"/>
      <c r="B109" s="1355"/>
      <c r="C109" s="1356"/>
      <c r="D109" s="1356"/>
      <c r="E109" s="1356"/>
      <c r="F109" s="1356"/>
      <c r="G109" s="1357"/>
      <c r="H109" s="82"/>
      <c r="I109" s="83" t="s">
        <v>8</v>
      </c>
      <c r="J109" s="1385" t="s">
        <v>256</v>
      </c>
      <c r="K109" s="1385"/>
      <c r="L109" s="1385"/>
      <c r="M109" s="1385"/>
      <c r="N109" s="1385"/>
      <c r="O109" s="1385"/>
      <c r="P109" s="1385"/>
      <c r="Q109" s="1385"/>
      <c r="R109" s="1385"/>
      <c r="S109" s="1385"/>
      <c r="T109" s="1385"/>
      <c r="U109" s="1385"/>
      <c r="V109" s="1385"/>
      <c r="W109" s="1385"/>
      <c r="X109" s="1386"/>
      <c r="Y109" s="65"/>
    </row>
    <row r="110" spans="1:25">
      <c r="A110" s="66"/>
      <c r="B110" s="1355"/>
      <c r="C110" s="1356"/>
      <c r="D110" s="1356"/>
      <c r="E110" s="1356"/>
      <c r="F110" s="1356"/>
      <c r="G110" s="1357"/>
      <c r="H110" s="82"/>
      <c r="I110" s="83"/>
      <c r="J110" s="1385"/>
      <c r="K110" s="1385"/>
      <c r="L110" s="1385"/>
      <c r="M110" s="1385"/>
      <c r="N110" s="1385"/>
      <c r="O110" s="1385"/>
      <c r="P110" s="1385"/>
      <c r="Q110" s="1385"/>
      <c r="R110" s="1385"/>
      <c r="S110" s="1385"/>
      <c r="T110" s="1385"/>
      <c r="U110" s="1385"/>
      <c r="V110" s="1385"/>
      <c r="W110" s="1385"/>
      <c r="X110" s="1386"/>
      <c r="Y110" s="65"/>
    </row>
    <row r="111" spans="1:25">
      <c r="A111" s="66"/>
      <c r="B111" s="1355"/>
      <c r="C111" s="1356"/>
      <c r="D111" s="1356"/>
      <c r="E111" s="1356"/>
      <c r="F111" s="1356"/>
      <c r="G111" s="1357"/>
      <c r="H111" s="82"/>
      <c r="I111" s="83" t="s">
        <v>8</v>
      </c>
      <c r="J111" s="1385"/>
      <c r="K111" s="1385"/>
      <c r="L111" s="1385"/>
      <c r="M111" s="1385"/>
      <c r="N111" s="1385"/>
      <c r="O111" s="1385"/>
      <c r="P111" s="1385"/>
      <c r="Q111" s="1385"/>
      <c r="R111" s="1385"/>
      <c r="S111" s="1385"/>
      <c r="T111" s="1385"/>
      <c r="U111" s="1385"/>
      <c r="V111" s="1385"/>
      <c r="W111" s="1385"/>
      <c r="X111" s="1386"/>
      <c r="Y111" s="65"/>
    </row>
    <row r="112" spans="1:25">
      <c r="A112" s="66"/>
      <c r="B112" s="1358"/>
      <c r="C112" s="1359"/>
      <c r="D112" s="1359"/>
      <c r="E112" s="1359"/>
      <c r="F112" s="1359"/>
      <c r="G112" s="1360"/>
      <c r="H112" s="84"/>
      <c r="I112" s="85"/>
      <c r="J112" s="1387"/>
      <c r="K112" s="1387"/>
      <c r="L112" s="1387"/>
      <c r="M112" s="1387"/>
      <c r="N112" s="1387"/>
      <c r="O112" s="1387"/>
      <c r="P112" s="1387"/>
      <c r="Q112" s="1387"/>
      <c r="R112" s="1387"/>
      <c r="S112" s="1387"/>
      <c r="T112" s="1387"/>
      <c r="U112" s="1387"/>
      <c r="V112" s="1387"/>
      <c r="W112" s="1387"/>
      <c r="X112" s="1388"/>
      <c r="Y112" s="65"/>
    </row>
    <row r="113" spans="1:25">
      <c r="A113" s="66"/>
      <c r="B113" s="1329" t="s">
        <v>257</v>
      </c>
      <c r="C113" s="1330"/>
      <c r="D113" s="1330"/>
      <c r="E113" s="1330"/>
      <c r="F113" s="1330"/>
      <c r="G113" s="1331"/>
      <c r="H113" s="1372" t="s">
        <v>258</v>
      </c>
      <c r="I113" s="1373"/>
      <c r="J113" s="1373"/>
      <c r="K113" s="1373"/>
      <c r="L113" s="1373"/>
      <c r="M113" s="1373"/>
      <c r="N113" s="1373"/>
      <c r="O113" s="1373"/>
      <c r="P113" s="1373"/>
      <c r="Q113" s="1373"/>
      <c r="R113" s="1373"/>
      <c r="S113" s="1373"/>
      <c r="T113" s="1373"/>
      <c r="U113" s="1373"/>
      <c r="V113" s="1373"/>
      <c r="W113" s="1373"/>
      <c r="X113" s="1374"/>
      <c r="Y113" s="65"/>
    </row>
    <row r="114" spans="1:25">
      <c r="A114" s="66"/>
      <c r="B114" s="1332"/>
      <c r="C114" s="1333"/>
      <c r="D114" s="1333"/>
      <c r="E114" s="1333"/>
      <c r="F114" s="1333"/>
      <c r="G114" s="1334"/>
      <c r="H114" s="1375"/>
      <c r="I114" s="1376"/>
      <c r="J114" s="1376"/>
      <c r="K114" s="1376"/>
      <c r="L114" s="1376"/>
      <c r="M114" s="1376"/>
      <c r="N114" s="1376"/>
      <c r="O114" s="1376"/>
      <c r="P114" s="1376"/>
      <c r="Q114" s="1376"/>
      <c r="R114" s="1376"/>
      <c r="S114" s="1376"/>
      <c r="T114" s="1376"/>
      <c r="U114" s="1376"/>
      <c r="V114" s="1376"/>
      <c r="W114" s="1376"/>
      <c r="X114" s="1377"/>
      <c r="Y114" s="65"/>
    </row>
    <row r="115" spans="1:25">
      <c r="A115" s="66"/>
      <c r="B115" s="1352" t="s">
        <v>259</v>
      </c>
      <c r="C115" s="1353"/>
      <c r="D115" s="1353"/>
      <c r="E115" s="1353"/>
      <c r="F115" s="1353"/>
      <c r="G115" s="1354"/>
      <c r="H115" s="1378" t="s">
        <v>260</v>
      </c>
      <c r="I115" s="1378"/>
      <c r="J115" s="1378"/>
      <c r="K115" s="1378"/>
      <c r="L115" s="1378"/>
      <c r="M115" s="1378"/>
      <c r="N115" s="1378"/>
      <c r="O115" s="1378"/>
      <c r="P115" s="1378"/>
      <c r="Q115" s="1378"/>
      <c r="R115" s="1378"/>
      <c r="S115" s="1378"/>
      <c r="T115" s="1378"/>
      <c r="U115" s="1378"/>
      <c r="V115" s="1378"/>
      <c r="W115" s="1378"/>
      <c r="X115" s="1378"/>
      <c r="Y115" s="65"/>
    </row>
    <row r="116" spans="1:25">
      <c r="A116" s="66"/>
      <c r="B116" s="1355"/>
      <c r="C116" s="1356"/>
      <c r="D116" s="1356"/>
      <c r="E116" s="1356"/>
      <c r="F116" s="1356"/>
      <c r="G116" s="1357"/>
      <c r="H116" s="1379"/>
      <c r="I116" s="1379"/>
      <c r="J116" s="1379"/>
      <c r="K116" s="1379"/>
      <c r="L116" s="1379"/>
      <c r="M116" s="1379"/>
      <c r="N116" s="1379"/>
      <c r="O116" s="1379"/>
      <c r="P116" s="1379"/>
      <c r="Q116" s="1379"/>
      <c r="R116" s="1379"/>
      <c r="S116" s="1379"/>
      <c r="T116" s="1379"/>
      <c r="U116" s="1379"/>
      <c r="V116" s="1379"/>
      <c r="W116" s="1379"/>
      <c r="X116" s="1379"/>
      <c r="Y116" s="65"/>
    </row>
    <row r="117" spans="1:25">
      <c r="A117" s="66"/>
      <c r="B117" s="1355"/>
      <c r="C117" s="1356"/>
      <c r="D117" s="1356"/>
      <c r="E117" s="1356"/>
      <c r="F117" s="1356"/>
      <c r="G117" s="1357"/>
      <c r="H117" s="1378"/>
      <c r="I117" s="1378"/>
      <c r="J117" s="1378"/>
      <c r="K117" s="1378"/>
      <c r="L117" s="1378"/>
      <c r="M117" s="1378"/>
      <c r="N117" s="1378"/>
      <c r="O117" s="1378"/>
      <c r="P117" s="1378"/>
      <c r="Q117" s="1378"/>
      <c r="R117" s="1378"/>
      <c r="S117" s="1378"/>
      <c r="T117" s="1378"/>
      <c r="U117" s="1378"/>
      <c r="V117" s="1378"/>
      <c r="W117" s="1378"/>
      <c r="X117" s="1378"/>
      <c r="Y117" s="65"/>
    </row>
    <row r="118" spans="1:25">
      <c r="A118" s="66"/>
      <c r="B118" s="1358"/>
      <c r="C118" s="1359"/>
      <c r="D118" s="1359"/>
      <c r="E118" s="1359"/>
      <c r="F118" s="1359"/>
      <c r="G118" s="1360"/>
      <c r="H118" s="1378"/>
      <c r="I118" s="1378"/>
      <c r="J118" s="1378"/>
      <c r="K118" s="1378"/>
      <c r="L118" s="1378"/>
      <c r="M118" s="1378"/>
      <c r="N118" s="1378"/>
      <c r="O118" s="1378"/>
      <c r="P118" s="1378"/>
      <c r="Q118" s="1378"/>
      <c r="R118" s="1378"/>
      <c r="S118" s="1378"/>
      <c r="T118" s="1378"/>
      <c r="U118" s="1378"/>
      <c r="V118" s="1378"/>
      <c r="W118" s="1378"/>
      <c r="X118" s="1378"/>
      <c r="Y118" s="65"/>
    </row>
    <row r="119" spans="1:25">
      <c r="A119" s="68"/>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2"/>
    </row>
    <row r="120" spans="1:2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spans="1:25">
      <c r="A121" s="1368" t="s">
        <v>261</v>
      </c>
      <c r="B121" s="1368"/>
      <c r="C121" s="1368"/>
      <c r="D121" s="1368"/>
      <c r="E121" s="1368"/>
      <c r="F121" s="1368"/>
      <c r="G121" s="1368"/>
      <c r="H121" s="1368"/>
      <c r="I121" s="1368"/>
      <c r="J121" s="1368"/>
      <c r="K121" s="1368"/>
      <c r="L121" s="1368"/>
      <c r="M121" s="1368"/>
      <c r="N121" s="1368"/>
      <c r="O121" s="1368"/>
      <c r="P121" s="1368"/>
      <c r="Q121" s="1368"/>
      <c r="R121" s="1368"/>
      <c r="S121" s="1368"/>
      <c r="T121" s="1368"/>
      <c r="U121" s="1368"/>
      <c r="V121" s="1368"/>
      <c r="W121" s="1368"/>
      <c r="X121" s="1368"/>
      <c r="Y121" s="1368"/>
    </row>
    <row r="122" spans="1:25">
      <c r="A122" s="59"/>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1"/>
    </row>
    <row r="123" spans="1:25">
      <c r="A123" s="62" t="s">
        <v>262</v>
      </c>
      <c r="B123" s="63" t="s">
        <v>263</v>
      </c>
      <c r="C123" s="64"/>
      <c r="D123" s="64"/>
      <c r="E123" s="64"/>
      <c r="F123" s="64"/>
      <c r="G123" s="64"/>
      <c r="H123" s="64"/>
      <c r="I123" s="64"/>
      <c r="J123" s="64"/>
      <c r="K123" s="64"/>
      <c r="L123" s="64"/>
      <c r="M123" s="64"/>
      <c r="N123" s="64"/>
      <c r="O123" s="64"/>
      <c r="P123" s="64"/>
      <c r="Q123" s="64"/>
      <c r="R123" s="64"/>
      <c r="S123" s="64"/>
      <c r="T123" s="64"/>
      <c r="U123" s="64"/>
      <c r="V123" s="64"/>
      <c r="W123" s="64"/>
      <c r="X123" s="64"/>
      <c r="Y123" s="65"/>
    </row>
    <row r="124" spans="1:25">
      <c r="A124" s="66"/>
      <c r="B124" s="1369" t="s">
        <v>195</v>
      </c>
      <c r="C124" s="1369"/>
      <c r="D124" s="1369"/>
      <c r="E124" s="1369"/>
      <c r="F124" s="1369"/>
      <c r="G124" s="1369"/>
      <c r="H124" s="1369" t="s">
        <v>196</v>
      </c>
      <c r="I124" s="1369"/>
      <c r="J124" s="1369"/>
      <c r="K124" s="1369"/>
      <c r="L124" s="1369"/>
      <c r="M124" s="1369"/>
      <c r="N124" s="1369"/>
      <c r="O124" s="1369"/>
      <c r="P124" s="1369"/>
      <c r="Q124" s="1369"/>
      <c r="R124" s="1369"/>
      <c r="S124" s="1369"/>
      <c r="T124" s="1369"/>
      <c r="U124" s="1369"/>
      <c r="V124" s="1369"/>
      <c r="W124" s="1369"/>
      <c r="X124" s="1369"/>
      <c r="Y124" s="65"/>
    </row>
    <row r="125" spans="1:25">
      <c r="A125" s="66"/>
      <c r="B125" s="1313" t="s">
        <v>264</v>
      </c>
      <c r="C125" s="1313"/>
      <c r="D125" s="1313"/>
      <c r="E125" s="1313"/>
      <c r="F125" s="1313"/>
      <c r="G125" s="1351"/>
      <c r="H125" s="1314" t="s">
        <v>265</v>
      </c>
      <c r="I125" s="1315"/>
      <c r="J125" s="1315"/>
      <c r="K125" s="1315"/>
      <c r="L125" s="1315"/>
      <c r="M125" s="1315"/>
      <c r="N125" s="1315"/>
      <c r="O125" s="1315"/>
      <c r="P125" s="1315"/>
      <c r="Q125" s="1315"/>
      <c r="R125" s="1315"/>
      <c r="S125" s="1315"/>
      <c r="T125" s="1315"/>
      <c r="U125" s="1315"/>
      <c r="V125" s="1315"/>
      <c r="W125" s="1315"/>
      <c r="X125" s="1316"/>
      <c r="Y125" s="65"/>
    </row>
    <row r="126" spans="1:25">
      <c r="A126" s="66"/>
      <c r="B126" s="1313"/>
      <c r="C126" s="1313"/>
      <c r="D126" s="1313"/>
      <c r="E126" s="1313"/>
      <c r="F126" s="1313"/>
      <c r="G126" s="1351"/>
      <c r="H126" s="1317"/>
      <c r="I126" s="1318"/>
      <c r="J126" s="1318"/>
      <c r="K126" s="1318"/>
      <c r="L126" s="1318"/>
      <c r="M126" s="1318"/>
      <c r="N126" s="1318"/>
      <c r="O126" s="1318"/>
      <c r="P126" s="1318"/>
      <c r="Q126" s="1318"/>
      <c r="R126" s="1318"/>
      <c r="S126" s="1318"/>
      <c r="T126" s="1318"/>
      <c r="U126" s="1318"/>
      <c r="V126" s="1318"/>
      <c r="W126" s="1318"/>
      <c r="X126" s="1319"/>
      <c r="Y126" s="65"/>
    </row>
    <row r="127" spans="1:25">
      <c r="A127" s="66"/>
      <c r="B127" s="1313"/>
      <c r="C127" s="1313"/>
      <c r="D127" s="1313"/>
      <c r="E127" s="1313"/>
      <c r="F127" s="1313"/>
      <c r="G127" s="1351"/>
      <c r="H127" s="88"/>
      <c r="I127" s="89" t="s">
        <v>8</v>
      </c>
      <c r="J127" s="1318" t="s">
        <v>266</v>
      </c>
      <c r="K127" s="1318"/>
      <c r="L127" s="1318"/>
      <c r="M127" s="1318"/>
      <c r="N127" s="1318"/>
      <c r="O127" s="1318"/>
      <c r="P127" s="1318"/>
      <c r="Q127" s="1318"/>
      <c r="R127" s="1318"/>
      <c r="S127" s="1318"/>
      <c r="T127" s="1318"/>
      <c r="U127" s="1318"/>
      <c r="V127" s="1318"/>
      <c r="W127" s="1318"/>
      <c r="X127" s="1319"/>
      <c r="Y127" s="65"/>
    </row>
    <row r="128" spans="1:25">
      <c r="A128" s="66"/>
      <c r="B128" s="1313"/>
      <c r="C128" s="1313"/>
      <c r="D128" s="1313"/>
      <c r="E128" s="1313"/>
      <c r="F128" s="1313"/>
      <c r="G128" s="1351"/>
      <c r="H128" s="88"/>
      <c r="I128" s="89" t="s">
        <v>8</v>
      </c>
      <c r="J128" s="1318" t="s">
        <v>267</v>
      </c>
      <c r="K128" s="1318"/>
      <c r="L128" s="1318"/>
      <c r="M128" s="1318"/>
      <c r="N128" s="1318"/>
      <c r="O128" s="1318"/>
      <c r="P128" s="1318"/>
      <c r="Q128" s="1318"/>
      <c r="R128" s="1318"/>
      <c r="S128" s="1318"/>
      <c r="T128" s="1318"/>
      <c r="U128" s="1318"/>
      <c r="V128" s="1318"/>
      <c r="W128" s="1318"/>
      <c r="X128" s="1319"/>
      <c r="Y128" s="65"/>
    </row>
    <row r="129" spans="1:25">
      <c r="A129" s="66"/>
      <c r="B129" s="1313"/>
      <c r="C129" s="1313"/>
      <c r="D129" s="1313"/>
      <c r="E129" s="1313"/>
      <c r="F129" s="1313"/>
      <c r="G129" s="1351"/>
      <c r="H129" s="88"/>
      <c r="I129" s="89" t="s">
        <v>8</v>
      </c>
      <c r="J129" s="1318" t="s">
        <v>268</v>
      </c>
      <c r="K129" s="1318"/>
      <c r="L129" s="1318"/>
      <c r="M129" s="1318"/>
      <c r="N129" s="1318"/>
      <c r="O129" s="1318"/>
      <c r="P129" s="1318"/>
      <c r="Q129" s="1318"/>
      <c r="R129" s="1318"/>
      <c r="S129" s="1318"/>
      <c r="T129" s="1318"/>
      <c r="U129" s="1318"/>
      <c r="V129" s="1318"/>
      <c r="W129" s="1318"/>
      <c r="X129" s="1319"/>
      <c r="Y129" s="65"/>
    </row>
    <row r="130" spans="1:25">
      <c r="A130" s="66"/>
      <c r="B130" s="1313"/>
      <c r="C130" s="1313"/>
      <c r="D130" s="1313"/>
      <c r="E130" s="1313"/>
      <c r="F130" s="1313"/>
      <c r="G130" s="1351"/>
      <c r="H130" s="90"/>
      <c r="I130" s="91" t="s">
        <v>8</v>
      </c>
      <c r="J130" s="1320"/>
      <c r="K130" s="1320"/>
      <c r="L130" s="1320"/>
      <c r="M130" s="1320"/>
      <c r="N130" s="1320"/>
      <c r="O130" s="1320"/>
      <c r="P130" s="1320"/>
      <c r="Q130" s="1320"/>
      <c r="R130" s="1320"/>
      <c r="S130" s="1320"/>
      <c r="T130" s="1320"/>
      <c r="U130" s="1320"/>
      <c r="V130" s="1320"/>
      <c r="W130" s="1320"/>
      <c r="X130" s="1321"/>
      <c r="Y130" s="65"/>
    </row>
    <row r="131" spans="1:25">
      <c r="A131" s="66"/>
      <c r="B131" s="1313" t="s">
        <v>269</v>
      </c>
      <c r="C131" s="1313"/>
      <c r="D131" s="1313"/>
      <c r="E131" s="1313"/>
      <c r="F131" s="1313"/>
      <c r="G131" s="1351"/>
      <c r="H131" s="1314"/>
      <c r="I131" s="1315"/>
      <c r="J131" s="1315"/>
      <c r="K131" s="1315"/>
      <c r="L131" s="1315"/>
      <c r="M131" s="1315"/>
      <c r="N131" s="1315"/>
      <c r="O131" s="1315"/>
      <c r="P131" s="1315"/>
      <c r="Q131" s="1315"/>
      <c r="R131" s="1315"/>
      <c r="S131" s="1315"/>
      <c r="T131" s="1315"/>
      <c r="U131" s="1315"/>
      <c r="V131" s="1315"/>
      <c r="W131" s="1315"/>
      <c r="X131" s="1316"/>
      <c r="Y131" s="65"/>
    </row>
    <row r="132" spans="1:25">
      <c r="A132" s="66"/>
      <c r="B132" s="1313"/>
      <c r="C132" s="1313"/>
      <c r="D132" s="1313"/>
      <c r="E132" s="1313"/>
      <c r="F132" s="1313"/>
      <c r="G132" s="1351"/>
      <c r="H132" s="1317"/>
      <c r="I132" s="1318"/>
      <c r="J132" s="1318"/>
      <c r="K132" s="1318"/>
      <c r="L132" s="1318"/>
      <c r="M132" s="1318"/>
      <c r="N132" s="1318"/>
      <c r="O132" s="1318"/>
      <c r="P132" s="1318"/>
      <c r="Q132" s="1318"/>
      <c r="R132" s="1318"/>
      <c r="S132" s="1318"/>
      <c r="T132" s="1318"/>
      <c r="U132" s="1318"/>
      <c r="V132" s="1318"/>
      <c r="W132" s="1318"/>
      <c r="X132" s="1319"/>
      <c r="Y132" s="65"/>
    </row>
    <row r="133" spans="1:25">
      <c r="A133" s="66"/>
      <c r="B133" s="1313"/>
      <c r="C133" s="1313"/>
      <c r="D133" s="1313"/>
      <c r="E133" s="1313"/>
      <c r="F133" s="1313"/>
      <c r="G133" s="1351"/>
      <c r="H133" s="1322"/>
      <c r="I133" s="1320"/>
      <c r="J133" s="1320"/>
      <c r="K133" s="1320"/>
      <c r="L133" s="1320"/>
      <c r="M133" s="1320"/>
      <c r="N133" s="1320"/>
      <c r="O133" s="1320"/>
      <c r="P133" s="1320"/>
      <c r="Q133" s="1320"/>
      <c r="R133" s="1320"/>
      <c r="S133" s="1320"/>
      <c r="T133" s="1320"/>
      <c r="U133" s="1320"/>
      <c r="V133" s="1320"/>
      <c r="W133" s="1320"/>
      <c r="X133" s="1321"/>
      <c r="Y133" s="65"/>
    </row>
    <row r="134" spans="1:25">
      <c r="A134" s="66"/>
      <c r="B134" s="1313" t="s">
        <v>270</v>
      </c>
      <c r="C134" s="1313"/>
      <c r="D134" s="1313"/>
      <c r="E134" s="1313"/>
      <c r="F134" s="1313"/>
      <c r="G134" s="1351"/>
      <c r="H134" s="1314" t="s">
        <v>271</v>
      </c>
      <c r="I134" s="1315"/>
      <c r="J134" s="1315"/>
      <c r="K134" s="1315"/>
      <c r="L134" s="1315"/>
      <c r="M134" s="1315"/>
      <c r="N134" s="1315"/>
      <c r="O134" s="1315"/>
      <c r="P134" s="1315"/>
      <c r="Q134" s="1315"/>
      <c r="R134" s="1315"/>
      <c r="S134" s="1315"/>
      <c r="T134" s="1315"/>
      <c r="U134" s="1315"/>
      <c r="V134" s="1315"/>
      <c r="W134" s="1315"/>
      <c r="X134" s="1316"/>
      <c r="Y134" s="65"/>
    </row>
    <row r="135" spans="1:25">
      <c r="A135" s="66"/>
      <c r="B135" s="1313"/>
      <c r="C135" s="1313"/>
      <c r="D135" s="1313"/>
      <c r="E135" s="1313"/>
      <c r="F135" s="1313"/>
      <c r="G135" s="1351"/>
      <c r="H135" s="1317"/>
      <c r="I135" s="1318"/>
      <c r="J135" s="1318"/>
      <c r="K135" s="1318"/>
      <c r="L135" s="1318"/>
      <c r="M135" s="1318"/>
      <c r="N135" s="1318"/>
      <c r="O135" s="1318"/>
      <c r="P135" s="1318"/>
      <c r="Q135" s="1318"/>
      <c r="R135" s="1318"/>
      <c r="S135" s="1318"/>
      <c r="T135" s="1318"/>
      <c r="U135" s="1318"/>
      <c r="V135" s="1318"/>
      <c r="W135" s="1318"/>
      <c r="X135" s="1319"/>
      <c r="Y135" s="65"/>
    </row>
    <row r="136" spans="1:25">
      <c r="A136" s="66"/>
      <c r="B136" s="1313"/>
      <c r="C136" s="1313"/>
      <c r="D136" s="1313"/>
      <c r="E136" s="1313"/>
      <c r="F136" s="1313"/>
      <c r="G136" s="1351"/>
      <c r="H136" s="1317"/>
      <c r="I136" s="1318"/>
      <c r="J136" s="1318"/>
      <c r="K136" s="1318"/>
      <c r="L136" s="1318"/>
      <c r="M136" s="1318"/>
      <c r="N136" s="1318"/>
      <c r="O136" s="1318"/>
      <c r="P136" s="1318"/>
      <c r="Q136" s="1318"/>
      <c r="R136" s="1318"/>
      <c r="S136" s="1318"/>
      <c r="T136" s="1318"/>
      <c r="U136" s="1318"/>
      <c r="V136" s="1318"/>
      <c r="W136" s="1318"/>
      <c r="X136" s="1319"/>
      <c r="Y136" s="65"/>
    </row>
    <row r="137" spans="1:25">
      <c r="A137" s="66"/>
      <c r="B137" s="1313"/>
      <c r="C137" s="1313"/>
      <c r="D137" s="1313"/>
      <c r="E137" s="1313"/>
      <c r="F137" s="1313"/>
      <c r="G137" s="1351"/>
      <c r="H137" s="88"/>
      <c r="I137" s="89" t="s">
        <v>8</v>
      </c>
      <c r="J137" s="1318" t="s">
        <v>272</v>
      </c>
      <c r="K137" s="1318"/>
      <c r="L137" s="1318"/>
      <c r="M137" s="1318"/>
      <c r="N137" s="1318"/>
      <c r="O137" s="1318"/>
      <c r="P137" s="1318"/>
      <c r="Q137" s="1318"/>
      <c r="R137" s="1318"/>
      <c r="S137" s="1318"/>
      <c r="T137" s="1318"/>
      <c r="U137" s="1318"/>
      <c r="V137" s="1318"/>
      <c r="W137" s="1318"/>
      <c r="X137" s="1319"/>
      <c r="Y137" s="65"/>
    </row>
    <row r="138" spans="1:25">
      <c r="A138" s="66"/>
      <c r="B138" s="1323"/>
      <c r="C138" s="1323"/>
      <c r="D138" s="1323"/>
      <c r="E138" s="1323"/>
      <c r="F138" s="1323"/>
      <c r="G138" s="1371"/>
      <c r="H138" s="88"/>
      <c r="I138" s="89" t="s">
        <v>8</v>
      </c>
      <c r="J138" s="1318" t="s">
        <v>273</v>
      </c>
      <c r="K138" s="1318"/>
      <c r="L138" s="1318"/>
      <c r="M138" s="1318"/>
      <c r="N138" s="1318"/>
      <c r="O138" s="1318"/>
      <c r="P138" s="1318"/>
      <c r="Q138" s="1318"/>
      <c r="R138" s="1318"/>
      <c r="S138" s="1318"/>
      <c r="T138" s="1318"/>
      <c r="U138" s="1318"/>
      <c r="V138" s="1318"/>
      <c r="W138" s="1318"/>
      <c r="X138" s="1319"/>
      <c r="Y138" s="65"/>
    </row>
    <row r="139" spans="1:25">
      <c r="A139" s="66"/>
      <c r="B139" s="1324" t="s">
        <v>274</v>
      </c>
      <c r="C139" s="1324"/>
      <c r="D139" s="1324"/>
      <c r="E139" s="1324"/>
      <c r="F139" s="1324"/>
      <c r="G139" s="1324"/>
      <c r="H139" s="1325" t="s">
        <v>275</v>
      </c>
      <c r="I139" s="1325"/>
      <c r="J139" s="1325"/>
      <c r="K139" s="1325"/>
      <c r="L139" s="1325"/>
      <c r="M139" s="1325"/>
      <c r="N139" s="1325"/>
      <c r="O139" s="1325"/>
      <c r="P139" s="1325"/>
      <c r="Q139" s="1325"/>
      <c r="R139" s="1325"/>
      <c r="S139" s="1325"/>
      <c r="T139" s="1325"/>
      <c r="U139" s="1325"/>
      <c r="V139" s="1325"/>
      <c r="W139" s="1325"/>
      <c r="X139" s="1325"/>
      <c r="Y139" s="65"/>
    </row>
    <row r="140" spans="1:25">
      <c r="A140" s="66"/>
      <c r="B140" s="1324"/>
      <c r="C140" s="1324"/>
      <c r="D140" s="1324"/>
      <c r="E140" s="1324"/>
      <c r="F140" s="1324"/>
      <c r="G140" s="1324"/>
      <c r="H140" s="1325"/>
      <c r="I140" s="1325"/>
      <c r="J140" s="1325"/>
      <c r="K140" s="1325"/>
      <c r="L140" s="1325"/>
      <c r="M140" s="1325"/>
      <c r="N140" s="1325"/>
      <c r="O140" s="1325"/>
      <c r="P140" s="1325"/>
      <c r="Q140" s="1325"/>
      <c r="R140" s="1325"/>
      <c r="S140" s="1325"/>
      <c r="T140" s="1325"/>
      <c r="U140" s="1325"/>
      <c r="V140" s="1325"/>
      <c r="W140" s="1325"/>
      <c r="X140" s="1325"/>
      <c r="Y140" s="65"/>
    </row>
    <row r="141" spans="1:25">
      <c r="A141" s="66"/>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5"/>
    </row>
    <row r="142" spans="1:25">
      <c r="A142" s="62" t="s">
        <v>276</v>
      </c>
      <c r="B142" s="63" t="s">
        <v>277</v>
      </c>
      <c r="C142" s="64"/>
      <c r="D142" s="64"/>
      <c r="E142" s="64"/>
      <c r="F142" s="64"/>
      <c r="G142" s="64"/>
      <c r="H142" s="64"/>
      <c r="I142" s="64"/>
      <c r="J142" s="64"/>
      <c r="K142" s="64"/>
      <c r="L142" s="64"/>
      <c r="M142" s="64"/>
      <c r="N142" s="64"/>
      <c r="O142" s="64"/>
      <c r="P142" s="64"/>
      <c r="Q142" s="64"/>
      <c r="R142" s="64"/>
      <c r="S142" s="64"/>
      <c r="T142" s="64"/>
      <c r="U142" s="64"/>
      <c r="V142" s="64"/>
      <c r="W142" s="64"/>
      <c r="X142" s="64"/>
      <c r="Y142" s="65"/>
    </row>
    <row r="143" spans="1:25">
      <c r="A143" s="66"/>
      <c r="B143" s="1369" t="s">
        <v>195</v>
      </c>
      <c r="C143" s="1369"/>
      <c r="D143" s="1369"/>
      <c r="E143" s="1369"/>
      <c r="F143" s="1369"/>
      <c r="G143" s="1369"/>
      <c r="H143" s="1369" t="s">
        <v>196</v>
      </c>
      <c r="I143" s="1369"/>
      <c r="J143" s="1369"/>
      <c r="K143" s="1369"/>
      <c r="L143" s="1369"/>
      <c r="M143" s="1369"/>
      <c r="N143" s="1369"/>
      <c r="O143" s="1369"/>
      <c r="P143" s="1369"/>
      <c r="Q143" s="1369"/>
      <c r="R143" s="1369"/>
      <c r="S143" s="1369"/>
      <c r="T143" s="1369"/>
      <c r="U143" s="1369"/>
      <c r="V143" s="1369"/>
      <c r="W143" s="1369"/>
      <c r="X143" s="1369"/>
      <c r="Y143" s="65"/>
    </row>
    <row r="144" spans="1:25">
      <c r="A144" s="66"/>
      <c r="B144" s="1370" t="s">
        <v>278</v>
      </c>
      <c r="C144" s="1370"/>
      <c r="D144" s="1370"/>
      <c r="E144" s="1370"/>
      <c r="F144" s="1370"/>
      <c r="G144" s="1370"/>
      <c r="H144" s="1325" t="s">
        <v>279</v>
      </c>
      <c r="I144" s="1325"/>
      <c r="J144" s="1325"/>
      <c r="K144" s="1325"/>
      <c r="L144" s="1325"/>
      <c r="M144" s="1325"/>
      <c r="N144" s="1325"/>
      <c r="O144" s="1325"/>
      <c r="P144" s="1325"/>
      <c r="Q144" s="1325"/>
      <c r="R144" s="1325"/>
      <c r="S144" s="1325"/>
      <c r="T144" s="1325"/>
      <c r="U144" s="1325"/>
      <c r="V144" s="1325"/>
      <c r="W144" s="1325"/>
      <c r="X144" s="1325"/>
      <c r="Y144" s="65"/>
    </row>
    <row r="145" spans="1:25">
      <c r="A145" s="66"/>
      <c r="B145" s="1370"/>
      <c r="C145" s="1370"/>
      <c r="D145" s="1370"/>
      <c r="E145" s="1370"/>
      <c r="F145" s="1370"/>
      <c r="G145" s="1370"/>
      <c r="H145" s="1325"/>
      <c r="I145" s="1325"/>
      <c r="J145" s="1325"/>
      <c r="K145" s="1325"/>
      <c r="L145" s="1325"/>
      <c r="M145" s="1325"/>
      <c r="N145" s="1325"/>
      <c r="O145" s="1325"/>
      <c r="P145" s="1325"/>
      <c r="Q145" s="1325"/>
      <c r="R145" s="1325"/>
      <c r="S145" s="1325"/>
      <c r="T145" s="1325"/>
      <c r="U145" s="1325"/>
      <c r="V145" s="1325"/>
      <c r="W145" s="1325"/>
      <c r="X145" s="1325"/>
      <c r="Y145" s="65"/>
    </row>
    <row r="146" spans="1:25">
      <c r="A146" s="66"/>
      <c r="B146" s="1370"/>
      <c r="C146" s="1370"/>
      <c r="D146" s="1370"/>
      <c r="E146" s="1370"/>
      <c r="F146" s="1370"/>
      <c r="G146" s="1370"/>
      <c r="H146" s="1325"/>
      <c r="I146" s="1325"/>
      <c r="J146" s="1325"/>
      <c r="K146" s="1325"/>
      <c r="L146" s="1325"/>
      <c r="M146" s="1325"/>
      <c r="N146" s="1325"/>
      <c r="O146" s="1325"/>
      <c r="P146" s="1325"/>
      <c r="Q146" s="1325"/>
      <c r="R146" s="1325"/>
      <c r="S146" s="1325"/>
      <c r="T146" s="1325"/>
      <c r="U146" s="1325"/>
      <c r="V146" s="1325"/>
      <c r="W146" s="1325"/>
      <c r="X146" s="1325"/>
      <c r="Y146" s="65"/>
    </row>
    <row r="147" spans="1:25">
      <c r="A147" s="66"/>
      <c r="B147" s="1324" t="s">
        <v>280</v>
      </c>
      <c r="C147" s="1324"/>
      <c r="D147" s="1324"/>
      <c r="E147" s="1324"/>
      <c r="F147" s="1324"/>
      <c r="G147" s="1324"/>
      <c r="H147" s="1325" t="s">
        <v>281</v>
      </c>
      <c r="I147" s="1325"/>
      <c r="J147" s="1325"/>
      <c r="K147" s="1325"/>
      <c r="L147" s="1325"/>
      <c r="M147" s="1325"/>
      <c r="N147" s="1325"/>
      <c r="O147" s="1325"/>
      <c r="P147" s="1325"/>
      <c r="Q147" s="1325"/>
      <c r="R147" s="1325"/>
      <c r="S147" s="1325"/>
      <c r="T147" s="1325"/>
      <c r="U147" s="1325"/>
      <c r="V147" s="1325"/>
      <c r="W147" s="1325"/>
      <c r="X147" s="1325"/>
      <c r="Y147" s="65"/>
    </row>
    <row r="148" spans="1:25">
      <c r="A148" s="66"/>
      <c r="B148" s="1324"/>
      <c r="C148" s="1324"/>
      <c r="D148" s="1324"/>
      <c r="E148" s="1324"/>
      <c r="F148" s="1324"/>
      <c r="G148" s="1324"/>
      <c r="H148" s="1325"/>
      <c r="I148" s="1325"/>
      <c r="J148" s="1325"/>
      <c r="K148" s="1325"/>
      <c r="L148" s="1325"/>
      <c r="M148" s="1325"/>
      <c r="N148" s="1325"/>
      <c r="O148" s="1325"/>
      <c r="P148" s="1325"/>
      <c r="Q148" s="1325"/>
      <c r="R148" s="1325"/>
      <c r="S148" s="1325"/>
      <c r="T148" s="1325"/>
      <c r="U148" s="1325"/>
      <c r="V148" s="1325"/>
      <c r="W148" s="1325"/>
      <c r="X148" s="1325"/>
      <c r="Y148" s="65"/>
    </row>
    <row r="149" spans="1:25">
      <c r="A149" s="66"/>
      <c r="B149" s="1324" t="s">
        <v>282</v>
      </c>
      <c r="C149" s="1324"/>
      <c r="D149" s="1324"/>
      <c r="E149" s="1324"/>
      <c r="F149" s="1324"/>
      <c r="G149" s="1324"/>
      <c r="H149" s="1325" t="s">
        <v>283</v>
      </c>
      <c r="I149" s="1325"/>
      <c r="J149" s="1325"/>
      <c r="K149" s="1325"/>
      <c r="L149" s="1325"/>
      <c r="M149" s="1325"/>
      <c r="N149" s="1325"/>
      <c r="O149" s="1325"/>
      <c r="P149" s="1325"/>
      <c r="Q149" s="1325"/>
      <c r="R149" s="1325"/>
      <c r="S149" s="1325"/>
      <c r="T149" s="1325"/>
      <c r="U149" s="1325"/>
      <c r="V149" s="1325"/>
      <c r="W149" s="1325"/>
      <c r="X149" s="1325"/>
      <c r="Y149" s="65"/>
    </row>
    <row r="150" spans="1:25">
      <c r="A150" s="66"/>
      <c r="B150" s="1324"/>
      <c r="C150" s="1324"/>
      <c r="D150" s="1324"/>
      <c r="E150" s="1324"/>
      <c r="F150" s="1324"/>
      <c r="G150" s="1324"/>
      <c r="H150" s="1325"/>
      <c r="I150" s="1325"/>
      <c r="J150" s="1325"/>
      <c r="K150" s="1325"/>
      <c r="L150" s="1325"/>
      <c r="M150" s="1325"/>
      <c r="N150" s="1325"/>
      <c r="O150" s="1325"/>
      <c r="P150" s="1325"/>
      <c r="Q150" s="1325"/>
      <c r="R150" s="1325"/>
      <c r="S150" s="1325"/>
      <c r="T150" s="1325"/>
      <c r="U150" s="1325"/>
      <c r="V150" s="1325"/>
      <c r="W150" s="1325"/>
      <c r="X150" s="1325"/>
      <c r="Y150" s="65"/>
    </row>
    <row r="151" spans="1:25">
      <c r="A151" s="66"/>
      <c r="B151" s="1370" t="s">
        <v>284</v>
      </c>
      <c r="C151" s="1370"/>
      <c r="D151" s="1370"/>
      <c r="E151" s="1370"/>
      <c r="F151" s="1370"/>
      <c r="G151" s="1370"/>
      <c r="H151" s="1317"/>
      <c r="I151" s="1318"/>
      <c r="J151" s="1318"/>
      <c r="K151" s="1318"/>
      <c r="L151" s="1318"/>
      <c r="M151" s="1318"/>
      <c r="N151" s="1318"/>
      <c r="O151" s="1318"/>
      <c r="P151" s="1318"/>
      <c r="Q151" s="1318"/>
      <c r="R151" s="1318"/>
      <c r="S151" s="1318"/>
      <c r="T151" s="1318"/>
      <c r="U151" s="1318"/>
      <c r="V151" s="1318"/>
      <c r="W151" s="1318"/>
      <c r="X151" s="1319"/>
      <c r="Y151" s="65"/>
    </row>
    <row r="152" spans="1:25">
      <c r="A152" s="66"/>
      <c r="B152" s="1370"/>
      <c r="C152" s="1370"/>
      <c r="D152" s="1370"/>
      <c r="E152" s="1370"/>
      <c r="F152" s="1370"/>
      <c r="G152" s="1370"/>
      <c r="H152" s="1317"/>
      <c r="I152" s="1318"/>
      <c r="J152" s="1318"/>
      <c r="K152" s="1318"/>
      <c r="L152" s="1318"/>
      <c r="M152" s="1318"/>
      <c r="N152" s="1318"/>
      <c r="O152" s="1318"/>
      <c r="P152" s="1318"/>
      <c r="Q152" s="1318"/>
      <c r="R152" s="1318"/>
      <c r="S152" s="1318"/>
      <c r="T152" s="1318"/>
      <c r="U152" s="1318"/>
      <c r="V152" s="1318"/>
      <c r="W152" s="1318"/>
      <c r="X152" s="1319"/>
      <c r="Y152" s="65"/>
    </row>
    <row r="153" spans="1:25">
      <c r="A153" s="66"/>
      <c r="B153" s="1370"/>
      <c r="C153" s="1370"/>
      <c r="D153" s="1370"/>
      <c r="E153" s="1370"/>
      <c r="F153" s="1370"/>
      <c r="G153" s="1370"/>
      <c r="H153" s="1317"/>
      <c r="I153" s="1318"/>
      <c r="J153" s="1318"/>
      <c r="K153" s="1318"/>
      <c r="L153" s="1318"/>
      <c r="M153" s="1318"/>
      <c r="N153" s="1318"/>
      <c r="O153" s="1318"/>
      <c r="P153" s="1318"/>
      <c r="Q153" s="1318"/>
      <c r="R153" s="1318"/>
      <c r="S153" s="1318"/>
      <c r="T153" s="1318"/>
      <c r="U153" s="1318"/>
      <c r="V153" s="1318"/>
      <c r="W153" s="1318"/>
      <c r="X153" s="1319"/>
      <c r="Y153" s="65"/>
    </row>
    <row r="154" spans="1:25">
      <c r="A154" s="66"/>
      <c r="B154" s="1370"/>
      <c r="C154" s="1370"/>
      <c r="D154" s="1370"/>
      <c r="E154" s="1370"/>
      <c r="F154" s="1370"/>
      <c r="G154" s="1370"/>
      <c r="H154" s="1317"/>
      <c r="I154" s="1318"/>
      <c r="J154" s="1318"/>
      <c r="K154" s="1318"/>
      <c r="L154" s="1318"/>
      <c r="M154" s="1318"/>
      <c r="N154" s="1318"/>
      <c r="O154" s="1318"/>
      <c r="P154" s="1318"/>
      <c r="Q154" s="1318"/>
      <c r="R154" s="1318"/>
      <c r="S154" s="1318"/>
      <c r="T154" s="1318"/>
      <c r="U154" s="1318"/>
      <c r="V154" s="1318"/>
      <c r="W154" s="1318"/>
      <c r="X154" s="1319"/>
      <c r="Y154" s="65"/>
    </row>
    <row r="155" spans="1:25">
      <c r="A155" s="66"/>
      <c r="B155" s="1324" t="s">
        <v>285</v>
      </c>
      <c r="C155" s="1324"/>
      <c r="D155" s="1324"/>
      <c r="E155" s="1324"/>
      <c r="F155" s="1324"/>
      <c r="G155" s="1324"/>
      <c r="H155" s="1325" t="s">
        <v>286</v>
      </c>
      <c r="I155" s="1325"/>
      <c r="J155" s="1325"/>
      <c r="K155" s="1325"/>
      <c r="L155" s="1325"/>
      <c r="M155" s="1325"/>
      <c r="N155" s="1325"/>
      <c r="O155" s="1325"/>
      <c r="P155" s="1325"/>
      <c r="Q155" s="1325"/>
      <c r="R155" s="1325"/>
      <c r="S155" s="1325"/>
      <c r="T155" s="1325"/>
      <c r="U155" s="1325"/>
      <c r="V155" s="1325"/>
      <c r="W155" s="1325"/>
      <c r="X155" s="1325"/>
      <c r="Y155" s="65"/>
    </row>
    <row r="156" spans="1:25">
      <c r="A156" s="66"/>
      <c r="B156" s="1324"/>
      <c r="C156" s="1324"/>
      <c r="D156" s="1324"/>
      <c r="E156" s="1324"/>
      <c r="F156" s="1324"/>
      <c r="G156" s="1324"/>
      <c r="H156" s="1325"/>
      <c r="I156" s="1325"/>
      <c r="J156" s="1325"/>
      <c r="K156" s="1325"/>
      <c r="L156" s="1325"/>
      <c r="M156" s="1325"/>
      <c r="N156" s="1325"/>
      <c r="O156" s="1325"/>
      <c r="P156" s="1325"/>
      <c r="Q156" s="1325"/>
      <c r="R156" s="1325"/>
      <c r="S156" s="1325"/>
      <c r="T156" s="1325"/>
      <c r="U156" s="1325"/>
      <c r="V156" s="1325"/>
      <c r="W156" s="1325"/>
      <c r="X156" s="1325"/>
      <c r="Y156" s="65"/>
    </row>
    <row r="157" spans="1:25">
      <c r="A157" s="66"/>
      <c r="B157" s="1313" t="s">
        <v>287</v>
      </c>
      <c r="C157" s="1313"/>
      <c r="D157" s="1313"/>
      <c r="E157" s="1313"/>
      <c r="F157" s="1313"/>
      <c r="G157" s="1313"/>
      <c r="H157" s="1317"/>
      <c r="I157" s="1318"/>
      <c r="J157" s="1318"/>
      <c r="K157" s="1318"/>
      <c r="L157" s="1318"/>
      <c r="M157" s="1318"/>
      <c r="N157" s="1318"/>
      <c r="O157" s="1318"/>
      <c r="P157" s="1318"/>
      <c r="Q157" s="1318"/>
      <c r="R157" s="1318"/>
      <c r="S157" s="1318"/>
      <c r="T157" s="1318"/>
      <c r="U157" s="1318"/>
      <c r="V157" s="1318"/>
      <c r="W157" s="1318"/>
      <c r="X157" s="1319"/>
      <c r="Y157" s="65"/>
    </row>
    <row r="158" spans="1:25">
      <c r="A158" s="66"/>
      <c r="B158" s="1313"/>
      <c r="C158" s="1313"/>
      <c r="D158" s="1313"/>
      <c r="E158" s="1313"/>
      <c r="F158" s="1313"/>
      <c r="G158" s="1313"/>
      <c r="H158" s="1317"/>
      <c r="I158" s="1318"/>
      <c r="J158" s="1318"/>
      <c r="K158" s="1318"/>
      <c r="L158" s="1318"/>
      <c r="M158" s="1318"/>
      <c r="N158" s="1318"/>
      <c r="O158" s="1318"/>
      <c r="P158" s="1318"/>
      <c r="Q158" s="1318"/>
      <c r="R158" s="1318"/>
      <c r="S158" s="1318"/>
      <c r="T158" s="1318"/>
      <c r="U158" s="1318"/>
      <c r="V158" s="1318"/>
      <c r="W158" s="1318"/>
      <c r="X158" s="1319"/>
      <c r="Y158" s="65"/>
    </row>
    <row r="159" spans="1:25">
      <c r="A159" s="66"/>
      <c r="B159" s="1313"/>
      <c r="C159" s="1313"/>
      <c r="D159" s="1313"/>
      <c r="E159" s="1313"/>
      <c r="F159" s="1313"/>
      <c r="G159" s="1313"/>
      <c r="H159" s="88"/>
      <c r="I159" s="89" t="s">
        <v>8</v>
      </c>
      <c r="J159" s="1318" t="s">
        <v>288</v>
      </c>
      <c r="K159" s="1318"/>
      <c r="L159" s="1318"/>
      <c r="M159" s="1318"/>
      <c r="N159" s="1318"/>
      <c r="O159" s="1318"/>
      <c r="P159" s="1318"/>
      <c r="Q159" s="1318"/>
      <c r="R159" s="1318"/>
      <c r="S159" s="1318"/>
      <c r="T159" s="1318"/>
      <c r="U159" s="1318"/>
      <c r="V159" s="1318"/>
      <c r="W159" s="1318"/>
      <c r="X159" s="1319"/>
      <c r="Y159" s="65"/>
    </row>
    <row r="160" spans="1:25">
      <c r="A160" s="66"/>
      <c r="B160" s="1313"/>
      <c r="C160" s="1313"/>
      <c r="D160" s="1313"/>
      <c r="E160" s="1313"/>
      <c r="F160" s="1313"/>
      <c r="G160" s="1313"/>
      <c r="H160" s="90"/>
      <c r="I160" s="91" t="s">
        <v>8</v>
      </c>
      <c r="J160" s="1320" t="s">
        <v>289</v>
      </c>
      <c r="K160" s="1320"/>
      <c r="L160" s="1320"/>
      <c r="M160" s="1320"/>
      <c r="N160" s="1320"/>
      <c r="O160" s="1320"/>
      <c r="P160" s="1320"/>
      <c r="Q160" s="1320"/>
      <c r="R160" s="1320"/>
      <c r="S160" s="1320"/>
      <c r="T160" s="1320"/>
      <c r="U160" s="1320"/>
      <c r="V160" s="1320"/>
      <c r="W160" s="1320"/>
      <c r="X160" s="1321"/>
      <c r="Y160" s="65"/>
    </row>
    <row r="161" spans="1:25">
      <c r="A161" s="66"/>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5"/>
    </row>
    <row r="162" spans="1:25">
      <c r="A162" s="62" t="s">
        <v>290</v>
      </c>
      <c r="B162" s="63" t="s">
        <v>291</v>
      </c>
      <c r="C162" s="64"/>
      <c r="D162" s="64"/>
      <c r="E162" s="64"/>
      <c r="F162" s="64"/>
      <c r="G162" s="64"/>
      <c r="H162" s="64"/>
      <c r="I162" s="64"/>
      <c r="J162" s="64"/>
      <c r="K162" s="64"/>
      <c r="L162" s="64"/>
      <c r="M162" s="64"/>
      <c r="N162" s="64"/>
      <c r="O162" s="64"/>
      <c r="P162" s="64"/>
      <c r="Q162" s="64"/>
      <c r="R162" s="64"/>
      <c r="S162" s="64"/>
      <c r="T162" s="64"/>
      <c r="U162" s="64"/>
      <c r="V162" s="64"/>
      <c r="W162" s="64"/>
      <c r="X162" s="64"/>
      <c r="Y162" s="65"/>
    </row>
    <row r="163" spans="1:25">
      <c r="A163" s="66"/>
      <c r="B163" s="1369" t="s">
        <v>195</v>
      </c>
      <c r="C163" s="1369"/>
      <c r="D163" s="1369"/>
      <c r="E163" s="1369"/>
      <c r="F163" s="1369"/>
      <c r="G163" s="1369"/>
      <c r="H163" s="1369" t="s">
        <v>196</v>
      </c>
      <c r="I163" s="1369"/>
      <c r="J163" s="1369"/>
      <c r="K163" s="1369"/>
      <c r="L163" s="1369"/>
      <c r="M163" s="1369"/>
      <c r="N163" s="1369"/>
      <c r="O163" s="1369"/>
      <c r="P163" s="1369"/>
      <c r="Q163" s="1369"/>
      <c r="R163" s="1369"/>
      <c r="S163" s="1369"/>
      <c r="T163" s="1369"/>
      <c r="U163" s="1369"/>
      <c r="V163" s="1369"/>
      <c r="W163" s="1369"/>
      <c r="X163" s="1369"/>
      <c r="Y163" s="65"/>
    </row>
    <row r="164" spans="1:25">
      <c r="A164" s="66"/>
      <c r="B164" s="1352" t="s">
        <v>292</v>
      </c>
      <c r="C164" s="1353"/>
      <c r="D164" s="1353"/>
      <c r="E164" s="1353"/>
      <c r="F164" s="1353"/>
      <c r="G164" s="1354"/>
      <c r="H164" s="1342" t="s">
        <v>293</v>
      </c>
      <c r="I164" s="1343"/>
      <c r="J164" s="1343"/>
      <c r="K164" s="1343"/>
      <c r="L164" s="1343"/>
      <c r="M164" s="1343"/>
      <c r="N164" s="1343"/>
      <c r="O164" s="1343"/>
      <c r="P164" s="1343"/>
      <c r="Q164" s="1343"/>
      <c r="R164" s="1343"/>
      <c r="S164" s="1343"/>
      <c r="T164" s="1343"/>
      <c r="U164" s="1343"/>
      <c r="V164" s="1343"/>
      <c r="W164" s="1343"/>
      <c r="X164" s="1344"/>
      <c r="Y164" s="65"/>
    </row>
    <row r="165" spans="1:25">
      <c r="A165" s="66"/>
      <c r="B165" s="1358"/>
      <c r="C165" s="1359"/>
      <c r="D165" s="1359"/>
      <c r="E165" s="1359"/>
      <c r="F165" s="1359"/>
      <c r="G165" s="1360"/>
      <c r="H165" s="1345"/>
      <c r="I165" s="1346"/>
      <c r="J165" s="1346"/>
      <c r="K165" s="1346"/>
      <c r="L165" s="1346"/>
      <c r="M165" s="1346"/>
      <c r="N165" s="1346"/>
      <c r="O165" s="1346"/>
      <c r="P165" s="1346"/>
      <c r="Q165" s="1346"/>
      <c r="R165" s="1346"/>
      <c r="S165" s="1346"/>
      <c r="T165" s="1346"/>
      <c r="U165" s="1346"/>
      <c r="V165" s="1346"/>
      <c r="W165" s="1346"/>
      <c r="X165" s="1347"/>
      <c r="Y165" s="65"/>
    </row>
    <row r="166" spans="1:25">
      <c r="A166" s="66"/>
      <c r="B166" s="1352" t="s">
        <v>294</v>
      </c>
      <c r="C166" s="1353"/>
      <c r="D166" s="1353"/>
      <c r="E166" s="1353"/>
      <c r="F166" s="1353"/>
      <c r="G166" s="1354"/>
      <c r="H166" s="1314" t="s">
        <v>295</v>
      </c>
      <c r="I166" s="1315"/>
      <c r="J166" s="1315"/>
      <c r="K166" s="1315"/>
      <c r="L166" s="1315"/>
      <c r="M166" s="1315"/>
      <c r="N166" s="1315"/>
      <c r="O166" s="1315"/>
      <c r="P166" s="1315"/>
      <c r="Q166" s="1315"/>
      <c r="R166" s="1315"/>
      <c r="S166" s="1315"/>
      <c r="T166" s="1315"/>
      <c r="U166" s="1315"/>
      <c r="V166" s="1315"/>
      <c r="W166" s="1315"/>
      <c r="X166" s="1316"/>
      <c r="Y166" s="65"/>
    </row>
    <row r="167" spans="1:25">
      <c r="A167" s="66"/>
      <c r="B167" s="1355"/>
      <c r="C167" s="1356"/>
      <c r="D167" s="1356"/>
      <c r="E167" s="1356"/>
      <c r="F167" s="1356"/>
      <c r="G167" s="1357"/>
      <c r="H167" s="1317"/>
      <c r="I167" s="1318"/>
      <c r="J167" s="1318"/>
      <c r="K167" s="1318"/>
      <c r="L167" s="1318"/>
      <c r="M167" s="1318"/>
      <c r="N167" s="1318"/>
      <c r="O167" s="1318"/>
      <c r="P167" s="1318"/>
      <c r="Q167" s="1318"/>
      <c r="R167" s="1318"/>
      <c r="S167" s="1318"/>
      <c r="T167" s="1318"/>
      <c r="U167" s="1318"/>
      <c r="V167" s="1318"/>
      <c r="W167" s="1318"/>
      <c r="X167" s="1319"/>
      <c r="Y167" s="65"/>
    </row>
    <row r="168" spans="1:25">
      <c r="A168" s="66"/>
      <c r="B168" s="1355"/>
      <c r="C168" s="1356"/>
      <c r="D168" s="1356"/>
      <c r="E168" s="1356"/>
      <c r="F168" s="1356"/>
      <c r="G168" s="1357"/>
      <c r="H168" s="1317"/>
      <c r="I168" s="1318"/>
      <c r="J168" s="1318"/>
      <c r="K168" s="1318"/>
      <c r="L168" s="1318"/>
      <c r="M168" s="1318"/>
      <c r="N168" s="1318"/>
      <c r="O168" s="1318"/>
      <c r="P168" s="1318"/>
      <c r="Q168" s="1318"/>
      <c r="R168" s="1318"/>
      <c r="S168" s="1318"/>
      <c r="T168" s="1318"/>
      <c r="U168" s="1318"/>
      <c r="V168" s="1318"/>
      <c r="W168" s="1318"/>
      <c r="X168" s="1319"/>
      <c r="Y168" s="65"/>
    </row>
    <row r="169" spans="1:25">
      <c r="A169" s="66"/>
      <c r="B169" s="1355"/>
      <c r="C169" s="1356"/>
      <c r="D169" s="1356"/>
      <c r="E169" s="1356"/>
      <c r="F169" s="1356"/>
      <c r="G169" s="1357"/>
      <c r="H169" s="88"/>
      <c r="I169" s="89" t="s">
        <v>8</v>
      </c>
      <c r="J169" s="1318" t="s">
        <v>296</v>
      </c>
      <c r="K169" s="1318"/>
      <c r="L169" s="1318"/>
      <c r="M169" s="1318"/>
      <c r="N169" s="1318"/>
      <c r="O169" s="1318"/>
      <c r="P169" s="1318"/>
      <c r="Q169" s="1318"/>
      <c r="R169" s="1318"/>
      <c r="S169" s="1318"/>
      <c r="T169" s="1318"/>
      <c r="U169" s="1318"/>
      <c r="V169" s="1318"/>
      <c r="W169" s="1318"/>
      <c r="X169" s="1319"/>
      <c r="Y169" s="65"/>
    </row>
    <row r="170" spans="1:25">
      <c r="A170" s="66"/>
      <c r="B170" s="1355"/>
      <c r="C170" s="1356"/>
      <c r="D170" s="1356"/>
      <c r="E170" s="1356"/>
      <c r="F170" s="1356"/>
      <c r="G170" s="1357"/>
      <c r="H170" s="88"/>
      <c r="I170" s="89" t="s">
        <v>8</v>
      </c>
      <c r="J170" s="1318" t="s">
        <v>238</v>
      </c>
      <c r="K170" s="1318"/>
      <c r="L170" s="1318"/>
      <c r="M170" s="1318"/>
      <c r="N170" s="1318"/>
      <c r="O170" s="1318"/>
      <c r="P170" s="1318"/>
      <c r="Q170" s="1318"/>
      <c r="R170" s="1318"/>
      <c r="S170" s="1318"/>
      <c r="T170" s="1318"/>
      <c r="U170" s="1318"/>
      <c r="V170" s="1318"/>
      <c r="W170" s="1318"/>
      <c r="X170" s="1319"/>
      <c r="Y170" s="65"/>
    </row>
    <row r="171" spans="1:25">
      <c r="A171" s="66"/>
      <c r="B171" s="1355"/>
      <c r="C171" s="1356"/>
      <c r="D171" s="1356"/>
      <c r="E171" s="1356"/>
      <c r="F171" s="1356"/>
      <c r="G171" s="1357"/>
      <c r="H171" s="88"/>
      <c r="I171" s="89" t="s">
        <v>8</v>
      </c>
      <c r="J171" s="1318"/>
      <c r="K171" s="1318"/>
      <c r="L171" s="1318"/>
      <c r="M171" s="1318"/>
      <c r="N171" s="1318"/>
      <c r="O171" s="1318"/>
      <c r="P171" s="1318"/>
      <c r="Q171" s="1318"/>
      <c r="R171" s="1318"/>
      <c r="S171" s="1318"/>
      <c r="T171" s="1318"/>
      <c r="U171" s="1318"/>
      <c r="V171" s="1318"/>
      <c r="W171" s="1318"/>
      <c r="X171" s="1319"/>
      <c r="Y171" s="65"/>
    </row>
    <row r="172" spans="1:25">
      <c r="A172" s="66"/>
      <c r="B172" s="1355"/>
      <c r="C172" s="1356"/>
      <c r="D172" s="1356"/>
      <c r="E172" s="1356"/>
      <c r="F172" s="1356"/>
      <c r="G172" s="1357"/>
      <c r="H172" s="88"/>
      <c r="I172" s="89"/>
      <c r="J172" s="1318"/>
      <c r="K172" s="1318"/>
      <c r="L172" s="1318"/>
      <c r="M172" s="1318"/>
      <c r="N172" s="1318"/>
      <c r="O172" s="1318"/>
      <c r="P172" s="1318"/>
      <c r="Q172" s="1318"/>
      <c r="R172" s="1318"/>
      <c r="S172" s="1318"/>
      <c r="T172" s="1318"/>
      <c r="U172" s="1318"/>
      <c r="V172" s="1318"/>
      <c r="W172" s="1318"/>
      <c r="X172" s="1319"/>
      <c r="Y172" s="65"/>
    </row>
    <row r="173" spans="1:25">
      <c r="A173" s="66"/>
      <c r="B173" s="1355"/>
      <c r="C173" s="1356"/>
      <c r="D173" s="1356"/>
      <c r="E173" s="1356"/>
      <c r="F173" s="1356"/>
      <c r="G173" s="1357"/>
      <c r="H173" s="88"/>
      <c r="I173" s="89"/>
      <c r="J173" s="1318"/>
      <c r="K173" s="1318"/>
      <c r="L173" s="1318"/>
      <c r="M173" s="1318"/>
      <c r="N173" s="1318"/>
      <c r="O173" s="1318"/>
      <c r="P173" s="1318"/>
      <c r="Q173" s="1318"/>
      <c r="R173" s="1318"/>
      <c r="S173" s="1318"/>
      <c r="T173" s="1318"/>
      <c r="U173" s="1318"/>
      <c r="V173" s="1318"/>
      <c r="W173" s="1318"/>
      <c r="X173" s="1319"/>
      <c r="Y173" s="65"/>
    </row>
    <row r="174" spans="1:25">
      <c r="A174" s="66"/>
      <c r="B174" s="1358"/>
      <c r="C174" s="1359"/>
      <c r="D174" s="1359"/>
      <c r="E174" s="1359"/>
      <c r="F174" s="1359"/>
      <c r="G174" s="1360"/>
      <c r="H174" s="90"/>
      <c r="I174" s="92"/>
      <c r="J174" s="1320"/>
      <c r="K174" s="1320"/>
      <c r="L174" s="1320"/>
      <c r="M174" s="1320"/>
      <c r="N174" s="1320"/>
      <c r="O174" s="1320"/>
      <c r="P174" s="1320"/>
      <c r="Q174" s="1320"/>
      <c r="R174" s="1320"/>
      <c r="S174" s="1320"/>
      <c r="T174" s="1320"/>
      <c r="U174" s="1320"/>
      <c r="V174" s="1320"/>
      <c r="W174" s="1320"/>
      <c r="X174" s="1321"/>
      <c r="Y174" s="65"/>
    </row>
    <row r="175" spans="1:25">
      <c r="A175" s="66"/>
      <c r="B175" s="1352" t="s">
        <v>297</v>
      </c>
      <c r="C175" s="1353"/>
      <c r="D175" s="1353"/>
      <c r="E175" s="1353"/>
      <c r="F175" s="1353"/>
      <c r="G175" s="1354"/>
      <c r="H175" s="1314" t="s">
        <v>298</v>
      </c>
      <c r="I175" s="1315"/>
      <c r="J175" s="1315"/>
      <c r="K175" s="1315"/>
      <c r="L175" s="1315"/>
      <c r="M175" s="1315"/>
      <c r="N175" s="1315"/>
      <c r="O175" s="1315"/>
      <c r="P175" s="1315"/>
      <c r="Q175" s="1315"/>
      <c r="R175" s="1315"/>
      <c r="S175" s="1315"/>
      <c r="T175" s="1315"/>
      <c r="U175" s="1315"/>
      <c r="V175" s="1315"/>
      <c r="W175" s="1315"/>
      <c r="X175" s="1316"/>
      <c r="Y175" s="65"/>
    </row>
    <row r="176" spans="1:25">
      <c r="A176" s="66"/>
      <c r="B176" s="1355"/>
      <c r="C176" s="1356"/>
      <c r="D176" s="1356"/>
      <c r="E176" s="1356"/>
      <c r="F176" s="1356"/>
      <c r="G176" s="1357"/>
      <c r="H176" s="1317"/>
      <c r="I176" s="1318"/>
      <c r="J176" s="1318"/>
      <c r="K176" s="1318"/>
      <c r="L176" s="1318"/>
      <c r="M176" s="1318"/>
      <c r="N176" s="1318"/>
      <c r="O176" s="1318"/>
      <c r="P176" s="1318"/>
      <c r="Q176" s="1318"/>
      <c r="R176" s="1318"/>
      <c r="S176" s="1318"/>
      <c r="T176" s="1318"/>
      <c r="U176" s="1318"/>
      <c r="V176" s="1318"/>
      <c r="W176" s="1318"/>
      <c r="X176" s="1319"/>
      <c r="Y176" s="65"/>
    </row>
    <row r="177" spans="1:25">
      <c r="A177" s="66"/>
      <c r="B177" s="1355"/>
      <c r="C177" s="1356"/>
      <c r="D177" s="1356"/>
      <c r="E177" s="1356"/>
      <c r="F177" s="1356"/>
      <c r="G177" s="1357"/>
      <c r="H177" s="88"/>
      <c r="I177" s="89" t="s">
        <v>8</v>
      </c>
      <c r="J177" s="1318" t="s">
        <v>299</v>
      </c>
      <c r="K177" s="1318"/>
      <c r="L177" s="1318"/>
      <c r="M177" s="1318"/>
      <c r="N177" s="1318"/>
      <c r="O177" s="1318"/>
      <c r="P177" s="1318"/>
      <c r="Q177" s="1318"/>
      <c r="R177" s="1318"/>
      <c r="S177" s="1318"/>
      <c r="T177" s="1318"/>
      <c r="U177" s="1318"/>
      <c r="V177" s="1318"/>
      <c r="W177" s="1318"/>
      <c r="X177" s="1319"/>
      <c r="Y177" s="65"/>
    </row>
    <row r="178" spans="1:25">
      <c r="A178" s="66"/>
      <c r="B178" s="1355"/>
      <c r="C178" s="1356"/>
      <c r="D178" s="1356"/>
      <c r="E178" s="1356"/>
      <c r="F178" s="1356"/>
      <c r="G178" s="1357"/>
      <c r="H178" s="88"/>
      <c r="I178" s="89" t="s">
        <v>8</v>
      </c>
      <c r="J178" s="1318" t="s">
        <v>300</v>
      </c>
      <c r="K178" s="1318"/>
      <c r="L178" s="1318"/>
      <c r="M178" s="1318"/>
      <c r="N178" s="1318"/>
      <c r="O178" s="1318"/>
      <c r="P178" s="1318"/>
      <c r="Q178" s="1318"/>
      <c r="R178" s="1318"/>
      <c r="S178" s="1318"/>
      <c r="T178" s="1318"/>
      <c r="U178" s="1318"/>
      <c r="V178" s="1318"/>
      <c r="W178" s="1318"/>
      <c r="X178" s="1319"/>
      <c r="Y178" s="65"/>
    </row>
    <row r="179" spans="1:25">
      <c r="A179" s="66"/>
      <c r="B179" s="1355"/>
      <c r="C179" s="1356"/>
      <c r="D179" s="1356"/>
      <c r="E179" s="1356"/>
      <c r="F179" s="1356"/>
      <c r="G179" s="1357"/>
      <c r="H179" s="88"/>
      <c r="I179" s="89"/>
      <c r="J179" s="1318"/>
      <c r="K179" s="1318"/>
      <c r="L179" s="1318"/>
      <c r="M179" s="1318"/>
      <c r="N179" s="1318"/>
      <c r="O179" s="1318"/>
      <c r="P179" s="1318"/>
      <c r="Q179" s="1318"/>
      <c r="R179" s="1318"/>
      <c r="S179" s="1318"/>
      <c r="T179" s="1318"/>
      <c r="U179" s="1318"/>
      <c r="V179" s="1318"/>
      <c r="W179" s="1318"/>
      <c r="X179" s="1319"/>
      <c r="Y179" s="65"/>
    </row>
    <row r="180" spans="1:25">
      <c r="A180" s="66"/>
      <c r="B180" s="1355"/>
      <c r="C180" s="1356"/>
      <c r="D180" s="1356"/>
      <c r="E180" s="1356"/>
      <c r="F180" s="1356"/>
      <c r="G180" s="1357"/>
      <c r="H180" s="88"/>
      <c r="I180" s="89" t="s">
        <v>8</v>
      </c>
      <c r="J180" s="1318" t="s">
        <v>301</v>
      </c>
      <c r="K180" s="1318"/>
      <c r="L180" s="1318"/>
      <c r="M180" s="1318"/>
      <c r="N180" s="1318"/>
      <c r="O180" s="1318"/>
      <c r="P180" s="1318"/>
      <c r="Q180" s="1318"/>
      <c r="R180" s="1318"/>
      <c r="S180" s="1318"/>
      <c r="T180" s="1318"/>
      <c r="U180" s="1318"/>
      <c r="V180" s="1318"/>
      <c r="W180" s="1318"/>
      <c r="X180" s="1319"/>
      <c r="Y180" s="65"/>
    </row>
    <row r="181" spans="1:25">
      <c r="A181" s="66"/>
      <c r="B181" s="1355"/>
      <c r="C181" s="1356"/>
      <c r="D181" s="1356"/>
      <c r="E181" s="1356"/>
      <c r="F181" s="1356"/>
      <c r="G181" s="1357"/>
      <c r="H181" s="88"/>
      <c r="I181" s="89" t="s">
        <v>8</v>
      </c>
      <c r="J181" s="1318" t="s">
        <v>302</v>
      </c>
      <c r="K181" s="1318"/>
      <c r="L181" s="1318"/>
      <c r="M181" s="1318"/>
      <c r="N181" s="1318"/>
      <c r="O181" s="1318"/>
      <c r="P181" s="1318"/>
      <c r="Q181" s="1318"/>
      <c r="R181" s="1318"/>
      <c r="S181" s="1318"/>
      <c r="T181" s="1318"/>
      <c r="U181" s="1318"/>
      <c r="V181" s="1318"/>
      <c r="W181" s="1318"/>
      <c r="X181" s="1319"/>
      <c r="Y181" s="65"/>
    </row>
    <row r="182" spans="1:25">
      <c r="A182" s="66"/>
      <c r="B182" s="1355"/>
      <c r="C182" s="1356"/>
      <c r="D182" s="1356"/>
      <c r="E182" s="1356"/>
      <c r="F182" s="1356"/>
      <c r="G182" s="1357"/>
      <c r="H182" s="88"/>
      <c r="I182" s="89" t="s">
        <v>8</v>
      </c>
      <c r="J182" s="1318" t="s">
        <v>303</v>
      </c>
      <c r="K182" s="1318"/>
      <c r="L182" s="1318"/>
      <c r="M182" s="1318"/>
      <c r="N182" s="1318"/>
      <c r="O182" s="1318"/>
      <c r="P182" s="1318"/>
      <c r="Q182" s="1318"/>
      <c r="R182" s="1318"/>
      <c r="S182" s="1318"/>
      <c r="T182" s="1318"/>
      <c r="U182" s="1318"/>
      <c r="V182" s="1318"/>
      <c r="W182" s="1318"/>
      <c r="X182" s="1319"/>
      <c r="Y182" s="65"/>
    </row>
    <row r="183" spans="1:25">
      <c r="A183" s="66"/>
      <c r="B183" s="1358"/>
      <c r="C183" s="1359"/>
      <c r="D183" s="1359"/>
      <c r="E183" s="1359"/>
      <c r="F183" s="1359"/>
      <c r="G183" s="1360"/>
      <c r="H183" s="90"/>
      <c r="I183" s="91" t="s">
        <v>8</v>
      </c>
      <c r="J183" s="1320"/>
      <c r="K183" s="1320"/>
      <c r="L183" s="1320"/>
      <c r="M183" s="1320"/>
      <c r="N183" s="1320"/>
      <c r="O183" s="1320"/>
      <c r="P183" s="1320"/>
      <c r="Q183" s="1320"/>
      <c r="R183" s="1320"/>
      <c r="S183" s="1320"/>
      <c r="T183" s="1320"/>
      <c r="U183" s="1320"/>
      <c r="V183" s="1320"/>
      <c r="W183" s="1320"/>
      <c r="X183" s="1321"/>
      <c r="Y183" s="65"/>
    </row>
    <row r="184" spans="1:25">
      <c r="A184" s="66"/>
      <c r="B184" s="1352" t="s">
        <v>304</v>
      </c>
      <c r="C184" s="1353"/>
      <c r="D184" s="1353"/>
      <c r="E184" s="1353"/>
      <c r="F184" s="1353"/>
      <c r="G184" s="1354"/>
      <c r="H184" s="1342" t="s">
        <v>305</v>
      </c>
      <c r="I184" s="1343"/>
      <c r="J184" s="1343"/>
      <c r="K184" s="1343"/>
      <c r="L184" s="1343"/>
      <c r="M184" s="1343"/>
      <c r="N184" s="1343"/>
      <c r="O184" s="1343"/>
      <c r="P184" s="1343"/>
      <c r="Q184" s="1343"/>
      <c r="R184" s="1343"/>
      <c r="S184" s="1343"/>
      <c r="T184" s="1343"/>
      <c r="U184" s="1343"/>
      <c r="V184" s="1343"/>
      <c r="W184" s="1343"/>
      <c r="X184" s="1344"/>
      <c r="Y184" s="65"/>
    </row>
    <row r="185" spans="1:25">
      <c r="A185" s="66"/>
      <c r="B185" s="1358"/>
      <c r="C185" s="1359"/>
      <c r="D185" s="1359"/>
      <c r="E185" s="1359"/>
      <c r="F185" s="1359"/>
      <c r="G185" s="1360"/>
      <c r="H185" s="1345"/>
      <c r="I185" s="1346"/>
      <c r="J185" s="1346"/>
      <c r="K185" s="1346"/>
      <c r="L185" s="1346"/>
      <c r="M185" s="1346"/>
      <c r="N185" s="1346"/>
      <c r="O185" s="1346"/>
      <c r="P185" s="1346"/>
      <c r="Q185" s="1346"/>
      <c r="R185" s="1346"/>
      <c r="S185" s="1346"/>
      <c r="T185" s="1346"/>
      <c r="U185" s="1346"/>
      <c r="V185" s="1346"/>
      <c r="W185" s="1346"/>
      <c r="X185" s="1347"/>
      <c r="Y185" s="65"/>
    </row>
    <row r="186" spans="1:25">
      <c r="A186" s="66"/>
      <c r="B186" s="1352" t="s">
        <v>306</v>
      </c>
      <c r="C186" s="1353"/>
      <c r="D186" s="1353"/>
      <c r="E186" s="1353"/>
      <c r="F186" s="1353"/>
      <c r="G186" s="1354"/>
      <c r="H186" s="1314"/>
      <c r="I186" s="1315"/>
      <c r="J186" s="1315"/>
      <c r="K186" s="1315"/>
      <c r="L186" s="1315"/>
      <c r="M186" s="1315"/>
      <c r="N186" s="1315"/>
      <c r="O186" s="1315"/>
      <c r="P186" s="1315"/>
      <c r="Q186" s="1315"/>
      <c r="R186" s="1315"/>
      <c r="S186" s="1315"/>
      <c r="T186" s="1315"/>
      <c r="U186" s="1315"/>
      <c r="V186" s="1315"/>
      <c r="W186" s="1315"/>
      <c r="X186" s="1316"/>
      <c r="Y186" s="65"/>
    </row>
    <row r="187" spans="1:25">
      <c r="A187" s="66"/>
      <c r="B187" s="1355"/>
      <c r="C187" s="1356"/>
      <c r="D187" s="1356"/>
      <c r="E187" s="1356"/>
      <c r="F187" s="1356"/>
      <c r="G187" s="1357"/>
      <c r="H187" s="1317"/>
      <c r="I187" s="1318"/>
      <c r="J187" s="1318"/>
      <c r="K187" s="1318"/>
      <c r="L187" s="1318"/>
      <c r="M187" s="1318"/>
      <c r="N187" s="1318"/>
      <c r="O187" s="1318"/>
      <c r="P187" s="1318"/>
      <c r="Q187" s="1318"/>
      <c r="R187" s="1318"/>
      <c r="S187" s="1318"/>
      <c r="T187" s="1318"/>
      <c r="U187" s="1318"/>
      <c r="V187" s="1318"/>
      <c r="W187" s="1318"/>
      <c r="X187" s="1319"/>
      <c r="Y187" s="65"/>
    </row>
    <row r="188" spans="1:25">
      <c r="A188" s="66"/>
      <c r="B188" s="1355"/>
      <c r="C188" s="1356"/>
      <c r="D188" s="1356"/>
      <c r="E188" s="1356"/>
      <c r="F188" s="1356"/>
      <c r="G188" s="1357"/>
      <c r="H188" s="88"/>
      <c r="I188" s="89" t="s">
        <v>8</v>
      </c>
      <c r="J188" s="1318" t="s">
        <v>307</v>
      </c>
      <c r="K188" s="1318"/>
      <c r="L188" s="1318"/>
      <c r="M188" s="1318"/>
      <c r="N188" s="1318"/>
      <c r="O188" s="1318"/>
      <c r="P188" s="1318"/>
      <c r="Q188" s="1318"/>
      <c r="R188" s="1318"/>
      <c r="S188" s="1318"/>
      <c r="T188" s="1318"/>
      <c r="U188" s="1318"/>
      <c r="V188" s="1318"/>
      <c r="W188" s="1318"/>
      <c r="X188" s="1319"/>
      <c r="Y188" s="65"/>
    </row>
    <row r="189" spans="1:25">
      <c r="A189" s="66"/>
      <c r="B189" s="1355"/>
      <c r="C189" s="1356"/>
      <c r="D189" s="1356"/>
      <c r="E189" s="1356"/>
      <c r="F189" s="1356"/>
      <c r="G189" s="1357"/>
      <c r="H189" s="88"/>
      <c r="I189" s="89" t="s">
        <v>8</v>
      </c>
      <c r="J189" s="1318" t="s">
        <v>308</v>
      </c>
      <c r="K189" s="1318"/>
      <c r="L189" s="1318"/>
      <c r="M189" s="1318"/>
      <c r="N189" s="1318"/>
      <c r="O189" s="1318"/>
      <c r="P189" s="1318"/>
      <c r="Q189" s="1318"/>
      <c r="R189" s="1318"/>
      <c r="S189" s="1318"/>
      <c r="T189" s="1318"/>
      <c r="U189" s="1318"/>
      <c r="V189" s="1318"/>
      <c r="W189" s="1318"/>
      <c r="X189" s="1319"/>
      <c r="Y189" s="65"/>
    </row>
    <row r="190" spans="1:25">
      <c r="A190" s="66"/>
      <c r="B190" s="1358"/>
      <c r="C190" s="1359"/>
      <c r="D190" s="1359"/>
      <c r="E190" s="1359"/>
      <c r="F190" s="1359"/>
      <c r="G190" s="1360"/>
      <c r="H190" s="90"/>
      <c r="I190" s="91" t="s">
        <v>8</v>
      </c>
      <c r="J190" s="1320" t="s">
        <v>309</v>
      </c>
      <c r="K190" s="1320"/>
      <c r="L190" s="1320"/>
      <c r="M190" s="1320"/>
      <c r="N190" s="1320"/>
      <c r="O190" s="1320"/>
      <c r="P190" s="1320"/>
      <c r="Q190" s="1320"/>
      <c r="R190" s="1320"/>
      <c r="S190" s="1320"/>
      <c r="T190" s="1320"/>
      <c r="U190" s="1320"/>
      <c r="V190" s="1320"/>
      <c r="W190" s="1320"/>
      <c r="X190" s="1321"/>
      <c r="Y190" s="65"/>
    </row>
    <row r="191" spans="1:25">
      <c r="A191" s="66"/>
      <c r="B191" s="1352" t="s">
        <v>310</v>
      </c>
      <c r="C191" s="1353"/>
      <c r="D191" s="1353"/>
      <c r="E191" s="1353"/>
      <c r="F191" s="1353"/>
      <c r="G191" s="1354"/>
      <c r="H191" s="1314" t="s">
        <v>311</v>
      </c>
      <c r="I191" s="1315"/>
      <c r="J191" s="1315"/>
      <c r="K191" s="1315"/>
      <c r="L191" s="1315"/>
      <c r="M191" s="1315"/>
      <c r="N191" s="1315"/>
      <c r="O191" s="1315"/>
      <c r="P191" s="1315"/>
      <c r="Q191" s="1315"/>
      <c r="R191" s="1315"/>
      <c r="S191" s="1315"/>
      <c r="T191" s="1315"/>
      <c r="U191" s="1315"/>
      <c r="V191" s="1315"/>
      <c r="W191" s="1315"/>
      <c r="X191" s="1316"/>
      <c r="Y191" s="65"/>
    </row>
    <row r="192" spans="1:25">
      <c r="A192" s="66"/>
      <c r="B192" s="1355"/>
      <c r="C192" s="1356"/>
      <c r="D192" s="1356"/>
      <c r="E192" s="1356"/>
      <c r="F192" s="1356"/>
      <c r="G192" s="1357"/>
      <c r="H192" s="1317"/>
      <c r="I192" s="1318"/>
      <c r="J192" s="1318"/>
      <c r="K192" s="1318"/>
      <c r="L192" s="1318"/>
      <c r="M192" s="1318"/>
      <c r="N192" s="1318"/>
      <c r="O192" s="1318"/>
      <c r="P192" s="1318"/>
      <c r="Q192" s="1318"/>
      <c r="R192" s="1318"/>
      <c r="S192" s="1318"/>
      <c r="T192" s="1318"/>
      <c r="U192" s="1318"/>
      <c r="V192" s="1318"/>
      <c r="W192" s="1318"/>
      <c r="X192" s="1319"/>
      <c r="Y192" s="65"/>
    </row>
    <row r="193" spans="1:25">
      <c r="A193" s="66"/>
      <c r="B193" s="1355"/>
      <c r="C193" s="1356"/>
      <c r="D193" s="1356"/>
      <c r="E193" s="1356"/>
      <c r="F193" s="1356"/>
      <c r="G193" s="1357"/>
      <c r="H193" s="1317"/>
      <c r="I193" s="1318"/>
      <c r="J193" s="1318"/>
      <c r="K193" s="1318"/>
      <c r="L193" s="1318"/>
      <c r="M193" s="1318"/>
      <c r="N193" s="1318"/>
      <c r="O193" s="1318"/>
      <c r="P193" s="1318"/>
      <c r="Q193" s="1318"/>
      <c r="R193" s="1318"/>
      <c r="S193" s="1318"/>
      <c r="T193" s="1318"/>
      <c r="U193" s="1318"/>
      <c r="V193" s="1318"/>
      <c r="W193" s="1318"/>
      <c r="X193" s="1319"/>
      <c r="Y193" s="65"/>
    </row>
    <row r="194" spans="1:25">
      <c r="A194" s="66"/>
      <c r="B194" s="1355"/>
      <c r="C194" s="1356"/>
      <c r="D194" s="1356"/>
      <c r="E194" s="1356"/>
      <c r="F194" s="1356"/>
      <c r="G194" s="1357"/>
      <c r="H194" s="88"/>
      <c r="I194" s="89" t="s">
        <v>8</v>
      </c>
      <c r="J194" s="1318" t="s">
        <v>312</v>
      </c>
      <c r="K194" s="1318"/>
      <c r="L194" s="1318"/>
      <c r="M194" s="1318"/>
      <c r="N194" s="1318"/>
      <c r="O194" s="1318"/>
      <c r="P194" s="1318"/>
      <c r="Q194" s="1318"/>
      <c r="R194" s="1318"/>
      <c r="S194" s="1318"/>
      <c r="T194" s="1318"/>
      <c r="U194" s="1318"/>
      <c r="V194" s="1318"/>
      <c r="W194" s="1318"/>
      <c r="X194" s="1319"/>
      <c r="Y194" s="65"/>
    </row>
    <row r="195" spans="1:25">
      <c r="A195" s="66"/>
      <c r="B195" s="1355"/>
      <c r="C195" s="1356"/>
      <c r="D195" s="1356"/>
      <c r="E195" s="1356"/>
      <c r="F195" s="1356"/>
      <c r="G195" s="1357"/>
      <c r="H195" s="88"/>
      <c r="I195" s="89" t="s">
        <v>8</v>
      </c>
      <c r="J195" s="1318" t="s">
        <v>313</v>
      </c>
      <c r="K195" s="1318"/>
      <c r="L195" s="1318"/>
      <c r="M195" s="1318"/>
      <c r="N195" s="1318"/>
      <c r="O195" s="1318"/>
      <c r="P195" s="1318"/>
      <c r="Q195" s="1318"/>
      <c r="R195" s="1318"/>
      <c r="S195" s="1318"/>
      <c r="T195" s="1318"/>
      <c r="U195" s="1318"/>
      <c r="V195" s="1318"/>
      <c r="W195" s="1318"/>
      <c r="X195" s="1319"/>
      <c r="Y195" s="65"/>
    </row>
    <row r="196" spans="1:25">
      <c r="A196" s="66"/>
      <c r="B196" s="1355"/>
      <c r="C196" s="1356"/>
      <c r="D196" s="1356"/>
      <c r="E196" s="1356"/>
      <c r="F196" s="1356"/>
      <c r="G196" s="1357"/>
      <c r="H196" s="88"/>
      <c r="I196" s="89" t="s">
        <v>8</v>
      </c>
      <c r="J196" s="1318" t="s">
        <v>314</v>
      </c>
      <c r="K196" s="1318"/>
      <c r="L196" s="1318"/>
      <c r="M196" s="1318"/>
      <c r="N196" s="1318"/>
      <c r="O196" s="1318"/>
      <c r="P196" s="1318"/>
      <c r="Q196" s="1318"/>
      <c r="R196" s="1318"/>
      <c r="S196" s="1318"/>
      <c r="T196" s="1318"/>
      <c r="U196" s="1318"/>
      <c r="V196" s="1318"/>
      <c r="W196" s="1318"/>
      <c r="X196" s="1319"/>
      <c r="Y196" s="65"/>
    </row>
    <row r="197" spans="1:25">
      <c r="A197" s="66"/>
      <c r="B197" s="1355"/>
      <c r="C197" s="1356"/>
      <c r="D197" s="1356"/>
      <c r="E197" s="1356"/>
      <c r="F197" s="1356"/>
      <c r="G197" s="1357"/>
      <c r="H197" s="88"/>
      <c r="I197" s="89" t="s">
        <v>8</v>
      </c>
      <c r="J197" s="1318"/>
      <c r="K197" s="1318"/>
      <c r="L197" s="1318"/>
      <c r="M197" s="1318"/>
      <c r="N197" s="1318"/>
      <c r="O197" s="1318"/>
      <c r="P197" s="1318"/>
      <c r="Q197" s="1318"/>
      <c r="R197" s="1318"/>
      <c r="S197" s="1318"/>
      <c r="T197" s="1318"/>
      <c r="U197" s="1318"/>
      <c r="V197" s="1318"/>
      <c r="W197" s="1318"/>
      <c r="X197" s="1319"/>
      <c r="Y197" s="65"/>
    </row>
    <row r="198" spans="1:25">
      <c r="A198" s="66"/>
      <c r="B198" s="1355"/>
      <c r="C198" s="1356"/>
      <c r="D198" s="1356"/>
      <c r="E198" s="1356"/>
      <c r="F198" s="1356"/>
      <c r="G198" s="1357"/>
      <c r="H198" s="88"/>
      <c r="I198" s="89" t="s">
        <v>8</v>
      </c>
      <c r="J198" s="1318"/>
      <c r="K198" s="1318"/>
      <c r="L198" s="1318"/>
      <c r="M198" s="1318"/>
      <c r="N198" s="1318"/>
      <c r="O198" s="1318"/>
      <c r="P198" s="1318"/>
      <c r="Q198" s="1318"/>
      <c r="R198" s="1318"/>
      <c r="S198" s="1318"/>
      <c r="T198" s="1318"/>
      <c r="U198" s="1318"/>
      <c r="V198" s="1318"/>
      <c r="W198" s="1318"/>
      <c r="X198" s="1319"/>
      <c r="Y198" s="65"/>
    </row>
    <row r="199" spans="1:25">
      <c r="A199" s="66"/>
      <c r="B199" s="1352" t="s">
        <v>315</v>
      </c>
      <c r="C199" s="1353"/>
      <c r="D199" s="1353"/>
      <c r="E199" s="1353"/>
      <c r="F199" s="1353"/>
      <c r="G199" s="1354"/>
      <c r="H199" s="1314" t="s">
        <v>316</v>
      </c>
      <c r="I199" s="1315"/>
      <c r="J199" s="1315"/>
      <c r="K199" s="1315"/>
      <c r="L199" s="1315"/>
      <c r="M199" s="1315"/>
      <c r="N199" s="1315"/>
      <c r="O199" s="1315"/>
      <c r="P199" s="1315"/>
      <c r="Q199" s="1315"/>
      <c r="R199" s="1315"/>
      <c r="S199" s="1315"/>
      <c r="T199" s="1315"/>
      <c r="U199" s="1315"/>
      <c r="V199" s="1315"/>
      <c r="W199" s="1315"/>
      <c r="X199" s="1316"/>
      <c r="Y199" s="65"/>
    </row>
    <row r="200" spans="1:25">
      <c r="A200" s="66"/>
      <c r="B200" s="1355"/>
      <c r="C200" s="1356"/>
      <c r="D200" s="1356"/>
      <c r="E200" s="1356"/>
      <c r="F200" s="1356"/>
      <c r="G200" s="1357"/>
      <c r="H200" s="1317"/>
      <c r="I200" s="1318"/>
      <c r="J200" s="1318"/>
      <c r="K200" s="1318"/>
      <c r="L200" s="1318"/>
      <c r="M200" s="1318"/>
      <c r="N200" s="1318"/>
      <c r="O200" s="1318"/>
      <c r="P200" s="1318"/>
      <c r="Q200" s="1318"/>
      <c r="R200" s="1318"/>
      <c r="S200" s="1318"/>
      <c r="T200" s="1318"/>
      <c r="U200" s="1318"/>
      <c r="V200" s="1318"/>
      <c r="W200" s="1318"/>
      <c r="X200" s="1319"/>
      <c r="Y200" s="65"/>
    </row>
    <row r="201" spans="1:25">
      <c r="A201" s="66"/>
      <c r="B201" s="1355"/>
      <c r="C201" s="1356"/>
      <c r="D201" s="1356"/>
      <c r="E201" s="1356"/>
      <c r="F201" s="1356"/>
      <c r="G201" s="1357"/>
      <c r="H201" s="1317"/>
      <c r="I201" s="1318"/>
      <c r="J201" s="1318"/>
      <c r="K201" s="1318"/>
      <c r="L201" s="1318"/>
      <c r="M201" s="1318"/>
      <c r="N201" s="1318"/>
      <c r="O201" s="1318"/>
      <c r="P201" s="1318"/>
      <c r="Q201" s="1318"/>
      <c r="R201" s="1318"/>
      <c r="S201" s="1318"/>
      <c r="T201" s="1318"/>
      <c r="U201" s="1318"/>
      <c r="V201" s="1318"/>
      <c r="W201" s="1318"/>
      <c r="X201" s="1319"/>
      <c r="Y201" s="65"/>
    </row>
    <row r="202" spans="1:25">
      <c r="A202" s="66"/>
      <c r="B202" s="1355"/>
      <c r="C202" s="1356"/>
      <c r="D202" s="1356"/>
      <c r="E202" s="1356"/>
      <c r="F202" s="1356"/>
      <c r="G202" s="1357"/>
      <c r="H202" s="88"/>
      <c r="I202" s="89" t="s">
        <v>8</v>
      </c>
      <c r="J202" s="1318" t="s">
        <v>317</v>
      </c>
      <c r="K202" s="1318"/>
      <c r="L202" s="1318"/>
      <c r="M202" s="1318"/>
      <c r="N202" s="1318"/>
      <c r="O202" s="1318"/>
      <c r="P202" s="1318"/>
      <c r="Q202" s="1318"/>
      <c r="R202" s="1318"/>
      <c r="S202" s="1318"/>
      <c r="T202" s="1318"/>
      <c r="U202" s="1318"/>
      <c r="V202" s="1318"/>
      <c r="W202" s="1318"/>
      <c r="X202" s="1319"/>
      <c r="Y202" s="65"/>
    </row>
    <row r="203" spans="1:25">
      <c r="A203" s="66"/>
      <c r="B203" s="1355"/>
      <c r="C203" s="1356"/>
      <c r="D203" s="1356"/>
      <c r="E203" s="1356"/>
      <c r="F203" s="1356"/>
      <c r="G203" s="1357"/>
      <c r="H203" s="88"/>
      <c r="I203" s="89" t="s">
        <v>8</v>
      </c>
      <c r="J203" s="1318" t="s">
        <v>318</v>
      </c>
      <c r="K203" s="1318"/>
      <c r="L203" s="1318"/>
      <c r="M203" s="1318"/>
      <c r="N203" s="1318"/>
      <c r="O203" s="1318"/>
      <c r="P203" s="1318"/>
      <c r="Q203" s="1318"/>
      <c r="R203" s="1318"/>
      <c r="S203" s="1318"/>
      <c r="T203" s="1318"/>
      <c r="U203" s="1318"/>
      <c r="V203" s="1318"/>
      <c r="W203" s="1318"/>
      <c r="X203" s="1319"/>
      <c r="Y203" s="65"/>
    </row>
    <row r="204" spans="1:25">
      <c r="A204" s="66"/>
      <c r="B204" s="1358"/>
      <c r="C204" s="1359"/>
      <c r="D204" s="1359"/>
      <c r="E204" s="1359"/>
      <c r="F204" s="1359"/>
      <c r="G204" s="1360"/>
      <c r="H204" s="90"/>
      <c r="I204" s="91" t="s">
        <v>8</v>
      </c>
      <c r="J204" s="1320"/>
      <c r="K204" s="1320"/>
      <c r="L204" s="1320"/>
      <c r="M204" s="1320"/>
      <c r="N204" s="1320"/>
      <c r="O204" s="1320"/>
      <c r="P204" s="1320"/>
      <c r="Q204" s="1320"/>
      <c r="R204" s="1320"/>
      <c r="S204" s="1320"/>
      <c r="T204" s="1320"/>
      <c r="U204" s="1320"/>
      <c r="V204" s="1320"/>
      <c r="W204" s="1320"/>
      <c r="X204" s="1321"/>
      <c r="Y204" s="65"/>
    </row>
    <row r="205" spans="1:25">
      <c r="A205" s="66"/>
      <c r="B205" s="93"/>
      <c r="C205" s="93"/>
      <c r="D205" s="93"/>
      <c r="E205" s="93"/>
      <c r="F205" s="93"/>
      <c r="G205" s="93"/>
      <c r="H205" s="94"/>
      <c r="I205" s="95"/>
      <c r="J205" s="94"/>
      <c r="K205" s="94"/>
      <c r="L205" s="94"/>
      <c r="M205" s="94"/>
      <c r="N205" s="94"/>
      <c r="O205" s="94"/>
      <c r="P205" s="94"/>
      <c r="Q205" s="94"/>
      <c r="R205" s="94"/>
      <c r="S205" s="94"/>
      <c r="T205" s="94"/>
      <c r="U205" s="94"/>
      <c r="V205" s="94"/>
      <c r="W205" s="94"/>
      <c r="X205" s="94"/>
      <c r="Y205" s="65"/>
    </row>
    <row r="206" spans="1:25">
      <c r="A206" s="66"/>
      <c r="B206" s="93"/>
      <c r="C206" s="93"/>
      <c r="D206" s="93"/>
      <c r="E206" s="93"/>
      <c r="F206" s="93"/>
      <c r="G206" s="93"/>
      <c r="H206" s="94"/>
      <c r="I206" s="95"/>
      <c r="J206" s="94"/>
      <c r="K206" s="94"/>
      <c r="L206" s="94"/>
      <c r="M206" s="94"/>
      <c r="N206" s="94"/>
      <c r="O206" s="94"/>
      <c r="P206" s="94"/>
      <c r="Q206" s="94"/>
      <c r="R206" s="94"/>
      <c r="S206" s="94"/>
      <c r="T206" s="94"/>
      <c r="U206" s="94"/>
      <c r="V206" s="94"/>
      <c r="W206" s="94"/>
      <c r="X206" s="94"/>
      <c r="Y206" s="65"/>
    </row>
    <row r="207" spans="1:25">
      <c r="A207" s="66"/>
      <c r="B207" s="93"/>
      <c r="C207" s="93"/>
      <c r="D207" s="93"/>
      <c r="E207" s="93"/>
      <c r="F207" s="93"/>
      <c r="G207" s="93"/>
      <c r="H207" s="94"/>
      <c r="I207" s="95"/>
      <c r="J207" s="94"/>
      <c r="K207" s="94"/>
      <c r="L207" s="94"/>
      <c r="M207" s="94"/>
      <c r="N207" s="94"/>
      <c r="O207" s="94"/>
      <c r="P207" s="94"/>
      <c r="Q207" s="94"/>
      <c r="R207" s="94"/>
      <c r="S207" s="94"/>
      <c r="T207" s="94"/>
      <c r="U207" s="94"/>
      <c r="V207" s="94"/>
      <c r="W207" s="94"/>
      <c r="X207" s="94"/>
      <c r="Y207" s="65"/>
    </row>
    <row r="208" spans="1:25">
      <c r="A208" s="66"/>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5"/>
    </row>
    <row r="209" spans="1:25">
      <c r="A209" s="1368" t="s">
        <v>52</v>
      </c>
      <c r="B209" s="1368"/>
      <c r="C209" s="1368"/>
      <c r="D209" s="1368"/>
      <c r="E209" s="1368"/>
      <c r="F209" s="1368"/>
      <c r="G209" s="1368"/>
      <c r="H209" s="1368"/>
      <c r="I209" s="1368"/>
      <c r="J209" s="1368"/>
      <c r="K209" s="1368"/>
      <c r="L209" s="1368"/>
      <c r="M209" s="1368"/>
      <c r="N209" s="1368"/>
      <c r="O209" s="1368"/>
      <c r="P209" s="1368"/>
      <c r="Q209" s="1368"/>
      <c r="R209" s="1368"/>
      <c r="S209" s="1368"/>
      <c r="T209" s="1368"/>
      <c r="U209" s="1368"/>
      <c r="V209" s="1368"/>
      <c r="W209" s="1368"/>
      <c r="X209" s="1368"/>
      <c r="Y209" s="1368"/>
    </row>
    <row r="210" spans="1:25">
      <c r="A210" s="66"/>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5"/>
    </row>
    <row r="211" spans="1:25">
      <c r="A211" s="62" t="s">
        <v>319</v>
      </c>
      <c r="B211" s="63" t="s">
        <v>320</v>
      </c>
      <c r="C211" s="64"/>
      <c r="D211" s="64"/>
      <c r="E211" s="64"/>
      <c r="F211" s="64"/>
      <c r="G211" s="64"/>
      <c r="H211" s="64"/>
      <c r="I211" s="64"/>
      <c r="J211" s="64"/>
      <c r="K211" s="64"/>
      <c r="L211" s="64"/>
      <c r="M211" s="64"/>
      <c r="N211" s="64"/>
      <c r="O211" s="64"/>
      <c r="P211" s="64"/>
      <c r="Q211" s="64"/>
      <c r="R211" s="64"/>
      <c r="S211" s="64"/>
      <c r="T211" s="64"/>
      <c r="U211" s="64"/>
      <c r="V211" s="64"/>
      <c r="W211" s="64"/>
      <c r="X211" s="64"/>
      <c r="Y211" s="65"/>
    </row>
    <row r="212" spans="1:25">
      <c r="A212" s="66"/>
      <c r="B212" s="1335" t="s">
        <v>195</v>
      </c>
      <c r="C212" s="1335"/>
      <c r="D212" s="1335"/>
      <c r="E212" s="1335"/>
      <c r="F212" s="1335"/>
      <c r="G212" s="1335"/>
      <c r="H212" s="1361" t="s">
        <v>196</v>
      </c>
      <c r="I212" s="1361"/>
      <c r="J212" s="1361"/>
      <c r="K212" s="1361"/>
      <c r="L212" s="1361"/>
      <c r="M212" s="1361"/>
      <c r="N212" s="1361"/>
      <c r="O212" s="1361"/>
      <c r="P212" s="1361"/>
      <c r="Q212" s="1361"/>
      <c r="R212" s="1361"/>
      <c r="S212" s="1361"/>
      <c r="T212" s="1361"/>
      <c r="U212" s="1361"/>
      <c r="V212" s="1361"/>
      <c r="W212" s="1361"/>
      <c r="X212" s="1361"/>
      <c r="Y212" s="65"/>
    </row>
    <row r="213" spans="1:25">
      <c r="A213" s="66"/>
      <c r="B213" s="1352" t="s">
        <v>321</v>
      </c>
      <c r="C213" s="1353"/>
      <c r="D213" s="1353"/>
      <c r="E213" s="1353"/>
      <c r="F213" s="1353"/>
      <c r="G213" s="1354"/>
      <c r="H213" s="1314" t="s">
        <v>322</v>
      </c>
      <c r="I213" s="1315"/>
      <c r="J213" s="1315"/>
      <c r="K213" s="1315"/>
      <c r="L213" s="1315"/>
      <c r="M213" s="1315"/>
      <c r="N213" s="1315"/>
      <c r="O213" s="1315"/>
      <c r="P213" s="1315"/>
      <c r="Q213" s="1315"/>
      <c r="R213" s="1315"/>
      <c r="S213" s="1315"/>
      <c r="T213" s="1315"/>
      <c r="U213" s="1315"/>
      <c r="V213" s="1315"/>
      <c r="W213" s="1315"/>
      <c r="X213" s="1316"/>
      <c r="Y213" s="65"/>
    </row>
    <row r="214" spans="1:25">
      <c r="A214" s="66"/>
      <c r="B214" s="1355"/>
      <c r="C214" s="1356"/>
      <c r="D214" s="1356"/>
      <c r="E214" s="1356"/>
      <c r="F214" s="1356"/>
      <c r="G214" s="1357"/>
      <c r="H214" s="1317"/>
      <c r="I214" s="1318"/>
      <c r="J214" s="1318"/>
      <c r="K214" s="1318"/>
      <c r="L214" s="1318"/>
      <c r="M214" s="1318"/>
      <c r="N214" s="1318"/>
      <c r="O214" s="1318"/>
      <c r="P214" s="1318"/>
      <c r="Q214" s="1318"/>
      <c r="R214" s="1318"/>
      <c r="S214" s="1318"/>
      <c r="T214" s="1318"/>
      <c r="U214" s="1318"/>
      <c r="V214" s="1318"/>
      <c r="W214" s="1318"/>
      <c r="X214" s="1319"/>
      <c r="Y214" s="65"/>
    </row>
    <row r="215" spans="1:25">
      <c r="A215" s="66"/>
      <c r="B215" s="1355"/>
      <c r="C215" s="1356"/>
      <c r="D215" s="1356"/>
      <c r="E215" s="1356"/>
      <c r="F215" s="1356"/>
      <c r="G215" s="1357"/>
      <c r="H215" s="88"/>
      <c r="I215" s="89" t="s">
        <v>8</v>
      </c>
      <c r="J215" s="1318" t="s">
        <v>323</v>
      </c>
      <c r="K215" s="1318"/>
      <c r="L215" s="1318"/>
      <c r="M215" s="1318"/>
      <c r="N215" s="1318"/>
      <c r="O215" s="1318"/>
      <c r="P215" s="1318"/>
      <c r="Q215" s="1318"/>
      <c r="R215" s="1318"/>
      <c r="S215" s="1318"/>
      <c r="T215" s="1318"/>
      <c r="U215" s="1318"/>
      <c r="V215" s="1318"/>
      <c r="W215" s="1318"/>
      <c r="X215" s="1319"/>
      <c r="Y215" s="65"/>
    </row>
    <row r="216" spans="1:25">
      <c r="A216" s="66"/>
      <c r="B216" s="1355"/>
      <c r="C216" s="1356"/>
      <c r="D216" s="1356"/>
      <c r="E216" s="1356"/>
      <c r="F216" s="1356"/>
      <c r="G216" s="1357"/>
      <c r="H216" s="88"/>
      <c r="I216" s="89" t="s">
        <v>8</v>
      </c>
      <c r="J216" s="1318"/>
      <c r="K216" s="1318"/>
      <c r="L216" s="1318"/>
      <c r="M216" s="1318"/>
      <c r="N216" s="1318"/>
      <c r="O216" s="1318"/>
      <c r="P216" s="1318"/>
      <c r="Q216" s="1318"/>
      <c r="R216" s="1318"/>
      <c r="S216" s="1318"/>
      <c r="T216" s="1318"/>
      <c r="U216" s="1318"/>
      <c r="V216" s="1318"/>
      <c r="W216" s="1318"/>
      <c r="X216" s="1319"/>
      <c r="Y216" s="65"/>
    </row>
    <row r="217" spans="1:25">
      <c r="A217" s="66"/>
      <c r="B217" s="1355"/>
      <c r="C217" s="1356"/>
      <c r="D217" s="1356"/>
      <c r="E217" s="1356"/>
      <c r="F217" s="1356"/>
      <c r="G217" s="1357"/>
      <c r="H217" s="88"/>
      <c r="I217" s="89" t="s">
        <v>8</v>
      </c>
      <c r="J217" s="1318"/>
      <c r="K217" s="1318"/>
      <c r="L217" s="1318"/>
      <c r="M217" s="1318"/>
      <c r="N217" s="1318"/>
      <c r="O217" s="1318"/>
      <c r="P217" s="1318"/>
      <c r="Q217" s="1318"/>
      <c r="R217" s="1318"/>
      <c r="S217" s="1318"/>
      <c r="T217" s="1318"/>
      <c r="U217" s="1318"/>
      <c r="V217" s="1318"/>
      <c r="W217" s="1318"/>
      <c r="X217" s="1319"/>
      <c r="Y217" s="65"/>
    </row>
    <row r="218" spans="1:25">
      <c r="A218" s="66"/>
      <c r="B218" s="1358"/>
      <c r="C218" s="1359"/>
      <c r="D218" s="1359"/>
      <c r="E218" s="1359"/>
      <c r="F218" s="1359"/>
      <c r="G218" s="1360"/>
      <c r="H218" s="90"/>
      <c r="I218" s="91"/>
      <c r="J218" s="1320"/>
      <c r="K218" s="1320"/>
      <c r="L218" s="1320"/>
      <c r="M218" s="1320"/>
      <c r="N218" s="1320"/>
      <c r="O218" s="1320"/>
      <c r="P218" s="1320"/>
      <c r="Q218" s="1320"/>
      <c r="R218" s="1320"/>
      <c r="S218" s="1320"/>
      <c r="T218" s="1320"/>
      <c r="U218" s="1320"/>
      <c r="V218" s="1320"/>
      <c r="W218" s="1320"/>
      <c r="X218" s="1321"/>
      <c r="Y218" s="65"/>
    </row>
    <row r="219" spans="1:25">
      <c r="A219" s="66"/>
      <c r="B219" s="1326" t="s">
        <v>324</v>
      </c>
      <c r="C219" s="1327"/>
      <c r="D219" s="1327"/>
      <c r="E219" s="1327"/>
      <c r="F219" s="1327"/>
      <c r="G219" s="1328"/>
      <c r="H219" s="1362" t="s">
        <v>325</v>
      </c>
      <c r="I219" s="1363"/>
      <c r="J219" s="1363"/>
      <c r="K219" s="1363"/>
      <c r="L219" s="1363"/>
      <c r="M219" s="1363"/>
      <c r="N219" s="1363"/>
      <c r="O219" s="1363"/>
      <c r="P219" s="1363"/>
      <c r="Q219" s="1363"/>
      <c r="R219" s="1363"/>
      <c r="S219" s="1363"/>
      <c r="T219" s="1363"/>
      <c r="U219" s="1363"/>
      <c r="V219" s="1363"/>
      <c r="W219" s="1363"/>
      <c r="X219" s="1364"/>
      <c r="Y219" s="65"/>
    </row>
    <row r="220" spans="1:25">
      <c r="A220" s="66"/>
      <c r="B220" s="1332"/>
      <c r="C220" s="1333"/>
      <c r="D220" s="1333"/>
      <c r="E220" s="1333"/>
      <c r="F220" s="1333"/>
      <c r="G220" s="1334"/>
      <c r="H220" s="1365"/>
      <c r="I220" s="1366"/>
      <c r="J220" s="1366"/>
      <c r="K220" s="1366"/>
      <c r="L220" s="1366"/>
      <c r="M220" s="1366"/>
      <c r="N220" s="1366"/>
      <c r="O220" s="1366"/>
      <c r="P220" s="1366"/>
      <c r="Q220" s="1366"/>
      <c r="R220" s="1366"/>
      <c r="S220" s="1366"/>
      <c r="T220" s="1366"/>
      <c r="U220" s="1366"/>
      <c r="V220" s="1366"/>
      <c r="W220" s="1366"/>
      <c r="X220" s="1367"/>
      <c r="Y220" s="65"/>
    </row>
    <row r="221" spans="1:25">
      <c r="A221" s="66"/>
      <c r="B221" s="1352" t="s">
        <v>326</v>
      </c>
      <c r="C221" s="1353"/>
      <c r="D221" s="1353"/>
      <c r="E221" s="1353"/>
      <c r="F221" s="1353"/>
      <c r="G221" s="1354"/>
      <c r="H221" s="1314" t="s">
        <v>327</v>
      </c>
      <c r="I221" s="1315"/>
      <c r="J221" s="1315"/>
      <c r="K221" s="1315"/>
      <c r="L221" s="1315"/>
      <c r="M221" s="1315"/>
      <c r="N221" s="1315"/>
      <c r="O221" s="1315"/>
      <c r="P221" s="1315"/>
      <c r="Q221" s="1315"/>
      <c r="R221" s="1315"/>
      <c r="S221" s="1315"/>
      <c r="T221" s="1315"/>
      <c r="U221" s="1315"/>
      <c r="V221" s="1315"/>
      <c r="W221" s="1315"/>
      <c r="X221" s="1316"/>
      <c r="Y221" s="65"/>
    </row>
    <row r="222" spans="1:25">
      <c r="A222" s="66"/>
      <c r="B222" s="1355"/>
      <c r="C222" s="1356"/>
      <c r="D222" s="1356"/>
      <c r="E222" s="1356"/>
      <c r="F222" s="1356"/>
      <c r="G222" s="1357"/>
      <c r="H222" s="1317"/>
      <c r="I222" s="1318"/>
      <c r="J222" s="1318"/>
      <c r="K222" s="1318"/>
      <c r="L222" s="1318"/>
      <c r="M222" s="1318"/>
      <c r="N222" s="1318"/>
      <c r="O222" s="1318"/>
      <c r="P222" s="1318"/>
      <c r="Q222" s="1318"/>
      <c r="R222" s="1318"/>
      <c r="S222" s="1318"/>
      <c r="T222" s="1318"/>
      <c r="U222" s="1318"/>
      <c r="V222" s="1318"/>
      <c r="W222" s="1318"/>
      <c r="X222" s="1319"/>
      <c r="Y222" s="65"/>
    </row>
    <row r="223" spans="1:25">
      <c r="A223" s="66"/>
      <c r="B223" s="1355"/>
      <c r="C223" s="1356"/>
      <c r="D223" s="1356"/>
      <c r="E223" s="1356"/>
      <c r="F223" s="1356"/>
      <c r="G223" s="1357"/>
      <c r="H223" s="88"/>
      <c r="I223" s="89" t="s">
        <v>8</v>
      </c>
      <c r="J223" s="1318" t="s">
        <v>328</v>
      </c>
      <c r="K223" s="1318"/>
      <c r="L223" s="1318"/>
      <c r="M223" s="1318"/>
      <c r="N223" s="1318"/>
      <c r="O223" s="1318"/>
      <c r="P223" s="1318"/>
      <c r="Q223" s="1318"/>
      <c r="R223" s="1318"/>
      <c r="S223" s="1318"/>
      <c r="T223" s="1318"/>
      <c r="U223" s="1318"/>
      <c r="V223" s="1318"/>
      <c r="W223" s="1318"/>
      <c r="X223" s="1319"/>
      <c r="Y223" s="65"/>
    </row>
    <row r="224" spans="1:25">
      <c r="A224" s="66"/>
      <c r="B224" s="1355"/>
      <c r="C224" s="1356"/>
      <c r="D224" s="1356"/>
      <c r="E224" s="1356"/>
      <c r="F224" s="1356"/>
      <c r="G224" s="1357"/>
      <c r="H224" s="88"/>
      <c r="I224" s="89" t="s">
        <v>8</v>
      </c>
      <c r="J224" s="1318" t="s">
        <v>329</v>
      </c>
      <c r="K224" s="1318"/>
      <c r="L224" s="1318"/>
      <c r="M224" s="1318"/>
      <c r="N224" s="1318"/>
      <c r="O224" s="1318"/>
      <c r="P224" s="1318"/>
      <c r="Q224" s="1318"/>
      <c r="R224" s="1318"/>
      <c r="S224" s="1318"/>
      <c r="T224" s="1318"/>
      <c r="U224" s="1318"/>
      <c r="V224" s="1318"/>
      <c r="W224" s="1318"/>
      <c r="X224" s="1319"/>
      <c r="Y224" s="65"/>
    </row>
    <row r="225" spans="1:25">
      <c r="A225" s="66"/>
      <c r="B225" s="1355"/>
      <c r="C225" s="1356"/>
      <c r="D225" s="1356"/>
      <c r="E225" s="1356"/>
      <c r="F225" s="1356"/>
      <c r="G225" s="1357"/>
      <c r="H225" s="88"/>
      <c r="I225" s="89"/>
      <c r="J225" s="1318" t="s">
        <v>330</v>
      </c>
      <c r="K225" s="1318"/>
      <c r="L225" s="1318"/>
      <c r="M225" s="1318"/>
      <c r="N225" s="1318"/>
      <c r="O225" s="1318"/>
      <c r="P225" s="1318"/>
      <c r="Q225" s="1318"/>
      <c r="R225" s="1318"/>
      <c r="S225" s="1318"/>
      <c r="T225" s="1318"/>
      <c r="U225" s="1318"/>
      <c r="V225" s="1318"/>
      <c r="W225" s="1318"/>
      <c r="X225" s="1319"/>
      <c r="Y225" s="65"/>
    </row>
    <row r="226" spans="1:25">
      <c r="A226" s="66"/>
      <c r="B226" s="1355"/>
      <c r="C226" s="1356"/>
      <c r="D226" s="1356"/>
      <c r="E226" s="1356"/>
      <c r="F226" s="1356"/>
      <c r="G226" s="1357"/>
      <c r="H226" s="88"/>
      <c r="I226" s="89"/>
      <c r="J226" s="1318"/>
      <c r="K226" s="1318"/>
      <c r="L226" s="1318"/>
      <c r="M226" s="1318"/>
      <c r="N226" s="1318"/>
      <c r="O226" s="1318"/>
      <c r="P226" s="1318"/>
      <c r="Q226" s="1318"/>
      <c r="R226" s="1318"/>
      <c r="S226" s="1318"/>
      <c r="T226" s="1318"/>
      <c r="U226" s="1318"/>
      <c r="V226" s="1318"/>
      <c r="W226" s="1318"/>
      <c r="X226" s="1319"/>
      <c r="Y226" s="65"/>
    </row>
    <row r="227" spans="1:25">
      <c r="A227" s="66"/>
      <c r="B227" s="1355"/>
      <c r="C227" s="1356"/>
      <c r="D227" s="1356"/>
      <c r="E227" s="1356"/>
      <c r="F227" s="1356"/>
      <c r="G227" s="1357"/>
      <c r="H227" s="88"/>
      <c r="I227" s="89"/>
      <c r="J227" s="1318"/>
      <c r="K227" s="1318"/>
      <c r="L227" s="1318"/>
      <c r="M227" s="1318"/>
      <c r="N227" s="1318"/>
      <c r="O227" s="1318"/>
      <c r="P227" s="1318"/>
      <c r="Q227" s="1318"/>
      <c r="R227" s="1318"/>
      <c r="S227" s="1318"/>
      <c r="T227" s="1318"/>
      <c r="U227" s="1318"/>
      <c r="V227" s="1318"/>
      <c r="W227" s="1318"/>
      <c r="X227" s="1319"/>
      <c r="Y227" s="65"/>
    </row>
    <row r="228" spans="1:25">
      <c r="A228" s="66"/>
      <c r="B228" s="1358"/>
      <c r="C228" s="1359"/>
      <c r="D228" s="1359"/>
      <c r="E228" s="1359"/>
      <c r="F228" s="1359"/>
      <c r="G228" s="1360"/>
      <c r="H228" s="90"/>
      <c r="I228" s="91"/>
      <c r="J228" s="1320"/>
      <c r="K228" s="1320"/>
      <c r="L228" s="1320"/>
      <c r="M228" s="1320"/>
      <c r="N228" s="1320"/>
      <c r="O228" s="1320"/>
      <c r="P228" s="1320"/>
      <c r="Q228" s="1320"/>
      <c r="R228" s="1320"/>
      <c r="S228" s="1320"/>
      <c r="T228" s="1320"/>
      <c r="U228" s="1320"/>
      <c r="V228" s="1320"/>
      <c r="W228" s="1320"/>
      <c r="X228" s="1321"/>
      <c r="Y228" s="65"/>
    </row>
    <row r="229" spans="1:25">
      <c r="A229" s="66"/>
      <c r="B229" s="1352" t="s">
        <v>331</v>
      </c>
      <c r="C229" s="1353"/>
      <c r="D229" s="1353"/>
      <c r="E229" s="1353"/>
      <c r="F229" s="1353"/>
      <c r="G229" s="1354"/>
      <c r="H229" s="1314" t="s">
        <v>332</v>
      </c>
      <c r="I229" s="1315"/>
      <c r="J229" s="1315"/>
      <c r="K229" s="1315"/>
      <c r="L229" s="1315"/>
      <c r="M229" s="1315"/>
      <c r="N229" s="1315"/>
      <c r="O229" s="1315"/>
      <c r="P229" s="1315"/>
      <c r="Q229" s="1315"/>
      <c r="R229" s="1315"/>
      <c r="S229" s="1315"/>
      <c r="T229" s="1315"/>
      <c r="U229" s="1315"/>
      <c r="V229" s="1315"/>
      <c r="W229" s="1315"/>
      <c r="X229" s="1316"/>
      <c r="Y229" s="65"/>
    </row>
    <row r="230" spans="1:25">
      <c r="A230" s="66"/>
      <c r="B230" s="1355"/>
      <c r="C230" s="1356"/>
      <c r="D230" s="1356"/>
      <c r="E230" s="1356"/>
      <c r="F230" s="1356"/>
      <c r="G230" s="1357"/>
      <c r="H230" s="1317"/>
      <c r="I230" s="1318"/>
      <c r="J230" s="1318"/>
      <c r="K230" s="1318"/>
      <c r="L230" s="1318"/>
      <c r="M230" s="1318"/>
      <c r="N230" s="1318"/>
      <c r="O230" s="1318"/>
      <c r="P230" s="1318"/>
      <c r="Q230" s="1318"/>
      <c r="R230" s="1318"/>
      <c r="S230" s="1318"/>
      <c r="T230" s="1318"/>
      <c r="U230" s="1318"/>
      <c r="V230" s="1318"/>
      <c r="W230" s="1318"/>
      <c r="X230" s="1319"/>
      <c r="Y230" s="65"/>
    </row>
    <row r="231" spans="1:25">
      <c r="A231" s="66"/>
      <c r="B231" s="1355"/>
      <c r="C231" s="1356"/>
      <c r="D231" s="1356"/>
      <c r="E231" s="1356"/>
      <c r="F231" s="1356"/>
      <c r="G231" s="1357"/>
      <c r="H231" s="88"/>
      <c r="I231" s="89" t="s">
        <v>8</v>
      </c>
      <c r="J231" s="1318" t="s">
        <v>333</v>
      </c>
      <c r="K231" s="1318"/>
      <c r="L231" s="1318"/>
      <c r="M231" s="1318"/>
      <c r="N231" s="1318"/>
      <c r="O231" s="1318"/>
      <c r="P231" s="1318"/>
      <c r="Q231" s="1318"/>
      <c r="R231" s="1318"/>
      <c r="S231" s="1318"/>
      <c r="T231" s="1318"/>
      <c r="U231" s="1318"/>
      <c r="V231" s="1318"/>
      <c r="W231" s="1318"/>
      <c r="X231" s="1319"/>
      <c r="Y231" s="65"/>
    </row>
    <row r="232" spans="1:25">
      <c r="A232" s="66"/>
      <c r="B232" s="1355"/>
      <c r="C232" s="1356"/>
      <c r="D232" s="1356"/>
      <c r="E232" s="1356"/>
      <c r="F232" s="1356"/>
      <c r="G232" s="1357"/>
      <c r="H232" s="88"/>
      <c r="I232" s="89" t="s">
        <v>8</v>
      </c>
      <c r="J232" s="1318" t="s">
        <v>334</v>
      </c>
      <c r="K232" s="1318"/>
      <c r="L232" s="1318"/>
      <c r="M232" s="1318"/>
      <c r="N232" s="1318"/>
      <c r="O232" s="1318"/>
      <c r="P232" s="1318"/>
      <c r="Q232" s="1318"/>
      <c r="R232" s="1318"/>
      <c r="S232" s="1318"/>
      <c r="T232" s="1318"/>
      <c r="U232" s="1318"/>
      <c r="V232" s="1318"/>
      <c r="W232" s="1318"/>
      <c r="X232" s="1319"/>
      <c r="Y232" s="65"/>
    </row>
    <row r="233" spans="1:25">
      <c r="A233" s="66"/>
      <c r="B233" s="1355"/>
      <c r="C233" s="1356"/>
      <c r="D233" s="1356"/>
      <c r="E233" s="1356"/>
      <c r="F233" s="1356"/>
      <c r="G233" s="1357"/>
      <c r="H233" s="88"/>
      <c r="I233" s="89"/>
      <c r="J233" s="1318"/>
      <c r="K233" s="1318"/>
      <c r="L233" s="1318"/>
      <c r="M233" s="1318"/>
      <c r="N233" s="1318"/>
      <c r="O233" s="1318"/>
      <c r="P233" s="1318"/>
      <c r="Q233" s="1318"/>
      <c r="R233" s="1318"/>
      <c r="S233" s="1318"/>
      <c r="T233" s="1318"/>
      <c r="U233" s="1318"/>
      <c r="V233" s="1318"/>
      <c r="W233" s="1318"/>
      <c r="X233" s="1319"/>
      <c r="Y233" s="65"/>
    </row>
    <row r="234" spans="1:25">
      <c r="A234" s="66"/>
      <c r="B234" s="1355"/>
      <c r="C234" s="1356"/>
      <c r="D234" s="1356"/>
      <c r="E234" s="1356"/>
      <c r="F234" s="1356"/>
      <c r="G234" s="1357"/>
      <c r="H234" s="88"/>
      <c r="I234" s="89" t="s">
        <v>8</v>
      </c>
      <c r="J234" s="1318" t="s">
        <v>335</v>
      </c>
      <c r="K234" s="1318"/>
      <c r="L234" s="1318"/>
      <c r="M234" s="1318"/>
      <c r="N234" s="1318"/>
      <c r="O234" s="1318"/>
      <c r="P234" s="1318"/>
      <c r="Q234" s="1318"/>
      <c r="R234" s="1318"/>
      <c r="S234" s="1318"/>
      <c r="T234" s="1318"/>
      <c r="U234" s="1318"/>
      <c r="V234" s="1318"/>
      <c r="W234" s="1318"/>
      <c r="X234" s="1319"/>
      <c r="Y234" s="65"/>
    </row>
    <row r="235" spans="1:25">
      <c r="A235" s="66"/>
      <c r="B235" s="1355"/>
      <c r="C235" s="1356"/>
      <c r="D235" s="1356"/>
      <c r="E235" s="1356"/>
      <c r="F235" s="1356"/>
      <c r="G235" s="1357"/>
      <c r="H235" s="88"/>
      <c r="I235" s="89" t="s">
        <v>8</v>
      </c>
      <c r="J235" s="1318" t="s">
        <v>336</v>
      </c>
      <c r="K235" s="1318"/>
      <c r="L235" s="1318"/>
      <c r="M235" s="1318"/>
      <c r="N235" s="1318"/>
      <c r="O235" s="1318"/>
      <c r="P235" s="1318"/>
      <c r="Q235" s="1318"/>
      <c r="R235" s="1318"/>
      <c r="S235" s="1318"/>
      <c r="T235" s="1318"/>
      <c r="U235" s="1318"/>
      <c r="V235" s="1318"/>
      <c r="W235" s="1318"/>
      <c r="X235" s="1319"/>
      <c r="Y235" s="65"/>
    </row>
    <row r="236" spans="1:25">
      <c r="A236" s="66"/>
      <c r="B236" s="1358"/>
      <c r="C236" s="1359"/>
      <c r="D236" s="1359"/>
      <c r="E236" s="1359"/>
      <c r="F236" s="1359"/>
      <c r="G236" s="1360"/>
      <c r="H236" s="90"/>
      <c r="I236" s="91"/>
      <c r="J236" s="1320"/>
      <c r="K236" s="1320"/>
      <c r="L236" s="1320"/>
      <c r="M236" s="1320"/>
      <c r="N236" s="1320"/>
      <c r="O236" s="1320"/>
      <c r="P236" s="1320"/>
      <c r="Q236" s="1320"/>
      <c r="R236" s="1320"/>
      <c r="S236" s="1320"/>
      <c r="T236" s="1320"/>
      <c r="U236" s="1320"/>
      <c r="V236" s="1320"/>
      <c r="W236" s="1320"/>
      <c r="X236" s="1321"/>
      <c r="Y236" s="65"/>
    </row>
    <row r="237" spans="1:25">
      <c r="A237" s="66"/>
      <c r="B237" s="1352" t="s">
        <v>337</v>
      </c>
      <c r="C237" s="1353"/>
      <c r="D237" s="1353"/>
      <c r="E237" s="1353"/>
      <c r="F237" s="1353"/>
      <c r="G237" s="1354"/>
      <c r="H237" s="1317" t="s">
        <v>338</v>
      </c>
      <c r="I237" s="1318"/>
      <c r="J237" s="1318"/>
      <c r="K237" s="1318"/>
      <c r="L237" s="1318"/>
      <c r="M237" s="1318"/>
      <c r="N237" s="1318"/>
      <c r="O237" s="1318"/>
      <c r="P237" s="1318"/>
      <c r="Q237" s="1318"/>
      <c r="R237" s="1318"/>
      <c r="S237" s="1318"/>
      <c r="T237" s="1318"/>
      <c r="U237" s="1318"/>
      <c r="V237" s="1318"/>
      <c r="W237" s="1318"/>
      <c r="X237" s="1319"/>
      <c r="Y237" s="65"/>
    </row>
    <row r="238" spans="1:25">
      <c r="A238" s="66"/>
      <c r="B238" s="1355"/>
      <c r="C238" s="1356"/>
      <c r="D238" s="1356"/>
      <c r="E238" s="1356"/>
      <c r="F238" s="1356"/>
      <c r="G238" s="1357"/>
      <c r="H238" s="1317"/>
      <c r="I238" s="1318"/>
      <c r="J238" s="1318"/>
      <c r="K238" s="1318"/>
      <c r="L238" s="1318"/>
      <c r="M238" s="1318"/>
      <c r="N238" s="1318"/>
      <c r="O238" s="1318"/>
      <c r="P238" s="1318"/>
      <c r="Q238" s="1318"/>
      <c r="R238" s="1318"/>
      <c r="S238" s="1318"/>
      <c r="T238" s="1318"/>
      <c r="U238" s="1318"/>
      <c r="V238" s="1318"/>
      <c r="W238" s="1318"/>
      <c r="X238" s="1319"/>
      <c r="Y238" s="65"/>
    </row>
    <row r="239" spans="1:25">
      <c r="A239" s="66"/>
      <c r="B239" s="1355"/>
      <c r="C239" s="1356"/>
      <c r="D239" s="1356"/>
      <c r="E239" s="1356"/>
      <c r="F239" s="1356"/>
      <c r="G239" s="1357"/>
      <c r="H239" s="88"/>
      <c r="I239" s="89" t="s">
        <v>8</v>
      </c>
      <c r="J239" s="1318" t="s">
        <v>339</v>
      </c>
      <c r="K239" s="1318"/>
      <c r="L239" s="1318"/>
      <c r="M239" s="1318"/>
      <c r="N239" s="1318"/>
      <c r="O239" s="1318"/>
      <c r="P239" s="1318"/>
      <c r="Q239" s="1318"/>
      <c r="R239" s="1318"/>
      <c r="S239" s="1318"/>
      <c r="T239" s="1318"/>
      <c r="U239" s="1318"/>
      <c r="V239" s="1318"/>
      <c r="W239" s="1318"/>
      <c r="X239" s="1319"/>
      <c r="Y239" s="65"/>
    </row>
    <row r="240" spans="1:25">
      <c r="A240" s="66"/>
      <c r="B240" s="1355"/>
      <c r="C240" s="1356"/>
      <c r="D240" s="1356"/>
      <c r="E240" s="1356"/>
      <c r="F240" s="1356"/>
      <c r="G240" s="1357"/>
      <c r="H240" s="88"/>
      <c r="I240" s="89" t="s">
        <v>8</v>
      </c>
      <c r="J240" s="1318" t="s">
        <v>340</v>
      </c>
      <c r="K240" s="1318"/>
      <c r="L240" s="1318"/>
      <c r="M240" s="1318"/>
      <c r="N240" s="1318"/>
      <c r="O240" s="1318"/>
      <c r="P240" s="1318"/>
      <c r="Q240" s="1318"/>
      <c r="R240" s="1318"/>
      <c r="S240" s="1318"/>
      <c r="T240" s="1318"/>
      <c r="U240" s="1318"/>
      <c r="V240" s="1318"/>
      <c r="W240" s="1318"/>
      <c r="X240" s="1319"/>
      <c r="Y240" s="65"/>
    </row>
    <row r="241" spans="1:25">
      <c r="A241" s="66"/>
      <c r="B241" s="1355"/>
      <c r="C241" s="1356"/>
      <c r="D241" s="1356"/>
      <c r="E241" s="1356"/>
      <c r="F241" s="1356"/>
      <c r="G241" s="1357"/>
      <c r="H241" s="88"/>
      <c r="I241" s="89"/>
      <c r="J241" s="1318"/>
      <c r="K241" s="1318"/>
      <c r="L241" s="1318"/>
      <c r="M241" s="1318"/>
      <c r="N241" s="1318"/>
      <c r="O241" s="1318"/>
      <c r="P241" s="1318"/>
      <c r="Q241" s="1318"/>
      <c r="R241" s="1318"/>
      <c r="S241" s="1318"/>
      <c r="T241" s="1318"/>
      <c r="U241" s="1318"/>
      <c r="V241" s="1318"/>
      <c r="W241" s="1318"/>
      <c r="X241" s="1319"/>
      <c r="Y241" s="65"/>
    </row>
    <row r="242" spans="1:25">
      <c r="A242" s="66"/>
      <c r="B242" s="1355"/>
      <c r="C242" s="1356"/>
      <c r="D242" s="1356"/>
      <c r="E242" s="1356"/>
      <c r="F242" s="1356"/>
      <c r="G242" s="1357"/>
      <c r="H242" s="88"/>
      <c r="I242" s="89" t="s">
        <v>8</v>
      </c>
      <c r="J242" s="1318" t="s">
        <v>341</v>
      </c>
      <c r="K242" s="1318"/>
      <c r="L242" s="1318"/>
      <c r="M242" s="1318"/>
      <c r="N242" s="1318"/>
      <c r="O242" s="1318"/>
      <c r="P242" s="1318"/>
      <c r="Q242" s="1318"/>
      <c r="R242" s="1318"/>
      <c r="S242" s="1318"/>
      <c r="T242" s="1318"/>
      <c r="U242" s="1318"/>
      <c r="V242" s="1318"/>
      <c r="W242" s="1318"/>
      <c r="X242" s="1319"/>
      <c r="Y242" s="65"/>
    </row>
    <row r="243" spans="1:25">
      <c r="A243" s="66"/>
      <c r="B243" s="1358"/>
      <c r="C243" s="1359"/>
      <c r="D243" s="1359"/>
      <c r="E243" s="1359"/>
      <c r="F243" s="1359"/>
      <c r="G243" s="1360"/>
      <c r="H243" s="90"/>
      <c r="I243" s="91"/>
      <c r="J243" s="1320"/>
      <c r="K243" s="1320"/>
      <c r="L243" s="1320"/>
      <c r="M243" s="1320"/>
      <c r="N243" s="1320"/>
      <c r="O243" s="1320"/>
      <c r="P243" s="1320"/>
      <c r="Q243" s="1320"/>
      <c r="R243" s="1320"/>
      <c r="S243" s="1320"/>
      <c r="T243" s="1320"/>
      <c r="U243" s="1320"/>
      <c r="V243" s="1320"/>
      <c r="W243" s="1320"/>
      <c r="X243" s="1321"/>
      <c r="Y243" s="65"/>
    </row>
    <row r="244" spans="1:25">
      <c r="A244" s="66"/>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5"/>
    </row>
    <row r="245" spans="1:25">
      <c r="A245" s="62" t="s">
        <v>342</v>
      </c>
      <c r="B245" s="63" t="s">
        <v>343</v>
      </c>
      <c r="C245" s="64"/>
      <c r="D245" s="64"/>
      <c r="E245" s="64"/>
      <c r="F245" s="64"/>
      <c r="G245" s="64"/>
      <c r="H245" s="64"/>
      <c r="I245" s="64"/>
      <c r="J245" s="64"/>
      <c r="K245" s="64"/>
      <c r="L245" s="64"/>
      <c r="M245" s="64"/>
      <c r="N245" s="64"/>
      <c r="O245" s="64"/>
      <c r="P245" s="64"/>
      <c r="Q245" s="64"/>
      <c r="R245" s="64"/>
      <c r="S245" s="64"/>
      <c r="T245" s="64"/>
      <c r="U245" s="64"/>
      <c r="V245" s="64"/>
      <c r="W245" s="64"/>
      <c r="X245" s="64"/>
      <c r="Y245" s="65"/>
    </row>
    <row r="246" spans="1:25">
      <c r="A246" s="66"/>
      <c r="B246" s="1361" t="s">
        <v>195</v>
      </c>
      <c r="C246" s="1361"/>
      <c r="D246" s="1361"/>
      <c r="E246" s="1361"/>
      <c r="F246" s="1361"/>
      <c r="G246" s="1361"/>
      <c r="H246" s="1361" t="s">
        <v>196</v>
      </c>
      <c r="I246" s="1361"/>
      <c r="J246" s="1361"/>
      <c r="K246" s="1361"/>
      <c r="L246" s="1361"/>
      <c r="M246" s="1361"/>
      <c r="N246" s="1361"/>
      <c r="O246" s="1361"/>
      <c r="P246" s="1361"/>
      <c r="Q246" s="1361"/>
      <c r="R246" s="1361"/>
      <c r="S246" s="1361"/>
      <c r="T246" s="1361"/>
      <c r="U246" s="1361"/>
      <c r="V246" s="1361"/>
      <c r="W246" s="1361"/>
      <c r="X246" s="1361"/>
      <c r="Y246" s="65"/>
    </row>
    <row r="247" spans="1:25">
      <c r="A247" s="66"/>
      <c r="B247" s="1326" t="s">
        <v>344</v>
      </c>
      <c r="C247" s="1327"/>
      <c r="D247" s="1327"/>
      <c r="E247" s="1327"/>
      <c r="F247" s="1327"/>
      <c r="G247" s="1328"/>
      <c r="H247" s="1342" t="s">
        <v>345</v>
      </c>
      <c r="I247" s="1343"/>
      <c r="J247" s="1343"/>
      <c r="K247" s="1343"/>
      <c r="L247" s="1343"/>
      <c r="M247" s="1343"/>
      <c r="N247" s="1343"/>
      <c r="O247" s="1343"/>
      <c r="P247" s="1343"/>
      <c r="Q247" s="1343"/>
      <c r="R247" s="1343"/>
      <c r="S247" s="1343"/>
      <c r="T247" s="1343"/>
      <c r="U247" s="1343"/>
      <c r="V247" s="1343"/>
      <c r="W247" s="1343"/>
      <c r="X247" s="1344"/>
      <c r="Y247" s="65"/>
    </row>
    <row r="248" spans="1:25">
      <c r="A248" s="66"/>
      <c r="B248" s="1332"/>
      <c r="C248" s="1333"/>
      <c r="D248" s="1333"/>
      <c r="E248" s="1333"/>
      <c r="F248" s="1333"/>
      <c r="G248" s="1334"/>
      <c r="H248" s="1345"/>
      <c r="I248" s="1346"/>
      <c r="J248" s="1346"/>
      <c r="K248" s="1346"/>
      <c r="L248" s="1346"/>
      <c r="M248" s="1346"/>
      <c r="N248" s="1346"/>
      <c r="O248" s="1346"/>
      <c r="P248" s="1346"/>
      <c r="Q248" s="1346"/>
      <c r="R248" s="1346"/>
      <c r="S248" s="1346"/>
      <c r="T248" s="1346"/>
      <c r="U248" s="1346"/>
      <c r="V248" s="1346"/>
      <c r="W248" s="1346"/>
      <c r="X248" s="1347"/>
      <c r="Y248" s="65"/>
    </row>
    <row r="249" spans="1:25">
      <c r="A249" s="66"/>
      <c r="B249" s="1324" t="s">
        <v>346</v>
      </c>
      <c r="C249" s="1324"/>
      <c r="D249" s="1324"/>
      <c r="E249" s="1324"/>
      <c r="F249" s="1324"/>
      <c r="G249" s="1324"/>
      <c r="H249" s="1348" t="s">
        <v>347</v>
      </c>
      <c r="I249" s="1348"/>
      <c r="J249" s="1348"/>
      <c r="K249" s="1348"/>
      <c r="L249" s="1348"/>
      <c r="M249" s="1348"/>
      <c r="N249" s="1348"/>
      <c r="O249" s="1348"/>
      <c r="P249" s="1348"/>
      <c r="Q249" s="1348"/>
      <c r="R249" s="1348"/>
      <c r="S249" s="1348"/>
      <c r="T249" s="1348"/>
      <c r="U249" s="1348"/>
      <c r="V249" s="1348"/>
      <c r="W249" s="1348"/>
      <c r="X249" s="1348"/>
      <c r="Y249" s="65"/>
    </row>
    <row r="250" spans="1:25">
      <c r="A250" s="66"/>
      <c r="B250" s="1324"/>
      <c r="C250" s="1324"/>
      <c r="D250" s="1324"/>
      <c r="E250" s="1324"/>
      <c r="F250" s="1324"/>
      <c r="G250" s="1324"/>
      <c r="H250" s="1348"/>
      <c r="I250" s="1348"/>
      <c r="J250" s="1348"/>
      <c r="K250" s="1348"/>
      <c r="L250" s="1348"/>
      <c r="M250" s="1348"/>
      <c r="N250" s="1348"/>
      <c r="O250" s="1348"/>
      <c r="P250" s="1348"/>
      <c r="Q250" s="1348"/>
      <c r="R250" s="1348"/>
      <c r="S250" s="1348"/>
      <c r="T250" s="1348"/>
      <c r="U250" s="1348"/>
      <c r="V250" s="1348"/>
      <c r="W250" s="1348"/>
      <c r="X250" s="1348"/>
      <c r="Y250" s="65"/>
    </row>
    <row r="251" spans="1:25">
      <c r="A251" s="66"/>
      <c r="B251" s="1349" t="s">
        <v>348</v>
      </c>
      <c r="C251" s="1349"/>
      <c r="D251" s="1349"/>
      <c r="E251" s="1349"/>
      <c r="F251" s="1349"/>
      <c r="G251" s="1350"/>
      <c r="H251" s="1317" t="s">
        <v>349</v>
      </c>
      <c r="I251" s="1318"/>
      <c r="J251" s="1318"/>
      <c r="K251" s="1318"/>
      <c r="L251" s="1318"/>
      <c r="M251" s="1318"/>
      <c r="N251" s="1318"/>
      <c r="O251" s="1318"/>
      <c r="P251" s="1318"/>
      <c r="Q251" s="1318"/>
      <c r="R251" s="1318"/>
      <c r="S251" s="1318"/>
      <c r="T251" s="1318"/>
      <c r="U251" s="1318"/>
      <c r="V251" s="1318"/>
      <c r="W251" s="1318"/>
      <c r="X251" s="1319"/>
      <c r="Y251" s="65"/>
    </row>
    <row r="252" spans="1:25">
      <c r="A252" s="66"/>
      <c r="B252" s="1313"/>
      <c r="C252" s="1313"/>
      <c r="D252" s="1313"/>
      <c r="E252" s="1313"/>
      <c r="F252" s="1313"/>
      <c r="G252" s="1351"/>
      <c r="H252" s="1317"/>
      <c r="I252" s="1318"/>
      <c r="J252" s="1318"/>
      <c r="K252" s="1318"/>
      <c r="L252" s="1318"/>
      <c r="M252" s="1318"/>
      <c r="N252" s="1318"/>
      <c r="O252" s="1318"/>
      <c r="P252" s="1318"/>
      <c r="Q252" s="1318"/>
      <c r="R252" s="1318"/>
      <c r="S252" s="1318"/>
      <c r="T252" s="1318"/>
      <c r="U252" s="1318"/>
      <c r="V252" s="1318"/>
      <c r="W252" s="1318"/>
      <c r="X252" s="1319"/>
      <c r="Y252" s="65"/>
    </row>
    <row r="253" spans="1:25">
      <c r="A253" s="66"/>
      <c r="B253" s="1313"/>
      <c r="C253" s="1313"/>
      <c r="D253" s="1313"/>
      <c r="E253" s="1313"/>
      <c r="F253" s="1313"/>
      <c r="G253" s="1351"/>
      <c r="H253" s="88"/>
      <c r="I253" s="89"/>
      <c r="J253" s="1318"/>
      <c r="K253" s="1318"/>
      <c r="L253" s="1318"/>
      <c r="M253" s="1318"/>
      <c r="N253" s="1318"/>
      <c r="O253" s="1318"/>
      <c r="P253" s="1318"/>
      <c r="Q253" s="1318"/>
      <c r="R253" s="1318"/>
      <c r="S253" s="1318"/>
      <c r="T253" s="1318"/>
      <c r="U253" s="1318"/>
      <c r="V253" s="1318"/>
      <c r="W253" s="1318"/>
      <c r="X253" s="1319"/>
      <c r="Y253" s="65"/>
    </row>
    <row r="254" spans="1:25">
      <c r="A254" s="66"/>
      <c r="B254" s="1313"/>
      <c r="C254" s="1313"/>
      <c r="D254" s="1313"/>
      <c r="E254" s="1313"/>
      <c r="F254" s="1313"/>
      <c r="G254" s="1351"/>
      <c r="H254" s="88"/>
      <c r="I254" s="89"/>
      <c r="J254" s="1318"/>
      <c r="K254" s="1318"/>
      <c r="L254" s="1318"/>
      <c r="M254" s="1318"/>
      <c r="N254" s="1318"/>
      <c r="O254" s="1318"/>
      <c r="P254" s="1318"/>
      <c r="Q254" s="1318"/>
      <c r="R254" s="1318"/>
      <c r="S254" s="1318"/>
      <c r="T254" s="1318"/>
      <c r="U254" s="1318"/>
      <c r="V254" s="1318"/>
      <c r="W254" s="1318"/>
      <c r="X254" s="1319"/>
      <c r="Y254" s="65"/>
    </row>
    <row r="255" spans="1:25">
      <c r="A255" s="66"/>
      <c r="B255" s="1313"/>
      <c r="C255" s="1313"/>
      <c r="D255" s="1313"/>
      <c r="E255" s="1313"/>
      <c r="F255" s="1313"/>
      <c r="G255" s="1351"/>
      <c r="H255" s="90"/>
      <c r="I255" s="91"/>
      <c r="J255" s="1320"/>
      <c r="K255" s="1320"/>
      <c r="L255" s="1320"/>
      <c r="M255" s="1320"/>
      <c r="N255" s="1320"/>
      <c r="O255" s="1320"/>
      <c r="P255" s="1320"/>
      <c r="Q255" s="1320"/>
      <c r="R255" s="1320"/>
      <c r="S255" s="1320"/>
      <c r="T255" s="1320"/>
      <c r="U255" s="1320"/>
      <c r="V255" s="1320"/>
      <c r="W255" s="1320"/>
      <c r="X255" s="1321"/>
      <c r="Y255" s="65"/>
    </row>
    <row r="256" spans="1:25">
      <c r="A256" s="66"/>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5"/>
    </row>
    <row r="257" spans="1:25">
      <c r="A257" s="66"/>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5"/>
    </row>
    <row r="258" spans="1:25">
      <c r="A258" s="66"/>
      <c r="B258" s="64"/>
      <c r="C258" s="64"/>
      <c r="D258" s="64"/>
      <c r="E258" s="64"/>
      <c r="F258" s="64"/>
      <c r="G258" s="64"/>
      <c r="H258" s="64"/>
      <c r="I258" s="64"/>
      <c r="J258" s="64"/>
      <c r="K258" s="64"/>
      <c r="L258" s="96"/>
      <c r="M258" s="64"/>
      <c r="N258" s="64"/>
      <c r="O258" s="64"/>
      <c r="P258" s="64"/>
      <c r="Q258" s="64"/>
      <c r="R258" s="64"/>
      <c r="S258" s="64"/>
      <c r="T258" s="64"/>
      <c r="U258" s="64"/>
      <c r="V258" s="64"/>
      <c r="W258" s="64"/>
      <c r="X258" s="64"/>
      <c r="Y258" s="65"/>
    </row>
    <row r="259" spans="1:25">
      <c r="A259" s="66"/>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5"/>
    </row>
    <row r="260" spans="1:25">
      <c r="A260" s="66"/>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5"/>
    </row>
    <row r="261" spans="1:25">
      <c r="A261" s="66"/>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5"/>
    </row>
    <row r="262" spans="1:25">
      <c r="A262" s="62" t="s">
        <v>350</v>
      </c>
      <c r="B262" s="63" t="s">
        <v>351</v>
      </c>
      <c r="C262" s="64"/>
      <c r="D262" s="64"/>
      <c r="E262" s="64"/>
      <c r="F262" s="64"/>
      <c r="G262" s="64"/>
      <c r="H262" s="64"/>
      <c r="I262" s="64"/>
      <c r="J262" s="64"/>
      <c r="K262" s="64"/>
      <c r="L262" s="64"/>
      <c r="M262" s="64"/>
      <c r="N262" s="64"/>
      <c r="O262" s="64"/>
      <c r="P262" s="64"/>
      <c r="Q262" s="64"/>
      <c r="R262" s="64"/>
      <c r="S262" s="64"/>
      <c r="T262" s="64"/>
      <c r="U262" s="64"/>
      <c r="V262" s="64"/>
      <c r="W262" s="64"/>
      <c r="X262" s="64"/>
      <c r="Y262" s="65"/>
    </row>
    <row r="263" spans="1:25">
      <c r="A263" s="66"/>
      <c r="B263" s="1339" t="s">
        <v>196</v>
      </c>
      <c r="C263" s="1340"/>
      <c r="D263" s="1340"/>
      <c r="E263" s="1340"/>
      <c r="F263" s="1340"/>
      <c r="G263" s="1340"/>
      <c r="H263" s="1340"/>
      <c r="I263" s="1340"/>
      <c r="J263" s="1340"/>
      <c r="K263" s="1340"/>
      <c r="L263" s="1340"/>
      <c r="M263" s="1340"/>
      <c r="N263" s="1340"/>
      <c r="O263" s="1340"/>
      <c r="P263" s="1340"/>
      <c r="Q263" s="1340"/>
      <c r="R263" s="1340"/>
      <c r="S263" s="1340"/>
      <c r="T263" s="1340"/>
      <c r="U263" s="1340"/>
      <c r="V263" s="1340"/>
      <c r="W263" s="1340"/>
      <c r="X263" s="1341"/>
      <c r="Y263" s="65"/>
    </row>
    <row r="264" spans="1:25">
      <c r="A264" s="66"/>
      <c r="B264" s="1314" t="s">
        <v>352</v>
      </c>
      <c r="C264" s="1315"/>
      <c r="D264" s="1315"/>
      <c r="E264" s="1315"/>
      <c r="F264" s="1315"/>
      <c r="G264" s="1315"/>
      <c r="H264" s="1315"/>
      <c r="I264" s="1315"/>
      <c r="J264" s="1315"/>
      <c r="K264" s="1315"/>
      <c r="L264" s="1315"/>
      <c r="M264" s="1315"/>
      <c r="N264" s="1315"/>
      <c r="O264" s="1315"/>
      <c r="P264" s="1315"/>
      <c r="Q264" s="1315"/>
      <c r="R264" s="1315"/>
      <c r="S264" s="1315"/>
      <c r="T264" s="1315"/>
      <c r="U264" s="1315"/>
      <c r="V264" s="1315"/>
      <c r="W264" s="1315"/>
      <c r="X264" s="1316"/>
      <c r="Y264" s="65"/>
    </row>
    <row r="265" spans="1:25">
      <c r="A265" s="66"/>
      <c r="B265" s="88"/>
      <c r="C265" s="89" t="s">
        <v>8</v>
      </c>
      <c r="D265" s="1318" t="s">
        <v>353</v>
      </c>
      <c r="E265" s="1318"/>
      <c r="F265" s="1318"/>
      <c r="G265" s="1318"/>
      <c r="H265" s="1318"/>
      <c r="I265" s="1318"/>
      <c r="J265" s="1318"/>
      <c r="K265" s="1318"/>
      <c r="L265" s="1318"/>
      <c r="M265" s="1318"/>
      <c r="N265" s="1318"/>
      <c r="O265" s="1318"/>
      <c r="P265" s="1318"/>
      <c r="Q265" s="1318"/>
      <c r="R265" s="1318"/>
      <c r="S265" s="1318"/>
      <c r="T265" s="1318"/>
      <c r="U265" s="1318"/>
      <c r="V265" s="1318"/>
      <c r="W265" s="1318"/>
      <c r="X265" s="1319"/>
      <c r="Y265" s="65"/>
    </row>
    <row r="266" spans="1:25">
      <c r="A266" s="66"/>
      <c r="B266" s="88"/>
      <c r="C266" s="89"/>
      <c r="D266" s="1318" t="s">
        <v>354</v>
      </c>
      <c r="E266" s="1318"/>
      <c r="F266" s="1318"/>
      <c r="G266" s="1318"/>
      <c r="H266" s="1318"/>
      <c r="I266" s="1318"/>
      <c r="J266" s="1318"/>
      <c r="K266" s="1318"/>
      <c r="L266" s="1318"/>
      <c r="M266" s="1318"/>
      <c r="N266" s="1318"/>
      <c r="O266" s="1318"/>
      <c r="P266" s="1318"/>
      <c r="Q266" s="1318"/>
      <c r="R266" s="1318"/>
      <c r="S266" s="1318"/>
      <c r="T266" s="1318"/>
      <c r="U266" s="1318"/>
      <c r="V266" s="1318"/>
      <c r="W266" s="1318"/>
      <c r="X266" s="1319"/>
      <c r="Y266" s="65"/>
    </row>
    <row r="267" spans="1:25">
      <c r="A267" s="66"/>
      <c r="B267" s="88"/>
      <c r="C267" s="89"/>
      <c r="D267" s="1318"/>
      <c r="E267" s="1318"/>
      <c r="F267" s="1318"/>
      <c r="G267" s="1318"/>
      <c r="H267" s="1318"/>
      <c r="I267" s="1318"/>
      <c r="J267" s="1318"/>
      <c r="K267" s="1318"/>
      <c r="L267" s="1318"/>
      <c r="M267" s="1318"/>
      <c r="N267" s="1318"/>
      <c r="O267" s="1318"/>
      <c r="P267" s="1318"/>
      <c r="Q267" s="1318"/>
      <c r="R267" s="1318"/>
      <c r="S267" s="1318"/>
      <c r="T267" s="1318"/>
      <c r="U267" s="1318"/>
      <c r="V267" s="1318"/>
      <c r="W267" s="1318"/>
      <c r="X267" s="1319"/>
      <c r="Y267" s="65"/>
    </row>
    <row r="268" spans="1:25">
      <c r="A268" s="66"/>
      <c r="B268" s="88"/>
      <c r="C268" s="89"/>
      <c r="D268" s="1318"/>
      <c r="E268" s="1318"/>
      <c r="F268" s="1318"/>
      <c r="G268" s="1318"/>
      <c r="H268" s="1318"/>
      <c r="I268" s="1318"/>
      <c r="J268" s="1318"/>
      <c r="K268" s="1318"/>
      <c r="L268" s="1318"/>
      <c r="M268" s="1318"/>
      <c r="N268" s="1318"/>
      <c r="O268" s="1318"/>
      <c r="P268" s="1318"/>
      <c r="Q268" s="1318"/>
      <c r="R268" s="1318"/>
      <c r="S268" s="1318"/>
      <c r="T268" s="1318"/>
      <c r="U268" s="1318"/>
      <c r="V268" s="1318"/>
      <c r="W268" s="1318"/>
      <c r="X268" s="1319"/>
      <c r="Y268" s="65"/>
    </row>
    <row r="269" spans="1:25">
      <c r="A269" s="66"/>
      <c r="B269" s="88"/>
      <c r="C269" s="89"/>
      <c r="D269" s="1318"/>
      <c r="E269" s="1318"/>
      <c r="F269" s="1318"/>
      <c r="G269" s="1318"/>
      <c r="H269" s="1318"/>
      <c r="I269" s="1318"/>
      <c r="J269" s="1318"/>
      <c r="K269" s="1318"/>
      <c r="L269" s="1318"/>
      <c r="M269" s="1318"/>
      <c r="N269" s="1318"/>
      <c r="O269" s="1318"/>
      <c r="P269" s="1318"/>
      <c r="Q269" s="1318"/>
      <c r="R269" s="1318"/>
      <c r="S269" s="1318"/>
      <c r="T269" s="1318"/>
      <c r="U269" s="1318"/>
      <c r="V269" s="1318"/>
      <c r="W269" s="1318"/>
      <c r="X269" s="1319"/>
      <c r="Y269" s="65"/>
    </row>
    <row r="270" spans="1:25">
      <c r="A270" s="66"/>
      <c r="B270" s="88"/>
      <c r="C270" s="89"/>
      <c r="D270" s="1318"/>
      <c r="E270" s="1318"/>
      <c r="F270" s="1318"/>
      <c r="G270" s="1318"/>
      <c r="H270" s="1318"/>
      <c r="I270" s="1318"/>
      <c r="J270" s="1318"/>
      <c r="K270" s="1318"/>
      <c r="L270" s="1318"/>
      <c r="M270" s="1318"/>
      <c r="N270" s="1318"/>
      <c r="O270" s="1318"/>
      <c r="P270" s="1318"/>
      <c r="Q270" s="1318"/>
      <c r="R270" s="1318"/>
      <c r="S270" s="1318"/>
      <c r="T270" s="1318"/>
      <c r="U270" s="1318"/>
      <c r="V270" s="1318"/>
      <c r="W270" s="1318"/>
      <c r="X270" s="1319"/>
      <c r="Y270" s="65"/>
    </row>
    <row r="271" spans="1:25">
      <c r="A271" s="66"/>
      <c r="B271" s="88"/>
      <c r="C271" s="89"/>
      <c r="D271" s="1318"/>
      <c r="E271" s="1318"/>
      <c r="F271" s="1318"/>
      <c r="G271" s="1318"/>
      <c r="H271" s="1318"/>
      <c r="I271" s="1318"/>
      <c r="J271" s="1318"/>
      <c r="K271" s="1318"/>
      <c r="L271" s="1318"/>
      <c r="M271" s="1318"/>
      <c r="N271" s="1318"/>
      <c r="O271" s="1318"/>
      <c r="P271" s="1318"/>
      <c r="Q271" s="1318"/>
      <c r="R271" s="1318"/>
      <c r="S271" s="1318"/>
      <c r="T271" s="1318"/>
      <c r="U271" s="1318"/>
      <c r="V271" s="1318"/>
      <c r="W271" s="1318"/>
      <c r="X271" s="1319"/>
      <c r="Y271" s="65"/>
    </row>
    <row r="272" spans="1:25">
      <c r="A272" s="66"/>
      <c r="B272" s="90"/>
      <c r="C272" s="91"/>
      <c r="D272" s="1320"/>
      <c r="E272" s="1320"/>
      <c r="F272" s="1320"/>
      <c r="G272" s="1320"/>
      <c r="H272" s="1320"/>
      <c r="I272" s="1320"/>
      <c r="J272" s="1320"/>
      <c r="K272" s="1320"/>
      <c r="L272" s="1320"/>
      <c r="M272" s="1320"/>
      <c r="N272" s="1320"/>
      <c r="O272" s="1320"/>
      <c r="P272" s="1320"/>
      <c r="Q272" s="1320"/>
      <c r="R272" s="1320"/>
      <c r="S272" s="1320"/>
      <c r="T272" s="1320"/>
      <c r="U272" s="1320"/>
      <c r="V272" s="1320"/>
      <c r="W272" s="1320"/>
      <c r="X272" s="1321"/>
      <c r="Y272" s="65"/>
    </row>
    <row r="273" spans="1:25">
      <c r="A273" s="66"/>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5"/>
    </row>
    <row r="274" spans="1:25">
      <c r="A274" s="62" t="s">
        <v>355</v>
      </c>
      <c r="B274" s="63" t="s">
        <v>356</v>
      </c>
      <c r="C274" s="64"/>
      <c r="D274" s="64"/>
      <c r="E274" s="64"/>
      <c r="F274" s="64"/>
      <c r="G274" s="64"/>
      <c r="H274" s="64"/>
      <c r="I274" s="64"/>
      <c r="J274" s="64"/>
      <c r="K274" s="64"/>
      <c r="L274" s="64"/>
      <c r="M274" s="64"/>
      <c r="N274" s="64"/>
      <c r="O274" s="64"/>
      <c r="P274" s="64"/>
      <c r="Q274" s="64"/>
      <c r="R274" s="64"/>
      <c r="S274" s="64"/>
      <c r="T274" s="64"/>
      <c r="U274" s="64"/>
      <c r="V274" s="64"/>
      <c r="W274" s="64"/>
      <c r="X274" s="64"/>
      <c r="Y274" s="65"/>
    </row>
    <row r="275" spans="1:25">
      <c r="A275" s="66"/>
      <c r="B275" s="1339" t="s">
        <v>196</v>
      </c>
      <c r="C275" s="1340"/>
      <c r="D275" s="1340"/>
      <c r="E275" s="1340"/>
      <c r="F275" s="1340"/>
      <c r="G275" s="1340"/>
      <c r="H275" s="1340"/>
      <c r="I275" s="1340"/>
      <c r="J275" s="1340"/>
      <c r="K275" s="1340"/>
      <c r="L275" s="1340"/>
      <c r="M275" s="1340"/>
      <c r="N275" s="1340"/>
      <c r="O275" s="1340"/>
      <c r="P275" s="1340"/>
      <c r="Q275" s="1340"/>
      <c r="R275" s="1340"/>
      <c r="S275" s="1340"/>
      <c r="T275" s="1340"/>
      <c r="U275" s="1340"/>
      <c r="V275" s="1340"/>
      <c r="W275" s="1340"/>
      <c r="X275" s="1341"/>
      <c r="Y275" s="65"/>
    </row>
    <row r="276" spans="1:25">
      <c r="A276" s="66"/>
      <c r="B276" s="1314" t="s">
        <v>357</v>
      </c>
      <c r="C276" s="1315"/>
      <c r="D276" s="1315"/>
      <c r="E276" s="1315"/>
      <c r="F276" s="1315"/>
      <c r="G276" s="1315"/>
      <c r="H276" s="1315"/>
      <c r="I276" s="1315"/>
      <c r="J276" s="1315"/>
      <c r="K276" s="1315"/>
      <c r="L276" s="1315"/>
      <c r="M276" s="1315"/>
      <c r="N276" s="1315"/>
      <c r="O276" s="1315"/>
      <c r="P276" s="1315"/>
      <c r="Q276" s="1315"/>
      <c r="R276" s="1315"/>
      <c r="S276" s="1315"/>
      <c r="T276" s="1315"/>
      <c r="U276" s="1315"/>
      <c r="V276" s="1315"/>
      <c r="W276" s="1315"/>
      <c r="X276" s="1316"/>
      <c r="Y276" s="65"/>
    </row>
    <row r="277" spans="1:25">
      <c r="A277" s="66"/>
      <c r="B277" s="88"/>
      <c r="C277" s="89" t="s">
        <v>8</v>
      </c>
      <c r="D277" s="1318" t="s">
        <v>358</v>
      </c>
      <c r="E277" s="1318"/>
      <c r="F277" s="1318"/>
      <c r="G277" s="1318"/>
      <c r="H277" s="1318"/>
      <c r="I277" s="1318"/>
      <c r="J277" s="1318"/>
      <c r="K277" s="1318"/>
      <c r="L277" s="1318"/>
      <c r="M277" s="1318"/>
      <c r="N277" s="1318"/>
      <c r="O277" s="1318"/>
      <c r="P277" s="1318"/>
      <c r="Q277" s="1318"/>
      <c r="R277" s="1318"/>
      <c r="S277" s="1318"/>
      <c r="T277" s="1318"/>
      <c r="U277" s="1318"/>
      <c r="V277" s="1318"/>
      <c r="W277" s="1318"/>
      <c r="X277" s="1319"/>
      <c r="Y277" s="65"/>
    </row>
    <row r="278" spans="1:25">
      <c r="A278" s="66"/>
      <c r="B278" s="88"/>
      <c r="C278" s="89" t="s">
        <v>8</v>
      </c>
      <c r="D278" s="1318" t="s">
        <v>359</v>
      </c>
      <c r="E278" s="1318"/>
      <c r="F278" s="1318"/>
      <c r="G278" s="1318"/>
      <c r="H278" s="1318"/>
      <c r="I278" s="1318"/>
      <c r="J278" s="1318"/>
      <c r="K278" s="1318"/>
      <c r="L278" s="1318"/>
      <c r="M278" s="1318"/>
      <c r="N278" s="1318"/>
      <c r="O278" s="1318"/>
      <c r="P278" s="1318"/>
      <c r="Q278" s="1318"/>
      <c r="R278" s="1318"/>
      <c r="S278" s="1318"/>
      <c r="T278" s="1318"/>
      <c r="U278" s="1318"/>
      <c r="V278" s="1318"/>
      <c r="W278" s="1318"/>
      <c r="X278" s="1319"/>
      <c r="Y278" s="65"/>
    </row>
    <row r="279" spans="1:25">
      <c r="A279" s="66"/>
      <c r="B279" s="88"/>
      <c r="C279" s="89"/>
      <c r="D279" s="1318"/>
      <c r="E279" s="1318"/>
      <c r="F279" s="1318"/>
      <c r="G279" s="1318"/>
      <c r="H279" s="1318"/>
      <c r="I279" s="1318"/>
      <c r="J279" s="1318"/>
      <c r="K279" s="1318"/>
      <c r="L279" s="1318"/>
      <c r="M279" s="1318"/>
      <c r="N279" s="1318"/>
      <c r="O279" s="1318"/>
      <c r="P279" s="1318"/>
      <c r="Q279" s="1318"/>
      <c r="R279" s="1318"/>
      <c r="S279" s="1318"/>
      <c r="T279" s="1318"/>
      <c r="U279" s="1318"/>
      <c r="V279" s="1318"/>
      <c r="W279" s="1318"/>
      <c r="X279" s="1319"/>
      <c r="Y279" s="65"/>
    </row>
    <row r="280" spans="1:25">
      <c r="A280" s="66"/>
      <c r="B280" s="88"/>
      <c r="C280" s="89" t="s">
        <v>8</v>
      </c>
      <c r="D280" s="1318" t="s">
        <v>360</v>
      </c>
      <c r="E280" s="1318"/>
      <c r="F280" s="1318"/>
      <c r="G280" s="1318"/>
      <c r="H280" s="1318"/>
      <c r="I280" s="1318"/>
      <c r="J280" s="1318"/>
      <c r="K280" s="1318"/>
      <c r="L280" s="1318"/>
      <c r="M280" s="1318"/>
      <c r="N280" s="1318"/>
      <c r="O280" s="1318"/>
      <c r="P280" s="1318"/>
      <c r="Q280" s="1318"/>
      <c r="R280" s="1318"/>
      <c r="S280" s="1318"/>
      <c r="T280" s="1318"/>
      <c r="U280" s="1318"/>
      <c r="V280" s="1318"/>
      <c r="W280" s="1318"/>
      <c r="X280" s="1319"/>
      <c r="Y280" s="65"/>
    </row>
    <row r="281" spans="1:25">
      <c r="A281" s="66"/>
      <c r="B281" s="88"/>
      <c r="C281" s="89"/>
      <c r="D281" s="1318"/>
      <c r="E281" s="1318"/>
      <c r="F281" s="1318"/>
      <c r="G281" s="1318"/>
      <c r="H281" s="1318"/>
      <c r="I281" s="1318"/>
      <c r="J281" s="1318"/>
      <c r="K281" s="1318"/>
      <c r="L281" s="1318"/>
      <c r="M281" s="1318"/>
      <c r="N281" s="1318"/>
      <c r="O281" s="1318"/>
      <c r="P281" s="1318"/>
      <c r="Q281" s="1318"/>
      <c r="R281" s="1318"/>
      <c r="S281" s="1318"/>
      <c r="T281" s="1318"/>
      <c r="U281" s="1318"/>
      <c r="V281" s="1318"/>
      <c r="W281" s="1318"/>
      <c r="X281" s="1319"/>
      <c r="Y281" s="65"/>
    </row>
    <row r="282" spans="1:25">
      <c r="A282" s="66"/>
      <c r="B282" s="88"/>
      <c r="C282" s="89"/>
      <c r="D282" s="1318"/>
      <c r="E282" s="1318"/>
      <c r="F282" s="1318"/>
      <c r="G282" s="1318"/>
      <c r="H282" s="1318"/>
      <c r="I282" s="1318"/>
      <c r="J282" s="1318"/>
      <c r="K282" s="1318"/>
      <c r="L282" s="1318"/>
      <c r="M282" s="1318"/>
      <c r="N282" s="1318"/>
      <c r="O282" s="1318"/>
      <c r="P282" s="1318"/>
      <c r="Q282" s="1318"/>
      <c r="R282" s="1318"/>
      <c r="S282" s="1318"/>
      <c r="T282" s="1318"/>
      <c r="U282" s="1318"/>
      <c r="V282" s="1318"/>
      <c r="W282" s="1318"/>
      <c r="X282" s="1319"/>
      <c r="Y282" s="65"/>
    </row>
    <row r="283" spans="1:25">
      <c r="A283" s="66"/>
      <c r="B283" s="88"/>
      <c r="C283" s="89"/>
      <c r="D283" s="1318"/>
      <c r="E283" s="1318"/>
      <c r="F283" s="1318"/>
      <c r="G283" s="1318"/>
      <c r="H283" s="1318"/>
      <c r="I283" s="1318"/>
      <c r="J283" s="1318"/>
      <c r="K283" s="1318"/>
      <c r="L283" s="1318"/>
      <c r="M283" s="1318"/>
      <c r="N283" s="1318"/>
      <c r="O283" s="1318"/>
      <c r="P283" s="1318"/>
      <c r="Q283" s="1318"/>
      <c r="R283" s="1318"/>
      <c r="S283" s="1318"/>
      <c r="T283" s="1318"/>
      <c r="U283" s="1318"/>
      <c r="V283" s="1318"/>
      <c r="W283" s="1318"/>
      <c r="X283" s="1319"/>
      <c r="Y283" s="65"/>
    </row>
    <row r="284" spans="1:25">
      <c r="A284" s="66"/>
      <c r="B284" s="90"/>
      <c r="C284" s="92"/>
      <c r="D284" s="1320"/>
      <c r="E284" s="1320"/>
      <c r="F284" s="1320"/>
      <c r="G284" s="1320"/>
      <c r="H284" s="1320"/>
      <c r="I284" s="1320"/>
      <c r="J284" s="1320"/>
      <c r="K284" s="1320"/>
      <c r="L284" s="1320"/>
      <c r="M284" s="1320"/>
      <c r="N284" s="1320"/>
      <c r="O284" s="1320"/>
      <c r="P284" s="1320"/>
      <c r="Q284" s="1320"/>
      <c r="R284" s="1320"/>
      <c r="S284" s="1320"/>
      <c r="T284" s="1320"/>
      <c r="U284" s="1320"/>
      <c r="V284" s="1320"/>
      <c r="W284" s="1320"/>
      <c r="X284" s="1321"/>
      <c r="Y284" s="65"/>
    </row>
    <row r="285" spans="1:25">
      <c r="A285" s="66"/>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5"/>
    </row>
    <row r="286" spans="1:25">
      <c r="A286" s="62" t="s">
        <v>361</v>
      </c>
      <c r="B286" s="63" t="s">
        <v>362</v>
      </c>
      <c r="C286" s="64"/>
      <c r="D286" s="64"/>
      <c r="E286" s="64"/>
      <c r="F286" s="64"/>
      <c r="G286" s="64"/>
      <c r="H286" s="64"/>
      <c r="I286" s="64"/>
      <c r="J286" s="64"/>
      <c r="K286" s="64"/>
      <c r="L286" s="64"/>
      <c r="M286" s="64"/>
      <c r="N286" s="64"/>
      <c r="O286" s="64"/>
      <c r="P286" s="64"/>
      <c r="Q286" s="64"/>
      <c r="R286" s="64"/>
      <c r="S286" s="64"/>
      <c r="T286" s="64"/>
      <c r="U286" s="64"/>
      <c r="V286" s="64"/>
      <c r="W286" s="64"/>
      <c r="X286" s="64"/>
      <c r="Y286" s="65"/>
    </row>
    <row r="287" spans="1:25">
      <c r="A287" s="66"/>
      <c r="B287" s="1336" t="s">
        <v>196</v>
      </c>
      <c r="C287" s="1337"/>
      <c r="D287" s="1337"/>
      <c r="E287" s="1337"/>
      <c r="F287" s="1337"/>
      <c r="G287" s="1337"/>
      <c r="H287" s="1337"/>
      <c r="I287" s="1337"/>
      <c r="J287" s="1337"/>
      <c r="K287" s="1337"/>
      <c r="L287" s="1337"/>
      <c r="M287" s="1337"/>
      <c r="N287" s="1337"/>
      <c r="O287" s="1337"/>
      <c r="P287" s="1337"/>
      <c r="Q287" s="1337"/>
      <c r="R287" s="1337"/>
      <c r="S287" s="1337"/>
      <c r="T287" s="1337"/>
      <c r="U287" s="1337"/>
      <c r="V287" s="1337"/>
      <c r="W287" s="1337"/>
      <c r="X287" s="1338"/>
      <c r="Y287" s="65"/>
    </row>
    <row r="288" spans="1:25">
      <c r="A288" s="66"/>
      <c r="B288" s="1314"/>
      <c r="C288" s="1315"/>
      <c r="D288" s="1315"/>
      <c r="E288" s="1315"/>
      <c r="F288" s="1315"/>
      <c r="G288" s="1315"/>
      <c r="H288" s="1315"/>
      <c r="I288" s="1315"/>
      <c r="J288" s="1315"/>
      <c r="K288" s="1315"/>
      <c r="L288" s="1315"/>
      <c r="M288" s="1315"/>
      <c r="N288" s="1315"/>
      <c r="O288" s="1315"/>
      <c r="P288" s="1315"/>
      <c r="Q288" s="1315"/>
      <c r="R288" s="1315"/>
      <c r="S288" s="1315"/>
      <c r="T288" s="1315"/>
      <c r="U288" s="1315"/>
      <c r="V288" s="1315"/>
      <c r="W288" s="1315"/>
      <c r="X288" s="1316"/>
      <c r="Y288" s="65"/>
    </row>
    <row r="289" spans="1:25">
      <c r="A289" s="66"/>
      <c r="B289" s="88"/>
      <c r="C289" s="89"/>
      <c r="D289" s="1318"/>
      <c r="E289" s="1318"/>
      <c r="F289" s="1318"/>
      <c r="G289" s="1318"/>
      <c r="H289" s="1318"/>
      <c r="I289" s="1318"/>
      <c r="J289" s="1318"/>
      <c r="K289" s="1318"/>
      <c r="L289" s="1318"/>
      <c r="M289" s="1318"/>
      <c r="N289" s="1318"/>
      <c r="O289" s="1318"/>
      <c r="P289" s="1318"/>
      <c r="Q289" s="1318"/>
      <c r="R289" s="1318"/>
      <c r="S289" s="1318"/>
      <c r="T289" s="1318"/>
      <c r="U289" s="1318"/>
      <c r="V289" s="1318"/>
      <c r="W289" s="1318"/>
      <c r="X289" s="1319"/>
      <c r="Y289" s="65"/>
    </row>
    <row r="290" spans="1:25">
      <c r="A290" s="66"/>
      <c r="B290" s="88"/>
      <c r="C290" s="89"/>
      <c r="D290" s="1318"/>
      <c r="E290" s="1318"/>
      <c r="F290" s="1318"/>
      <c r="G290" s="1318"/>
      <c r="H290" s="1318"/>
      <c r="I290" s="1318"/>
      <c r="J290" s="1318"/>
      <c r="K290" s="1318"/>
      <c r="L290" s="1318"/>
      <c r="M290" s="1318"/>
      <c r="N290" s="1318"/>
      <c r="O290" s="1318"/>
      <c r="P290" s="1318"/>
      <c r="Q290" s="1318"/>
      <c r="R290" s="1318"/>
      <c r="S290" s="1318"/>
      <c r="T290" s="1318"/>
      <c r="U290" s="1318"/>
      <c r="V290" s="1318"/>
      <c r="W290" s="1318"/>
      <c r="X290" s="1319"/>
      <c r="Y290" s="65"/>
    </row>
    <row r="291" spans="1:25">
      <c r="A291" s="66"/>
      <c r="B291" s="88"/>
      <c r="C291" s="89"/>
      <c r="D291" s="1318"/>
      <c r="E291" s="1318"/>
      <c r="F291" s="1318"/>
      <c r="G291" s="1318"/>
      <c r="H291" s="1318"/>
      <c r="I291" s="1318"/>
      <c r="J291" s="1318"/>
      <c r="K291" s="1318"/>
      <c r="L291" s="1318"/>
      <c r="M291" s="1318"/>
      <c r="N291" s="1318"/>
      <c r="O291" s="1318"/>
      <c r="P291" s="1318"/>
      <c r="Q291" s="1318"/>
      <c r="R291" s="1318"/>
      <c r="S291" s="1318"/>
      <c r="T291" s="1318"/>
      <c r="U291" s="1318"/>
      <c r="V291" s="1318"/>
      <c r="W291" s="1318"/>
      <c r="X291" s="1319"/>
      <c r="Y291" s="65"/>
    </row>
    <row r="292" spans="1:25">
      <c r="A292" s="66"/>
      <c r="B292" s="90"/>
      <c r="C292" s="91"/>
      <c r="D292" s="1320"/>
      <c r="E292" s="1320"/>
      <c r="F292" s="1320"/>
      <c r="G292" s="1320"/>
      <c r="H292" s="1320"/>
      <c r="I292" s="1320"/>
      <c r="J292" s="1320"/>
      <c r="K292" s="1320"/>
      <c r="L292" s="1320"/>
      <c r="M292" s="1320"/>
      <c r="N292" s="1320"/>
      <c r="O292" s="1320"/>
      <c r="P292" s="1320"/>
      <c r="Q292" s="1320"/>
      <c r="R292" s="1320"/>
      <c r="S292" s="1320"/>
      <c r="T292" s="1320"/>
      <c r="U292" s="1320"/>
      <c r="V292" s="1320"/>
      <c r="W292" s="1320"/>
      <c r="X292" s="1321"/>
      <c r="Y292" s="65"/>
    </row>
    <row r="293" spans="1:25">
      <c r="A293" s="66"/>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5"/>
    </row>
    <row r="294" spans="1:25">
      <c r="A294" s="62" t="s">
        <v>363</v>
      </c>
      <c r="B294" s="63" t="s">
        <v>364</v>
      </c>
      <c r="C294" s="64"/>
      <c r="D294" s="64"/>
      <c r="E294" s="64"/>
      <c r="F294" s="64"/>
      <c r="G294" s="64"/>
      <c r="H294" s="64"/>
      <c r="I294" s="64"/>
      <c r="J294" s="64"/>
      <c r="K294" s="64"/>
      <c r="L294" s="64"/>
      <c r="M294" s="64"/>
      <c r="N294" s="64"/>
      <c r="O294" s="64"/>
      <c r="P294" s="64"/>
      <c r="Q294" s="64"/>
      <c r="R294" s="64"/>
      <c r="S294" s="64"/>
      <c r="T294" s="64"/>
      <c r="U294" s="64"/>
      <c r="V294" s="64"/>
      <c r="W294" s="64"/>
      <c r="X294" s="64"/>
      <c r="Y294" s="65"/>
    </row>
    <row r="295" spans="1:25">
      <c r="A295" s="62"/>
      <c r="B295" s="1335" t="s">
        <v>195</v>
      </c>
      <c r="C295" s="1335"/>
      <c r="D295" s="1335"/>
      <c r="E295" s="1335"/>
      <c r="F295" s="1335"/>
      <c r="G295" s="1335"/>
      <c r="H295" s="1335" t="s">
        <v>196</v>
      </c>
      <c r="I295" s="1335"/>
      <c r="J295" s="1335"/>
      <c r="K295" s="1335"/>
      <c r="L295" s="1335"/>
      <c r="M295" s="1335"/>
      <c r="N295" s="1335"/>
      <c r="O295" s="1335"/>
      <c r="P295" s="1335"/>
      <c r="Q295" s="1335"/>
      <c r="R295" s="1335"/>
      <c r="S295" s="1335"/>
      <c r="T295" s="1335"/>
      <c r="U295" s="1335"/>
      <c r="V295" s="1335"/>
      <c r="W295" s="1335"/>
      <c r="X295" s="1335"/>
      <c r="Y295" s="65"/>
    </row>
    <row r="296" spans="1:25">
      <c r="A296" s="66"/>
      <c r="B296" s="1324" t="s">
        <v>365</v>
      </c>
      <c r="C296" s="1324"/>
      <c r="D296" s="1324"/>
      <c r="E296" s="1324"/>
      <c r="F296" s="1324"/>
      <c r="G296" s="1324"/>
      <c r="H296" s="1325" t="s">
        <v>366</v>
      </c>
      <c r="I296" s="1325"/>
      <c r="J296" s="1325"/>
      <c r="K296" s="1325"/>
      <c r="L296" s="1325"/>
      <c r="M296" s="1325"/>
      <c r="N296" s="1325"/>
      <c r="O296" s="1325"/>
      <c r="P296" s="1325"/>
      <c r="Q296" s="1325"/>
      <c r="R296" s="1325"/>
      <c r="S296" s="1325"/>
      <c r="T296" s="1325"/>
      <c r="U296" s="1325"/>
      <c r="V296" s="1325"/>
      <c r="W296" s="1325"/>
      <c r="X296" s="1325"/>
      <c r="Y296" s="65"/>
    </row>
    <row r="297" spans="1:25">
      <c r="A297" s="66"/>
      <c r="B297" s="1324"/>
      <c r="C297" s="1324"/>
      <c r="D297" s="1324"/>
      <c r="E297" s="1324"/>
      <c r="F297" s="1324"/>
      <c r="G297" s="1324"/>
      <c r="H297" s="1325"/>
      <c r="I297" s="1325"/>
      <c r="J297" s="1325"/>
      <c r="K297" s="1325"/>
      <c r="L297" s="1325"/>
      <c r="M297" s="1325"/>
      <c r="N297" s="1325"/>
      <c r="O297" s="1325"/>
      <c r="P297" s="1325"/>
      <c r="Q297" s="1325"/>
      <c r="R297" s="1325"/>
      <c r="S297" s="1325"/>
      <c r="T297" s="1325"/>
      <c r="U297" s="1325"/>
      <c r="V297" s="1325"/>
      <c r="W297" s="1325"/>
      <c r="X297" s="1325"/>
      <c r="Y297" s="65"/>
    </row>
    <row r="298" spans="1:25">
      <c r="A298" s="66"/>
      <c r="B298" s="1324" t="s">
        <v>367</v>
      </c>
      <c r="C298" s="1324"/>
      <c r="D298" s="1324"/>
      <c r="E298" s="1324"/>
      <c r="F298" s="1324"/>
      <c r="G298" s="1324"/>
      <c r="H298" s="1325" t="s">
        <v>368</v>
      </c>
      <c r="I298" s="1325"/>
      <c r="J298" s="1325"/>
      <c r="K298" s="1325"/>
      <c r="L298" s="1325"/>
      <c r="M298" s="1325"/>
      <c r="N298" s="1325"/>
      <c r="O298" s="1325"/>
      <c r="P298" s="1325"/>
      <c r="Q298" s="1325"/>
      <c r="R298" s="1325"/>
      <c r="S298" s="1325"/>
      <c r="T298" s="1325"/>
      <c r="U298" s="1325"/>
      <c r="V298" s="1325"/>
      <c r="W298" s="1325"/>
      <c r="X298" s="1325"/>
      <c r="Y298" s="65"/>
    </row>
    <row r="299" spans="1:25">
      <c r="A299" s="66"/>
      <c r="B299" s="1324"/>
      <c r="C299" s="1324"/>
      <c r="D299" s="1324"/>
      <c r="E299" s="1324"/>
      <c r="F299" s="1324"/>
      <c r="G299" s="1324"/>
      <c r="H299" s="1325"/>
      <c r="I299" s="1325"/>
      <c r="J299" s="1325"/>
      <c r="K299" s="1325"/>
      <c r="L299" s="1325"/>
      <c r="M299" s="1325"/>
      <c r="N299" s="1325"/>
      <c r="O299" s="1325"/>
      <c r="P299" s="1325"/>
      <c r="Q299" s="1325"/>
      <c r="R299" s="1325"/>
      <c r="S299" s="1325"/>
      <c r="T299" s="1325"/>
      <c r="U299" s="1325"/>
      <c r="V299" s="1325"/>
      <c r="W299" s="1325"/>
      <c r="X299" s="1325"/>
      <c r="Y299" s="65"/>
    </row>
    <row r="300" spans="1:25">
      <c r="A300" s="66"/>
      <c r="B300" s="1326" t="s">
        <v>369</v>
      </c>
      <c r="C300" s="1327"/>
      <c r="D300" s="1327"/>
      <c r="E300" s="1327"/>
      <c r="F300" s="1327"/>
      <c r="G300" s="1328"/>
      <c r="H300" s="1318" t="s">
        <v>370</v>
      </c>
      <c r="I300" s="1318"/>
      <c r="J300" s="1318"/>
      <c r="K300" s="1318"/>
      <c r="L300" s="1318"/>
      <c r="M300" s="1318"/>
      <c r="N300" s="1318"/>
      <c r="O300" s="1318"/>
      <c r="P300" s="1318"/>
      <c r="Q300" s="1318"/>
      <c r="R300" s="1318"/>
      <c r="S300" s="1318"/>
      <c r="T300" s="1318"/>
      <c r="U300" s="1318"/>
      <c r="V300" s="1318"/>
      <c r="W300" s="1318"/>
      <c r="X300" s="1319"/>
      <c r="Y300" s="65"/>
    </row>
    <row r="301" spans="1:25">
      <c r="A301" s="66"/>
      <c r="B301" s="1329"/>
      <c r="C301" s="1330"/>
      <c r="D301" s="1330"/>
      <c r="E301" s="1330"/>
      <c r="F301" s="1330"/>
      <c r="G301" s="1331"/>
      <c r="H301" s="1318"/>
      <c r="I301" s="1318"/>
      <c r="J301" s="1318"/>
      <c r="K301" s="1318"/>
      <c r="L301" s="1318"/>
      <c r="M301" s="1318"/>
      <c r="N301" s="1318"/>
      <c r="O301" s="1318"/>
      <c r="P301" s="1318"/>
      <c r="Q301" s="1318"/>
      <c r="R301" s="1318"/>
      <c r="S301" s="1318"/>
      <c r="T301" s="1318"/>
      <c r="U301" s="1318"/>
      <c r="V301" s="1318"/>
      <c r="W301" s="1318"/>
      <c r="X301" s="1319"/>
      <c r="Y301" s="65"/>
    </row>
    <row r="302" spans="1:25">
      <c r="A302" s="66"/>
      <c r="B302" s="1332"/>
      <c r="C302" s="1333"/>
      <c r="D302" s="1333"/>
      <c r="E302" s="1333"/>
      <c r="F302" s="1333"/>
      <c r="G302" s="1334"/>
      <c r="H302" s="1320"/>
      <c r="I302" s="1320"/>
      <c r="J302" s="1320"/>
      <c r="K302" s="1320"/>
      <c r="L302" s="1320"/>
      <c r="M302" s="1320"/>
      <c r="N302" s="1320"/>
      <c r="O302" s="1320"/>
      <c r="P302" s="1320"/>
      <c r="Q302" s="1320"/>
      <c r="R302" s="1320"/>
      <c r="S302" s="1320"/>
      <c r="T302" s="1320"/>
      <c r="U302" s="1320"/>
      <c r="V302" s="1320"/>
      <c r="W302" s="1320"/>
      <c r="X302" s="1321"/>
      <c r="Y302" s="65"/>
    </row>
    <row r="303" spans="1:25">
      <c r="A303" s="66"/>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5"/>
    </row>
    <row r="304" spans="1:25">
      <c r="A304" s="62" t="s">
        <v>371</v>
      </c>
      <c r="B304" s="63" t="s">
        <v>372</v>
      </c>
      <c r="C304" s="64"/>
      <c r="D304" s="64"/>
      <c r="E304" s="64"/>
      <c r="F304" s="64"/>
      <c r="G304" s="64"/>
      <c r="H304" s="64"/>
      <c r="I304" s="64"/>
      <c r="J304" s="64"/>
      <c r="K304" s="64"/>
      <c r="L304" s="64"/>
      <c r="M304" s="64"/>
      <c r="N304" s="64"/>
      <c r="O304" s="64"/>
      <c r="P304" s="64"/>
      <c r="Q304" s="64"/>
      <c r="R304" s="64"/>
      <c r="S304" s="64"/>
      <c r="T304" s="64"/>
      <c r="U304" s="64"/>
      <c r="V304" s="64"/>
      <c r="W304" s="64"/>
      <c r="X304" s="64"/>
      <c r="Y304" s="65"/>
    </row>
    <row r="305" spans="1:25">
      <c r="A305" s="62"/>
      <c r="B305" s="1335" t="s">
        <v>195</v>
      </c>
      <c r="C305" s="1335"/>
      <c r="D305" s="1335"/>
      <c r="E305" s="1335"/>
      <c r="F305" s="1335"/>
      <c r="G305" s="1335"/>
      <c r="H305" s="1335" t="s">
        <v>196</v>
      </c>
      <c r="I305" s="1335"/>
      <c r="J305" s="1335"/>
      <c r="K305" s="1335"/>
      <c r="L305" s="1335"/>
      <c r="M305" s="1335"/>
      <c r="N305" s="1335"/>
      <c r="O305" s="1335"/>
      <c r="P305" s="1335"/>
      <c r="Q305" s="1335"/>
      <c r="R305" s="1335"/>
      <c r="S305" s="1335"/>
      <c r="T305" s="1335"/>
      <c r="U305" s="1335"/>
      <c r="V305" s="1335"/>
      <c r="W305" s="1335"/>
      <c r="X305" s="1335"/>
      <c r="Y305" s="65"/>
    </row>
    <row r="306" spans="1:25">
      <c r="A306" s="66"/>
      <c r="B306" s="1324" t="s">
        <v>373</v>
      </c>
      <c r="C306" s="1324"/>
      <c r="D306" s="1324"/>
      <c r="E306" s="1324"/>
      <c r="F306" s="1324"/>
      <c r="G306" s="1324"/>
      <c r="H306" s="1325" t="s">
        <v>374</v>
      </c>
      <c r="I306" s="1325"/>
      <c r="J306" s="1325"/>
      <c r="K306" s="1325"/>
      <c r="L306" s="1325"/>
      <c r="M306" s="1325"/>
      <c r="N306" s="1325"/>
      <c r="O306" s="1325"/>
      <c r="P306" s="1325"/>
      <c r="Q306" s="1325"/>
      <c r="R306" s="1325"/>
      <c r="S306" s="1325"/>
      <c r="T306" s="1325"/>
      <c r="U306" s="1325"/>
      <c r="V306" s="1325"/>
      <c r="W306" s="1325"/>
      <c r="X306" s="1325"/>
      <c r="Y306" s="65"/>
    </row>
    <row r="307" spans="1:25">
      <c r="A307" s="66"/>
      <c r="B307" s="1324"/>
      <c r="C307" s="1324"/>
      <c r="D307" s="1324"/>
      <c r="E307" s="1324"/>
      <c r="F307" s="1324"/>
      <c r="G307" s="1324"/>
      <c r="H307" s="1325"/>
      <c r="I307" s="1325"/>
      <c r="J307" s="1325"/>
      <c r="K307" s="1325"/>
      <c r="L307" s="1325"/>
      <c r="M307" s="1325"/>
      <c r="N307" s="1325"/>
      <c r="O307" s="1325"/>
      <c r="P307" s="1325"/>
      <c r="Q307" s="1325"/>
      <c r="R307" s="1325"/>
      <c r="S307" s="1325"/>
      <c r="T307" s="1325"/>
      <c r="U307" s="1325"/>
      <c r="V307" s="1325"/>
      <c r="W307" s="1325"/>
      <c r="X307" s="1325"/>
      <c r="Y307" s="65"/>
    </row>
    <row r="308" spans="1:25">
      <c r="A308" s="66"/>
      <c r="B308" s="1324" t="s">
        <v>375</v>
      </c>
      <c r="C308" s="1324"/>
      <c r="D308" s="1324"/>
      <c r="E308" s="1324"/>
      <c r="F308" s="1324"/>
      <c r="G308" s="1324"/>
      <c r="H308" s="1325" t="s">
        <v>376</v>
      </c>
      <c r="I308" s="1325"/>
      <c r="J308" s="1325"/>
      <c r="K308" s="1325"/>
      <c r="L308" s="1325"/>
      <c r="M308" s="1325"/>
      <c r="N308" s="1325"/>
      <c r="O308" s="1325"/>
      <c r="P308" s="1325"/>
      <c r="Q308" s="1325"/>
      <c r="R308" s="1325"/>
      <c r="S308" s="1325"/>
      <c r="T308" s="1325"/>
      <c r="U308" s="1325"/>
      <c r="V308" s="1325"/>
      <c r="W308" s="1325"/>
      <c r="X308" s="1325"/>
      <c r="Y308" s="65"/>
    </row>
    <row r="309" spans="1:25">
      <c r="A309" s="66"/>
      <c r="B309" s="1324"/>
      <c r="C309" s="1324"/>
      <c r="D309" s="1324"/>
      <c r="E309" s="1324"/>
      <c r="F309" s="1324"/>
      <c r="G309" s="1324"/>
      <c r="H309" s="1325"/>
      <c r="I309" s="1325"/>
      <c r="J309" s="1325"/>
      <c r="K309" s="1325"/>
      <c r="L309" s="1325"/>
      <c r="M309" s="1325"/>
      <c r="N309" s="1325"/>
      <c r="O309" s="1325"/>
      <c r="P309" s="1325"/>
      <c r="Q309" s="1325"/>
      <c r="R309" s="1325"/>
      <c r="S309" s="1325"/>
      <c r="T309" s="1325"/>
      <c r="U309" s="1325"/>
      <c r="V309" s="1325"/>
      <c r="W309" s="1325"/>
      <c r="X309" s="1325"/>
      <c r="Y309" s="65"/>
    </row>
    <row r="310" spans="1:25">
      <c r="A310" s="66"/>
      <c r="B310" s="1313" t="s">
        <v>377</v>
      </c>
      <c r="C310" s="1313"/>
      <c r="D310" s="1313"/>
      <c r="E310" s="1313"/>
      <c r="F310" s="1313"/>
      <c r="G310" s="1313"/>
      <c r="H310" s="1314" t="s">
        <v>378</v>
      </c>
      <c r="I310" s="1315"/>
      <c r="J310" s="1315"/>
      <c r="K310" s="1315"/>
      <c r="L310" s="1315"/>
      <c r="M310" s="1315"/>
      <c r="N310" s="1315"/>
      <c r="O310" s="1315"/>
      <c r="P310" s="1315"/>
      <c r="Q310" s="1315"/>
      <c r="R310" s="1315"/>
      <c r="S310" s="1315"/>
      <c r="T310" s="1315"/>
      <c r="U310" s="1315"/>
      <c r="V310" s="1315"/>
      <c r="W310" s="1315"/>
      <c r="X310" s="1316"/>
      <c r="Y310" s="65"/>
    </row>
    <row r="311" spans="1:25">
      <c r="A311" s="66"/>
      <c r="B311" s="1313"/>
      <c r="C311" s="1313"/>
      <c r="D311" s="1313"/>
      <c r="E311" s="1313"/>
      <c r="F311" s="1313"/>
      <c r="G311" s="1313"/>
      <c r="H311" s="1317"/>
      <c r="I311" s="1318"/>
      <c r="J311" s="1318"/>
      <c r="K311" s="1318"/>
      <c r="L311" s="1318"/>
      <c r="M311" s="1318"/>
      <c r="N311" s="1318"/>
      <c r="O311" s="1318"/>
      <c r="P311" s="1318"/>
      <c r="Q311" s="1318"/>
      <c r="R311" s="1318"/>
      <c r="S311" s="1318"/>
      <c r="T311" s="1318"/>
      <c r="U311" s="1318"/>
      <c r="V311" s="1318"/>
      <c r="W311" s="1318"/>
      <c r="X311" s="1319"/>
      <c r="Y311" s="65"/>
    </row>
    <row r="312" spans="1:25">
      <c r="A312" s="66"/>
      <c r="B312" s="1313"/>
      <c r="C312" s="1313"/>
      <c r="D312" s="1313"/>
      <c r="E312" s="1313"/>
      <c r="F312" s="1313"/>
      <c r="G312" s="1313"/>
      <c r="H312" s="88"/>
      <c r="I312" s="89" t="s">
        <v>8</v>
      </c>
      <c r="J312" s="1318" t="s">
        <v>379</v>
      </c>
      <c r="K312" s="1318"/>
      <c r="L312" s="1318"/>
      <c r="M312" s="1318"/>
      <c r="N312" s="1318"/>
      <c r="O312" s="1318"/>
      <c r="P312" s="1318"/>
      <c r="Q312" s="1318"/>
      <c r="R312" s="1318"/>
      <c r="S312" s="1318"/>
      <c r="T312" s="1318"/>
      <c r="U312" s="1318"/>
      <c r="V312" s="1318"/>
      <c r="W312" s="1318"/>
      <c r="X312" s="1319"/>
      <c r="Y312" s="65"/>
    </row>
    <row r="313" spans="1:25">
      <c r="A313" s="66"/>
      <c r="B313" s="1313"/>
      <c r="C313" s="1313"/>
      <c r="D313" s="1313"/>
      <c r="E313" s="1313"/>
      <c r="F313" s="1313"/>
      <c r="G313" s="1313"/>
      <c r="H313" s="88"/>
      <c r="I313" s="89" t="s">
        <v>8</v>
      </c>
      <c r="J313" s="1318" t="s">
        <v>380</v>
      </c>
      <c r="K313" s="1318"/>
      <c r="L313" s="1318"/>
      <c r="M313" s="1318"/>
      <c r="N313" s="1318"/>
      <c r="O313" s="1318"/>
      <c r="P313" s="1318"/>
      <c r="Q313" s="1318"/>
      <c r="R313" s="1318"/>
      <c r="S313" s="1318"/>
      <c r="T313" s="1318"/>
      <c r="U313" s="1318"/>
      <c r="V313" s="1318"/>
      <c r="W313" s="1318"/>
      <c r="X313" s="1319"/>
      <c r="Y313" s="65"/>
    </row>
    <row r="314" spans="1:25">
      <c r="A314" s="66"/>
      <c r="B314" s="1313"/>
      <c r="C314" s="1313"/>
      <c r="D314" s="1313"/>
      <c r="E314" s="1313"/>
      <c r="F314" s="1313"/>
      <c r="G314" s="1313"/>
      <c r="H314" s="88"/>
      <c r="I314" s="89" t="s">
        <v>8</v>
      </c>
      <c r="J314" s="1318" t="s">
        <v>381</v>
      </c>
      <c r="K314" s="1318"/>
      <c r="L314" s="1318"/>
      <c r="M314" s="1318"/>
      <c r="N314" s="1318"/>
      <c r="O314" s="1318"/>
      <c r="P314" s="1318"/>
      <c r="Q314" s="1318"/>
      <c r="R314" s="1318"/>
      <c r="S314" s="1318"/>
      <c r="T314" s="1318"/>
      <c r="U314" s="1318"/>
      <c r="V314" s="1318"/>
      <c r="W314" s="1318"/>
      <c r="X314" s="1319"/>
      <c r="Y314" s="65"/>
    </row>
    <row r="315" spans="1:25">
      <c r="A315" s="66"/>
      <c r="B315" s="1313"/>
      <c r="C315" s="1313"/>
      <c r="D315" s="1313"/>
      <c r="E315" s="1313"/>
      <c r="F315" s="1313"/>
      <c r="G315" s="1313"/>
      <c r="H315" s="90"/>
      <c r="I315" s="91" t="s">
        <v>8</v>
      </c>
      <c r="J315" s="1320" t="s">
        <v>382</v>
      </c>
      <c r="K315" s="1320"/>
      <c r="L315" s="1320"/>
      <c r="M315" s="1320"/>
      <c r="N315" s="1320"/>
      <c r="O315" s="1320"/>
      <c r="P315" s="1320"/>
      <c r="Q315" s="1320"/>
      <c r="R315" s="1320"/>
      <c r="S315" s="1320"/>
      <c r="T315" s="1320"/>
      <c r="U315" s="1320"/>
      <c r="V315" s="1320"/>
      <c r="W315" s="1320"/>
      <c r="X315" s="1321"/>
      <c r="Y315" s="65"/>
    </row>
    <row r="316" spans="1:25">
      <c r="A316" s="66"/>
      <c r="B316" s="1313" t="s">
        <v>383</v>
      </c>
      <c r="C316" s="1313"/>
      <c r="D316" s="1313"/>
      <c r="E316" s="1313"/>
      <c r="F316" s="1313"/>
      <c r="G316" s="1313"/>
      <c r="H316" s="1314" t="s">
        <v>384</v>
      </c>
      <c r="I316" s="1315"/>
      <c r="J316" s="1315"/>
      <c r="K316" s="1315"/>
      <c r="L316" s="1315"/>
      <c r="M316" s="1315"/>
      <c r="N316" s="1315"/>
      <c r="O316" s="1315"/>
      <c r="P316" s="1315"/>
      <c r="Q316" s="1315"/>
      <c r="R316" s="1315"/>
      <c r="S316" s="1315"/>
      <c r="T316" s="1315"/>
      <c r="U316" s="1315"/>
      <c r="V316" s="1315"/>
      <c r="W316" s="1315"/>
      <c r="X316" s="1316"/>
      <c r="Y316" s="65"/>
    </row>
    <row r="317" spans="1:25">
      <c r="A317" s="66"/>
      <c r="B317" s="1313"/>
      <c r="C317" s="1313"/>
      <c r="D317" s="1313"/>
      <c r="E317" s="1313"/>
      <c r="F317" s="1313"/>
      <c r="G317" s="1313"/>
      <c r="H317" s="1317"/>
      <c r="I317" s="1318"/>
      <c r="J317" s="1318"/>
      <c r="K317" s="1318"/>
      <c r="L317" s="1318"/>
      <c r="M317" s="1318"/>
      <c r="N317" s="1318"/>
      <c r="O317" s="1318"/>
      <c r="P317" s="1318"/>
      <c r="Q317" s="1318"/>
      <c r="R317" s="1318"/>
      <c r="S317" s="1318"/>
      <c r="T317" s="1318"/>
      <c r="U317" s="1318"/>
      <c r="V317" s="1318"/>
      <c r="W317" s="1318"/>
      <c r="X317" s="1319"/>
      <c r="Y317" s="65"/>
    </row>
    <row r="318" spans="1:25">
      <c r="A318" s="66"/>
      <c r="B318" s="1313"/>
      <c r="C318" s="1313"/>
      <c r="D318" s="1313"/>
      <c r="E318" s="1313"/>
      <c r="F318" s="1313"/>
      <c r="G318" s="1313"/>
      <c r="H318" s="88"/>
      <c r="I318" s="89" t="s">
        <v>8</v>
      </c>
      <c r="J318" s="1318" t="s">
        <v>385</v>
      </c>
      <c r="K318" s="1318"/>
      <c r="L318" s="1318"/>
      <c r="M318" s="1318"/>
      <c r="N318" s="1318"/>
      <c r="O318" s="1318"/>
      <c r="P318" s="1318"/>
      <c r="Q318" s="1318"/>
      <c r="R318" s="1318"/>
      <c r="S318" s="1318"/>
      <c r="T318" s="1318"/>
      <c r="U318" s="1318"/>
      <c r="V318" s="1318"/>
      <c r="W318" s="1318"/>
      <c r="X318" s="1319"/>
      <c r="Y318" s="65"/>
    </row>
    <row r="319" spans="1:25">
      <c r="A319" s="66"/>
      <c r="B319" s="1313"/>
      <c r="C319" s="1313"/>
      <c r="D319" s="1313"/>
      <c r="E319" s="1313"/>
      <c r="F319" s="1313"/>
      <c r="G319" s="1313"/>
      <c r="H319" s="88"/>
      <c r="I319" s="89" t="s">
        <v>8</v>
      </c>
      <c r="J319" s="1318" t="s">
        <v>386</v>
      </c>
      <c r="K319" s="1318"/>
      <c r="L319" s="1318"/>
      <c r="M319" s="1318"/>
      <c r="N319" s="1318"/>
      <c r="O319" s="1318"/>
      <c r="P319" s="1318"/>
      <c r="Q319" s="1318"/>
      <c r="R319" s="1318"/>
      <c r="S319" s="1318"/>
      <c r="T319" s="1318"/>
      <c r="U319" s="1318"/>
      <c r="V319" s="1318"/>
      <c r="W319" s="1318"/>
      <c r="X319" s="1319"/>
      <c r="Y319" s="65"/>
    </row>
    <row r="320" spans="1:25">
      <c r="A320" s="66"/>
      <c r="B320" s="1313"/>
      <c r="C320" s="1313"/>
      <c r="D320" s="1313"/>
      <c r="E320" s="1313"/>
      <c r="F320" s="1313"/>
      <c r="G320" s="1313"/>
      <c r="H320" s="88"/>
      <c r="I320" s="89"/>
      <c r="J320" s="1318"/>
      <c r="K320" s="1318"/>
      <c r="L320" s="1318"/>
      <c r="M320" s="1318"/>
      <c r="N320" s="1318"/>
      <c r="O320" s="1318"/>
      <c r="P320" s="1318"/>
      <c r="Q320" s="1318"/>
      <c r="R320" s="1318"/>
      <c r="S320" s="1318"/>
      <c r="T320" s="1318"/>
      <c r="U320" s="1318"/>
      <c r="V320" s="1318"/>
      <c r="W320" s="1318"/>
      <c r="X320" s="1319"/>
      <c r="Y320" s="65"/>
    </row>
    <row r="321" spans="1:25">
      <c r="A321" s="66"/>
      <c r="B321" s="1323"/>
      <c r="C321" s="1323"/>
      <c r="D321" s="1323"/>
      <c r="E321" s="1323"/>
      <c r="F321" s="1323"/>
      <c r="G321" s="1323"/>
      <c r="H321" s="88"/>
      <c r="I321" s="89" t="s">
        <v>8</v>
      </c>
      <c r="J321" s="1318" t="s">
        <v>387</v>
      </c>
      <c r="K321" s="1318"/>
      <c r="L321" s="1318"/>
      <c r="M321" s="1318"/>
      <c r="N321" s="1318"/>
      <c r="O321" s="1318"/>
      <c r="P321" s="1318"/>
      <c r="Q321" s="1318"/>
      <c r="R321" s="1318"/>
      <c r="S321" s="1318"/>
      <c r="T321" s="1318"/>
      <c r="U321" s="1318"/>
      <c r="V321" s="1318"/>
      <c r="W321" s="1318"/>
      <c r="X321" s="1319"/>
      <c r="Y321" s="65"/>
    </row>
    <row r="322" spans="1:25">
      <c r="A322" s="66"/>
      <c r="B322" s="1324" t="s">
        <v>388</v>
      </c>
      <c r="C322" s="1324"/>
      <c r="D322" s="1324"/>
      <c r="E322" s="1324"/>
      <c r="F322" s="1324"/>
      <c r="G322" s="1324"/>
      <c r="H322" s="1325"/>
      <c r="I322" s="1325"/>
      <c r="J322" s="1325"/>
      <c r="K322" s="1325"/>
      <c r="L322" s="1325"/>
      <c r="M322" s="1325"/>
      <c r="N322" s="1325"/>
      <c r="O322" s="1325"/>
      <c r="P322" s="1325"/>
      <c r="Q322" s="1325"/>
      <c r="R322" s="1325"/>
      <c r="S322" s="1325"/>
      <c r="T322" s="1325"/>
      <c r="U322" s="1325"/>
      <c r="V322" s="1325"/>
      <c r="W322" s="1325"/>
      <c r="X322" s="1325"/>
      <c r="Y322" s="65"/>
    </row>
    <row r="323" spans="1:25">
      <c r="A323" s="66"/>
      <c r="B323" s="1324"/>
      <c r="C323" s="1324"/>
      <c r="D323" s="1324"/>
      <c r="E323" s="1324"/>
      <c r="F323" s="1324"/>
      <c r="G323" s="1324"/>
      <c r="H323" s="1325"/>
      <c r="I323" s="1325"/>
      <c r="J323" s="1325"/>
      <c r="K323" s="1325"/>
      <c r="L323" s="1325"/>
      <c r="M323" s="1325"/>
      <c r="N323" s="1325"/>
      <c r="O323" s="1325"/>
      <c r="P323" s="1325"/>
      <c r="Q323" s="1325"/>
      <c r="R323" s="1325"/>
      <c r="S323" s="1325"/>
      <c r="T323" s="1325"/>
      <c r="U323" s="1325"/>
      <c r="V323" s="1325"/>
      <c r="W323" s="1325"/>
      <c r="X323" s="1325"/>
      <c r="Y323" s="65"/>
    </row>
    <row r="324" spans="1:25">
      <c r="A324" s="66"/>
      <c r="B324" s="1313" t="s">
        <v>389</v>
      </c>
      <c r="C324" s="1313"/>
      <c r="D324" s="1313"/>
      <c r="E324" s="1313"/>
      <c r="F324" s="1313"/>
      <c r="G324" s="1313"/>
      <c r="H324" s="1314"/>
      <c r="I324" s="1315"/>
      <c r="J324" s="1315"/>
      <c r="K324" s="1315"/>
      <c r="L324" s="1315"/>
      <c r="M324" s="1315"/>
      <c r="N324" s="1315"/>
      <c r="O324" s="1315"/>
      <c r="P324" s="1315"/>
      <c r="Q324" s="1315"/>
      <c r="R324" s="1315"/>
      <c r="S324" s="1315"/>
      <c r="T324" s="1315"/>
      <c r="U324" s="1315"/>
      <c r="V324" s="1315"/>
      <c r="W324" s="1315"/>
      <c r="X324" s="1316"/>
      <c r="Y324" s="65"/>
    </row>
    <row r="325" spans="1:25">
      <c r="A325" s="66"/>
      <c r="B325" s="1313"/>
      <c r="C325" s="1313"/>
      <c r="D325" s="1313"/>
      <c r="E325" s="1313"/>
      <c r="F325" s="1313"/>
      <c r="G325" s="1313"/>
      <c r="H325" s="1317"/>
      <c r="I325" s="1318"/>
      <c r="J325" s="1318"/>
      <c r="K325" s="1318"/>
      <c r="L325" s="1318"/>
      <c r="M325" s="1318"/>
      <c r="N325" s="1318"/>
      <c r="O325" s="1318"/>
      <c r="P325" s="1318"/>
      <c r="Q325" s="1318"/>
      <c r="R325" s="1318"/>
      <c r="S325" s="1318"/>
      <c r="T325" s="1318"/>
      <c r="U325" s="1318"/>
      <c r="V325" s="1318"/>
      <c r="W325" s="1318"/>
      <c r="X325" s="1319"/>
      <c r="Y325" s="65"/>
    </row>
    <row r="326" spans="1:25">
      <c r="A326" s="66"/>
      <c r="B326" s="1313"/>
      <c r="C326" s="1313"/>
      <c r="D326" s="1313"/>
      <c r="E326" s="1313"/>
      <c r="F326" s="1313"/>
      <c r="G326" s="1313"/>
      <c r="H326" s="88"/>
      <c r="I326" s="89"/>
      <c r="J326" s="1318"/>
      <c r="K326" s="1318"/>
      <c r="L326" s="1318"/>
      <c r="M326" s="1318"/>
      <c r="N326" s="1318"/>
      <c r="O326" s="1318"/>
      <c r="P326" s="1318"/>
      <c r="Q326" s="1318"/>
      <c r="R326" s="1318"/>
      <c r="S326" s="1318"/>
      <c r="T326" s="1318"/>
      <c r="U326" s="1318"/>
      <c r="V326" s="1318"/>
      <c r="W326" s="1318"/>
      <c r="X326" s="1319"/>
      <c r="Y326" s="65"/>
    </row>
    <row r="327" spans="1:25">
      <c r="A327" s="66"/>
      <c r="B327" s="1313"/>
      <c r="C327" s="1313"/>
      <c r="D327" s="1313"/>
      <c r="E327" s="1313"/>
      <c r="F327" s="1313"/>
      <c r="G327" s="1313"/>
      <c r="H327" s="88"/>
      <c r="I327" s="89"/>
      <c r="J327" s="1318"/>
      <c r="K327" s="1318"/>
      <c r="L327" s="1318"/>
      <c r="M327" s="1318"/>
      <c r="N327" s="1318"/>
      <c r="O327" s="1318"/>
      <c r="P327" s="1318"/>
      <c r="Q327" s="1318"/>
      <c r="R327" s="1318"/>
      <c r="S327" s="1318"/>
      <c r="T327" s="1318"/>
      <c r="U327" s="1318"/>
      <c r="V327" s="1318"/>
      <c r="W327" s="1318"/>
      <c r="X327" s="1319"/>
      <c r="Y327" s="65"/>
    </row>
    <row r="328" spans="1:25">
      <c r="A328" s="66"/>
      <c r="B328" s="1313"/>
      <c r="C328" s="1313"/>
      <c r="D328" s="1313"/>
      <c r="E328" s="1313"/>
      <c r="F328" s="1313"/>
      <c r="G328" s="1313"/>
      <c r="H328" s="90"/>
      <c r="I328" s="91"/>
      <c r="J328" s="1320"/>
      <c r="K328" s="1320"/>
      <c r="L328" s="1320"/>
      <c r="M328" s="1320"/>
      <c r="N328" s="1320"/>
      <c r="O328" s="1320"/>
      <c r="P328" s="1320"/>
      <c r="Q328" s="1320"/>
      <c r="R328" s="1320"/>
      <c r="S328" s="1320"/>
      <c r="T328" s="1320"/>
      <c r="U328" s="1320"/>
      <c r="V328" s="1320"/>
      <c r="W328" s="1320"/>
      <c r="X328" s="1321"/>
      <c r="Y328" s="65"/>
    </row>
    <row r="329" spans="1:25">
      <c r="A329" s="66"/>
      <c r="B329" s="1313" t="s">
        <v>390</v>
      </c>
      <c r="C329" s="1313"/>
      <c r="D329" s="1313"/>
      <c r="E329" s="1313"/>
      <c r="F329" s="1313"/>
      <c r="G329" s="1313"/>
      <c r="H329" s="1314"/>
      <c r="I329" s="1315"/>
      <c r="J329" s="1315"/>
      <c r="K329" s="1315"/>
      <c r="L329" s="1315"/>
      <c r="M329" s="1315"/>
      <c r="N329" s="1315"/>
      <c r="O329" s="1315"/>
      <c r="P329" s="1315"/>
      <c r="Q329" s="1315"/>
      <c r="R329" s="1315"/>
      <c r="S329" s="1315"/>
      <c r="T329" s="1315"/>
      <c r="U329" s="1315"/>
      <c r="V329" s="1315"/>
      <c r="W329" s="1315"/>
      <c r="X329" s="1316"/>
      <c r="Y329" s="65"/>
    </row>
    <row r="330" spans="1:25">
      <c r="A330" s="66"/>
      <c r="B330" s="1313"/>
      <c r="C330" s="1313"/>
      <c r="D330" s="1313"/>
      <c r="E330" s="1313"/>
      <c r="F330" s="1313"/>
      <c r="G330" s="1313"/>
      <c r="H330" s="1317"/>
      <c r="I330" s="1318"/>
      <c r="J330" s="1318"/>
      <c r="K330" s="1318"/>
      <c r="L330" s="1318"/>
      <c r="M330" s="1318"/>
      <c r="N330" s="1318"/>
      <c r="O330" s="1318"/>
      <c r="P330" s="1318"/>
      <c r="Q330" s="1318"/>
      <c r="R330" s="1318"/>
      <c r="S330" s="1318"/>
      <c r="T330" s="1318"/>
      <c r="U330" s="1318"/>
      <c r="V330" s="1318"/>
      <c r="W330" s="1318"/>
      <c r="X330" s="1319"/>
      <c r="Y330" s="65"/>
    </row>
    <row r="331" spans="1:25">
      <c r="A331" s="66"/>
      <c r="B331" s="1313"/>
      <c r="C331" s="1313"/>
      <c r="D331" s="1313"/>
      <c r="E331" s="1313"/>
      <c r="F331" s="1313"/>
      <c r="G331" s="1313"/>
      <c r="H331" s="1322"/>
      <c r="I331" s="1320"/>
      <c r="J331" s="1320"/>
      <c r="K331" s="1320"/>
      <c r="L331" s="1320"/>
      <c r="M331" s="1320"/>
      <c r="N331" s="1320"/>
      <c r="O331" s="1320"/>
      <c r="P331" s="1320"/>
      <c r="Q331" s="1320"/>
      <c r="R331" s="1320"/>
      <c r="S331" s="1320"/>
      <c r="T331" s="1320"/>
      <c r="U331" s="1320"/>
      <c r="V331" s="1320"/>
      <c r="W331" s="1320"/>
      <c r="X331" s="1321"/>
      <c r="Y331" s="65"/>
    </row>
    <row r="332" spans="1:25">
      <c r="A332" s="66"/>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5"/>
    </row>
    <row r="333" spans="1:25">
      <c r="A333" s="68"/>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2"/>
    </row>
    <row r="334" spans="1:2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spans="1:25">
      <c r="A335" s="1300" t="s">
        <v>391</v>
      </c>
      <c r="B335" s="1300"/>
      <c r="C335" s="1300"/>
      <c r="D335" s="1300"/>
      <c r="E335" s="1300"/>
      <c r="F335" s="1300"/>
      <c r="G335" s="1300"/>
      <c r="H335" s="1300"/>
      <c r="I335" s="1300"/>
      <c r="J335" s="1300"/>
      <c r="K335" s="1300"/>
      <c r="L335" s="1300"/>
      <c r="M335" s="1300"/>
      <c r="N335" s="1300"/>
      <c r="O335" s="1300"/>
      <c r="P335" s="1300"/>
      <c r="Q335" s="1300"/>
      <c r="R335" s="1300"/>
      <c r="S335" s="1300"/>
      <c r="T335" s="1300"/>
      <c r="U335" s="1300"/>
      <c r="V335" s="1300"/>
      <c r="W335" s="1300"/>
      <c r="X335" s="1300"/>
      <c r="Y335" s="1300"/>
    </row>
    <row r="336" spans="1:25">
      <c r="A336" s="59"/>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1"/>
    </row>
    <row r="337" spans="1:25">
      <c r="A337" s="1301" t="s">
        <v>392</v>
      </c>
      <c r="B337" s="1304" t="s">
        <v>393</v>
      </c>
      <c r="C337" s="1305"/>
      <c r="D337" s="1305"/>
      <c r="E337" s="1305"/>
      <c r="F337" s="1305"/>
      <c r="G337" s="1305"/>
      <c r="H337" s="1305"/>
      <c r="I337" s="1305"/>
      <c r="J337" s="1305"/>
      <c r="K337" s="1305"/>
      <c r="L337" s="1305"/>
      <c r="M337" s="1305"/>
      <c r="N337" s="1305"/>
      <c r="O337" s="1305"/>
      <c r="P337" s="1305"/>
      <c r="Q337" s="1305"/>
      <c r="R337" s="1305"/>
      <c r="S337" s="1305"/>
      <c r="T337" s="1305"/>
      <c r="U337" s="1305"/>
      <c r="V337" s="1305"/>
      <c r="W337" s="1305"/>
      <c r="X337" s="1305"/>
      <c r="Y337" s="1306"/>
    </row>
    <row r="338" spans="1:25">
      <c r="A338" s="1302"/>
      <c r="B338" s="1307"/>
      <c r="C338" s="1308"/>
      <c r="D338" s="1308"/>
      <c r="E338" s="1308"/>
      <c r="F338" s="1308"/>
      <c r="G338" s="1308"/>
      <c r="H338" s="1308"/>
      <c r="I338" s="1308"/>
      <c r="J338" s="1308"/>
      <c r="K338" s="1308"/>
      <c r="L338" s="1308"/>
      <c r="M338" s="1308"/>
      <c r="N338" s="1308"/>
      <c r="O338" s="1308"/>
      <c r="P338" s="1308"/>
      <c r="Q338" s="1308"/>
      <c r="R338" s="1308"/>
      <c r="S338" s="1308"/>
      <c r="T338" s="1308"/>
      <c r="U338" s="1308"/>
      <c r="V338" s="1308"/>
      <c r="W338" s="1308"/>
      <c r="X338" s="1308"/>
      <c r="Y338" s="1309"/>
    </row>
    <row r="339" spans="1:25">
      <c r="A339" s="1302"/>
      <c r="B339" s="1307"/>
      <c r="C339" s="1308"/>
      <c r="D339" s="1308"/>
      <c r="E339" s="1308"/>
      <c r="F339" s="1308"/>
      <c r="G339" s="1308"/>
      <c r="H339" s="1308"/>
      <c r="I339" s="1308"/>
      <c r="J339" s="1308"/>
      <c r="K339" s="1308"/>
      <c r="L339" s="1308"/>
      <c r="M339" s="1308"/>
      <c r="N339" s="1308"/>
      <c r="O339" s="1308"/>
      <c r="P339" s="1308"/>
      <c r="Q339" s="1308"/>
      <c r="R339" s="1308"/>
      <c r="S339" s="1308"/>
      <c r="T339" s="1308"/>
      <c r="U339" s="1308"/>
      <c r="V339" s="1308"/>
      <c r="W339" s="1308"/>
      <c r="X339" s="1308"/>
      <c r="Y339" s="1309"/>
    </row>
    <row r="340" spans="1:25">
      <c r="A340" s="1302"/>
      <c r="B340" s="1307"/>
      <c r="C340" s="1308"/>
      <c r="D340" s="1308"/>
      <c r="E340" s="1308"/>
      <c r="F340" s="1308"/>
      <c r="G340" s="1308"/>
      <c r="H340" s="1308"/>
      <c r="I340" s="1308"/>
      <c r="J340" s="1308"/>
      <c r="K340" s="1308"/>
      <c r="L340" s="1308"/>
      <c r="M340" s="1308"/>
      <c r="N340" s="1308"/>
      <c r="O340" s="1308"/>
      <c r="P340" s="1308"/>
      <c r="Q340" s="1308"/>
      <c r="R340" s="1308"/>
      <c r="S340" s="1308"/>
      <c r="T340" s="1308"/>
      <c r="U340" s="1308"/>
      <c r="V340" s="1308"/>
      <c r="W340" s="1308"/>
      <c r="X340" s="1308"/>
      <c r="Y340" s="1309"/>
    </row>
    <row r="341" spans="1:25">
      <c r="A341" s="1303"/>
      <c r="B341" s="1307"/>
      <c r="C341" s="1308"/>
      <c r="D341" s="1308"/>
      <c r="E341" s="1308"/>
      <c r="F341" s="1308"/>
      <c r="G341" s="1308"/>
      <c r="H341" s="1308"/>
      <c r="I341" s="1308"/>
      <c r="J341" s="1308"/>
      <c r="K341" s="1308"/>
      <c r="L341" s="1308"/>
      <c r="M341" s="1308"/>
      <c r="N341" s="1308"/>
      <c r="O341" s="1308"/>
      <c r="P341" s="1308"/>
      <c r="Q341" s="1308"/>
      <c r="R341" s="1308"/>
      <c r="S341" s="1308"/>
      <c r="T341" s="1308"/>
      <c r="U341" s="1308"/>
      <c r="V341" s="1308"/>
      <c r="W341" s="1308"/>
      <c r="X341" s="1308"/>
      <c r="Y341" s="1309"/>
    </row>
    <row r="342" spans="1:25">
      <c r="A342" s="1301" t="s">
        <v>394</v>
      </c>
      <c r="B342" s="1304" t="s">
        <v>395</v>
      </c>
      <c r="C342" s="1305"/>
      <c r="D342" s="1305"/>
      <c r="E342" s="1305"/>
      <c r="F342" s="1305"/>
      <c r="G342" s="1305"/>
      <c r="H342" s="1305"/>
      <c r="I342" s="1305"/>
      <c r="J342" s="1305"/>
      <c r="K342" s="1305"/>
      <c r="L342" s="1305"/>
      <c r="M342" s="1305"/>
      <c r="N342" s="1305"/>
      <c r="O342" s="1305"/>
      <c r="P342" s="1305"/>
      <c r="Q342" s="1305"/>
      <c r="R342" s="1305"/>
      <c r="S342" s="1305"/>
      <c r="T342" s="1305"/>
      <c r="U342" s="1305"/>
      <c r="V342" s="1305"/>
      <c r="W342" s="1305"/>
      <c r="X342" s="1305"/>
      <c r="Y342" s="1306"/>
    </row>
    <row r="343" spans="1:25">
      <c r="A343" s="1302"/>
      <c r="B343" s="1307"/>
      <c r="C343" s="1308"/>
      <c r="D343" s="1308"/>
      <c r="E343" s="1308"/>
      <c r="F343" s="1308"/>
      <c r="G343" s="1308"/>
      <c r="H343" s="1308"/>
      <c r="I343" s="1308"/>
      <c r="J343" s="1308"/>
      <c r="K343" s="1308"/>
      <c r="L343" s="1308"/>
      <c r="M343" s="1308"/>
      <c r="N343" s="1308"/>
      <c r="O343" s="1308"/>
      <c r="P343" s="1308"/>
      <c r="Q343" s="1308"/>
      <c r="R343" s="1308"/>
      <c r="S343" s="1308"/>
      <c r="T343" s="1308"/>
      <c r="U343" s="1308"/>
      <c r="V343" s="1308"/>
      <c r="W343" s="1308"/>
      <c r="X343" s="1308"/>
      <c r="Y343" s="1309"/>
    </row>
    <row r="344" spans="1:25">
      <c r="A344" s="1302"/>
      <c r="B344" s="1307"/>
      <c r="C344" s="1308"/>
      <c r="D344" s="1308"/>
      <c r="E344" s="1308"/>
      <c r="F344" s="1308"/>
      <c r="G344" s="1308"/>
      <c r="H344" s="1308"/>
      <c r="I344" s="1308"/>
      <c r="J344" s="1308"/>
      <c r="K344" s="1308"/>
      <c r="L344" s="1308"/>
      <c r="M344" s="1308"/>
      <c r="N344" s="1308"/>
      <c r="O344" s="1308"/>
      <c r="P344" s="1308"/>
      <c r="Q344" s="1308"/>
      <c r="R344" s="1308"/>
      <c r="S344" s="1308"/>
      <c r="T344" s="1308"/>
      <c r="U344" s="1308"/>
      <c r="V344" s="1308"/>
      <c r="W344" s="1308"/>
      <c r="X344" s="1308"/>
      <c r="Y344" s="1309"/>
    </row>
    <row r="345" spans="1:25">
      <c r="A345" s="1302"/>
      <c r="B345" s="1307"/>
      <c r="C345" s="1308"/>
      <c r="D345" s="1308"/>
      <c r="E345" s="1308"/>
      <c r="F345" s="1308"/>
      <c r="G345" s="1308"/>
      <c r="H345" s="1308"/>
      <c r="I345" s="1308"/>
      <c r="J345" s="1308"/>
      <c r="K345" s="1308"/>
      <c r="L345" s="1308"/>
      <c r="M345" s="1308"/>
      <c r="N345" s="1308"/>
      <c r="O345" s="1308"/>
      <c r="P345" s="1308"/>
      <c r="Q345" s="1308"/>
      <c r="R345" s="1308"/>
      <c r="S345" s="1308"/>
      <c r="T345" s="1308"/>
      <c r="U345" s="1308"/>
      <c r="V345" s="1308"/>
      <c r="W345" s="1308"/>
      <c r="X345" s="1308"/>
      <c r="Y345" s="1309"/>
    </row>
    <row r="346" spans="1:25">
      <c r="A346" s="1303"/>
      <c r="B346" s="1310"/>
      <c r="C346" s="1311"/>
      <c r="D346" s="1311"/>
      <c r="E346" s="1311"/>
      <c r="F346" s="1311"/>
      <c r="G346" s="1311"/>
      <c r="H346" s="1311"/>
      <c r="I346" s="1311"/>
      <c r="J346" s="1311"/>
      <c r="K346" s="1311"/>
      <c r="L346" s="1311"/>
      <c r="M346" s="1311"/>
      <c r="N346" s="1311"/>
      <c r="O346" s="1311"/>
      <c r="P346" s="1311"/>
      <c r="Q346" s="1311"/>
      <c r="R346" s="1311"/>
      <c r="S346" s="1311"/>
      <c r="T346" s="1311"/>
      <c r="U346" s="1311"/>
      <c r="V346" s="1311"/>
      <c r="W346" s="1311"/>
      <c r="X346" s="1311"/>
      <c r="Y346" s="1312"/>
    </row>
    <row r="347" spans="1:25">
      <c r="A347" s="1301" t="s">
        <v>396</v>
      </c>
      <c r="B347" s="1304" t="s">
        <v>397</v>
      </c>
      <c r="C347" s="1305"/>
      <c r="D347" s="1305"/>
      <c r="E347" s="1305"/>
      <c r="F347" s="1305"/>
      <c r="G347" s="1305"/>
      <c r="H347" s="1305"/>
      <c r="I347" s="1305"/>
      <c r="J347" s="1305"/>
      <c r="K347" s="1305"/>
      <c r="L347" s="1305"/>
      <c r="M347" s="1305"/>
      <c r="N347" s="1305"/>
      <c r="O347" s="1305"/>
      <c r="P347" s="1305"/>
      <c r="Q347" s="1305"/>
      <c r="R347" s="1305"/>
      <c r="S347" s="1305"/>
      <c r="T347" s="1305"/>
      <c r="U347" s="1305"/>
      <c r="V347" s="1305"/>
      <c r="W347" s="1305"/>
      <c r="X347" s="1305"/>
      <c r="Y347" s="1306"/>
    </row>
    <row r="348" spans="1:25">
      <c r="A348" s="1302"/>
      <c r="B348" s="1307"/>
      <c r="C348" s="1308"/>
      <c r="D348" s="1308"/>
      <c r="E348" s="1308"/>
      <c r="F348" s="1308"/>
      <c r="G348" s="1308"/>
      <c r="H348" s="1308"/>
      <c r="I348" s="1308"/>
      <c r="J348" s="1308"/>
      <c r="K348" s="1308"/>
      <c r="L348" s="1308"/>
      <c r="M348" s="1308"/>
      <c r="N348" s="1308"/>
      <c r="O348" s="1308"/>
      <c r="P348" s="1308"/>
      <c r="Q348" s="1308"/>
      <c r="R348" s="1308"/>
      <c r="S348" s="1308"/>
      <c r="T348" s="1308"/>
      <c r="U348" s="1308"/>
      <c r="V348" s="1308"/>
      <c r="W348" s="1308"/>
      <c r="X348" s="1308"/>
      <c r="Y348" s="1309"/>
    </row>
    <row r="349" spans="1:25">
      <c r="A349" s="1302"/>
      <c r="B349" s="1307"/>
      <c r="C349" s="1308"/>
      <c r="D349" s="1308"/>
      <c r="E349" s="1308"/>
      <c r="F349" s="1308"/>
      <c r="G349" s="1308"/>
      <c r="H349" s="1308"/>
      <c r="I349" s="1308"/>
      <c r="J349" s="1308"/>
      <c r="K349" s="1308"/>
      <c r="L349" s="1308"/>
      <c r="M349" s="1308"/>
      <c r="N349" s="1308"/>
      <c r="O349" s="1308"/>
      <c r="P349" s="1308"/>
      <c r="Q349" s="1308"/>
      <c r="R349" s="1308"/>
      <c r="S349" s="1308"/>
      <c r="T349" s="1308"/>
      <c r="U349" s="1308"/>
      <c r="V349" s="1308"/>
      <c r="W349" s="1308"/>
      <c r="X349" s="1308"/>
      <c r="Y349" s="1309"/>
    </row>
    <row r="350" spans="1:25">
      <c r="A350" s="1302"/>
      <c r="B350" s="1307"/>
      <c r="C350" s="1308"/>
      <c r="D350" s="1308"/>
      <c r="E350" s="1308"/>
      <c r="F350" s="1308"/>
      <c r="G350" s="1308"/>
      <c r="H350" s="1308"/>
      <c r="I350" s="1308"/>
      <c r="J350" s="1308"/>
      <c r="K350" s="1308"/>
      <c r="L350" s="1308"/>
      <c r="M350" s="1308"/>
      <c r="N350" s="1308"/>
      <c r="O350" s="1308"/>
      <c r="P350" s="1308"/>
      <c r="Q350" s="1308"/>
      <c r="R350" s="1308"/>
      <c r="S350" s="1308"/>
      <c r="T350" s="1308"/>
      <c r="U350" s="1308"/>
      <c r="V350" s="1308"/>
      <c r="W350" s="1308"/>
      <c r="X350" s="1308"/>
      <c r="Y350" s="1309"/>
    </row>
    <row r="351" spans="1:25">
      <c r="A351" s="1303"/>
      <c r="B351" s="1310"/>
      <c r="C351" s="1311"/>
      <c r="D351" s="1311"/>
      <c r="E351" s="1311"/>
      <c r="F351" s="1311"/>
      <c r="G351" s="1311"/>
      <c r="H351" s="1311"/>
      <c r="I351" s="1311"/>
      <c r="J351" s="1311"/>
      <c r="K351" s="1311"/>
      <c r="L351" s="1311"/>
      <c r="M351" s="1311"/>
      <c r="N351" s="1311"/>
      <c r="O351" s="1311"/>
      <c r="P351" s="1311"/>
      <c r="Q351" s="1311"/>
      <c r="R351" s="1311"/>
      <c r="S351" s="1311"/>
      <c r="T351" s="1311"/>
      <c r="U351" s="1311"/>
      <c r="V351" s="1311"/>
      <c r="W351" s="1311"/>
      <c r="X351" s="1311"/>
      <c r="Y351" s="1312"/>
    </row>
  </sheetData>
  <mergeCells count="250">
    <mergeCell ref="B8:G9"/>
    <mergeCell ref="H8:X9"/>
    <mergeCell ref="B10:G11"/>
    <mergeCell ref="H10:X11"/>
    <mergeCell ref="B12:G13"/>
    <mergeCell ref="H12:X13"/>
    <mergeCell ref="A1:Y1"/>
    <mergeCell ref="A3:Y3"/>
    <mergeCell ref="B5:G5"/>
    <mergeCell ref="H5:X5"/>
    <mergeCell ref="B6:G7"/>
    <mergeCell ref="H6:X7"/>
    <mergeCell ref="B17:G18"/>
    <mergeCell ref="H17:X18"/>
    <mergeCell ref="B21:G21"/>
    <mergeCell ref="H21:X21"/>
    <mergeCell ref="I22:X22"/>
    <mergeCell ref="I23:X25"/>
    <mergeCell ref="B14:G14"/>
    <mergeCell ref="H14:X14"/>
    <mergeCell ref="B15:G16"/>
    <mergeCell ref="H15:X16"/>
    <mergeCell ref="I38:X38"/>
    <mergeCell ref="I39:X41"/>
    <mergeCell ref="B43:G44"/>
    <mergeCell ref="H43:X44"/>
    <mergeCell ref="B45:G48"/>
    <mergeCell ref="H45:X48"/>
    <mergeCell ref="I26:X26"/>
    <mergeCell ref="I27:X29"/>
    <mergeCell ref="I30:X30"/>
    <mergeCell ref="I31:X33"/>
    <mergeCell ref="I34:X34"/>
    <mergeCell ref="I35:X37"/>
    <mergeCell ref="B59:G66"/>
    <mergeCell ref="H59:X62"/>
    <mergeCell ref="J63:X63"/>
    <mergeCell ref="J64:X64"/>
    <mergeCell ref="J65:X65"/>
    <mergeCell ref="J66:X66"/>
    <mergeCell ref="B49:G52"/>
    <mergeCell ref="H49:X52"/>
    <mergeCell ref="B53:G56"/>
    <mergeCell ref="H53:X56"/>
    <mergeCell ref="B57:G58"/>
    <mergeCell ref="H57:X58"/>
    <mergeCell ref="B79:G86"/>
    <mergeCell ref="H79:X81"/>
    <mergeCell ref="J82:X82"/>
    <mergeCell ref="J83:X83"/>
    <mergeCell ref="J84:X84"/>
    <mergeCell ref="J85:X85"/>
    <mergeCell ref="J86:X86"/>
    <mergeCell ref="B69:G69"/>
    <mergeCell ref="H69:X69"/>
    <mergeCell ref="B70:G71"/>
    <mergeCell ref="H70:X71"/>
    <mergeCell ref="B72:G78"/>
    <mergeCell ref="H72:X74"/>
    <mergeCell ref="J75:X75"/>
    <mergeCell ref="J76:X76"/>
    <mergeCell ref="J77:X78"/>
    <mergeCell ref="B98:G99"/>
    <mergeCell ref="H98:X99"/>
    <mergeCell ref="B103:G112"/>
    <mergeCell ref="H103:X105"/>
    <mergeCell ref="J106:X106"/>
    <mergeCell ref="J107:X108"/>
    <mergeCell ref="J109:X110"/>
    <mergeCell ref="J111:X112"/>
    <mergeCell ref="B89:G89"/>
    <mergeCell ref="H89:X89"/>
    <mergeCell ref="B90:G91"/>
    <mergeCell ref="H90:X91"/>
    <mergeCell ref="B92:G97"/>
    <mergeCell ref="H92:X94"/>
    <mergeCell ref="J95:X95"/>
    <mergeCell ref="J96:X96"/>
    <mergeCell ref="J97:X97"/>
    <mergeCell ref="B125:G130"/>
    <mergeCell ref="H125:X126"/>
    <mergeCell ref="J127:X127"/>
    <mergeCell ref="J128:X128"/>
    <mergeCell ref="J129:X129"/>
    <mergeCell ref="J130:X130"/>
    <mergeCell ref="B113:G114"/>
    <mergeCell ref="H113:X114"/>
    <mergeCell ref="B115:G118"/>
    <mergeCell ref="H115:X118"/>
    <mergeCell ref="A121:Y121"/>
    <mergeCell ref="B124:G124"/>
    <mergeCell ref="H124:X124"/>
    <mergeCell ref="B139:G140"/>
    <mergeCell ref="H139:X140"/>
    <mergeCell ref="B143:G143"/>
    <mergeCell ref="H143:X143"/>
    <mergeCell ref="B144:G146"/>
    <mergeCell ref="H144:X146"/>
    <mergeCell ref="B131:G133"/>
    <mergeCell ref="H131:X133"/>
    <mergeCell ref="B134:G138"/>
    <mergeCell ref="H134:X136"/>
    <mergeCell ref="J137:X137"/>
    <mergeCell ref="J138:X138"/>
    <mergeCell ref="B155:G156"/>
    <mergeCell ref="H155:X156"/>
    <mergeCell ref="B157:G160"/>
    <mergeCell ref="H157:X158"/>
    <mergeCell ref="J159:X159"/>
    <mergeCell ref="J160:X160"/>
    <mergeCell ref="B147:G148"/>
    <mergeCell ref="H147:X148"/>
    <mergeCell ref="B149:G150"/>
    <mergeCell ref="H149:X150"/>
    <mergeCell ref="B151:G154"/>
    <mergeCell ref="H151:X154"/>
    <mergeCell ref="B163:G163"/>
    <mergeCell ref="H163:X163"/>
    <mergeCell ref="B164:G165"/>
    <mergeCell ref="H164:X165"/>
    <mergeCell ref="B166:G174"/>
    <mergeCell ref="H166:X168"/>
    <mergeCell ref="J169:X169"/>
    <mergeCell ref="J170:X170"/>
    <mergeCell ref="J171:X174"/>
    <mergeCell ref="B184:G185"/>
    <mergeCell ref="H184:X185"/>
    <mergeCell ref="B186:G190"/>
    <mergeCell ref="H186:X187"/>
    <mergeCell ref="J188:X188"/>
    <mergeCell ref="J189:X189"/>
    <mergeCell ref="J190:X190"/>
    <mergeCell ref="B175:G183"/>
    <mergeCell ref="H175:X176"/>
    <mergeCell ref="J177:X177"/>
    <mergeCell ref="J178:X179"/>
    <mergeCell ref="J180:X180"/>
    <mergeCell ref="J181:X181"/>
    <mergeCell ref="J182:X182"/>
    <mergeCell ref="J183:X183"/>
    <mergeCell ref="B199:G204"/>
    <mergeCell ref="H199:X201"/>
    <mergeCell ref="J202:X202"/>
    <mergeCell ref="J203:X203"/>
    <mergeCell ref="J204:X204"/>
    <mergeCell ref="A209:Y209"/>
    <mergeCell ref="B191:G198"/>
    <mergeCell ref="H191:X193"/>
    <mergeCell ref="J194:X194"/>
    <mergeCell ref="J195:X195"/>
    <mergeCell ref="J196:X196"/>
    <mergeCell ref="J197:X197"/>
    <mergeCell ref="J198:X198"/>
    <mergeCell ref="B219:G220"/>
    <mergeCell ref="H219:X220"/>
    <mergeCell ref="B221:G228"/>
    <mergeCell ref="H221:X222"/>
    <mergeCell ref="J223:X223"/>
    <mergeCell ref="J224:X224"/>
    <mergeCell ref="J225:X228"/>
    <mergeCell ref="B212:G212"/>
    <mergeCell ref="H212:X212"/>
    <mergeCell ref="B213:G218"/>
    <mergeCell ref="H213:X214"/>
    <mergeCell ref="J215:X215"/>
    <mergeCell ref="J216:X216"/>
    <mergeCell ref="J217:X218"/>
    <mergeCell ref="B237:G243"/>
    <mergeCell ref="H237:X238"/>
    <mergeCell ref="J239:X239"/>
    <mergeCell ref="J240:X241"/>
    <mergeCell ref="J242:X243"/>
    <mergeCell ref="B246:G246"/>
    <mergeCell ref="H246:X246"/>
    <mergeCell ref="B229:G236"/>
    <mergeCell ref="H229:X230"/>
    <mergeCell ref="J231:X231"/>
    <mergeCell ref="J232:X233"/>
    <mergeCell ref="J234:X234"/>
    <mergeCell ref="J235:X236"/>
    <mergeCell ref="B263:X263"/>
    <mergeCell ref="B264:X264"/>
    <mergeCell ref="D265:X265"/>
    <mergeCell ref="D266:X266"/>
    <mergeCell ref="D267:X267"/>
    <mergeCell ref="D268:X268"/>
    <mergeCell ref="B247:G248"/>
    <mergeCell ref="H247:X248"/>
    <mergeCell ref="B249:G250"/>
    <mergeCell ref="H249:X250"/>
    <mergeCell ref="B251:G255"/>
    <mergeCell ref="H251:X252"/>
    <mergeCell ref="J253:X254"/>
    <mergeCell ref="J255:X255"/>
    <mergeCell ref="D278:X279"/>
    <mergeCell ref="D280:X281"/>
    <mergeCell ref="D282:X282"/>
    <mergeCell ref="D283:X284"/>
    <mergeCell ref="B287:X287"/>
    <mergeCell ref="B288:X288"/>
    <mergeCell ref="D269:X269"/>
    <mergeCell ref="D270:X270"/>
    <mergeCell ref="D271:X272"/>
    <mergeCell ref="B275:X275"/>
    <mergeCell ref="B276:X276"/>
    <mergeCell ref="D277:X277"/>
    <mergeCell ref="B298:G299"/>
    <mergeCell ref="H298:X299"/>
    <mergeCell ref="B300:G302"/>
    <mergeCell ref="H300:X302"/>
    <mergeCell ref="B305:G305"/>
    <mergeCell ref="H305:X305"/>
    <mergeCell ref="D289:X289"/>
    <mergeCell ref="D290:X291"/>
    <mergeCell ref="D292:X292"/>
    <mergeCell ref="B295:G295"/>
    <mergeCell ref="H295:X295"/>
    <mergeCell ref="B296:G297"/>
    <mergeCell ref="H296:X297"/>
    <mergeCell ref="B316:G321"/>
    <mergeCell ref="H316:X317"/>
    <mergeCell ref="J318:X318"/>
    <mergeCell ref="J319:X320"/>
    <mergeCell ref="J321:X321"/>
    <mergeCell ref="B322:G323"/>
    <mergeCell ref="H322:X323"/>
    <mergeCell ref="B306:G307"/>
    <mergeCell ref="H306:X307"/>
    <mergeCell ref="B308:G309"/>
    <mergeCell ref="H308:X309"/>
    <mergeCell ref="B310:G315"/>
    <mergeCell ref="H310:X311"/>
    <mergeCell ref="J312:X312"/>
    <mergeCell ref="J313:X313"/>
    <mergeCell ref="J314:X314"/>
    <mergeCell ref="J315:X315"/>
    <mergeCell ref="A335:Y335"/>
    <mergeCell ref="A337:A341"/>
    <mergeCell ref="B337:Y341"/>
    <mergeCell ref="A342:A346"/>
    <mergeCell ref="B342:Y346"/>
    <mergeCell ref="A347:A351"/>
    <mergeCell ref="B347:Y351"/>
    <mergeCell ref="B324:G328"/>
    <mergeCell ref="H324:X325"/>
    <mergeCell ref="J326:X326"/>
    <mergeCell ref="J327:X327"/>
    <mergeCell ref="J328:X328"/>
    <mergeCell ref="B329:G331"/>
    <mergeCell ref="H329:X331"/>
  </mergeCells>
  <dataValidations count="27">
    <dataValidation type="list" allowBlank="1" showInputMessage="1" showErrorMessage="1" sqref="H57:X58">
      <formula1>$AB$227:$AB$231</formula1>
    </dataValidation>
    <dataValidation type="list" allowBlank="1" showInputMessage="1" showErrorMessage="1" sqref="H43:X43">
      <formula1>$AB$221:$AB$225</formula1>
    </dataValidation>
    <dataValidation type="list" allowBlank="1" showInputMessage="1" showErrorMessage="1" sqref="H17:X18">
      <formula1>$AB$215:$AB$219</formula1>
    </dataValidation>
    <dataValidation type="list" allowBlank="1" showInputMessage="1" showErrorMessage="1" sqref="H15:X16">
      <formula1>$AB$203:$AB$207</formula1>
    </dataValidation>
    <dataValidation type="list" allowBlank="1" showInputMessage="1" showErrorMessage="1" sqref="H14:X14">
      <formula1>$AB$197:$AB$201</formula1>
    </dataValidation>
    <dataValidation type="list" allowBlank="1" showInputMessage="1" showErrorMessage="1" sqref="H12:X13">
      <formula1>$AB$191:$AB$195</formula1>
    </dataValidation>
    <dataValidation type="list" allowBlank="1" showInputMessage="1" showErrorMessage="1" sqref="H10:X11">
      <formula1>$AB$185:$AB$189</formula1>
    </dataValidation>
    <dataValidation type="list" allowBlank="1" showInputMessage="1" showErrorMessage="1" sqref="H8:X9">
      <formula1>$AB$179:$AB$183</formula1>
    </dataValidation>
    <dataValidation type="list" allowBlank="1" showInputMessage="1" showErrorMessage="1" sqref="H6:X6">
      <formula1>$AB$172:$AB$176</formula1>
    </dataValidation>
    <dataValidation type="list" allowBlank="1" showInputMessage="1" showErrorMessage="1" sqref="H98:X102">
      <formula1>$AB$265:$AB$272</formula1>
    </dataValidation>
    <dataValidation type="list" allowBlank="1" showInputMessage="1" showErrorMessage="1" sqref="H90:X91">
      <formula1>$AB$259:$AB$263</formula1>
    </dataValidation>
    <dataValidation type="list" allowBlank="1" showInputMessage="1" showErrorMessage="1" sqref="H70:X71">
      <formula1>$AB$239:$AB$243</formula1>
    </dataValidation>
    <dataValidation type="list" allowBlank="1" showInputMessage="1" showErrorMessage="1" sqref="H113:X114">
      <formula1>$AB$274:$AB$278</formula1>
    </dataValidation>
    <dataValidation type="list" allowBlank="1" showInputMessage="1" showErrorMessage="1" sqref="H164:X165">
      <formula1>$AB$336:$AB$341</formula1>
    </dataValidation>
    <dataValidation type="list" allowBlank="1" showInputMessage="1" showErrorMessage="1" sqref="H155:X156">
      <formula1>$AB$330:$AB$334</formula1>
    </dataValidation>
    <dataValidation type="list" allowBlank="1" showInputMessage="1" showErrorMessage="1" sqref="H149:X150">
      <formula1>$AB$325:$AB$328</formula1>
    </dataValidation>
    <dataValidation type="list" allowBlank="1" showInputMessage="1" showErrorMessage="1" sqref="H147:X148">
      <formula1>$AB$319:$AB$323</formula1>
    </dataValidation>
    <dataValidation type="list" allowBlank="1" showInputMessage="1" showErrorMessage="1" sqref="H144:X146">
      <formula1>$AB$313:$AB$317</formula1>
    </dataValidation>
    <dataValidation type="list" allowBlank="1" showInputMessage="1" showErrorMessage="1" sqref="H139:X140">
      <formula1>$AB$308:$AB$311</formula1>
    </dataValidation>
    <dataValidation type="list" allowBlank="1" showInputMessage="1" showErrorMessage="1" sqref="H184:X185">
      <formula1>$AB$353:$AB$357</formula1>
    </dataValidation>
    <dataValidation type="list" allowBlank="1" showInputMessage="1" showErrorMessage="1" sqref="H219:X220">
      <formula1>$AB$388:$AB$392</formula1>
    </dataValidation>
    <dataValidation type="list" allowBlank="1" showInputMessage="1" showErrorMessage="1" sqref="H247:X250">
      <formula1>$AB$416:$AB$420</formula1>
    </dataValidation>
    <dataValidation type="list" allowBlank="1" showInputMessage="1" showErrorMessage="1" sqref="H296:X297">
      <formula1>$AB$465:$AB$468</formula1>
    </dataValidation>
    <dataValidation type="list" allowBlank="1" showInputMessage="1" showErrorMessage="1" sqref="H298:X299">
      <formula1>$AB$470:$AB$474</formula1>
    </dataValidation>
    <dataValidation type="list" allowBlank="1" showInputMessage="1" showErrorMessage="1" sqref="H308:X309">
      <formula1>$AB$482:$AB$486</formula1>
    </dataValidation>
    <dataValidation type="list" allowBlank="1" showInputMessage="1" showErrorMessage="1" sqref="H306:X307">
      <formula1>$AB$476:$AB$480</formula1>
    </dataValidation>
    <dataValidation type="list" allowBlank="1" showInputMessage="1" showErrorMessage="1" sqref="H322:X323">
      <formula1>$AB$488:$AB$492</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7"/>
  <sheetViews>
    <sheetView zoomScaleNormal="100" workbookViewId="0">
      <selection activeCell="A59" sqref="A59:B59"/>
    </sheetView>
  </sheetViews>
  <sheetFormatPr defaultColWidth="8.88671875" defaultRowHeight="14.4"/>
  <cols>
    <col min="1" max="1" width="10.109375" style="18" customWidth="1"/>
    <col min="2" max="2" width="16.44140625" style="18" bestFit="1" customWidth="1"/>
    <col min="3" max="3" width="15.6640625" style="18" customWidth="1"/>
    <col min="4" max="4" width="17.6640625" style="18" bestFit="1" customWidth="1"/>
    <col min="5" max="5" width="9.33203125" style="18" customWidth="1"/>
    <col min="6" max="7" width="15.6640625" style="18" customWidth="1"/>
    <col min="8" max="8" width="17.6640625" style="18" bestFit="1" customWidth="1"/>
    <col min="9" max="9" width="8.44140625" style="18" customWidth="1"/>
    <col min="10" max="11" width="15.6640625" style="18" customWidth="1"/>
    <col min="12" max="12" width="18.6640625" style="18" bestFit="1" customWidth="1"/>
    <col min="13" max="13" width="8.33203125" style="18" bestFit="1" customWidth="1"/>
    <col min="14" max="14" width="4.109375" style="18" bestFit="1" customWidth="1"/>
    <col min="15" max="16" width="18.6640625" style="18" customWidth="1"/>
    <col min="17" max="17" width="3.33203125" style="18" bestFit="1" customWidth="1"/>
    <col min="18" max="20" width="18.6640625" style="18" customWidth="1"/>
    <col min="21" max="30" width="15.6640625" style="19" customWidth="1"/>
    <col min="31" max="255" width="9.109375" style="19"/>
    <col min="256" max="256" width="15.6640625" style="19" customWidth="1"/>
    <col min="257" max="257" width="16.44140625" style="19" bestFit="1" customWidth="1"/>
    <col min="258" max="258" width="15.6640625" style="19" customWidth="1"/>
    <col min="259" max="259" width="17.6640625" style="19" bestFit="1" customWidth="1"/>
    <col min="260" max="262" width="15.6640625" style="19" customWidth="1"/>
    <col min="263" max="263" width="17.6640625" style="19" bestFit="1" customWidth="1"/>
    <col min="264" max="266" width="15.6640625" style="19" customWidth="1"/>
    <col min="267" max="267" width="18.6640625" style="19" bestFit="1" customWidth="1"/>
    <col min="268" max="270" width="15.6640625" style="19" customWidth="1"/>
    <col min="271" max="271" width="17.6640625" style="19" customWidth="1"/>
    <col min="272" max="272" width="20.6640625" style="19" customWidth="1"/>
    <col min="273" max="273" width="23.44140625" style="19" bestFit="1" customWidth="1"/>
    <col min="274" max="276" width="20.6640625" style="19" customWidth="1"/>
    <col min="277" max="286" width="15.6640625" style="19" customWidth="1"/>
    <col min="287" max="511" width="9.109375" style="19"/>
    <col min="512" max="512" width="15.6640625" style="19" customWidth="1"/>
    <col min="513" max="513" width="16.44140625" style="19" bestFit="1" customWidth="1"/>
    <col min="514" max="514" width="15.6640625" style="19" customWidth="1"/>
    <col min="515" max="515" width="17.6640625" style="19" bestFit="1" customWidth="1"/>
    <col min="516" max="518" width="15.6640625" style="19" customWidth="1"/>
    <col min="519" max="519" width="17.6640625" style="19" bestFit="1" customWidth="1"/>
    <col min="520" max="522" width="15.6640625" style="19" customWidth="1"/>
    <col min="523" max="523" width="18.6640625" style="19" bestFit="1" customWidth="1"/>
    <col min="524" max="526" width="15.6640625" style="19" customWidth="1"/>
    <col min="527" max="527" width="17.6640625" style="19" customWidth="1"/>
    <col min="528" max="528" width="20.6640625" style="19" customWidth="1"/>
    <col min="529" max="529" width="23.44140625" style="19" bestFit="1" customWidth="1"/>
    <col min="530" max="532" width="20.6640625" style="19" customWidth="1"/>
    <col min="533" max="542" width="15.6640625" style="19" customWidth="1"/>
    <col min="543" max="767" width="9.109375" style="19"/>
    <col min="768" max="768" width="15.6640625" style="19" customWidth="1"/>
    <col min="769" max="769" width="16.44140625" style="19" bestFit="1" customWidth="1"/>
    <col min="770" max="770" width="15.6640625" style="19" customWidth="1"/>
    <col min="771" max="771" width="17.6640625" style="19" bestFit="1" customWidth="1"/>
    <col min="772" max="774" width="15.6640625" style="19" customWidth="1"/>
    <col min="775" max="775" width="17.6640625" style="19" bestFit="1" customWidth="1"/>
    <col min="776" max="778" width="15.6640625" style="19" customWidth="1"/>
    <col min="779" max="779" width="18.6640625" style="19" bestFit="1" customWidth="1"/>
    <col min="780" max="782" width="15.6640625" style="19" customWidth="1"/>
    <col min="783" max="783" width="17.6640625" style="19" customWidth="1"/>
    <col min="784" max="784" width="20.6640625" style="19" customWidth="1"/>
    <col min="785" max="785" width="23.44140625" style="19" bestFit="1" customWidth="1"/>
    <col min="786" max="788" width="20.6640625" style="19" customWidth="1"/>
    <col min="789" max="798" width="15.6640625" style="19" customWidth="1"/>
    <col min="799" max="1023" width="9.109375" style="19"/>
    <col min="1024" max="1024" width="15.6640625" style="19" customWidth="1"/>
    <col min="1025" max="1025" width="16.44140625" style="19" bestFit="1" customWidth="1"/>
    <col min="1026" max="1026" width="15.6640625" style="19" customWidth="1"/>
    <col min="1027" max="1027" width="17.6640625" style="19" bestFit="1" customWidth="1"/>
    <col min="1028" max="1030" width="15.6640625" style="19" customWidth="1"/>
    <col min="1031" max="1031" width="17.6640625" style="19" bestFit="1" customWidth="1"/>
    <col min="1032" max="1034" width="15.6640625" style="19" customWidth="1"/>
    <col min="1035" max="1035" width="18.6640625" style="19" bestFit="1" customWidth="1"/>
    <col min="1036" max="1038" width="15.6640625" style="19" customWidth="1"/>
    <col min="1039" max="1039" width="17.6640625" style="19" customWidth="1"/>
    <col min="1040" max="1040" width="20.6640625" style="19" customWidth="1"/>
    <col min="1041" max="1041" width="23.44140625" style="19" bestFit="1" customWidth="1"/>
    <col min="1042" max="1044" width="20.6640625" style="19" customWidth="1"/>
    <col min="1045" max="1054" width="15.6640625" style="19" customWidth="1"/>
    <col min="1055" max="1279" width="9.109375" style="19"/>
    <col min="1280" max="1280" width="15.6640625" style="19" customWidth="1"/>
    <col min="1281" max="1281" width="16.44140625" style="19" bestFit="1" customWidth="1"/>
    <col min="1282" max="1282" width="15.6640625" style="19" customWidth="1"/>
    <col min="1283" max="1283" width="17.6640625" style="19" bestFit="1" customWidth="1"/>
    <col min="1284" max="1286" width="15.6640625" style="19" customWidth="1"/>
    <col min="1287" max="1287" width="17.6640625" style="19" bestFit="1" customWidth="1"/>
    <col min="1288" max="1290" width="15.6640625" style="19" customWidth="1"/>
    <col min="1291" max="1291" width="18.6640625" style="19" bestFit="1" customWidth="1"/>
    <col min="1292" max="1294" width="15.6640625" style="19" customWidth="1"/>
    <col min="1295" max="1295" width="17.6640625" style="19" customWidth="1"/>
    <col min="1296" max="1296" width="20.6640625" style="19" customWidth="1"/>
    <col min="1297" max="1297" width="23.44140625" style="19" bestFit="1" customWidth="1"/>
    <col min="1298" max="1300" width="20.6640625" style="19" customWidth="1"/>
    <col min="1301" max="1310" width="15.6640625" style="19" customWidth="1"/>
    <col min="1311" max="1535" width="9.109375" style="19"/>
    <col min="1536" max="1536" width="15.6640625" style="19" customWidth="1"/>
    <col min="1537" max="1537" width="16.44140625" style="19" bestFit="1" customWidth="1"/>
    <col min="1538" max="1538" width="15.6640625" style="19" customWidth="1"/>
    <col min="1539" max="1539" width="17.6640625" style="19" bestFit="1" customWidth="1"/>
    <col min="1540" max="1542" width="15.6640625" style="19" customWidth="1"/>
    <col min="1543" max="1543" width="17.6640625" style="19" bestFit="1" customWidth="1"/>
    <col min="1544" max="1546" width="15.6640625" style="19" customWidth="1"/>
    <col min="1547" max="1547" width="18.6640625" style="19" bestFit="1" customWidth="1"/>
    <col min="1548" max="1550" width="15.6640625" style="19" customWidth="1"/>
    <col min="1551" max="1551" width="17.6640625" style="19" customWidth="1"/>
    <col min="1552" max="1552" width="20.6640625" style="19" customWidth="1"/>
    <col min="1553" max="1553" width="23.44140625" style="19" bestFit="1" customWidth="1"/>
    <col min="1554" max="1556" width="20.6640625" style="19" customWidth="1"/>
    <col min="1557" max="1566" width="15.6640625" style="19" customWidth="1"/>
    <col min="1567" max="1791" width="9.109375" style="19"/>
    <col min="1792" max="1792" width="15.6640625" style="19" customWidth="1"/>
    <col min="1793" max="1793" width="16.44140625" style="19" bestFit="1" customWidth="1"/>
    <col min="1794" max="1794" width="15.6640625" style="19" customWidth="1"/>
    <col min="1795" max="1795" width="17.6640625" style="19" bestFit="1" customWidth="1"/>
    <col min="1796" max="1798" width="15.6640625" style="19" customWidth="1"/>
    <col min="1799" max="1799" width="17.6640625" style="19" bestFit="1" customWidth="1"/>
    <col min="1800" max="1802" width="15.6640625" style="19" customWidth="1"/>
    <col min="1803" max="1803" width="18.6640625" style="19" bestFit="1" customWidth="1"/>
    <col min="1804" max="1806" width="15.6640625" style="19" customWidth="1"/>
    <col min="1807" max="1807" width="17.6640625" style="19" customWidth="1"/>
    <col min="1808" max="1808" width="20.6640625" style="19" customWidth="1"/>
    <col min="1809" max="1809" width="23.44140625" style="19" bestFit="1" customWidth="1"/>
    <col min="1810" max="1812" width="20.6640625" style="19" customWidth="1"/>
    <col min="1813" max="1822" width="15.6640625" style="19" customWidth="1"/>
    <col min="1823" max="2047" width="9.109375" style="19"/>
    <col min="2048" max="2048" width="15.6640625" style="19" customWidth="1"/>
    <col min="2049" max="2049" width="16.44140625" style="19" bestFit="1" customWidth="1"/>
    <col min="2050" max="2050" width="15.6640625" style="19" customWidth="1"/>
    <col min="2051" max="2051" width="17.6640625" style="19" bestFit="1" customWidth="1"/>
    <col min="2052" max="2054" width="15.6640625" style="19" customWidth="1"/>
    <col min="2055" max="2055" width="17.6640625" style="19" bestFit="1" customWidth="1"/>
    <col min="2056" max="2058" width="15.6640625" style="19" customWidth="1"/>
    <col min="2059" max="2059" width="18.6640625" style="19" bestFit="1" customWidth="1"/>
    <col min="2060" max="2062" width="15.6640625" style="19" customWidth="1"/>
    <col min="2063" max="2063" width="17.6640625" style="19" customWidth="1"/>
    <col min="2064" max="2064" width="20.6640625" style="19" customWidth="1"/>
    <col min="2065" max="2065" width="23.44140625" style="19" bestFit="1" customWidth="1"/>
    <col min="2066" max="2068" width="20.6640625" style="19" customWidth="1"/>
    <col min="2069" max="2078" width="15.6640625" style="19" customWidth="1"/>
    <col min="2079" max="2303" width="9.109375" style="19"/>
    <col min="2304" max="2304" width="15.6640625" style="19" customWidth="1"/>
    <col min="2305" max="2305" width="16.44140625" style="19" bestFit="1" customWidth="1"/>
    <col min="2306" max="2306" width="15.6640625" style="19" customWidth="1"/>
    <col min="2307" max="2307" width="17.6640625" style="19" bestFit="1" customWidth="1"/>
    <col min="2308" max="2310" width="15.6640625" style="19" customWidth="1"/>
    <col min="2311" max="2311" width="17.6640625" style="19" bestFit="1" customWidth="1"/>
    <col min="2312" max="2314" width="15.6640625" style="19" customWidth="1"/>
    <col min="2315" max="2315" width="18.6640625" style="19" bestFit="1" customWidth="1"/>
    <col min="2316" max="2318" width="15.6640625" style="19" customWidth="1"/>
    <col min="2319" max="2319" width="17.6640625" style="19" customWidth="1"/>
    <col min="2320" max="2320" width="20.6640625" style="19" customWidth="1"/>
    <col min="2321" max="2321" width="23.44140625" style="19" bestFit="1" customWidth="1"/>
    <col min="2322" max="2324" width="20.6640625" style="19" customWidth="1"/>
    <col min="2325" max="2334" width="15.6640625" style="19" customWidth="1"/>
    <col min="2335" max="2559" width="9.109375" style="19"/>
    <col min="2560" max="2560" width="15.6640625" style="19" customWidth="1"/>
    <col min="2561" max="2561" width="16.44140625" style="19" bestFit="1" customWidth="1"/>
    <col min="2562" max="2562" width="15.6640625" style="19" customWidth="1"/>
    <col min="2563" max="2563" width="17.6640625" style="19" bestFit="1" customWidth="1"/>
    <col min="2564" max="2566" width="15.6640625" style="19" customWidth="1"/>
    <col min="2567" max="2567" width="17.6640625" style="19" bestFit="1" customWidth="1"/>
    <col min="2568" max="2570" width="15.6640625" style="19" customWidth="1"/>
    <col min="2571" max="2571" width="18.6640625" style="19" bestFit="1" customWidth="1"/>
    <col min="2572" max="2574" width="15.6640625" style="19" customWidth="1"/>
    <col min="2575" max="2575" width="17.6640625" style="19" customWidth="1"/>
    <col min="2576" max="2576" width="20.6640625" style="19" customWidth="1"/>
    <col min="2577" max="2577" width="23.44140625" style="19" bestFit="1" customWidth="1"/>
    <col min="2578" max="2580" width="20.6640625" style="19" customWidth="1"/>
    <col min="2581" max="2590" width="15.6640625" style="19" customWidth="1"/>
    <col min="2591" max="2815" width="9.109375" style="19"/>
    <col min="2816" max="2816" width="15.6640625" style="19" customWidth="1"/>
    <col min="2817" max="2817" width="16.44140625" style="19" bestFit="1" customWidth="1"/>
    <col min="2818" max="2818" width="15.6640625" style="19" customWidth="1"/>
    <col min="2819" max="2819" width="17.6640625" style="19" bestFit="1" customWidth="1"/>
    <col min="2820" max="2822" width="15.6640625" style="19" customWidth="1"/>
    <col min="2823" max="2823" width="17.6640625" style="19" bestFit="1" customWidth="1"/>
    <col min="2824" max="2826" width="15.6640625" style="19" customWidth="1"/>
    <col min="2827" max="2827" width="18.6640625" style="19" bestFit="1" customWidth="1"/>
    <col min="2828" max="2830" width="15.6640625" style="19" customWidth="1"/>
    <col min="2831" max="2831" width="17.6640625" style="19" customWidth="1"/>
    <col min="2832" max="2832" width="20.6640625" style="19" customWidth="1"/>
    <col min="2833" max="2833" width="23.44140625" style="19" bestFit="1" customWidth="1"/>
    <col min="2834" max="2836" width="20.6640625" style="19" customWidth="1"/>
    <col min="2837" max="2846" width="15.6640625" style="19" customWidth="1"/>
    <col min="2847" max="3071" width="9.109375" style="19"/>
    <col min="3072" max="3072" width="15.6640625" style="19" customWidth="1"/>
    <col min="3073" max="3073" width="16.44140625" style="19" bestFit="1" customWidth="1"/>
    <col min="3074" max="3074" width="15.6640625" style="19" customWidth="1"/>
    <col min="3075" max="3075" width="17.6640625" style="19" bestFit="1" customWidth="1"/>
    <col min="3076" max="3078" width="15.6640625" style="19" customWidth="1"/>
    <col min="3079" max="3079" width="17.6640625" style="19" bestFit="1" customWidth="1"/>
    <col min="3080" max="3082" width="15.6640625" style="19" customWidth="1"/>
    <col min="3083" max="3083" width="18.6640625" style="19" bestFit="1" customWidth="1"/>
    <col min="3084" max="3086" width="15.6640625" style="19" customWidth="1"/>
    <col min="3087" max="3087" width="17.6640625" style="19" customWidth="1"/>
    <col min="3088" max="3088" width="20.6640625" style="19" customWidth="1"/>
    <col min="3089" max="3089" width="23.44140625" style="19" bestFit="1" customWidth="1"/>
    <col min="3090" max="3092" width="20.6640625" style="19" customWidth="1"/>
    <col min="3093" max="3102" width="15.6640625" style="19" customWidth="1"/>
    <col min="3103" max="3327" width="9.109375" style="19"/>
    <col min="3328" max="3328" width="15.6640625" style="19" customWidth="1"/>
    <col min="3329" max="3329" width="16.44140625" style="19" bestFit="1" customWidth="1"/>
    <col min="3330" max="3330" width="15.6640625" style="19" customWidth="1"/>
    <col min="3331" max="3331" width="17.6640625" style="19" bestFit="1" customWidth="1"/>
    <col min="3332" max="3334" width="15.6640625" style="19" customWidth="1"/>
    <col min="3335" max="3335" width="17.6640625" style="19" bestFit="1" customWidth="1"/>
    <col min="3336" max="3338" width="15.6640625" style="19" customWidth="1"/>
    <col min="3339" max="3339" width="18.6640625" style="19" bestFit="1" customWidth="1"/>
    <col min="3340" max="3342" width="15.6640625" style="19" customWidth="1"/>
    <col min="3343" max="3343" width="17.6640625" style="19" customWidth="1"/>
    <col min="3344" max="3344" width="20.6640625" style="19" customWidth="1"/>
    <col min="3345" max="3345" width="23.44140625" style="19" bestFit="1" customWidth="1"/>
    <col min="3346" max="3348" width="20.6640625" style="19" customWidth="1"/>
    <col min="3349" max="3358" width="15.6640625" style="19" customWidth="1"/>
    <col min="3359" max="3583" width="9.109375" style="19"/>
    <col min="3584" max="3584" width="15.6640625" style="19" customWidth="1"/>
    <col min="3585" max="3585" width="16.44140625" style="19" bestFit="1" customWidth="1"/>
    <col min="3586" max="3586" width="15.6640625" style="19" customWidth="1"/>
    <col min="3587" max="3587" width="17.6640625" style="19" bestFit="1" customWidth="1"/>
    <col min="3588" max="3590" width="15.6640625" style="19" customWidth="1"/>
    <col min="3591" max="3591" width="17.6640625" style="19" bestFit="1" customWidth="1"/>
    <col min="3592" max="3594" width="15.6640625" style="19" customWidth="1"/>
    <col min="3595" max="3595" width="18.6640625" style="19" bestFit="1" customWidth="1"/>
    <col min="3596" max="3598" width="15.6640625" style="19" customWidth="1"/>
    <col min="3599" max="3599" width="17.6640625" style="19" customWidth="1"/>
    <col min="3600" max="3600" width="20.6640625" style="19" customWidth="1"/>
    <col min="3601" max="3601" width="23.44140625" style="19" bestFit="1" customWidth="1"/>
    <col min="3602" max="3604" width="20.6640625" style="19" customWidth="1"/>
    <col min="3605" max="3614" width="15.6640625" style="19" customWidth="1"/>
    <col min="3615" max="3839" width="9.109375" style="19"/>
    <col min="3840" max="3840" width="15.6640625" style="19" customWidth="1"/>
    <col min="3841" max="3841" width="16.44140625" style="19" bestFit="1" customWidth="1"/>
    <col min="3842" max="3842" width="15.6640625" style="19" customWidth="1"/>
    <col min="3843" max="3843" width="17.6640625" style="19" bestFit="1" customWidth="1"/>
    <col min="3844" max="3846" width="15.6640625" style="19" customWidth="1"/>
    <col min="3847" max="3847" width="17.6640625" style="19" bestFit="1" customWidth="1"/>
    <col min="3848" max="3850" width="15.6640625" style="19" customWidth="1"/>
    <col min="3851" max="3851" width="18.6640625" style="19" bestFit="1" customWidth="1"/>
    <col min="3852" max="3854" width="15.6640625" style="19" customWidth="1"/>
    <col min="3855" max="3855" width="17.6640625" style="19" customWidth="1"/>
    <col min="3856" max="3856" width="20.6640625" style="19" customWidth="1"/>
    <col min="3857" max="3857" width="23.44140625" style="19" bestFit="1" customWidth="1"/>
    <col min="3858" max="3860" width="20.6640625" style="19" customWidth="1"/>
    <col min="3861" max="3870" width="15.6640625" style="19" customWidth="1"/>
    <col min="3871" max="4095" width="9.109375" style="19"/>
    <col min="4096" max="4096" width="15.6640625" style="19" customWidth="1"/>
    <col min="4097" max="4097" width="16.44140625" style="19" bestFit="1" customWidth="1"/>
    <col min="4098" max="4098" width="15.6640625" style="19" customWidth="1"/>
    <col min="4099" max="4099" width="17.6640625" style="19" bestFit="1" customWidth="1"/>
    <col min="4100" max="4102" width="15.6640625" style="19" customWidth="1"/>
    <col min="4103" max="4103" width="17.6640625" style="19" bestFit="1" customWidth="1"/>
    <col min="4104" max="4106" width="15.6640625" style="19" customWidth="1"/>
    <col min="4107" max="4107" width="18.6640625" style="19" bestFit="1" customWidth="1"/>
    <col min="4108" max="4110" width="15.6640625" style="19" customWidth="1"/>
    <col min="4111" max="4111" width="17.6640625" style="19" customWidth="1"/>
    <col min="4112" max="4112" width="20.6640625" style="19" customWidth="1"/>
    <col min="4113" max="4113" width="23.44140625" style="19" bestFit="1" customWidth="1"/>
    <col min="4114" max="4116" width="20.6640625" style="19" customWidth="1"/>
    <col min="4117" max="4126" width="15.6640625" style="19" customWidth="1"/>
    <col min="4127" max="4351" width="9.109375" style="19"/>
    <col min="4352" max="4352" width="15.6640625" style="19" customWidth="1"/>
    <col min="4353" max="4353" width="16.44140625" style="19" bestFit="1" customWidth="1"/>
    <col min="4354" max="4354" width="15.6640625" style="19" customWidth="1"/>
    <col min="4355" max="4355" width="17.6640625" style="19" bestFit="1" customWidth="1"/>
    <col min="4356" max="4358" width="15.6640625" style="19" customWidth="1"/>
    <col min="4359" max="4359" width="17.6640625" style="19" bestFit="1" customWidth="1"/>
    <col min="4360" max="4362" width="15.6640625" style="19" customWidth="1"/>
    <col min="4363" max="4363" width="18.6640625" style="19" bestFit="1" customWidth="1"/>
    <col min="4364" max="4366" width="15.6640625" style="19" customWidth="1"/>
    <col min="4367" max="4367" width="17.6640625" style="19" customWidth="1"/>
    <col min="4368" max="4368" width="20.6640625" style="19" customWidth="1"/>
    <col min="4369" max="4369" width="23.44140625" style="19" bestFit="1" customWidth="1"/>
    <col min="4370" max="4372" width="20.6640625" style="19" customWidth="1"/>
    <col min="4373" max="4382" width="15.6640625" style="19" customWidth="1"/>
    <col min="4383" max="4607" width="9.109375" style="19"/>
    <col min="4608" max="4608" width="15.6640625" style="19" customWidth="1"/>
    <col min="4609" max="4609" width="16.44140625" style="19" bestFit="1" customWidth="1"/>
    <col min="4610" max="4610" width="15.6640625" style="19" customWidth="1"/>
    <col min="4611" max="4611" width="17.6640625" style="19" bestFit="1" customWidth="1"/>
    <col min="4612" max="4614" width="15.6640625" style="19" customWidth="1"/>
    <col min="4615" max="4615" width="17.6640625" style="19" bestFit="1" customWidth="1"/>
    <col min="4616" max="4618" width="15.6640625" style="19" customWidth="1"/>
    <col min="4619" max="4619" width="18.6640625" style="19" bestFit="1" customWidth="1"/>
    <col min="4620" max="4622" width="15.6640625" style="19" customWidth="1"/>
    <col min="4623" max="4623" width="17.6640625" style="19" customWidth="1"/>
    <col min="4624" max="4624" width="20.6640625" style="19" customWidth="1"/>
    <col min="4625" max="4625" width="23.44140625" style="19" bestFit="1" customWidth="1"/>
    <col min="4626" max="4628" width="20.6640625" style="19" customWidth="1"/>
    <col min="4629" max="4638" width="15.6640625" style="19" customWidth="1"/>
    <col min="4639" max="4863" width="9.109375" style="19"/>
    <col min="4864" max="4864" width="15.6640625" style="19" customWidth="1"/>
    <col min="4865" max="4865" width="16.44140625" style="19" bestFit="1" customWidth="1"/>
    <col min="4866" max="4866" width="15.6640625" style="19" customWidth="1"/>
    <col min="4867" max="4867" width="17.6640625" style="19" bestFit="1" customWidth="1"/>
    <col min="4868" max="4870" width="15.6640625" style="19" customWidth="1"/>
    <col min="4871" max="4871" width="17.6640625" style="19" bestFit="1" customWidth="1"/>
    <col min="4872" max="4874" width="15.6640625" style="19" customWidth="1"/>
    <col min="4875" max="4875" width="18.6640625" style="19" bestFit="1" customWidth="1"/>
    <col min="4876" max="4878" width="15.6640625" style="19" customWidth="1"/>
    <col min="4879" max="4879" width="17.6640625" style="19" customWidth="1"/>
    <col min="4880" max="4880" width="20.6640625" style="19" customWidth="1"/>
    <col min="4881" max="4881" width="23.44140625" style="19" bestFit="1" customWidth="1"/>
    <col min="4882" max="4884" width="20.6640625" style="19" customWidth="1"/>
    <col min="4885" max="4894" width="15.6640625" style="19" customWidth="1"/>
    <col min="4895" max="5119" width="9.109375" style="19"/>
    <col min="5120" max="5120" width="15.6640625" style="19" customWidth="1"/>
    <col min="5121" max="5121" width="16.44140625" style="19" bestFit="1" customWidth="1"/>
    <col min="5122" max="5122" width="15.6640625" style="19" customWidth="1"/>
    <col min="5123" max="5123" width="17.6640625" style="19" bestFit="1" customWidth="1"/>
    <col min="5124" max="5126" width="15.6640625" style="19" customWidth="1"/>
    <col min="5127" max="5127" width="17.6640625" style="19" bestFit="1" customWidth="1"/>
    <col min="5128" max="5130" width="15.6640625" style="19" customWidth="1"/>
    <col min="5131" max="5131" width="18.6640625" style="19" bestFit="1" customWidth="1"/>
    <col min="5132" max="5134" width="15.6640625" style="19" customWidth="1"/>
    <col min="5135" max="5135" width="17.6640625" style="19" customWidth="1"/>
    <col min="5136" max="5136" width="20.6640625" style="19" customWidth="1"/>
    <col min="5137" max="5137" width="23.44140625" style="19" bestFit="1" customWidth="1"/>
    <col min="5138" max="5140" width="20.6640625" style="19" customWidth="1"/>
    <col min="5141" max="5150" width="15.6640625" style="19" customWidth="1"/>
    <col min="5151" max="5375" width="9.109375" style="19"/>
    <col min="5376" max="5376" width="15.6640625" style="19" customWidth="1"/>
    <col min="5377" max="5377" width="16.44140625" style="19" bestFit="1" customWidth="1"/>
    <col min="5378" max="5378" width="15.6640625" style="19" customWidth="1"/>
    <col min="5379" max="5379" width="17.6640625" style="19" bestFit="1" customWidth="1"/>
    <col min="5380" max="5382" width="15.6640625" style="19" customWidth="1"/>
    <col min="5383" max="5383" width="17.6640625" style="19" bestFit="1" customWidth="1"/>
    <col min="5384" max="5386" width="15.6640625" style="19" customWidth="1"/>
    <col min="5387" max="5387" width="18.6640625" style="19" bestFit="1" customWidth="1"/>
    <col min="5388" max="5390" width="15.6640625" style="19" customWidth="1"/>
    <col min="5391" max="5391" width="17.6640625" style="19" customWidth="1"/>
    <col min="5392" max="5392" width="20.6640625" style="19" customWidth="1"/>
    <col min="5393" max="5393" width="23.44140625" style="19" bestFit="1" customWidth="1"/>
    <col min="5394" max="5396" width="20.6640625" style="19" customWidth="1"/>
    <col min="5397" max="5406" width="15.6640625" style="19" customWidth="1"/>
    <col min="5407" max="5631" width="9.109375" style="19"/>
    <col min="5632" max="5632" width="15.6640625" style="19" customWidth="1"/>
    <col min="5633" max="5633" width="16.44140625" style="19" bestFit="1" customWidth="1"/>
    <col min="5634" max="5634" width="15.6640625" style="19" customWidth="1"/>
    <col min="5635" max="5635" width="17.6640625" style="19" bestFit="1" customWidth="1"/>
    <col min="5636" max="5638" width="15.6640625" style="19" customWidth="1"/>
    <col min="5639" max="5639" width="17.6640625" style="19" bestFit="1" customWidth="1"/>
    <col min="5640" max="5642" width="15.6640625" style="19" customWidth="1"/>
    <col min="5643" max="5643" width="18.6640625" style="19" bestFit="1" customWidth="1"/>
    <col min="5644" max="5646" width="15.6640625" style="19" customWidth="1"/>
    <col min="5647" max="5647" width="17.6640625" style="19" customWidth="1"/>
    <col min="5648" max="5648" width="20.6640625" style="19" customWidth="1"/>
    <col min="5649" max="5649" width="23.44140625" style="19" bestFit="1" customWidth="1"/>
    <col min="5650" max="5652" width="20.6640625" style="19" customWidth="1"/>
    <col min="5653" max="5662" width="15.6640625" style="19" customWidth="1"/>
    <col min="5663" max="5887" width="9.109375" style="19"/>
    <col min="5888" max="5888" width="15.6640625" style="19" customWidth="1"/>
    <col min="5889" max="5889" width="16.44140625" style="19" bestFit="1" customWidth="1"/>
    <col min="5890" max="5890" width="15.6640625" style="19" customWidth="1"/>
    <col min="5891" max="5891" width="17.6640625" style="19" bestFit="1" customWidth="1"/>
    <col min="5892" max="5894" width="15.6640625" style="19" customWidth="1"/>
    <col min="5895" max="5895" width="17.6640625" style="19" bestFit="1" customWidth="1"/>
    <col min="5896" max="5898" width="15.6640625" style="19" customWidth="1"/>
    <col min="5899" max="5899" width="18.6640625" style="19" bestFit="1" customWidth="1"/>
    <col min="5900" max="5902" width="15.6640625" style="19" customWidth="1"/>
    <col min="5903" max="5903" width="17.6640625" style="19" customWidth="1"/>
    <col min="5904" max="5904" width="20.6640625" style="19" customWidth="1"/>
    <col min="5905" max="5905" width="23.44140625" style="19" bestFit="1" customWidth="1"/>
    <col min="5906" max="5908" width="20.6640625" style="19" customWidth="1"/>
    <col min="5909" max="5918" width="15.6640625" style="19" customWidth="1"/>
    <col min="5919" max="6143" width="9.109375" style="19"/>
    <col min="6144" max="6144" width="15.6640625" style="19" customWidth="1"/>
    <col min="6145" max="6145" width="16.44140625" style="19" bestFit="1" customWidth="1"/>
    <col min="6146" max="6146" width="15.6640625" style="19" customWidth="1"/>
    <col min="6147" max="6147" width="17.6640625" style="19" bestFit="1" customWidth="1"/>
    <col min="6148" max="6150" width="15.6640625" style="19" customWidth="1"/>
    <col min="6151" max="6151" width="17.6640625" style="19" bestFit="1" customWidth="1"/>
    <col min="6152" max="6154" width="15.6640625" style="19" customWidth="1"/>
    <col min="6155" max="6155" width="18.6640625" style="19" bestFit="1" customWidth="1"/>
    <col min="6156" max="6158" width="15.6640625" style="19" customWidth="1"/>
    <col min="6159" max="6159" width="17.6640625" style="19" customWidth="1"/>
    <col min="6160" max="6160" width="20.6640625" style="19" customWidth="1"/>
    <col min="6161" max="6161" width="23.44140625" style="19" bestFit="1" customWidth="1"/>
    <col min="6162" max="6164" width="20.6640625" style="19" customWidth="1"/>
    <col min="6165" max="6174" width="15.6640625" style="19" customWidth="1"/>
    <col min="6175" max="6399" width="9.109375" style="19"/>
    <col min="6400" max="6400" width="15.6640625" style="19" customWidth="1"/>
    <col min="6401" max="6401" width="16.44140625" style="19" bestFit="1" customWidth="1"/>
    <col min="6402" max="6402" width="15.6640625" style="19" customWidth="1"/>
    <col min="6403" max="6403" width="17.6640625" style="19" bestFit="1" customWidth="1"/>
    <col min="6404" max="6406" width="15.6640625" style="19" customWidth="1"/>
    <col min="6407" max="6407" width="17.6640625" style="19" bestFit="1" customWidth="1"/>
    <col min="6408" max="6410" width="15.6640625" style="19" customWidth="1"/>
    <col min="6411" max="6411" width="18.6640625" style="19" bestFit="1" customWidth="1"/>
    <col min="6412" max="6414" width="15.6640625" style="19" customWidth="1"/>
    <col min="6415" max="6415" width="17.6640625" style="19" customWidth="1"/>
    <col min="6416" max="6416" width="20.6640625" style="19" customWidth="1"/>
    <col min="6417" max="6417" width="23.44140625" style="19" bestFit="1" customWidth="1"/>
    <col min="6418" max="6420" width="20.6640625" style="19" customWidth="1"/>
    <col min="6421" max="6430" width="15.6640625" style="19" customWidth="1"/>
    <col min="6431" max="6655" width="9.109375" style="19"/>
    <col min="6656" max="6656" width="15.6640625" style="19" customWidth="1"/>
    <col min="6657" max="6657" width="16.44140625" style="19" bestFit="1" customWidth="1"/>
    <col min="6658" max="6658" width="15.6640625" style="19" customWidth="1"/>
    <col min="6659" max="6659" width="17.6640625" style="19" bestFit="1" customWidth="1"/>
    <col min="6660" max="6662" width="15.6640625" style="19" customWidth="1"/>
    <col min="6663" max="6663" width="17.6640625" style="19" bestFit="1" customWidth="1"/>
    <col min="6664" max="6666" width="15.6640625" style="19" customWidth="1"/>
    <col min="6667" max="6667" width="18.6640625" style="19" bestFit="1" customWidth="1"/>
    <col min="6668" max="6670" width="15.6640625" style="19" customWidth="1"/>
    <col min="6671" max="6671" width="17.6640625" style="19" customWidth="1"/>
    <col min="6672" max="6672" width="20.6640625" style="19" customWidth="1"/>
    <col min="6673" max="6673" width="23.44140625" style="19" bestFit="1" customWidth="1"/>
    <col min="6674" max="6676" width="20.6640625" style="19" customWidth="1"/>
    <col min="6677" max="6686" width="15.6640625" style="19" customWidth="1"/>
    <col min="6687" max="6911" width="9.109375" style="19"/>
    <col min="6912" max="6912" width="15.6640625" style="19" customWidth="1"/>
    <col min="6913" max="6913" width="16.44140625" style="19" bestFit="1" customWidth="1"/>
    <col min="6914" max="6914" width="15.6640625" style="19" customWidth="1"/>
    <col min="6915" max="6915" width="17.6640625" style="19" bestFit="1" customWidth="1"/>
    <col min="6916" max="6918" width="15.6640625" style="19" customWidth="1"/>
    <col min="6919" max="6919" width="17.6640625" style="19" bestFit="1" customWidth="1"/>
    <col min="6920" max="6922" width="15.6640625" style="19" customWidth="1"/>
    <col min="6923" max="6923" width="18.6640625" style="19" bestFit="1" customWidth="1"/>
    <col min="6924" max="6926" width="15.6640625" style="19" customWidth="1"/>
    <col min="6927" max="6927" width="17.6640625" style="19" customWidth="1"/>
    <col min="6928" max="6928" width="20.6640625" style="19" customWidth="1"/>
    <col min="6929" max="6929" width="23.44140625" style="19" bestFit="1" customWidth="1"/>
    <col min="6930" max="6932" width="20.6640625" style="19" customWidth="1"/>
    <col min="6933" max="6942" width="15.6640625" style="19" customWidth="1"/>
    <col min="6943" max="7167" width="9.109375" style="19"/>
    <col min="7168" max="7168" width="15.6640625" style="19" customWidth="1"/>
    <col min="7169" max="7169" width="16.44140625" style="19" bestFit="1" customWidth="1"/>
    <col min="7170" max="7170" width="15.6640625" style="19" customWidth="1"/>
    <col min="7171" max="7171" width="17.6640625" style="19" bestFit="1" customWidth="1"/>
    <col min="7172" max="7174" width="15.6640625" style="19" customWidth="1"/>
    <col min="7175" max="7175" width="17.6640625" style="19" bestFit="1" customWidth="1"/>
    <col min="7176" max="7178" width="15.6640625" style="19" customWidth="1"/>
    <col min="7179" max="7179" width="18.6640625" style="19" bestFit="1" customWidth="1"/>
    <col min="7180" max="7182" width="15.6640625" style="19" customWidth="1"/>
    <col min="7183" max="7183" width="17.6640625" style="19" customWidth="1"/>
    <col min="7184" max="7184" width="20.6640625" style="19" customWidth="1"/>
    <col min="7185" max="7185" width="23.44140625" style="19" bestFit="1" customWidth="1"/>
    <col min="7186" max="7188" width="20.6640625" style="19" customWidth="1"/>
    <col min="7189" max="7198" width="15.6640625" style="19" customWidth="1"/>
    <col min="7199" max="7423" width="9.109375" style="19"/>
    <col min="7424" max="7424" width="15.6640625" style="19" customWidth="1"/>
    <col min="7425" max="7425" width="16.44140625" style="19" bestFit="1" customWidth="1"/>
    <col min="7426" max="7426" width="15.6640625" style="19" customWidth="1"/>
    <col min="7427" max="7427" width="17.6640625" style="19" bestFit="1" customWidth="1"/>
    <col min="7428" max="7430" width="15.6640625" style="19" customWidth="1"/>
    <col min="7431" max="7431" width="17.6640625" style="19" bestFit="1" customWidth="1"/>
    <col min="7432" max="7434" width="15.6640625" style="19" customWidth="1"/>
    <col min="7435" max="7435" width="18.6640625" style="19" bestFit="1" customWidth="1"/>
    <col min="7436" max="7438" width="15.6640625" style="19" customWidth="1"/>
    <col min="7439" max="7439" width="17.6640625" style="19" customWidth="1"/>
    <col min="7440" max="7440" width="20.6640625" style="19" customWidth="1"/>
    <col min="7441" max="7441" width="23.44140625" style="19" bestFit="1" customWidth="1"/>
    <col min="7442" max="7444" width="20.6640625" style="19" customWidth="1"/>
    <col min="7445" max="7454" width="15.6640625" style="19" customWidth="1"/>
    <col min="7455" max="7679" width="9.109375" style="19"/>
    <col min="7680" max="7680" width="15.6640625" style="19" customWidth="1"/>
    <col min="7681" max="7681" width="16.44140625" style="19" bestFit="1" customWidth="1"/>
    <col min="7682" max="7682" width="15.6640625" style="19" customWidth="1"/>
    <col min="7683" max="7683" width="17.6640625" style="19" bestFit="1" customWidth="1"/>
    <col min="7684" max="7686" width="15.6640625" style="19" customWidth="1"/>
    <col min="7687" max="7687" width="17.6640625" style="19" bestFit="1" customWidth="1"/>
    <col min="7688" max="7690" width="15.6640625" style="19" customWidth="1"/>
    <col min="7691" max="7691" width="18.6640625" style="19" bestFit="1" customWidth="1"/>
    <col min="7692" max="7694" width="15.6640625" style="19" customWidth="1"/>
    <col min="7695" max="7695" width="17.6640625" style="19" customWidth="1"/>
    <col min="7696" max="7696" width="20.6640625" style="19" customWidth="1"/>
    <col min="7697" max="7697" width="23.44140625" style="19" bestFit="1" customWidth="1"/>
    <col min="7698" max="7700" width="20.6640625" style="19" customWidth="1"/>
    <col min="7701" max="7710" width="15.6640625" style="19" customWidth="1"/>
    <col min="7711" max="7935" width="9.109375" style="19"/>
    <col min="7936" max="7936" width="15.6640625" style="19" customWidth="1"/>
    <col min="7937" max="7937" width="16.44140625" style="19" bestFit="1" customWidth="1"/>
    <col min="7938" max="7938" width="15.6640625" style="19" customWidth="1"/>
    <col min="7939" max="7939" width="17.6640625" style="19" bestFit="1" customWidth="1"/>
    <col min="7940" max="7942" width="15.6640625" style="19" customWidth="1"/>
    <col min="7943" max="7943" width="17.6640625" style="19" bestFit="1" customWidth="1"/>
    <col min="7944" max="7946" width="15.6640625" style="19" customWidth="1"/>
    <col min="7947" max="7947" width="18.6640625" style="19" bestFit="1" customWidth="1"/>
    <col min="7948" max="7950" width="15.6640625" style="19" customWidth="1"/>
    <col min="7951" max="7951" width="17.6640625" style="19" customWidth="1"/>
    <col min="7952" max="7952" width="20.6640625" style="19" customWidth="1"/>
    <col min="7953" max="7953" width="23.44140625" style="19" bestFit="1" customWidth="1"/>
    <col min="7954" max="7956" width="20.6640625" style="19" customWidth="1"/>
    <col min="7957" max="7966" width="15.6640625" style="19" customWidth="1"/>
    <col min="7967" max="8191" width="9.109375" style="19"/>
    <col min="8192" max="8192" width="15.6640625" style="19" customWidth="1"/>
    <col min="8193" max="8193" width="16.44140625" style="19" bestFit="1" customWidth="1"/>
    <col min="8194" max="8194" width="15.6640625" style="19" customWidth="1"/>
    <col min="8195" max="8195" width="17.6640625" style="19" bestFit="1" customWidth="1"/>
    <col min="8196" max="8198" width="15.6640625" style="19" customWidth="1"/>
    <col min="8199" max="8199" width="17.6640625" style="19" bestFit="1" customWidth="1"/>
    <col min="8200" max="8202" width="15.6640625" style="19" customWidth="1"/>
    <col min="8203" max="8203" width="18.6640625" style="19" bestFit="1" customWidth="1"/>
    <col min="8204" max="8206" width="15.6640625" style="19" customWidth="1"/>
    <col min="8207" max="8207" width="17.6640625" style="19" customWidth="1"/>
    <col min="8208" max="8208" width="20.6640625" style="19" customWidth="1"/>
    <col min="8209" max="8209" width="23.44140625" style="19" bestFit="1" customWidth="1"/>
    <col min="8210" max="8212" width="20.6640625" style="19" customWidth="1"/>
    <col min="8213" max="8222" width="15.6640625" style="19" customWidth="1"/>
    <col min="8223" max="8447" width="9.109375" style="19"/>
    <col min="8448" max="8448" width="15.6640625" style="19" customWidth="1"/>
    <col min="8449" max="8449" width="16.44140625" style="19" bestFit="1" customWidth="1"/>
    <col min="8450" max="8450" width="15.6640625" style="19" customWidth="1"/>
    <col min="8451" max="8451" width="17.6640625" style="19" bestFit="1" customWidth="1"/>
    <col min="8452" max="8454" width="15.6640625" style="19" customWidth="1"/>
    <col min="8455" max="8455" width="17.6640625" style="19" bestFit="1" customWidth="1"/>
    <col min="8456" max="8458" width="15.6640625" style="19" customWidth="1"/>
    <col min="8459" max="8459" width="18.6640625" style="19" bestFit="1" customWidth="1"/>
    <col min="8460" max="8462" width="15.6640625" style="19" customWidth="1"/>
    <col min="8463" max="8463" width="17.6640625" style="19" customWidth="1"/>
    <col min="8464" max="8464" width="20.6640625" style="19" customWidth="1"/>
    <col min="8465" max="8465" width="23.44140625" style="19" bestFit="1" customWidth="1"/>
    <col min="8466" max="8468" width="20.6640625" style="19" customWidth="1"/>
    <col min="8469" max="8478" width="15.6640625" style="19" customWidth="1"/>
    <col min="8479" max="8703" width="9.109375" style="19"/>
    <col min="8704" max="8704" width="15.6640625" style="19" customWidth="1"/>
    <col min="8705" max="8705" width="16.44140625" style="19" bestFit="1" customWidth="1"/>
    <col min="8706" max="8706" width="15.6640625" style="19" customWidth="1"/>
    <col min="8707" max="8707" width="17.6640625" style="19" bestFit="1" customWidth="1"/>
    <col min="8708" max="8710" width="15.6640625" style="19" customWidth="1"/>
    <col min="8711" max="8711" width="17.6640625" style="19" bestFit="1" customWidth="1"/>
    <col min="8712" max="8714" width="15.6640625" style="19" customWidth="1"/>
    <col min="8715" max="8715" width="18.6640625" style="19" bestFit="1" customWidth="1"/>
    <col min="8716" max="8718" width="15.6640625" style="19" customWidth="1"/>
    <col min="8719" max="8719" width="17.6640625" style="19" customWidth="1"/>
    <col min="8720" max="8720" width="20.6640625" style="19" customWidth="1"/>
    <col min="8721" max="8721" width="23.44140625" style="19" bestFit="1" customWidth="1"/>
    <col min="8722" max="8724" width="20.6640625" style="19" customWidth="1"/>
    <col min="8725" max="8734" width="15.6640625" style="19" customWidth="1"/>
    <col min="8735" max="8959" width="9.109375" style="19"/>
    <col min="8960" max="8960" width="15.6640625" style="19" customWidth="1"/>
    <col min="8961" max="8961" width="16.44140625" style="19" bestFit="1" customWidth="1"/>
    <col min="8962" max="8962" width="15.6640625" style="19" customWidth="1"/>
    <col min="8963" max="8963" width="17.6640625" style="19" bestFit="1" customWidth="1"/>
    <col min="8964" max="8966" width="15.6640625" style="19" customWidth="1"/>
    <col min="8967" max="8967" width="17.6640625" style="19" bestFit="1" customWidth="1"/>
    <col min="8968" max="8970" width="15.6640625" style="19" customWidth="1"/>
    <col min="8971" max="8971" width="18.6640625" style="19" bestFit="1" customWidth="1"/>
    <col min="8972" max="8974" width="15.6640625" style="19" customWidth="1"/>
    <col min="8975" max="8975" width="17.6640625" style="19" customWidth="1"/>
    <col min="8976" max="8976" width="20.6640625" style="19" customWidth="1"/>
    <col min="8977" max="8977" width="23.44140625" style="19" bestFit="1" customWidth="1"/>
    <col min="8978" max="8980" width="20.6640625" style="19" customWidth="1"/>
    <col min="8981" max="8990" width="15.6640625" style="19" customWidth="1"/>
    <col min="8991" max="9215" width="9.109375" style="19"/>
    <col min="9216" max="9216" width="15.6640625" style="19" customWidth="1"/>
    <col min="9217" max="9217" width="16.44140625" style="19" bestFit="1" customWidth="1"/>
    <col min="9218" max="9218" width="15.6640625" style="19" customWidth="1"/>
    <col min="9219" max="9219" width="17.6640625" style="19" bestFit="1" customWidth="1"/>
    <col min="9220" max="9222" width="15.6640625" style="19" customWidth="1"/>
    <col min="9223" max="9223" width="17.6640625" style="19" bestFit="1" customWidth="1"/>
    <col min="9224" max="9226" width="15.6640625" style="19" customWidth="1"/>
    <col min="9227" max="9227" width="18.6640625" style="19" bestFit="1" customWidth="1"/>
    <col min="9228" max="9230" width="15.6640625" style="19" customWidth="1"/>
    <col min="9231" max="9231" width="17.6640625" style="19" customWidth="1"/>
    <col min="9232" max="9232" width="20.6640625" style="19" customWidth="1"/>
    <col min="9233" max="9233" width="23.44140625" style="19" bestFit="1" customWidth="1"/>
    <col min="9234" max="9236" width="20.6640625" style="19" customWidth="1"/>
    <col min="9237" max="9246" width="15.6640625" style="19" customWidth="1"/>
    <col min="9247" max="9471" width="9.109375" style="19"/>
    <col min="9472" max="9472" width="15.6640625" style="19" customWidth="1"/>
    <col min="9473" max="9473" width="16.44140625" style="19" bestFit="1" customWidth="1"/>
    <col min="9474" max="9474" width="15.6640625" style="19" customWidth="1"/>
    <col min="9475" max="9475" width="17.6640625" style="19" bestFit="1" customWidth="1"/>
    <col min="9476" max="9478" width="15.6640625" style="19" customWidth="1"/>
    <col min="9479" max="9479" width="17.6640625" style="19" bestFit="1" customWidth="1"/>
    <col min="9480" max="9482" width="15.6640625" style="19" customWidth="1"/>
    <col min="9483" max="9483" width="18.6640625" style="19" bestFit="1" customWidth="1"/>
    <col min="9484" max="9486" width="15.6640625" style="19" customWidth="1"/>
    <col min="9487" max="9487" width="17.6640625" style="19" customWidth="1"/>
    <col min="9488" max="9488" width="20.6640625" style="19" customWidth="1"/>
    <col min="9489" max="9489" width="23.44140625" style="19" bestFit="1" customWidth="1"/>
    <col min="9490" max="9492" width="20.6640625" style="19" customWidth="1"/>
    <col min="9493" max="9502" width="15.6640625" style="19" customWidth="1"/>
    <col min="9503" max="9727" width="9.109375" style="19"/>
    <col min="9728" max="9728" width="15.6640625" style="19" customWidth="1"/>
    <col min="9729" max="9729" width="16.44140625" style="19" bestFit="1" customWidth="1"/>
    <col min="9730" max="9730" width="15.6640625" style="19" customWidth="1"/>
    <col min="9731" max="9731" width="17.6640625" style="19" bestFit="1" customWidth="1"/>
    <col min="9732" max="9734" width="15.6640625" style="19" customWidth="1"/>
    <col min="9735" max="9735" width="17.6640625" style="19" bestFit="1" customWidth="1"/>
    <col min="9736" max="9738" width="15.6640625" style="19" customWidth="1"/>
    <col min="9739" max="9739" width="18.6640625" style="19" bestFit="1" customWidth="1"/>
    <col min="9740" max="9742" width="15.6640625" style="19" customWidth="1"/>
    <col min="9743" max="9743" width="17.6640625" style="19" customWidth="1"/>
    <col min="9744" max="9744" width="20.6640625" style="19" customWidth="1"/>
    <col min="9745" max="9745" width="23.44140625" style="19" bestFit="1" customWidth="1"/>
    <col min="9746" max="9748" width="20.6640625" style="19" customWidth="1"/>
    <col min="9749" max="9758" width="15.6640625" style="19" customWidth="1"/>
    <col min="9759" max="9983" width="9.109375" style="19"/>
    <col min="9984" max="9984" width="15.6640625" style="19" customWidth="1"/>
    <col min="9985" max="9985" width="16.44140625" style="19" bestFit="1" customWidth="1"/>
    <col min="9986" max="9986" width="15.6640625" style="19" customWidth="1"/>
    <col min="9987" max="9987" width="17.6640625" style="19" bestFit="1" customWidth="1"/>
    <col min="9988" max="9990" width="15.6640625" style="19" customWidth="1"/>
    <col min="9991" max="9991" width="17.6640625" style="19" bestFit="1" customWidth="1"/>
    <col min="9992" max="9994" width="15.6640625" style="19" customWidth="1"/>
    <col min="9995" max="9995" width="18.6640625" style="19" bestFit="1" customWidth="1"/>
    <col min="9996" max="9998" width="15.6640625" style="19" customWidth="1"/>
    <col min="9999" max="9999" width="17.6640625" style="19" customWidth="1"/>
    <col min="10000" max="10000" width="20.6640625" style="19" customWidth="1"/>
    <col min="10001" max="10001" width="23.44140625" style="19" bestFit="1" customWidth="1"/>
    <col min="10002" max="10004" width="20.6640625" style="19" customWidth="1"/>
    <col min="10005" max="10014" width="15.6640625" style="19" customWidth="1"/>
    <col min="10015" max="10239" width="9.109375" style="19"/>
    <col min="10240" max="10240" width="15.6640625" style="19" customWidth="1"/>
    <col min="10241" max="10241" width="16.44140625" style="19" bestFit="1" customWidth="1"/>
    <col min="10242" max="10242" width="15.6640625" style="19" customWidth="1"/>
    <col min="10243" max="10243" width="17.6640625" style="19" bestFit="1" customWidth="1"/>
    <col min="10244" max="10246" width="15.6640625" style="19" customWidth="1"/>
    <col min="10247" max="10247" width="17.6640625" style="19" bestFit="1" customWidth="1"/>
    <col min="10248" max="10250" width="15.6640625" style="19" customWidth="1"/>
    <col min="10251" max="10251" width="18.6640625" style="19" bestFit="1" customWidth="1"/>
    <col min="10252" max="10254" width="15.6640625" style="19" customWidth="1"/>
    <col min="10255" max="10255" width="17.6640625" style="19" customWidth="1"/>
    <col min="10256" max="10256" width="20.6640625" style="19" customWidth="1"/>
    <col min="10257" max="10257" width="23.44140625" style="19" bestFit="1" customWidth="1"/>
    <col min="10258" max="10260" width="20.6640625" style="19" customWidth="1"/>
    <col min="10261" max="10270" width="15.6640625" style="19" customWidth="1"/>
    <col min="10271" max="10495" width="9.109375" style="19"/>
    <col min="10496" max="10496" width="15.6640625" style="19" customWidth="1"/>
    <col min="10497" max="10497" width="16.44140625" style="19" bestFit="1" customWidth="1"/>
    <col min="10498" max="10498" width="15.6640625" style="19" customWidth="1"/>
    <col min="10499" max="10499" width="17.6640625" style="19" bestFit="1" customWidth="1"/>
    <col min="10500" max="10502" width="15.6640625" style="19" customWidth="1"/>
    <col min="10503" max="10503" width="17.6640625" style="19" bestFit="1" customWidth="1"/>
    <col min="10504" max="10506" width="15.6640625" style="19" customWidth="1"/>
    <col min="10507" max="10507" width="18.6640625" style="19" bestFit="1" customWidth="1"/>
    <col min="10508" max="10510" width="15.6640625" style="19" customWidth="1"/>
    <col min="10511" max="10511" width="17.6640625" style="19" customWidth="1"/>
    <col min="10512" max="10512" width="20.6640625" style="19" customWidth="1"/>
    <col min="10513" max="10513" width="23.44140625" style="19" bestFit="1" customWidth="1"/>
    <col min="10514" max="10516" width="20.6640625" style="19" customWidth="1"/>
    <col min="10517" max="10526" width="15.6640625" style="19" customWidth="1"/>
    <col min="10527" max="10751" width="9.109375" style="19"/>
    <col min="10752" max="10752" width="15.6640625" style="19" customWidth="1"/>
    <col min="10753" max="10753" width="16.44140625" style="19" bestFit="1" customWidth="1"/>
    <col min="10754" max="10754" width="15.6640625" style="19" customWidth="1"/>
    <col min="10755" max="10755" width="17.6640625" style="19" bestFit="1" customWidth="1"/>
    <col min="10756" max="10758" width="15.6640625" style="19" customWidth="1"/>
    <col min="10759" max="10759" width="17.6640625" style="19" bestFit="1" customWidth="1"/>
    <col min="10760" max="10762" width="15.6640625" style="19" customWidth="1"/>
    <col min="10763" max="10763" width="18.6640625" style="19" bestFit="1" customWidth="1"/>
    <col min="10764" max="10766" width="15.6640625" style="19" customWidth="1"/>
    <col min="10767" max="10767" width="17.6640625" style="19" customWidth="1"/>
    <col min="10768" max="10768" width="20.6640625" style="19" customWidth="1"/>
    <col min="10769" max="10769" width="23.44140625" style="19" bestFit="1" customWidth="1"/>
    <col min="10770" max="10772" width="20.6640625" style="19" customWidth="1"/>
    <col min="10773" max="10782" width="15.6640625" style="19" customWidth="1"/>
    <col min="10783" max="11007" width="9.109375" style="19"/>
    <col min="11008" max="11008" width="15.6640625" style="19" customWidth="1"/>
    <col min="11009" max="11009" width="16.44140625" style="19" bestFit="1" customWidth="1"/>
    <col min="11010" max="11010" width="15.6640625" style="19" customWidth="1"/>
    <col min="11011" max="11011" width="17.6640625" style="19" bestFit="1" customWidth="1"/>
    <col min="11012" max="11014" width="15.6640625" style="19" customWidth="1"/>
    <col min="11015" max="11015" width="17.6640625" style="19" bestFit="1" customWidth="1"/>
    <col min="11016" max="11018" width="15.6640625" style="19" customWidth="1"/>
    <col min="11019" max="11019" width="18.6640625" style="19" bestFit="1" customWidth="1"/>
    <col min="11020" max="11022" width="15.6640625" style="19" customWidth="1"/>
    <col min="11023" max="11023" width="17.6640625" style="19" customWidth="1"/>
    <col min="11024" max="11024" width="20.6640625" style="19" customWidth="1"/>
    <col min="11025" max="11025" width="23.44140625" style="19" bestFit="1" customWidth="1"/>
    <col min="11026" max="11028" width="20.6640625" style="19" customWidth="1"/>
    <col min="11029" max="11038" width="15.6640625" style="19" customWidth="1"/>
    <col min="11039" max="11263" width="9.109375" style="19"/>
    <col min="11264" max="11264" width="15.6640625" style="19" customWidth="1"/>
    <col min="11265" max="11265" width="16.44140625" style="19" bestFit="1" customWidth="1"/>
    <col min="11266" max="11266" width="15.6640625" style="19" customWidth="1"/>
    <col min="11267" max="11267" width="17.6640625" style="19" bestFit="1" customWidth="1"/>
    <col min="11268" max="11270" width="15.6640625" style="19" customWidth="1"/>
    <col min="11271" max="11271" width="17.6640625" style="19" bestFit="1" customWidth="1"/>
    <col min="11272" max="11274" width="15.6640625" style="19" customWidth="1"/>
    <col min="11275" max="11275" width="18.6640625" style="19" bestFit="1" customWidth="1"/>
    <col min="11276" max="11278" width="15.6640625" style="19" customWidth="1"/>
    <col min="11279" max="11279" width="17.6640625" style="19" customWidth="1"/>
    <col min="11280" max="11280" width="20.6640625" style="19" customWidth="1"/>
    <col min="11281" max="11281" width="23.44140625" style="19" bestFit="1" customWidth="1"/>
    <col min="11282" max="11284" width="20.6640625" style="19" customWidth="1"/>
    <col min="11285" max="11294" width="15.6640625" style="19" customWidth="1"/>
    <col min="11295" max="11519" width="9.109375" style="19"/>
    <col min="11520" max="11520" width="15.6640625" style="19" customWidth="1"/>
    <col min="11521" max="11521" width="16.44140625" style="19" bestFit="1" customWidth="1"/>
    <col min="11522" max="11522" width="15.6640625" style="19" customWidth="1"/>
    <col min="11523" max="11523" width="17.6640625" style="19" bestFit="1" customWidth="1"/>
    <col min="11524" max="11526" width="15.6640625" style="19" customWidth="1"/>
    <col min="11527" max="11527" width="17.6640625" style="19" bestFit="1" customWidth="1"/>
    <col min="11528" max="11530" width="15.6640625" style="19" customWidth="1"/>
    <col min="11531" max="11531" width="18.6640625" style="19" bestFit="1" customWidth="1"/>
    <col min="11532" max="11534" width="15.6640625" style="19" customWidth="1"/>
    <col min="11535" max="11535" width="17.6640625" style="19" customWidth="1"/>
    <col min="11536" max="11536" width="20.6640625" style="19" customWidth="1"/>
    <col min="11537" max="11537" width="23.44140625" style="19" bestFit="1" customWidth="1"/>
    <col min="11538" max="11540" width="20.6640625" style="19" customWidth="1"/>
    <col min="11541" max="11550" width="15.6640625" style="19" customWidth="1"/>
    <col min="11551" max="11775" width="9.109375" style="19"/>
    <col min="11776" max="11776" width="15.6640625" style="19" customWidth="1"/>
    <col min="11777" max="11777" width="16.44140625" style="19" bestFit="1" customWidth="1"/>
    <col min="11778" max="11778" width="15.6640625" style="19" customWidth="1"/>
    <col min="11779" max="11779" width="17.6640625" style="19" bestFit="1" customWidth="1"/>
    <col min="11780" max="11782" width="15.6640625" style="19" customWidth="1"/>
    <col min="11783" max="11783" width="17.6640625" style="19" bestFit="1" customWidth="1"/>
    <col min="11784" max="11786" width="15.6640625" style="19" customWidth="1"/>
    <col min="11787" max="11787" width="18.6640625" style="19" bestFit="1" customWidth="1"/>
    <col min="11788" max="11790" width="15.6640625" style="19" customWidth="1"/>
    <col min="11791" max="11791" width="17.6640625" style="19" customWidth="1"/>
    <col min="11792" max="11792" width="20.6640625" style="19" customWidth="1"/>
    <col min="11793" max="11793" width="23.44140625" style="19" bestFit="1" customWidth="1"/>
    <col min="11794" max="11796" width="20.6640625" style="19" customWidth="1"/>
    <col min="11797" max="11806" width="15.6640625" style="19" customWidth="1"/>
    <col min="11807" max="12031" width="9.109375" style="19"/>
    <col min="12032" max="12032" width="15.6640625" style="19" customWidth="1"/>
    <col min="12033" max="12033" width="16.44140625" style="19" bestFit="1" customWidth="1"/>
    <col min="12034" max="12034" width="15.6640625" style="19" customWidth="1"/>
    <col min="12035" max="12035" width="17.6640625" style="19" bestFit="1" customWidth="1"/>
    <col min="12036" max="12038" width="15.6640625" style="19" customWidth="1"/>
    <col min="12039" max="12039" width="17.6640625" style="19" bestFit="1" customWidth="1"/>
    <col min="12040" max="12042" width="15.6640625" style="19" customWidth="1"/>
    <col min="12043" max="12043" width="18.6640625" style="19" bestFit="1" customWidth="1"/>
    <col min="12044" max="12046" width="15.6640625" style="19" customWidth="1"/>
    <col min="12047" max="12047" width="17.6640625" style="19" customWidth="1"/>
    <col min="12048" max="12048" width="20.6640625" style="19" customWidth="1"/>
    <col min="12049" max="12049" width="23.44140625" style="19" bestFit="1" customWidth="1"/>
    <col min="12050" max="12052" width="20.6640625" style="19" customWidth="1"/>
    <col min="12053" max="12062" width="15.6640625" style="19" customWidth="1"/>
    <col min="12063" max="12287" width="9.109375" style="19"/>
    <col min="12288" max="12288" width="15.6640625" style="19" customWidth="1"/>
    <col min="12289" max="12289" width="16.44140625" style="19" bestFit="1" customWidth="1"/>
    <col min="12290" max="12290" width="15.6640625" style="19" customWidth="1"/>
    <col min="12291" max="12291" width="17.6640625" style="19" bestFit="1" customWidth="1"/>
    <col min="12292" max="12294" width="15.6640625" style="19" customWidth="1"/>
    <col min="12295" max="12295" width="17.6640625" style="19" bestFit="1" customWidth="1"/>
    <col min="12296" max="12298" width="15.6640625" style="19" customWidth="1"/>
    <col min="12299" max="12299" width="18.6640625" style="19" bestFit="1" customWidth="1"/>
    <col min="12300" max="12302" width="15.6640625" style="19" customWidth="1"/>
    <col min="12303" max="12303" width="17.6640625" style="19" customWidth="1"/>
    <col min="12304" max="12304" width="20.6640625" style="19" customWidth="1"/>
    <col min="12305" max="12305" width="23.44140625" style="19" bestFit="1" customWidth="1"/>
    <col min="12306" max="12308" width="20.6640625" style="19" customWidth="1"/>
    <col min="12309" max="12318" width="15.6640625" style="19" customWidth="1"/>
    <col min="12319" max="12543" width="9.109375" style="19"/>
    <col min="12544" max="12544" width="15.6640625" style="19" customWidth="1"/>
    <col min="12545" max="12545" width="16.44140625" style="19" bestFit="1" customWidth="1"/>
    <col min="12546" max="12546" width="15.6640625" style="19" customWidth="1"/>
    <col min="12547" max="12547" width="17.6640625" style="19" bestFit="1" customWidth="1"/>
    <col min="12548" max="12550" width="15.6640625" style="19" customWidth="1"/>
    <col min="12551" max="12551" width="17.6640625" style="19" bestFit="1" customWidth="1"/>
    <col min="12552" max="12554" width="15.6640625" style="19" customWidth="1"/>
    <col min="12555" max="12555" width="18.6640625" style="19" bestFit="1" customWidth="1"/>
    <col min="12556" max="12558" width="15.6640625" style="19" customWidth="1"/>
    <col min="12559" max="12559" width="17.6640625" style="19" customWidth="1"/>
    <col min="12560" max="12560" width="20.6640625" style="19" customWidth="1"/>
    <col min="12561" max="12561" width="23.44140625" style="19" bestFit="1" customWidth="1"/>
    <col min="12562" max="12564" width="20.6640625" style="19" customWidth="1"/>
    <col min="12565" max="12574" width="15.6640625" style="19" customWidth="1"/>
    <col min="12575" max="12799" width="9.109375" style="19"/>
    <col min="12800" max="12800" width="15.6640625" style="19" customWidth="1"/>
    <col min="12801" max="12801" width="16.44140625" style="19" bestFit="1" customWidth="1"/>
    <col min="12802" max="12802" width="15.6640625" style="19" customWidth="1"/>
    <col min="12803" max="12803" width="17.6640625" style="19" bestFit="1" customWidth="1"/>
    <col min="12804" max="12806" width="15.6640625" style="19" customWidth="1"/>
    <col min="12807" max="12807" width="17.6640625" style="19" bestFit="1" customWidth="1"/>
    <col min="12808" max="12810" width="15.6640625" style="19" customWidth="1"/>
    <col min="12811" max="12811" width="18.6640625" style="19" bestFit="1" customWidth="1"/>
    <col min="12812" max="12814" width="15.6640625" style="19" customWidth="1"/>
    <col min="12815" max="12815" width="17.6640625" style="19" customWidth="1"/>
    <col min="12816" max="12816" width="20.6640625" style="19" customWidth="1"/>
    <col min="12817" max="12817" width="23.44140625" style="19" bestFit="1" customWidth="1"/>
    <col min="12818" max="12820" width="20.6640625" style="19" customWidth="1"/>
    <col min="12821" max="12830" width="15.6640625" style="19" customWidth="1"/>
    <col min="12831" max="13055" width="9.109375" style="19"/>
    <col min="13056" max="13056" width="15.6640625" style="19" customWidth="1"/>
    <col min="13057" max="13057" width="16.44140625" style="19" bestFit="1" customWidth="1"/>
    <col min="13058" max="13058" width="15.6640625" style="19" customWidth="1"/>
    <col min="13059" max="13059" width="17.6640625" style="19" bestFit="1" customWidth="1"/>
    <col min="13060" max="13062" width="15.6640625" style="19" customWidth="1"/>
    <col min="13063" max="13063" width="17.6640625" style="19" bestFit="1" customWidth="1"/>
    <col min="13064" max="13066" width="15.6640625" style="19" customWidth="1"/>
    <col min="13067" max="13067" width="18.6640625" style="19" bestFit="1" customWidth="1"/>
    <col min="13068" max="13070" width="15.6640625" style="19" customWidth="1"/>
    <col min="13071" max="13071" width="17.6640625" style="19" customWidth="1"/>
    <col min="13072" max="13072" width="20.6640625" style="19" customWidth="1"/>
    <col min="13073" max="13073" width="23.44140625" style="19" bestFit="1" customWidth="1"/>
    <col min="13074" max="13076" width="20.6640625" style="19" customWidth="1"/>
    <col min="13077" max="13086" width="15.6640625" style="19" customWidth="1"/>
    <col min="13087" max="13311" width="9.109375" style="19"/>
    <col min="13312" max="13312" width="15.6640625" style="19" customWidth="1"/>
    <col min="13313" max="13313" width="16.44140625" style="19" bestFit="1" customWidth="1"/>
    <col min="13314" max="13314" width="15.6640625" style="19" customWidth="1"/>
    <col min="13315" max="13315" width="17.6640625" style="19" bestFit="1" customWidth="1"/>
    <col min="13316" max="13318" width="15.6640625" style="19" customWidth="1"/>
    <col min="13319" max="13319" width="17.6640625" style="19" bestFit="1" customWidth="1"/>
    <col min="13320" max="13322" width="15.6640625" style="19" customWidth="1"/>
    <col min="13323" max="13323" width="18.6640625" style="19" bestFit="1" customWidth="1"/>
    <col min="13324" max="13326" width="15.6640625" style="19" customWidth="1"/>
    <col min="13327" max="13327" width="17.6640625" style="19" customWidth="1"/>
    <col min="13328" max="13328" width="20.6640625" style="19" customWidth="1"/>
    <col min="13329" max="13329" width="23.44140625" style="19" bestFit="1" customWidth="1"/>
    <col min="13330" max="13332" width="20.6640625" style="19" customWidth="1"/>
    <col min="13333" max="13342" width="15.6640625" style="19" customWidth="1"/>
    <col min="13343" max="13567" width="9.109375" style="19"/>
    <col min="13568" max="13568" width="15.6640625" style="19" customWidth="1"/>
    <col min="13569" max="13569" width="16.44140625" style="19" bestFit="1" customWidth="1"/>
    <col min="13570" max="13570" width="15.6640625" style="19" customWidth="1"/>
    <col min="13571" max="13571" width="17.6640625" style="19" bestFit="1" customWidth="1"/>
    <col min="13572" max="13574" width="15.6640625" style="19" customWidth="1"/>
    <col min="13575" max="13575" width="17.6640625" style="19" bestFit="1" customWidth="1"/>
    <col min="13576" max="13578" width="15.6640625" style="19" customWidth="1"/>
    <col min="13579" max="13579" width="18.6640625" style="19" bestFit="1" customWidth="1"/>
    <col min="13580" max="13582" width="15.6640625" style="19" customWidth="1"/>
    <col min="13583" max="13583" width="17.6640625" style="19" customWidth="1"/>
    <col min="13584" max="13584" width="20.6640625" style="19" customWidth="1"/>
    <col min="13585" max="13585" width="23.44140625" style="19" bestFit="1" customWidth="1"/>
    <col min="13586" max="13588" width="20.6640625" style="19" customWidth="1"/>
    <col min="13589" max="13598" width="15.6640625" style="19" customWidth="1"/>
    <col min="13599" max="13823" width="9.109375" style="19"/>
    <col min="13824" max="13824" width="15.6640625" style="19" customWidth="1"/>
    <col min="13825" max="13825" width="16.44140625" style="19" bestFit="1" customWidth="1"/>
    <col min="13826" max="13826" width="15.6640625" style="19" customWidth="1"/>
    <col min="13827" max="13827" width="17.6640625" style="19" bestFit="1" customWidth="1"/>
    <col min="13828" max="13830" width="15.6640625" style="19" customWidth="1"/>
    <col min="13831" max="13831" width="17.6640625" style="19" bestFit="1" customWidth="1"/>
    <col min="13832" max="13834" width="15.6640625" style="19" customWidth="1"/>
    <col min="13835" max="13835" width="18.6640625" style="19" bestFit="1" customWidth="1"/>
    <col min="13836" max="13838" width="15.6640625" style="19" customWidth="1"/>
    <col min="13839" max="13839" width="17.6640625" style="19" customWidth="1"/>
    <col min="13840" max="13840" width="20.6640625" style="19" customWidth="1"/>
    <col min="13841" max="13841" width="23.44140625" style="19" bestFit="1" customWidth="1"/>
    <col min="13842" max="13844" width="20.6640625" style="19" customWidth="1"/>
    <col min="13845" max="13854" width="15.6640625" style="19" customWidth="1"/>
    <col min="13855" max="14079" width="9.109375" style="19"/>
    <col min="14080" max="14080" width="15.6640625" style="19" customWidth="1"/>
    <col min="14081" max="14081" width="16.44140625" style="19" bestFit="1" customWidth="1"/>
    <col min="14082" max="14082" width="15.6640625" style="19" customWidth="1"/>
    <col min="14083" max="14083" width="17.6640625" style="19" bestFit="1" customWidth="1"/>
    <col min="14084" max="14086" width="15.6640625" style="19" customWidth="1"/>
    <col min="14087" max="14087" width="17.6640625" style="19" bestFit="1" customWidth="1"/>
    <col min="14088" max="14090" width="15.6640625" style="19" customWidth="1"/>
    <col min="14091" max="14091" width="18.6640625" style="19" bestFit="1" customWidth="1"/>
    <col min="14092" max="14094" width="15.6640625" style="19" customWidth="1"/>
    <col min="14095" max="14095" width="17.6640625" style="19" customWidth="1"/>
    <col min="14096" max="14096" width="20.6640625" style="19" customWidth="1"/>
    <col min="14097" max="14097" width="23.44140625" style="19" bestFit="1" customWidth="1"/>
    <col min="14098" max="14100" width="20.6640625" style="19" customWidth="1"/>
    <col min="14101" max="14110" width="15.6640625" style="19" customWidth="1"/>
    <col min="14111" max="14335" width="9.109375" style="19"/>
    <col min="14336" max="14336" width="15.6640625" style="19" customWidth="1"/>
    <col min="14337" max="14337" width="16.44140625" style="19" bestFit="1" customWidth="1"/>
    <col min="14338" max="14338" width="15.6640625" style="19" customWidth="1"/>
    <col min="14339" max="14339" width="17.6640625" style="19" bestFit="1" customWidth="1"/>
    <col min="14340" max="14342" width="15.6640625" style="19" customWidth="1"/>
    <col min="14343" max="14343" width="17.6640625" style="19" bestFit="1" customWidth="1"/>
    <col min="14344" max="14346" width="15.6640625" style="19" customWidth="1"/>
    <col min="14347" max="14347" width="18.6640625" style="19" bestFit="1" customWidth="1"/>
    <col min="14348" max="14350" width="15.6640625" style="19" customWidth="1"/>
    <col min="14351" max="14351" width="17.6640625" style="19" customWidth="1"/>
    <col min="14352" max="14352" width="20.6640625" style="19" customWidth="1"/>
    <col min="14353" max="14353" width="23.44140625" style="19" bestFit="1" customWidth="1"/>
    <col min="14354" max="14356" width="20.6640625" style="19" customWidth="1"/>
    <col min="14357" max="14366" width="15.6640625" style="19" customWidth="1"/>
    <col min="14367" max="14591" width="9.109375" style="19"/>
    <col min="14592" max="14592" width="15.6640625" style="19" customWidth="1"/>
    <col min="14593" max="14593" width="16.44140625" style="19" bestFit="1" customWidth="1"/>
    <col min="14594" max="14594" width="15.6640625" style="19" customWidth="1"/>
    <col min="14595" max="14595" width="17.6640625" style="19" bestFit="1" customWidth="1"/>
    <col min="14596" max="14598" width="15.6640625" style="19" customWidth="1"/>
    <col min="14599" max="14599" width="17.6640625" style="19" bestFit="1" customWidth="1"/>
    <col min="14600" max="14602" width="15.6640625" style="19" customWidth="1"/>
    <col min="14603" max="14603" width="18.6640625" style="19" bestFit="1" customWidth="1"/>
    <col min="14604" max="14606" width="15.6640625" style="19" customWidth="1"/>
    <col min="14607" max="14607" width="17.6640625" style="19" customWidth="1"/>
    <col min="14608" max="14608" width="20.6640625" style="19" customWidth="1"/>
    <col min="14609" max="14609" width="23.44140625" style="19" bestFit="1" customWidth="1"/>
    <col min="14610" max="14612" width="20.6640625" style="19" customWidth="1"/>
    <col min="14613" max="14622" width="15.6640625" style="19" customWidth="1"/>
    <col min="14623" max="14847" width="9.109375" style="19"/>
    <col min="14848" max="14848" width="15.6640625" style="19" customWidth="1"/>
    <col min="14849" max="14849" width="16.44140625" style="19" bestFit="1" customWidth="1"/>
    <col min="14850" max="14850" width="15.6640625" style="19" customWidth="1"/>
    <col min="14851" max="14851" width="17.6640625" style="19" bestFit="1" customWidth="1"/>
    <col min="14852" max="14854" width="15.6640625" style="19" customWidth="1"/>
    <col min="14855" max="14855" width="17.6640625" style="19" bestFit="1" customWidth="1"/>
    <col min="14856" max="14858" width="15.6640625" style="19" customWidth="1"/>
    <col min="14859" max="14859" width="18.6640625" style="19" bestFit="1" customWidth="1"/>
    <col min="14860" max="14862" width="15.6640625" style="19" customWidth="1"/>
    <col min="14863" max="14863" width="17.6640625" style="19" customWidth="1"/>
    <col min="14864" max="14864" width="20.6640625" style="19" customWidth="1"/>
    <col min="14865" max="14865" width="23.44140625" style="19" bestFit="1" customWidth="1"/>
    <col min="14866" max="14868" width="20.6640625" style="19" customWidth="1"/>
    <col min="14869" max="14878" width="15.6640625" style="19" customWidth="1"/>
    <col min="14879" max="15103" width="9.109375" style="19"/>
    <col min="15104" max="15104" width="15.6640625" style="19" customWidth="1"/>
    <col min="15105" max="15105" width="16.44140625" style="19" bestFit="1" customWidth="1"/>
    <col min="15106" max="15106" width="15.6640625" style="19" customWidth="1"/>
    <col min="15107" max="15107" width="17.6640625" style="19" bestFit="1" customWidth="1"/>
    <col min="15108" max="15110" width="15.6640625" style="19" customWidth="1"/>
    <col min="15111" max="15111" width="17.6640625" style="19" bestFit="1" customWidth="1"/>
    <col min="15112" max="15114" width="15.6640625" style="19" customWidth="1"/>
    <col min="15115" max="15115" width="18.6640625" style="19" bestFit="1" customWidth="1"/>
    <col min="15116" max="15118" width="15.6640625" style="19" customWidth="1"/>
    <col min="15119" max="15119" width="17.6640625" style="19" customWidth="1"/>
    <col min="15120" max="15120" width="20.6640625" style="19" customWidth="1"/>
    <col min="15121" max="15121" width="23.44140625" style="19" bestFit="1" customWidth="1"/>
    <col min="15122" max="15124" width="20.6640625" style="19" customWidth="1"/>
    <col min="15125" max="15134" width="15.6640625" style="19" customWidth="1"/>
    <col min="15135" max="15359" width="9.109375" style="19"/>
    <col min="15360" max="15360" width="15.6640625" style="19" customWidth="1"/>
    <col min="15361" max="15361" width="16.44140625" style="19" bestFit="1" customWidth="1"/>
    <col min="15362" max="15362" width="15.6640625" style="19" customWidth="1"/>
    <col min="15363" max="15363" width="17.6640625" style="19" bestFit="1" customWidth="1"/>
    <col min="15364" max="15366" width="15.6640625" style="19" customWidth="1"/>
    <col min="15367" max="15367" width="17.6640625" style="19" bestFit="1" customWidth="1"/>
    <col min="15368" max="15370" width="15.6640625" style="19" customWidth="1"/>
    <col min="15371" max="15371" width="18.6640625" style="19" bestFit="1" customWidth="1"/>
    <col min="15372" max="15374" width="15.6640625" style="19" customWidth="1"/>
    <col min="15375" max="15375" width="17.6640625" style="19" customWidth="1"/>
    <col min="15376" max="15376" width="20.6640625" style="19" customWidth="1"/>
    <col min="15377" max="15377" width="23.44140625" style="19" bestFit="1" customWidth="1"/>
    <col min="15378" max="15380" width="20.6640625" style="19" customWidth="1"/>
    <col min="15381" max="15390" width="15.6640625" style="19" customWidth="1"/>
    <col min="15391" max="15615" width="9.109375" style="19"/>
    <col min="15616" max="15616" width="15.6640625" style="19" customWidth="1"/>
    <col min="15617" max="15617" width="16.44140625" style="19" bestFit="1" customWidth="1"/>
    <col min="15618" max="15618" width="15.6640625" style="19" customWidth="1"/>
    <col min="15619" max="15619" width="17.6640625" style="19" bestFit="1" customWidth="1"/>
    <col min="15620" max="15622" width="15.6640625" style="19" customWidth="1"/>
    <col min="15623" max="15623" width="17.6640625" style="19" bestFit="1" customWidth="1"/>
    <col min="15624" max="15626" width="15.6640625" style="19" customWidth="1"/>
    <col min="15627" max="15627" width="18.6640625" style="19" bestFit="1" customWidth="1"/>
    <col min="15628" max="15630" width="15.6640625" style="19" customWidth="1"/>
    <col min="15631" max="15631" width="17.6640625" style="19" customWidth="1"/>
    <col min="15632" max="15632" width="20.6640625" style="19" customWidth="1"/>
    <col min="15633" max="15633" width="23.44140625" style="19" bestFit="1" customWidth="1"/>
    <col min="15634" max="15636" width="20.6640625" style="19" customWidth="1"/>
    <col min="15637" max="15646" width="15.6640625" style="19" customWidth="1"/>
    <col min="15647" max="15871" width="9.109375" style="19"/>
    <col min="15872" max="15872" width="15.6640625" style="19" customWidth="1"/>
    <col min="15873" max="15873" width="16.44140625" style="19" bestFit="1" customWidth="1"/>
    <col min="15874" max="15874" width="15.6640625" style="19" customWidth="1"/>
    <col min="15875" max="15875" width="17.6640625" style="19" bestFit="1" customWidth="1"/>
    <col min="15876" max="15878" width="15.6640625" style="19" customWidth="1"/>
    <col min="15879" max="15879" width="17.6640625" style="19" bestFit="1" customWidth="1"/>
    <col min="15880" max="15882" width="15.6640625" style="19" customWidth="1"/>
    <col min="15883" max="15883" width="18.6640625" style="19" bestFit="1" customWidth="1"/>
    <col min="15884" max="15886" width="15.6640625" style="19" customWidth="1"/>
    <col min="15887" max="15887" width="17.6640625" style="19" customWidth="1"/>
    <col min="15888" max="15888" width="20.6640625" style="19" customWidth="1"/>
    <col min="15889" max="15889" width="23.44140625" style="19" bestFit="1" customWidth="1"/>
    <col min="15890" max="15892" width="20.6640625" style="19" customWidth="1"/>
    <col min="15893" max="15902" width="15.6640625" style="19" customWidth="1"/>
    <col min="15903" max="16127" width="9.109375" style="19"/>
    <col min="16128" max="16128" width="15.6640625" style="19" customWidth="1"/>
    <col min="16129" max="16129" width="16.44140625" style="19" bestFit="1" customWidth="1"/>
    <col min="16130" max="16130" width="15.6640625" style="19" customWidth="1"/>
    <col min="16131" max="16131" width="17.6640625" style="19" bestFit="1" customWidth="1"/>
    <col min="16132" max="16134" width="15.6640625" style="19" customWidth="1"/>
    <col min="16135" max="16135" width="17.6640625" style="19" bestFit="1" customWidth="1"/>
    <col min="16136" max="16138" width="15.6640625" style="19" customWidth="1"/>
    <col min="16139" max="16139" width="18.6640625" style="19" bestFit="1" customWidth="1"/>
    <col min="16140" max="16142" width="15.6640625" style="19" customWidth="1"/>
    <col min="16143" max="16143" width="17.6640625" style="19" customWidth="1"/>
    <col min="16144" max="16144" width="20.6640625" style="19" customWidth="1"/>
    <col min="16145" max="16145" width="23.44140625" style="19" bestFit="1" customWidth="1"/>
    <col min="16146" max="16148" width="20.6640625" style="19" customWidth="1"/>
    <col min="16149" max="16158" width="15.6640625" style="19" customWidth="1"/>
    <col min="16159" max="16384" width="9.109375" style="19"/>
  </cols>
  <sheetData>
    <row r="1">
      <c r="A1" s="1423" t="s">
        <v>1048</v>
      </c>
      <c r="B1" s="1423"/>
      <c r="C1" s="406"/>
      <c r="D1" s="933" t="s">
        <v>1051</v>
      </c>
      <c r="E1" s="1424" t="s">
        <v>587</v>
      </c>
      <c r="F1" s="1425"/>
      <c r="G1" s="407">
        <f>'[4]Informasi Pokok'!D5</f>
      </c>
    </row>
    <row r="2">
      <c r="A2" s="1423" t="s">
        <v>1049</v>
      </c>
      <c r="B2" s="1423"/>
      <c r="C2" s="406"/>
      <c r="D2" s="933" t="s">
        <v>1052</v>
      </c>
      <c r="E2" s="1426"/>
      <c r="F2" s="1426"/>
      <c r="G2" s="164">
        <v>1</v>
      </c>
    </row>
    <row r="3" spans="1:20">
      <c r="A3" s="1423" t="s">
        <v>1050</v>
      </c>
      <c r="B3" s="1423"/>
      <c r="C3" s="1427">
        <f>'Informasi Pokok'!D12</f>
      </c>
      <c r="D3" s="1425"/>
      <c r="E3" s="408"/>
      <c r="F3" s="408"/>
    </row>
    <row r="4" spans="1:20" ht="15" customHeight="1" thickBot="1"/>
    <row r="5" spans="1:20" ht="15" customHeight="1" thickBot="1">
      <c r="A5" s="121" t="s">
        <v>4</v>
      </c>
      <c r="B5" s="122" t="s">
        <v>588</v>
      </c>
      <c r="C5" s="123" t="s">
        <v>589</v>
      </c>
      <c r="D5" s="124" t="s">
        <v>11</v>
      </c>
      <c r="E5" s="121" t="s">
        <v>4</v>
      </c>
      <c r="F5" s="121" t="s">
        <v>588</v>
      </c>
      <c r="G5" s="121" t="s">
        <v>589</v>
      </c>
      <c r="H5" s="125" t="s">
        <v>11</v>
      </c>
      <c r="I5" s="126" t="s">
        <v>4</v>
      </c>
      <c r="J5" s="126" t="s">
        <v>588</v>
      </c>
      <c r="K5" s="126" t="s">
        <v>589</v>
      </c>
      <c r="L5" s="127" t="s">
        <v>11</v>
      </c>
      <c r="M5" s="134"/>
      <c r="N5" s="134"/>
      <c r="O5" s="134"/>
      <c r="P5" s="134"/>
      <c r="Q5" s="134"/>
      <c r="R5" s="134"/>
      <c r="S5" s="134"/>
      <c r="T5" s="134"/>
    </row>
    <row r="6" ht="15" customHeight="1" thickBot="1">
      <c r="A6" s="788"/>
      <c r="B6" s="784"/>
      <c r="C6" s="785"/>
      <c r="D6" s="792">
        <f>E2</f>
      </c>
      <c r="E6" s="796">
        <f>IF(A6="","",DATE(YEAR(A6),MONTH(A6)+1,DAY(A6)))</f>
      </c>
      <c r="F6" s="786"/>
      <c r="G6" s="786"/>
      <c r="H6" s="799">
        <f>D53</f>
      </c>
      <c r="I6" s="820">
        <f>IF(E6="","",DATE(YEAR(E6),MONTH(E6)+1,DAY(E6)))</f>
      </c>
      <c r="J6" s="787"/>
      <c r="K6" s="786"/>
      <c r="L6" s="800">
        <f>H53</f>
      </c>
      <c r="M6" s="136" t="s">
        <v>4</v>
      </c>
      <c r="N6" s="136" t="s">
        <v>593</v>
      </c>
      <c r="O6" s="135" t="s">
        <v>590</v>
      </c>
      <c r="P6" s="135" t="s">
        <v>594</v>
      </c>
      <c r="Q6" s="135" t="s">
        <v>593</v>
      </c>
      <c r="R6" s="135" t="s">
        <v>7</v>
      </c>
      <c r="S6" s="135" t="s">
        <v>594</v>
      </c>
      <c r="T6" s="135" t="s">
        <v>591</v>
      </c>
    </row>
    <row r="7" ht="15" customHeight="1">
      <c r="A7" s="789">
        <f>$A$6</f>
      </c>
      <c r="B7" s="165"/>
      <c r="C7" s="165"/>
      <c r="D7" s="793">
        <f>D6-B7+C7</f>
      </c>
      <c r="E7" s="797">
        <f>$E$6</f>
      </c>
      <c r="F7" s="165"/>
      <c r="G7" s="165"/>
      <c r="H7" s="793">
        <f t="shared" ref="H7:H53" si="0">H6-F7+G7</f>
      </c>
      <c r="I7" s="798">
        <f>$I$6</f>
      </c>
      <c r="J7" s="165"/>
      <c r="K7" s="165"/>
      <c r="L7" s="801">
        <f t="shared" ref="L7:L53" si="1">L6-J7+K7</f>
      </c>
      <c r="M7" s="821">
        <f>A6</f>
      </c>
      <c r="N7" s="822">
        <f>B57</f>
      </c>
      <c r="O7" s="823">
        <f>B55</f>
      </c>
      <c r="P7" s="823">
        <f>B56</f>
      </c>
      <c r="Q7" s="824">
        <f>C57</f>
      </c>
      <c r="R7" s="823">
        <f>C55</f>
      </c>
      <c r="S7" s="823">
        <f>C56</f>
      </c>
      <c r="T7" s="823">
        <f>D53</f>
      </c>
    </row>
    <row r="8" ht="15" customHeight="1">
      <c r="A8" s="790">
        <f t="shared" ref="A8:A53" si="2">$A$6</f>
      </c>
      <c r="B8" s="166"/>
      <c r="C8" s="165"/>
      <c r="D8" s="794">
        <f t="shared" ref="D8:D53" si="3">D7-B8+C8</f>
      </c>
      <c r="E8" s="798">
        <f t="shared" ref="E8:E53" si="4">$E$6</f>
      </c>
      <c r="F8" s="166"/>
      <c r="G8" s="165"/>
      <c r="H8" s="794">
        <f t="shared" si="0"/>
      </c>
      <c r="I8" s="798">
        <f t="shared" ref="I8:I53" si="5">$I$6</f>
      </c>
      <c r="J8" s="166"/>
      <c r="K8" s="165"/>
      <c r="L8" s="802">
        <f t="shared" si="1"/>
      </c>
      <c r="M8" s="821">
        <f>E6</f>
      </c>
      <c r="N8" s="822">
        <f>F57</f>
      </c>
      <c r="O8" s="823">
        <f>F55</f>
      </c>
      <c r="P8" s="823">
        <f>F56</f>
      </c>
      <c r="Q8" s="824">
        <f>G57</f>
      </c>
      <c r="R8" s="823">
        <f>G55</f>
      </c>
      <c r="S8" s="823">
        <f>G56</f>
      </c>
      <c r="T8" s="823">
        <f>H53</f>
      </c>
    </row>
    <row r="9" ht="15" customHeight="1">
      <c r="A9" s="791">
        <f t="shared" si="2"/>
      </c>
      <c r="B9" s="166"/>
      <c r="C9" s="165"/>
      <c r="D9" s="794">
        <f t="shared" si="3"/>
      </c>
      <c r="E9" s="798">
        <f t="shared" si="4"/>
      </c>
      <c r="F9" s="166"/>
      <c r="G9" s="165"/>
      <c r="H9" s="794">
        <f t="shared" si="0"/>
      </c>
      <c r="I9" s="798">
        <f t="shared" si="5"/>
      </c>
      <c r="J9" s="166"/>
      <c r="K9" s="165"/>
      <c r="L9" s="802">
        <f t="shared" si="1"/>
      </c>
      <c r="M9" s="821">
        <f>I6</f>
      </c>
      <c r="N9" s="822">
        <f>J57</f>
      </c>
      <c r="O9" s="823">
        <f>J55</f>
      </c>
      <c r="P9" s="823">
        <f>J56</f>
      </c>
      <c r="Q9" s="824">
        <f>K57</f>
      </c>
      <c r="R9" s="823">
        <f>K55</f>
      </c>
      <c r="S9" s="823">
        <f>K56</f>
      </c>
      <c r="T9" s="823">
        <f>D67</f>
      </c>
    </row>
    <row r="10" ht="15" customHeight="1">
      <c r="A10" s="791">
        <f t="shared" si="2"/>
      </c>
      <c r="B10" s="166"/>
      <c r="C10" s="165"/>
      <c r="D10" s="794">
        <f t="shared" si="3"/>
      </c>
      <c r="E10" s="798">
        <f t="shared" si="4"/>
      </c>
      <c r="F10" s="166"/>
      <c r="G10" s="166"/>
      <c r="H10" s="794">
        <f t="shared" si="0"/>
      </c>
      <c r="I10" s="798">
        <f t="shared" si="5"/>
      </c>
      <c r="J10" s="166"/>
      <c r="K10" s="165"/>
      <c r="L10" s="802">
        <f t="shared" si="1"/>
      </c>
      <c r="M10" s="825" t="s">
        <v>592</v>
      </c>
      <c r="N10" s="826">
        <f t="shared" ref="N10:Q10" si="6">AVERAGE(N7:N9)</f>
      </c>
      <c r="O10" s="823">
        <f>AVERAGE(O7:O9)</f>
      </c>
      <c r="P10" s="823">
        <f>AVERAGE(P7:P9)</f>
      </c>
      <c r="Q10" s="827">
        <f t="shared" si="6"/>
      </c>
      <c r="R10" s="823">
        <f>AVERAGE(R7:R9)</f>
      </c>
      <c r="S10" s="823">
        <f>AVERAGE(S7:S9)</f>
      </c>
      <c r="T10" s="823">
        <f>AVERAGE(T7:T9)</f>
      </c>
    </row>
    <row r="11" ht="15" customHeight="1">
      <c r="A11" s="791">
        <f t="shared" si="2"/>
      </c>
      <c r="B11" s="166"/>
      <c r="C11" s="165"/>
      <c r="D11" s="794">
        <f t="shared" si="3"/>
      </c>
      <c r="E11" s="798">
        <f t="shared" si="4"/>
      </c>
      <c r="F11" s="166"/>
      <c r="G11" s="166"/>
      <c r="H11" s="794">
        <f t="shared" si="0"/>
      </c>
      <c r="I11" s="798">
        <f t="shared" si="5"/>
      </c>
      <c r="J11" s="169"/>
      <c r="K11" s="165"/>
      <c r="L11" s="802">
        <f t="shared" si="1"/>
      </c>
      <c r="M11" s="152"/>
      <c r="N11" s="152"/>
      <c r="O11" s="152"/>
      <c r="P11" s="152"/>
      <c r="Q11" s="152"/>
      <c r="R11" s="152"/>
      <c r="S11" s="152"/>
      <c r="T11" s="152"/>
    </row>
    <row r="12" ht="15" customHeight="1">
      <c r="A12" s="791">
        <f t="shared" si="2"/>
      </c>
      <c r="B12" s="166"/>
      <c r="C12" s="165"/>
      <c r="D12" s="794">
        <f t="shared" si="3"/>
      </c>
      <c r="E12" s="798">
        <f t="shared" si="4"/>
      </c>
      <c r="F12" s="166"/>
      <c r="G12" s="166"/>
      <c r="H12" s="794">
        <f t="shared" si="0"/>
      </c>
      <c r="I12" s="798">
        <f t="shared" si="5"/>
      </c>
      <c r="J12" s="166"/>
      <c r="K12" s="166"/>
      <c r="L12" s="802">
        <f t="shared" si="1"/>
      </c>
      <c r="M12" s="128"/>
      <c r="N12" s="128"/>
      <c r="O12" s="128"/>
      <c r="P12" s="128"/>
      <c r="Q12" s="128"/>
      <c r="R12" s="128"/>
      <c r="S12" s="128"/>
      <c r="T12" s="128"/>
    </row>
    <row r="13" ht="15" customHeight="1">
      <c r="A13" s="791">
        <f t="shared" si="2"/>
      </c>
      <c r="B13" s="166"/>
      <c r="C13" s="165"/>
      <c r="D13" s="794">
        <f t="shared" si="3"/>
      </c>
      <c r="E13" s="798">
        <f t="shared" si="4"/>
      </c>
      <c r="F13" s="166"/>
      <c r="G13" s="166"/>
      <c r="H13" s="794">
        <f t="shared" si="0"/>
      </c>
      <c r="I13" s="798">
        <f t="shared" si="5"/>
      </c>
      <c r="J13" s="166"/>
      <c r="K13" s="166"/>
      <c r="L13" s="802">
        <f t="shared" si="1"/>
      </c>
      <c r="M13" s="128"/>
      <c r="N13" s="128"/>
      <c r="O13" s="128"/>
      <c r="P13" s="128"/>
      <c r="Q13" s="128"/>
      <c r="R13" s="128"/>
      <c r="S13" s="128"/>
      <c r="T13" s="128"/>
    </row>
    <row r="14" ht="15" customHeight="1">
      <c r="A14" s="791">
        <f t="shared" si="2"/>
      </c>
      <c r="B14" s="166"/>
      <c r="C14" s="165"/>
      <c r="D14" s="794">
        <f t="shared" si="3"/>
      </c>
      <c r="E14" s="798">
        <f t="shared" si="4"/>
      </c>
      <c r="F14" s="166"/>
      <c r="G14" s="166"/>
      <c r="H14" s="794">
        <f t="shared" si="0"/>
      </c>
      <c r="I14" s="798">
        <f t="shared" si="5"/>
      </c>
      <c r="J14" s="165"/>
      <c r="K14" s="165"/>
      <c r="L14" s="802">
        <f t="shared" si="1"/>
      </c>
      <c r="M14" s="128"/>
      <c r="N14" s="128"/>
      <c r="O14" s="128"/>
      <c r="P14" s="128"/>
      <c r="Q14" s="128"/>
      <c r="R14" s="128"/>
      <c r="S14" s="128"/>
      <c r="T14" s="128"/>
    </row>
    <row r="15" ht="15" customHeight="1">
      <c r="A15" s="791">
        <f t="shared" si="2"/>
      </c>
      <c r="B15" s="166"/>
      <c r="C15" s="166"/>
      <c r="D15" s="794">
        <f t="shared" si="3"/>
      </c>
      <c r="E15" s="798">
        <f t="shared" si="4"/>
      </c>
      <c r="F15" s="166"/>
      <c r="G15" s="166"/>
      <c r="H15" s="794">
        <f t="shared" si="0"/>
      </c>
      <c r="I15" s="798">
        <f t="shared" si="5"/>
      </c>
      <c r="J15" s="165"/>
      <c r="K15" s="165"/>
      <c r="L15" s="802">
        <f t="shared" si="1"/>
      </c>
      <c r="M15" s="128"/>
      <c r="N15" s="128"/>
      <c r="O15" s="128"/>
      <c r="P15" s="128"/>
      <c r="Q15" s="128"/>
      <c r="R15" s="128"/>
      <c r="S15" s="128"/>
      <c r="T15" s="128"/>
    </row>
    <row r="16" ht="15" customHeight="1">
      <c r="A16" s="791">
        <f t="shared" si="2"/>
      </c>
      <c r="B16" s="166"/>
      <c r="C16" s="166"/>
      <c r="D16" s="794">
        <f t="shared" si="3"/>
      </c>
      <c r="E16" s="798">
        <f t="shared" si="4"/>
      </c>
      <c r="F16" s="166"/>
      <c r="G16" s="166"/>
      <c r="H16" s="794">
        <f t="shared" si="0"/>
      </c>
      <c r="I16" s="798">
        <f t="shared" si="5"/>
      </c>
      <c r="J16" s="165"/>
      <c r="K16" s="165"/>
      <c r="L16" s="802">
        <f t="shared" si="1"/>
      </c>
      <c r="M16" s="128"/>
      <c r="N16" s="128"/>
      <c r="O16" s="128"/>
      <c r="P16" s="128"/>
      <c r="Q16" s="128"/>
      <c r="R16" s="128"/>
      <c r="S16" s="128"/>
      <c r="T16" s="128"/>
    </row>
    <row r="17" ht="15" customHeight="1">
      <c r="A17" s="791">
        <f t="shared" si="2"/>
      </c>
      <c r="B17" s="166"/>
      <c r="C17" s="166"/>
      <c r="D17" s="794">
        <f t="shared" si="3"/>
      </c>
      <c r="E17" s="798">
        <f t="shared" si="4"/>
      </c>
      <c r="F17" s="166"/>
      <c r="G17" s="166"/>
      <c r="H17" s="794">
        <f t="shared" si="0"/>
      </c>
      <c r="I17" s="798">
        <f t="shared" si="5"/>
      </c>
      <c r="J17" s="166"/>
      <c r="K17" s="165"/>
      <c r="L17" s="802">
        <f t="shared" si="1"/>
      </c>
      <c r="M17" s="128"/>
      <c r="N17" s="128"/>
      <c r="O17" s="128"/>
      <c r="P17" s="128"/>
      <c r="Q17" s="128"/>
      <c r="R17" s="128"/>
      <c r="S17" s="128"/>
      <c r="T17" s="128"/>
    </row>
    <row r="18" ht="15" customHeight="1">
      <c r="A18" s="791">
        <f t="shared" si="2"/>
      </c>
      <c r="B18" s="166"/>
      <c r="C18" s="166"/>
      <c r="D18" s="794">
        <f t="shared" si="3"/>
      </c>
      <c r="E18" s="798">
        <f t="shared" si="4"/>
      </c>
      <c r="F18" s="166"/>
      <c r="G18" s="166"/>
      <c r="H18" s="794">
        <f t="shared" si="0"/>
      </c>
      <c r="I18" s="798">
        <f t="shared" si="5"/>
      </c>
      <c r="J18" s="166"/>
      <c r="K18" s="165"/>
      <c r="L18" s="802">
        <f t="shared" si="1"/>
      </c>
      <c r="M18" s="128"/>
      <c r="N18" s="128"/>
      <c r="O18" s="128"/>
      <c r="P18" s="128"/>
      <c r="Q18" s="128"/>
      <c r="R18" s="128"/>
      <c r="S18" s="128"/>
      <c r="T18" s="128"/>
    </row>
    <row r="19" ht="15" customHeight="1">
      <c r="A19" s="791">
        <f t="shared" si="2"/>
      </c>
      <c r="B19" s="166"/>
      <c r="C19" s="166"/>
      <c r="D19" s="794">
        <f t="shared" si="3"/>
      </c>
      <c r="E19" s="798">
        <f t="shared" si="4"/>
      </c>
      <c r="F19" s="166"/>
      <c r="G19" s="166"/>
      <c r="H19" s="794">
        <f t="shared" si="0"/>
      </c>
      <c r="I19" s="798">
        <f t="shared" si="5"/>
      </c>
      <c r="J19" s="166"/>
      <c r="K19" s="166"/>
      <c r="L19" s="802">
        <f t="shared" si="1"/>
      </c>
      <c r="M19" s="128"/>
      <c r="N19" s="128"/>
      <c r="O19" s="128"/>
      <c r="P19" s="128"/>
      <c r="Q19" s="128"/>
      <c r="R19" s="128"/>
      <c r="S19" s="128"/>
      <c r="T19" s="128"/>
    </row>
    <row r="20" ht="15" customHeight="1">
      <c r="A20" s="791">
        <f t="shared" si="2"/>
      </c>
      <c r="B20" s="166"/>
      <c r="C20" s="166"/>
      <c r="D20" s="794">
        <f t="shared" si="3"/>
      </c>
      <c r="E20" s="798">
        <f t="shared" si="4"/>
      </c>
      <c r="F20" s="166"/>
      <c r="G20" s="166"/>
      <c r="H20" s="794">
        <f t="shared" si="0"/>
      </c>
      <c r="I20" s="798">
        <f t="shared" si="5"/>
      </c>
      <c r="J20" s="166"/>
      <c r="K20" s="165"/>
      <c r="L20" s="802">
        <f t="shared" si="1"/>
      </c>
      <c r="M20" s="128"/>
      <c r="N20" s="128"/>
      <c r="O20" s="128"/>
      <c r="P20" s="128"/>
      <c r="Q20" s="128"/>
      <c r="R20" s="128"/>
      <c r="S20" s="128"/>
      <c r="T20" s="128"/>
    </row>
    <row r="21" ht="15" customHeight="1">
      <c r="A21" s="791">
        <f t="shared" si="2"/>
      </c>
      <c r="B21" s="166"/>
      <c r="C21" s="166"/>
      <c r="D21" s="794">
        <f t="shared" si="3"/>
      </c>
      <c r="E21" s="798">
        <f t="shared" si="4"/>
      </c>
      <c r="F21" s="166"/>
      <c r="G21" s="166"/>
      <c r="H21" s="794">
        <f t="shared" si="0"/>
      </c>
      <c r="I21" s="798">
        <f t="shared" si="5"/>
      </c>
      <c r="J21" s="165"/>
      <c r="K21" s="165"/>
      <c r="L21" s="802">
        <f t="shared" si="1"/>
      </c>
      <c r="M21" s="128"/>
      <c r="N21" s="128"/>
      <c r="O21" s="128"/>
      <c r="P21" s="128"/>
      <c r="Q21" s="128"/>
      <c r="R21" s="128"/>
      <c r="S21" s="128"/>
      <c r="T21" s="128"/>
    </row>
    <row r="22" ht="15" customHeight="1">
      <c r="A22" s="791">
        <f t="shared" si="2"/>
      </c>
      <c r="B22" s="166"/>
      <c r="C22" s="166"/>
      <c r="D22" s="794">
        <f t="shared" si="3"/>
      </c>
      <c r="E22" s="798">
        <f t="shared" si="4"/>
      </c>
      <c r="F22" s="166"/>
      <c r="G22" s="166"/>
      <c r="H22" s="794">
        <f t="shared" si="0"/>
      </c>
      <c r="I22" s="798">
        <f t="shared" si="5"/>
      </c>
      <c r="J22" s="166"/>
      <c r="K22" s="165"/>
      <c r="L22" s="802">
        <f t="shared" si="1"/>
      </c>
      <c r="M22" s="128"/>
      <c r="N22" s="128"/>
      <c r="O22" s="128"/>
      <c r="P22" s="128"/>
      <c r="Q22" s="128"/>
      <c r="R22" s="128"/>
      <c r="S22" s="128"/>
      <c r="T22" s="128"/>
    </row>
    <row r="23" ht="15" customHeight="1">
      <c r="A23" s="791">
        <f t="shared" si="2"/>
      </c>
      <c r="B23" s="166"/>
      <c r="C23" s="166"/>
      <c r="D23" s="794">
        <f t="shared" si="3"/>
      </c>
      <c r="E23" s="798">
        <f t="shared" si="4"/>
      </c>
      <c r="F23" s="166"/>
      <c r="G23" s="166"/>
      <c r="H23" s="794">
        <f t="shared" si="0"/>
      </c>
      <c r="I23" s="798">
        <f t="shared" si="5"/>
      </c>
      <c r="J23" s="166"/>
      <c r="K23" s="165"/>
      <c r="L23" s="802">
        <f t="shared" si="1"/>
      </c>
      <c r="M23" s="128"/>
      <c r="N23" s="128"/>
      <c r="O23" s="128"/>
      <c r="P23" s="128"/>
      <c r="Q23" s="128"/>
      <c r="R23" s="128"/>
      <c r="S23" s="128"/>
      <c r="T23" s="128"/>
    </row>
    <row r="24" ht="15" customHeight="1">
      <c r="A24" s="791">
        <f t="shared" si="2"/>
      </c>
      <c r="B24" s="166"/>
      <c r="C24" s="166"/>
      <c r="D24" s="794">
        <f t="shared" si="3"/>
      </c>
      <c r="E24" s="798">
        <f t="shared" si="4"/>
      </c>
      <c r="F24" s="166"/>
      <c r="G24" s="166"/>
      <c r="H24" s="794">
        <f t="shared" si="0"/>
      </c>
      <c r="I24" s="798">
        <f t="shared" si="5"/>
      </c>
      <c r="J24" s="166"/>
      <c r="K24" s="166"/>
      <c r="L24" s="802">
        <f t="shared" si="1"/>
      </c>
      <c r="M24" s="128"/>
      <c r="N24" s="128"/>
      <c r="O24" s="128"/>
      <c r="P24" s="128"/>
      <c r="Q24" s="128"/>
      <c r="R24" s="128"/>
      <c r="S24" s="128"/>
      <c r="T24" s="128"/>
    </row>
    <row r="25" ht="15" customHeight="1">
      <c r="A25" s="791">
        <f t="shared" si="2"/>
      </c>
      <c r="B25" s="166"/>
      <c r="C25" s="166"/>
      <c r="D25" s="794">
        <f t="shared" si="3"/>
      </c>
      <c r="E25" s="798">
        <f t="shared" si="4"/>
      </c>
      <c r="F25" s="166"/>
      <c r="G25" s="166"/>
      <c r="H25" s="794">
        <f t="shared" si="0"/>
      </c>
      <c r="I25" s="798">
        <f t="shared" si="5"/>
      </c>
      <c r="J25" s="166"/>
      <c r="K25" s="166"/>
      <c r="L25" s="802">
        <f t="shared" si="1"/>
      </c>
      <c r="M25" s="128"/>
      <c r="N25" s="128"/>
      <c r="O25" s="128"/>
      <c r="P25" s="128"/>
      <c r="Q25" s="128"/>
      <c r="R25" s="128"/>
      <c r="S25" s="128"/>
      <c r="T25" s="128"/>
    </row>
    <row r="26" ht="15" customHeight="1">
      <c r="A26" s="791">
        <f t="shared" si="2"/>
      </c>
      <c r="B26" s="166"/>
      <c r="C26" s="166"/>
      <c r="D26" s="794">
        <f t="shared" si="3"/>
      </c>
      <c r="E26" s="798">
        <f t="shared" si="4"/>
      </c>
      <c r="F26" s="166"/>
      <c r="G26" s="166"/>
      <c r="H26" s="794">
        <f t="shared" si="0"/>
      </c>
      <c r="I26" s="798">
        <f t="shared" si="5"/>
      </c>
      <c r="J26" s="166"/>
      <c r="K26" s="166"/>
      <c r="L26" s="802">
        <f t="shared" si="1"/>
      </c>
      <c r="M26" s="128"/>
      <c r="N26" s="128"/>
      <c r="O26" s="128"/>
      <c r="P26" s="128"/>
      <c r="Q26" s="128"/>
      <c r="R26" s="128"/>
      <c r="S26" s="128"/>
      <c r="T26" s="128"/>
    </row>
    <row r="27" ht="15" customHeight="1">
      <c r="A27" s="791">
        <f t="shared" si="2"/>
      </c>
      <c r="B27" s="166"/>
      <c r="C27" s="166"/>
      <c r="D27" s="794">
        <f t="shared" si="3"/>
      </c>
      <c r="E27" s="798">
        <f t="shared" si="4"/>
      </c>
      <c r="F27" s="166"/>
      <c r="G27" s="166"/>
      <c r="H27" s="794">
        <f t="shared" si="0"/>
      </c>
      <c r="I27" s="798">
        <f t="shared" si="5"/>
      </c>
      <c r="J27" s="165"/>
      <c r="K27" s="166"/>
      <c r="L27" s="802">
        <f t="shared" si="1"/>
      </c>
      <c r="M27" s="128"/>
      <c r="N27" s="128"/>
      <c r="O27" s="128"/>
      <c r="P27" s="128"/>
      <c r="Q27" s="128"/>
      <c r="R27" s="128"/>
      <c r="S27" s="128"/>
      <c r="T27" s="128"/>
    </row>
    <row r="28" ht="15" customHeight="1">
      <c r="A28" s="791">
        <f t="shared" si="2"/>
      </c>
      <c r="B28" s="166"/>
      <c r="C28" s="166"/>
      <c r="D28" s="794">
        <f t="shared" si="3"/>
      </c>
      <c r="E28" s="798">
        <f t="shared" si="4"/>
      </c>
      <c r="F28" s="166"/>
      <c r="G28" s="166"/>
      <c r="H28" s="794">
        <f t="shared" si="0"/>
      </c>
      <c r="I28" s="798">
        <f t="shared" si="5"/>
      </c>
      <c r="J28" s="165"/>
      <c r="K28" s="166"/>
      <c r="L28" s="802">
        <f t="shared" si="1"/>
      </c>
      <c r="M28" s="128"/>
      <c r="N28" s="128"/>
      <c r="O28" s="128"/>
      <c r="P28" s="128"/>
      <c r="Q28" s="128"/>
      <c r="R28" s="128"/>
      <c r="S28" s="128"/>
      <c r="T28" s="128"/>
    </row>
    <row r="29" ht="15" customHeight="1">
      <c r="A29" s="791">
        <f t="shared" si="2"/>
      </c>
      <c r="B29" s="166"/>
      <c r="C29" s="166"/>
      <c r="D29" s="794">
        <f t="shared" si="3"/>
      </c>
      <c r="E29" s="798">
        <f t="shared" si="4"/>
      </c>
      <c r="F29" s="166"/>
      <c r="G29" s="166"/>
      <c r="H29" s="794">
        <f t="shared" si="0"/>
      </c>
      <c r="I29" s="798">
        <f t="shared" si="5"/>
      </c>
      <c r="J29" s="166"/>
      <c r="K29" s="166"/>
      <c r="L29" s="802">
        <f t="shared" si="1"/>
      </c>
      <c r="M29" s="128"/>
      <c r="N29" s="128"/>
      <c r="O29" s="128"/>
      <c r="P29" s="128"/>
      <c r="Q29" s="128"/>
      <c r="R29" s="128"/>
      <c r="S29" s="128"/>
      <c r="T29" s="128"/>
    </row>
    <row r="30" ht="15" customHeight="1">
      <c r="A30" s="791">
        <f t="shared" si="2"/>
      </c>
      <c r="B30" s="166"/>
      <c r="C30" s="166"/>
      <c r="D30" s="794">
        <f t="shared" si="3"/>
      </c>
      <c r="E30" s="798">
        <f t="shared" si="4"/>
      </c>
      <c r="F30" s="166"/>
      <c r="G30" s="166"/>
      <c r="H30" s="794">
        <f t="shared" si="0"/>
      </c>
      <c r="I30" s="798">
        <f t="shared" si="5"/>
      </c>
      <c r="J30" s="166"/>
      <c r="K30" s="166"/>
      <c r="L30" s="802">
        <f t="shared" si="1"/>
      </c>
      <c r="M30" s="128"/>
      <c r="N30" s="128"/>
      <c r="O30" s="128"/>
      <c r="P30" s="128"/>
      <c r="Q30" s="128"/>
      <c r="R30" s="128"/>
      <c r="S30" s="128"/>
      <c r="T30" s="128"/>
    </row>
    <row r="31" ht="15" customHeight="1">
      <c r="A31" s="791">
        <f t="shared" si="2"/>
      </c>
      <c r="B31" s="166"/>
      <c r="C31" s="166"/>
      <c r="D31" s="794">
        <f t="shared" si="3"/>
      </c>
      <c r="E31" s="798">
        <f t="shared" si="4"/>
      </c>
      <c r="F31" s="168"/>
      <c r="G31" s="166"/>
      <c r="H31" s="794">
        <f t="shared" si="0"/>
      </c>
      <c r="I31" s="798">
        <f t="shared" si="5"/>
      </c>
      <c r="J31" s="166"/>
      <c r="K31" s="166"/>
      <c r="L31" s="802">
        <f t="shared" si="1"/>
      </c>
      <c r="M31" s="128"/>
      <c r="N31" s="128"/>
      <c r="O31" s="128"/>
      <c r="P31" s="128"/>
      <c r="Q31" s="128"/>
      <c r="R31" s="128"/>
      <c r="S31" s="128"/>
      <c r="T31" s="128"/>
    </row>
    <row r="32" ht="15" customHeight="1">
      <c r="A32" s="791">
        <f t="shared" si="2"/>
      </c>
      <c r="B32" s="166"/>
      <c r="C32" s="166"/>
      <c r="D32" s="794">
        <f t="shared" si="3"/>
      </c>
      <c r="E32" s="798">
        <f t="shared" si="4"/>
      </c>
      <c r="F32" s="166"/>
      <c r="G32" s="166"/>
      <c r="H32" s="794">
        <f t="shared" si="0"/>
      </c>
      <c r="I32" s="798">
        <f t="shared" si="5"/>
      </c>
      <c r="J32" s="166"/>
      <c r="K32" s="166"/>
      <c r="L32" s="802">
        <f t="shared" si="1"/>
      </c>
      <c r="M32" s="128"/>
      <c r="N32" s="128"/>
      <c r="O32" s="128"/>
      <c r="P32" s="128"/>
      <c r="Q32" s="128"/>
      <c r="R32" s="128"/>
      <c r="S32" s="128"/>
      <c r="T32" s="128"/>
    </row>
    <row r="33" ht="15" customHeight="1">
      <c r="A33" s="791">
        <f t="shared" si="2"/>
      </c>
      <c r="B33" s="166"/>
      <c r="C33" s="166"/>
      <c r="D33" s="794">
        <f t="shared" si="3"/>
      </c>
      <c r="E33" s="798">
        <f t="shared" si="4"/>
      </c>
      <c r="F33" s="166"/>
      <c r="G33" s="166"/>
      <c r="H33" s="794">
        <f t="shared" si="0"/>
      </c>
      <c r="I33" s="798">
        <f t="shared" si="5"/>
      </c>
      <c r="J33" s="165"/>
      <c r="K33" s="166"/>
      <c r="L33" s="802">
        <f t="shared" si="1"/>
      </c>
      <c r="M33" s="128"/>
      <c r="N33" s="128"/>
      <c r="O33" s="128"/>
      <c r="P33" s="128"/>
      <c r="Q33" s="128"/>
      <c r="R33" s="128"/>
      <c r="S33" s="128"/>
      <c r="T33" s="128"/>
    </row>
    <row r="34" ht="15" customHeight="1">
      <c r="A34" s="791">
        <f t="shared" si="2"/>
      </c>
      <c r="B34" s="166"/>
      <c r="C34" s="166"/>
      <c r="D34" s="794">
        <f t="shared" si="3"/>
      </c>
      <c r="E34" s="798">
        <f t="shared" si="4"/>
      </c>
      <c r="F34" s="166"/>
      <c r="G34" s="166"/>
      <c r="H34" s="794">
        <f t="shared" si="0"/>
      </c>
      <c r="I34" s="798">
        <f t="shared" si="5"/>
      </c>
      <c r="J34" s="165"/>
      <c r="K34" s="166"/>
      <c r="L34" s="802">
        <f t="shared" si="1"/>
      </c>
      <c r="M34" s="128"/>
      <c r="N34" s="128"/>
      <c r="O34" s="128"/>
      <c r="P34" s="128"/>
      <c r="Q34" s="128"/>
      <c r="R34" s="128"/>
      <c r="S34" s="128"/>
      <c r="T34" s="128"/>
    </row>
    <row r="35" ht="15" customHeight="1">
      <c r="A35" s="791">
        <f t="shared" si="2"/>
      </c>
      <c r="B35" s="166"/>
      <c r="C35" s="166"/>
      <c r="D35" s="794">
        <f t="shared" si="3"/>
      </c>
      <c r="E35" s="798">
        <f t="shared" si="4"/>
      </c>
      <c r="F35" s="166"/>
      <c r="G35" s="166"/>
      <c r="H35" s="794">
        <f t="shared" si="0"/>
      </c>
      <c r="I35" s="798">
        <f t="shared" si="5"/>
      </c>
      <c r="J35" s="165"/>
      <c r="K35" s="166"/>
      <c r="L35" s="802">
        <f t="shared" si="1"/>
      </c>
      <c r="M35" s="128"/>
      <c r="N35" s="128"/>
      <c r="O35" s="128"/>
      <c r="P35" s="128"/>
      <c r="Q35" s="128"/>
      <c r="R35" s="128"/>
      <c r="S35" s="128"/>
      <c r="T35" s="128"/>
    </row>
    <row r="36" ht="15" customHeight="1">
      <c r="A36" s="791">
        <f t="shared" si="2"/>
      </c>
      <c r="B36" s="166"/>
      <c r="C36" s="166"/>
      <c r="D36" s="794">
        <f t="shared" si="3"/>
      </c>
      <c r="E36" s="798">
        <f t="shared" si="4"/>
      </c>
      <c r="F36" s="166"/>
      <c r="G36" s="166"/>
      <c r="H36" s="794">
        <f t="shared" si="0"/>
      </c>
      <c r="I36" s="798">
        <f t="shared" si="5"/>
      </c>
      <c r="J36" s="166"/>
      <c r="K36" s="166"/>
      <c r="L36" s="803">
        <f t="shared" si="1"/>
      </c>
      <c r="M36" s="128"/>
      <c r="N36" s="128"/>
      <c r="O36" s="128"/>
      <c r="P36" s="128"/>
      <c r="Q36" s="128"/>
      <c r="R36" s="128"/>
      <c r="S36" s="128"/>
      <c r="T36" s="128"/>
    </row>
    <row r="37" ht="15" customHeight="1">
      <c r="A37" s="791">
        <f t="shared" si="2"/>
      </c>
      <c r="B37" s="166"/>
      <c r="C37" s="166"/>
      <c r="D37" s="794">
        <f t="shared" si="3"/>
      </c>
      <c r="E37" s="798">
        <f t="shared" si="4"/>
      </c>
      <c r="F37" s="166"/>
      <c r="G37" s="166"/>
      <c r="H37" s="794">
        <f t="shared" si="0"/>
      </c>
      <c r="I37" s="798">
        <f t="shared" si="5"/>
      </c>
      <c r="J37" s="166"/>
      <c r="K37" s="166"/>
      <c r="L37" s="803">
        <f t="shared" si="1"/>
      </c>
      <c r="M37" s="128"/>
      <c r="N37" s="128"/>
      <c r="O37" s="128"/>
      <c r="P37" s="128"/>
      <c r="Q37" s="128"/>
      <c r="R37" s="128"/>
      <c r="S37" s="128"/>
      <c r="T37" s="128"/>
    </row>
    <row r="38" ht="15" customHeight="1">
      <c r="A38" s="791">
        <f t="shared" si="2"/>
      </c>
      <c r="B38" s="166"/>
      <c r="C38" s="166"/>
      <c r="D38" s="794">
        <f t="shared" si="3"/>
      </c>
      <c r="E38" s="798">
        <f t="shared" si="4"/>
      </c>
      <c r="F38" s="166"/>
      <c r="G38" s="166"/>
      <c r="H38" s="794">
        <f t="shared" si="0"/>
      </c>
      <c r="I38" s="798">
        <f t="shared" si="5"/>
      </c>
      <c r="J38" s="166"/>
      <c r="K38" s="166"/>
      <c r="L38" s="803">
        <f t="shared" si="1"/>
      </c>
      <c r="M38" s="128"/>
      <c r="N38" s="128"/>
      <c r="O38" s="128"/>
      <c r="P38" s="128"/>
      <c r="Q38" s="128"/>
      <c r="R38" s="128"/>
      <c r="S38" s="128"/>
      <c r="T38" s="128"/>
    </row>
    <row r="39" ht="15" customHeight="1">
      <c r="A39" s="791">
        <f t="shared" si="2"/>
      </c>
      <c r="B39" s="166"/>
      <c r="C39" s="166"/>
      <c r="D39" s="794">
        <f t="shared" si="3"/>
      </c>
      <c r="E39" s="798">
        <f t="shared" si="4"/>
      </c>
      <c r="F39" s="166"/>
      <c r="G39" s="166"/>
      <c r="H39" s="794">
        <f t="shared" si="0"/>
      </c>
      <c r="I39" s="798">
        <f t="shared" si="5"/>
      </c>
      <c r="J39" s="166"/>
      <c r="K39" s="166"/>
      <c r="L39" s="803">
        <f t="shared" si="1"/>
      </c>
      <c r="M39" s="128"/>
      <c r="N39" s="128"/>
      <c r="O39" s="128"/>
      <c r="P39" s="128"/>
      <c r="Q39" s="128"/>
      <c r="R39" s="128"/>
      <c r="S39" s="128"/>
      <c r="T39" s="128"/>
    </row>
    <row r="40" ht="15" customHeight="1">
      <c r="A40" s="791">
        <f t="shared" si="2"/>
      </c>
      <c r="B40" s="166"/>
      <c r="C40" s="166"/>
      <c r="D40" s="794">
        <f t="shared" si="3"/>
      </c>
      <c r="E40" s="798">
        <f t="shared" si="4"/>
      </c>
      <c r="F40" s="166"/>
      <c r="G40" s="166"/>
      <c r="H40" s="794">
        <f t="shared" si="0"/>
      </c>
      <c r="I40" s="798">
        <f t="shared" si="5"/>
      </c>
      <c r="J40" s="166"/>
      <c r="K40" s="166"/>
      <c r="L40" s="803">
        <f t="shared" si="1"/>
      </c>
      <c r="M40" s="128"/>
      <c r="N40" s="128"/>
      <c r="O40" s="128"/>
      <c r="P40" s="128"/>
      <c r="Q40" s="128"/>
      <c r="R40" s="128"/>
      <c r="S40" s="128"/>
      <c r="T40" s="128"/>
    </row>
    <row r="41" ht="15" customHeight="1">
      <c r="A41" s="791">
        <f t="shared" si="2"/>
      </c>
      <c r="B41" s="166"/>
      <c r="C41" s="166"/>
      <c r="D41" s="794">
        <f t="shared" si="3"/>
      </c>
      <c r="E41" s="798">
        <f t="shared" si="4"/>
      </c>
      <c r="F41" s="166"/>
      <c r="G41" s="166"/>
      <c r="H41" s="794">
        <f t="shared" si="0"/>
      </c>
      <c r="I41" s="798">
        <f t="shared" si="5"/>
      </c>
      <c r="J41" s="166"/>
      <c r="K41" s="166"/>
      <c r="L41" s="803">
        <f t="shared" si="1"/>
      </c>
      <c r="M41" s="128"/>
      <c r="N41" s="128"/>
      <c r="O41" s="128"/>
      <c r="P41" s="128"/>
      <c r="Q41" s="128"/>
      <c r="R41" s="128"/>
      <c r="S41" s="128"/>
      <c r="T41" s="128"/>
    </row>
    <row r="42" ht="15" customHeight="1">
      <c r="A42" s="791">
        <f t="shared" si="2"/>
      </c>
      <c r="B42" s="166"/>
      <c r="C42" s="166"/>
      <c r="D42" s="794">
        <f t="shared" si="3"/>
      </c>
      <c r="E42" s="798">
        <f t="shared" si="4"/>
      </c>
      <c r="F42" s="166"/>
      <c r="G42" s="166"/>
      <c r="H42" s="794">
        <f t="shared" si="0"/>
      </c>
      <c r="I42" s="798">
        <f t="shared" si="5"/>
      </c>
      <c r="J42" s="166"/>
      <c r="K42" s="166"/>
      <c r="L42" s="803">
        <f t="shared" si="1"/>
      </c>
      <c r="M42" s="128"/>
      <c r="N42" s="128"/>
      <c r="O42" s="128"/>
      <c r="P42" s="128"/>
      <c r="Q42" s="128"/>
      <c r="R42" s="128"/>
      <c r="S42" s="128"/>
      <c r="T42" s="128"/>
    </row>
    <row r="43" ht="15" customHeight="1">
      <c r="A43" s="791">
        <f t="shared" si="2"/>
      </c>
      <c r="B43" s="166"/>
      <c r="C43" s="166"/>
      <c r="D43" s="794">
        <f t="shared" si="3"/>
      </c>
      <c r="E43" s="798">
        <f t="shared" si="4"/>
      </c>
      <c r="F43" s="166"/>
      <c r="G43" s="166"/>
      <c r="H43" s="794">
        <f t="shared" si="0"/>
      </c>
      <c r="I43" s="798">
        <f t="shared" si="5"/>
      </c>
      <c r="J43" s="166"/>
      <c r="K43" s="166"/>
      <c r="L43" s="803">
        <f t="shared" si="1"/>
      </c>
      <c r="M43" s="128"/>
      <c r="N43" s="128"/>
      <c r="O43" s="128"/>
      <c r="P43" s="128"/>
      <c r="Q43" s="128"/>
      <c r="R43" s="128"/>
      <c r="S43" s="128"/>
      <c r="T43" s="128"/>
    </row>
    <row r="44" ht="15" customHeight="1">
      <c r="A44" s="791">
        <f t="shared" si="2"/>
      </c>
      <c r="B44" s="166"/>
      <c r="C44" s="166"/>
      <c r="D44" s="794">
        <f t="shared" si="3"/>
      </c>
      <c r="E44" s="798">
        <f t="shared" si="4"/>
      </c>
      <c r="F44" s="166"/>
      <c r="G44" s="166"/>
      <c r="H44" s="794">
        <f t="shared" si="0"/>
      </c>
      <c r="I44" s="798">
        <f t="shared" si="5"/>
      </c>
      <c r="J44" s="166"/>
      <c r="K44" s="166"/>
      <c r="L44" s="803">
        <f t="shared" si="1"/>
      </c>
      <c r="M44" s="128"/>
      <c r="N44" s="128"/>
      <c r="O44" s="128"/>
      <c r="P44" s="128"/>
      <c r="Q44" s="128"/>
      <c r="R44" s="128"/>
      <c r="S44" s="128"/>
      <c r="T44" s="128"/>
    </row>
    <row r="45" ht="15" customHeight="1">
      <c r="A45" s="791">
        <f t="shared" si="2"/>
      </c>
      <c r="B45" s="166"/>
      <c r="C45" s="166"/>
      <c r="D45" s="794">
        <f t="shared" si="3"/>
      </c>
      <c r="E45" s="798">
        <f t="shared" si="4"/>
      </c>
      <c r="F45" s="166"/>
      <c r="G45" s="166"/>
      <c r="H45" s="794">
        <f t="shared" si="0"/>
      </c>
      <c r="I45" s="798">
        <f t="shared" si="5"/>
      </c>
      <c r="J45" s="166"/>
      <c r="K45" s="166"/>
      <c r="L45" s="803">
        <f t="shared" si="1"/>
      </c>
      <c r="M45" s="128"/>
      <c r="N45" s="128"/>
      <c r="O45" s="128"/>
      <c r="P45" s="128"/>
      <c r="Q45" s="128"/>
      <c r="R45" s="128"/>
      <c r="S45" s="128"/>
      <c r="T45" s="128"/>
    </row>
    <row r="46" ht="15" customHeight="1">
      <c r="A46" s="791">
        <f t="shared" si="2"/>
      </c>
      <c r="B46" s="166"/>
      <c r="C46" s="166"/>
      <c r="D46" s="794">
        <f t="shared" si="3"/>
      </c>
      <c r="E46" s="798">
        <f t="shared" si="4"/>
      </c>
      <c r="F46" s="166"/>
      <c r="G46" s="166"/>
      <c r="H46" s="794">
        <f t="shared" si="0"/>
      </c>
      <c r="I46" s="798">
        <f t="shared" si="5"/>
      </c>
      <c r="J46" s="166"/>
      <c r="K46" s="166"/>
      <c r="L46" s="803">
        <f t="shared" si="1"/>
      </c>
      <c r="M46" s="128"/>
      <c r="N46" s="128"/>
      <c r="O46" s="128"/>
      <c r="P46" s="128"/>
      <c r="Q46" s="128"/>
      <c r="R46" s="128"/>
      <c r="S46" s="128"/>
      <c r="T46" s="128"/>
    </row>
    <row r="47" ht="15" customHeight="1">
      <c r="A47" s="791">
        <f t="shared" si="2"/>
      </c>
      <c r="B47" s="166"/>
      <c r="C47" s="166"/>
      <c r="D47" s="794">
        <f t="shared" si="3"/>
      </c>
      <c r="E47" s="798">
        <f t="shared" si="4"/>
      </c>
      <c r="F47" s="166"/>
      <c r="G47" s="166"/>
      <c r="H47" s="794">
        <f t="shared" si="0"/>
      </c>
      <c r="I47" s="798">
        <f t="shared" si="5"/>
      </c>
      <c r="J47" s="166"/>
      <c r="K47" s="166"/>
      <c r="L47" s="803">
        <f t="shared" si="1"/>
      </c>
      <c r="M47" s="128"/>
      <c r="N47" s="128"/>
      <c r="O47" s="128"/>
      <c r="P47" s="128"/>
      <c r="Q47" s="128"/>
      <c r="R47" s="128"/>
      <c r="S47" s="128"/>
      <c r="T47" s="128"/>
    </row>
    <row r="48" ht="15" customHeight="1">
      <c r="A48" s="791">
        <f t="shared" si="2"/>
      </c>
      <c r="B48" s="166"/>
      <c r="C48" s="166"/>
      <c r="D48" s="794">
        <f t="shared" si="3"/>
      </c>
      <c r="E48" s="798">
        <f t="shared" si="4"/>
      </c>
      <c r="F48" s="166"/>
      <c r="G48" s="166"/>
      <c r="H48" s="794">
        <f t="shared" si="0"/>
      </c>
      <c r="I48" s="798">
        <f t="shared" si="5"/>
      </c>
      <c r="J48" s="166"/>
      <c r="K48" s="166"/>
      <c r="L48" s="803">
        <f t="shared" si="1"/>
      </c>
      <c r="M48" s="128"/>
      <c r="N48" s="128"/>
      <c r="O48" s="128"/>
      <c r="P48" s="128"/>
      <c r="Q48" s="128"/>
      <c r="R48" s="128"/>
      <c r="S48" s="128"/>
      <c r="T48" s="128"/>
    </row>
    <row r="49" ht="15" customHeight="1">
      <c r="A49" s="791">
        <f t="shared" si="2"/>
      </c>
      <c r="B49" s="166"/>
      <c r="C49" s="166"/>
      <c r="D49" s="794">
        <f t="shared" si="3"/>
      </c>
      <c r="E49" s="798">
        <f t="shared" si="4"/>
      </c>
      <c r="F49" s="166"/>
      <c r="G49" s="166"/>
      <c r="H49" s="794">
        <f t="shared" si="0"/>
      </c>
      <c r="I49" s="798">
        <f t="shared" si="5"/>
      </c>
      <c r="J49" s="166"/>
      <c r="K49" s="166"/>
      <c r="L49" s="803">
        <f t="shared" si="1"/>
      </c>
      <c r="M49" s="128"/>
      <c r="N49" s="128"/>
      <c r="O49" s="128"/>
      <c r="P49" s="128"/>
      <c r="Q49" s="128"/>
      <c r="R49" s="128"/>
      <c r="S49" s="128"/>
      <c r="T49" s="128"/>
    </row>
    <row r="50" ht="15" customHeight="1">
      <c r="A50" s="791">
        <f t="shared" si="2"/>
      </c>
      <c r="B50" s="167"/>
      <c r="C50" s="167"/>
      <c r="D50" s="795">
        <f t="shared" si="3"/>
      </c>
      <c r="E50" s="798">
        <f t="shared" si="4"/>
      </c>
      <c r="F50" s="167"/>
      <c r="G50" s="167"/>
      <c r="H50" s="794">
        <f t="shared" si="0"/>
      </c>
      <c r="I50" s="798">
        <f t="shared" si="5"/>
      </c>
      <c r="J50" s="167"/>
      <c r="K50" s="167"/>
      <c r="L50" s="803">
        <f t="shared" si="1"/>
      </c>
      <c r="M50" s="128"/>
      <c r="N50" s="128"/>
      <c r="O50" s="128"/>
      <c r="P50" s="128"/>
      <c r="Q50" s="128"/>
      <c r="R50" s="128"/>
      <c r="S50" s="128"/>
      <c r="T50" s="128"/>
    </row>
    <row r="51" ht="15" customHeight="1">
      <c r="A51" s="791">
        <f t="shared" si="2"/>
      </c>
      <c r="B51" s="166"/>
      <c r="C51" s="166"/>
      <c r="D51" s="794">
        <f t="shared" si="3"/>
      </c>
      <c r="E51" s="798">
        <f t="shared" si="4"/>
      </c>
      <c r="F51" s="166"/>
      <c r="G51" s="166"/>
      <c r="H51" s="794">
        <f t="shared" si="0"/>
      </c>
      <c r="I51" s="798">
        <f t="shared" si="5"/>
      </c>
      <c r="J51" s="166"/>
      <c r="K51" s="166"/>
      <c r="L51" s="803">
        <f t="shared" si="1"/>
      </c>
      <c r="M51" s="128"/>
      <c r="N51" s="128"/>
      <c r="O51" s="128"/>
      <c r="P51" s="128"/>
      <c r="Q51" s="128"/>
      <c r="R51" s="128"/>
      <c r="S51" s="128"/>
      <c r="T51" s="128"/>
    </row>
    <row r="52" ht="15" customHeight="1">
      <c r="A52" s="791">
        <f t="shared" si="2"/>
      </c>
      <c r="B52" s="166"/>
      <c r="C52" s="166"/>
      <c r="D52" s="794">
        <f t="shared" si="3"/>
      </c>
      <c r="E52" s="798">
        <f t="shared" si="4"/>
      </c>
      <c r="F52" s="166"/>
      <c r="G52" s="166"/>
      <c r="H52" s="794">
        <f t="shared" si="0"/>
      </c>
      <c r="I52" s="798">
        <f t="shared" si="5"/>
      </c>
      <c r="J52" s="166"/>
      <c r="K52" s="166"/>
      <c r="L52" s="803">
        <f t="shared" si="1"/>
      </c>
      <c r="M52" s="128"/>
      <c r="N52" s="128"/>
      <c r="O52" s="128"/>
      <c r="P52" s="128"/>
      <c r="Q52" s="128"/>
      <c r="R52" s="128"/>
      <c r="S52" s="128"/>
      <c r="T52" s="128"/>
    </row>
    <row r="53" ht="15" customHeight="1">
      <c r="A53" s="791">
        <f t="shared" si="2"/>
      </c>
      <c r="B53" s="166"/>
      <c r="C53" s="166"/>
      <c r="D53" s="794">
        <f t="shared" si="3"/>
      </c>
      <c r="E53" s="798">
        <f t="shared" si="4"/>
      </c>
      <c r="F53" s="166"/>
      <c r="G53" s="166"/>
      <c r="H53" s="794">
        <f t="shared" si="0"/>
      </c>
      <c r="I53" s="798">
        <f t="shared" si="5"/>
      </c>
      <c r="J53" s="166"/>
      <c r="K53" s="166"/>
      <c r="L53" s="803">
        <f t="shared" si="1"/>
      </c>
      <c r="M53" s="128"/>
      <c r="N53" s="128"/>
      <c r="O53" s="128"/>
      <c r="P53" s="128"/>
      <c r="Q53" s="128"/>
      <c r="R53" s="128"/>
      <c r="S53" s="128"/>
      <c r="T53" s="128"/>
    </row>
    <row r="54" spans="1:32" ht="6.75" customHeight="1" thickBot="1">
      <c r="A54" s="162"/>
      <c r="B54" s="473"/>
      <c r="C54" s="167"/>
      <c r="D54" s="399"/>
      <c r="E54" s="400"/>
      <c r="F54" s="167"/>
      <c r="G54" s="167"/>
      <c r="H54" s="399"/>
      <c r="I54" s="401"/>
      <c r="J54" s="167"/>
      <c r="K54" s="167"/>
      <c r="L54" s="399"/>
      <c r="M54" s="128"/>
      <c r="N54" s="128"/>
      <c r="O54" s="128"/>
      <c r="P54" s="128"/>
      <c r="Q54" s="128"/>
      <c r="R54" s="128"/>
      <c r="S54" s="128"/>
      <c r="T54" s="128"/>
    </row>
    <row r="55" spans="1:32" ht="15" customHeight="1">
      <c r="A55" s="804" t="s">
        <v>6</v>
      </c>
      <c r="B55" s="805">
        <f>SUM(B6:B53)</f>
      </c>
      <c r="C55" s="805">
        <f>SUM(C6:C53)</f>
      </c>
      <c r="D55" s="806"/>
      <c r="E55" s="807" t="s">
        <v>6</v>
      </c>
      <c r="F55" s="806">
        <f>SUM(F6:F53)</f>
      </c>
      <c r="G55" s="806">
        <f>SUM(G6:G53)</f>
      </c>
      <c r="H55" s="808"/>
      <c r="I55" s="807" t="s">
        <v>6</v>
      </c>
      <c r="J55" s="806">
        <f>SUM(J6:J53)</f>
      </c>
      <c r="K55" s="806">
        <f>SUM(K6:K53)</f>
      </c>
      <c r="L55" s="809"/>
      <c r="M55" s="128"/>
      <c r="N55" s="128"/>
      <c r="O55" s="128"/>
      <c r="P55" s="128"/>
      <c r="Q55" s="128"/>
      <c r="R55" s="128"/>
      <c r="S55" s="128"/>
      <c r="T55" s="128"/>
    </row>
    <row r="56" spans="1:32" ht="15" customHeight="1">
      <c r="A56" s="810" t="s">
        <v>559</v>
      </c>
      <c r="B56" s="811">
        <f>AVERAGE(B6:B53)</f>
      </c>
      <c r="C56" s="811">
        <f>AVERAGE(C6:C53)</f>
      </c>
      <c r="D56" s="803"/>
      <c r="E56" s="812" t="s">
        <v>559</v>
      </c>
      <c r="F56" s="803">
        <f>AVERAGE(F6:F53)</f>
      </c>
      <c r="G56" s="803">
        <f>AVERAGE(G6:G53)</f>
      </c>
      <c r="H56" s="803"/>
      <c r="I56" s="812" t="s">
        <v>559</v>
      </c>
      <c r="J56" s="803">
        <f>AVERAGE(J6:J53)</f>
      </c>
      <c r="K56" s="803">
        <f>AVERAGE(K6:K53)</f>
      </c>
      <c r="L56" s="813"/>
      <c r="M56" s="119"/>
      <c r="N56" s="119"/>
      <c r="O56" s="119"/>
      <c r="P56" s="119"/>
      <c r="Q56" s="119"/>
      <c r="R56" s="119"/>
      <c r="S56" s="119"/>
      <c r="T56" s="119"/>
    </row>
    <row r="57" spans="1:32" ht="15" customHeight="1" thickBot="1">
      <c r="A57" s="814" t="s">
        <v>593</v>
      </c>
      <c r="B57" s="815">
        <f>COUNTIF(B6:B53,"&gt;0")</f>
      </c>
      <c r="C57" s="815">
        <f>COUNTIF(C6:C53,"&gt;0")</f>
      </c>
      <c r="D57" s="816"/>
      <c r="E57" s="815" t="s">
        <v>593</v>
      </c>
      <c r="F57" s="815">
        <f>COUNTIF(F6:F53,"&gt;0")</f>
      </c>
      <c r="G57" s="815">
        <f>COUNTIF(G6:G53,"&gt;0")</f>
      </c>
      <c r="H57" s="816"/>
      <c r="I57" s="815" t="s">
        <v>593</v>
      </c>
      <c r="J57" s="815">
        <f>COUNTIF(J6:J53,"&gt;0")</f>
      </c>
      <c r="K57" s="815">
        <f>COUNTIF(K6:K53,"&gt;0")</f>
      </c>
      <c r="L57" s="817"/>
      <c r="U57" s="129"/>
      <c r="V57" s="120"/>
      <c r="W57" s="130"/>
      <c r="X57" s="130"/>
      <c r="Y57" s="131"/>
      <c r="Z57" s="132"/>
      <c r="AA57" s="130"/>
      <c r="AB57" s="130"/>
      <c r="AC57" s="130"/>
      <c r="AD57" s="133"/>
    </row>
    <row r="58" spans="1:32" ht="15" customHeight="1"/>
    <row r="59" spans="1:32" ht="15" customHeight="1" thickBot="1">
      <c r="A59" s="934" t="s">
        <v>1120</v>
      </c>
      <c r="B59" s="934"/>
      <c r="C59" s="752"/>
      <c r="D59" s="573"/>
      <c r="E59" s="752"/>
      <c r="F59" s="752"/>
      <c r="G59" s="752"/>
      <c r="H59" s="573"/>
      <c r="I59" s="752"/>
      <c r="J59" s="752"/>
      <c r="K59" s="752"/>
      <c r="L59" s="573"/>
      <c r="M59" s="573"/>
      <c r="N59" s="573"/>
      <c r="U59" s="18"/>
      <c r="V59" s="18"/>
      <c r="W59" s="129"/>
      <c r="X59" s="120"/>
      <c r="Y59" s="130"/>
      <c r="Z59" s="130"/>
      <c r="AA59" s="131"/>
      <c r="AB59" s="132"/>
      <c r="AC59" s="130"/>
      <c r="AD59" s="130"/>
      <c r="AE59" s="130"/>
      <c r="AF59" s="133"/>
    </row>
    <row r="60" spans="1:32" ht="15" customHeight="1">
      <c r="A60" s="753" t="s">
        <v>4</v>
      </c>
      <c r="B60" s="754" t="s">
        <v>1121</v>
      </c>
      <c r="C60" s="754" t="s">
        <v>1122</v>
      </c>
      <c r="D60" s="755" t="s">
        <v>11</v>
      </c>
      <c r="E60" s="752"/>
      <c r="F60" s="752"/>
      <c r="G60" s="752"/>
      <c r="H60" s="573"/>
      <c r="I60" s="752"/>
      <c r="J60" s="752"/>
      <c r="K60" s="752"/>
      <c r="L60" s="573"/>
      <c r="M60" s="573"/>
      <c r="N60" s="573"/>
      <c r="U60" s="18"/>
      <c r="V60" s="18"/>
      <c r="W60" s="129"/>
      <c r="X60" s="120"/>
      <c r="Y60" s="130"/>
      <c r="Z60" s="130"/>
      <c r="AA60" s="131"/>
      <c r="AB60" s="132"/>
      <c r="AC60" s="130"/>
      <c r="AD60" s="130"/>
      <c r="AE60" s="130"/>
      <c r="AF60" s="133"/>
    </row>
    <row r="61" spans="1:32" ht="15" customHeight="1">
      <c r="A61" s="829">
        <f>I53</f>
      </c>
      <c r="B61" s="756">
        <f>C1</f>
      </c>
      <c r="C61" s="830">
        <f>C2</f>
      </c>
      <c r="D61" s="813">
        <f>L53</f>
      </c>
      <c r="E61" s="752"/>
      <c r="F61" s="752"/>
      <c r="G61" s="752"/>
      <c r="H61" s="573"/>
      <c r="I61" s="752"/>
      <c r="J61" s="752"/>
      <c r="K61" s="752"/>
      <c r="L61" s="573"/>
      <c r="M61" s="573"/>
      <c r="N61" s="573"/>
      <c r="U61" s="18"/>
      <c r="V61" s="18"/>
      <c r="W61" s="129"/>
      <c r="X61" s="120"/>
      <c r="Y61" s="130"/>
      <c r="Z61" s="130"/>
      <c r="AA61" s="131"/>
      <c r="AB61" s="132"/>
      <c r="AC61" s="130"/>
      <c r="AD61" s="130"/>
      <c r="AE61" s="130"/>
      <c r="AF61" s="133"/>
    </row>
    <row r="62" ht="15" customHeight="1">
      <c r="A62" s="829">
        <f>A61</f>
      </c>
      <c r="B62" s="756" t="s">
        <v>556</v>
      </c>
      <c r="C62" s="757"/>
      <c r="D62" s="758"/>
      <c r="E62" s="752"/>
      <c r="F62" s="752"/>
      <c r="G62" s="752"/>
      <c r="H62" s="573"/>
      <c r="I62" s="752"/>
      <c r="J62" s="752"/>
      <c r="K62" s="752"/>
      <c r="L62" s="573"/>
      <c r="M62" s="573"/>
      <c r="N62" s="573"/>
      <c r="U62" s="18"/>
      <c r="V62" s="18"/>
      <c r="W62" s="129"/>
      <c r="X62" s="120"/>
      <c r="Y62" s="130"/>
      <c r="Z62" s="130"/>
      <c r="AA62" s="131"/>
      <c r="AB62" s="132"/>
      <c r="AC62" s="130"/>
      <c r="AD62" s="130"/>
      <c r="AE62" s="130"/>
      <c r="AF62" s="133"/>
    </row>
    <row r="63" ht="15" customHeight="1">
      <c r="A63" s="829">
        <f>A62</f>
      </c>
      <c r="B63" s="756" t="s">
        <v>1123</v>
      </c>
      <c r="C63" s="757"/>
      <c r="D63" s="758"/>
      <c r="E63" s="752"/>
      <c r="F63" s="752"/>
      <c r="G63" s="752"/>
      <c r="H63" s="573"/>
      <c r="I63" s="752"/>
      <c r="J63" s="752"/>
      <c r="K63" s="752"/>
      <c r="L63" s="573"/>
      <c r="M63" s="573"/>
      <c r="N63" s="573"/>
      <c r="U63" s="18"/>
      <c r="V63" s="18"/>
      <c r="W63" s="129"/>
      <c r="X63" s="120"/>
      <c r="Y63" s="130"/>
      <c r="Z63" s="130"/>
      <c r="AA63" s="131"/>
      <c r="AB63" s="132"/>
      <c r="AC63" s="130"/>
      <c r="AD63" s="130"/>
      <c r="AE63" s="130"/>
      <c r="AF63" s="133"/>
    </row>
    <row r="64" ht="15" customHeight="1">
      <c r="A64" s="829">
        <f>A63</f>
      </c>
      <c r="B64" s="756" t="s">
        <v>620</v>
      </c>
      <c r="C64" s="757"/>
      <c r="D64" s="758"/>
      <c r="E64" s="752"/>
      <c r="F64" s="752"/>
      <c r="G64" s="752"/>
      <c r="H64" s="573"/>
      <c r="I64" s="752"/>
      <c r="J64" s="752"/>
      <c r="K64" s="752"/>
      <c r="L64" s="573"/>
      <c r="M64" s="573"/>
      <c r="N64" s="573"/>
      <c r="U64" s="18"/>
      <c r="V64" s="18"/>
      <c r="W64" s="129"/>
      <c r="X64" s="120"/>
      <c r="Y64" s="130"/>
      <c r="Z64" s="130"/>
      <c r="AA64" s="131"/>
      <c r="AB64" s="132"/>
      <c r="AC64" s="130"/>
      <c r="AD64" s="130"/>
      <c r="AE64" s="130"/>
      <c r="AF64" s="133"/>
    </row>
    <row r="65" ht="15" customHeight="1">
      <c r="A65" s="829">
        <f>A64</f>
      </c>
      <c r="B65" s="756" t="s">
        <v>580</v>
      </c>
      <c r="C65" s="757"/>
      <c r="D65" s="758"/>
      <c r="E65" s="752"/>
      <c r="F65" s="752"/>
      <c r="G65" s="752"/>
      <c r="H65" s="573"/>
      <c r="I65" s="752"/>
      <c r="J65" s="752"/>
      <c r="K65" s="752"/>
      <c r="L65" s="573"/>
      <c r="M65" s="573"/>
      <c r="N65" s="573"/>
      <c r="U65" s="18"/>
      <c r="V65" s="18"/>
      <c r="W65" s="129"/>
      <c r="X65" s="120"/>
      <c r="Y65" s="130"/>
      <c r="Z65" s="130"/>
      <c r="AA65" s="131"/>
      <c r="AB65" s="132"/>
      <c r="AC65" s="130"/>
      <c r="AD65" s="130"/>
      <c r="AE65" s="130"/>
      <c r="AF65" s="133"/>
    </row>
    <row r="66" ht="15" customHeight="1">
      <c r="A66" s="829">
        <f>A65</f>
      </c>
      <c r="B66" s="756" t="s">
        <v>1124</v>
      </c>
      <c r="C66" s="757"/>
      <c r="D66" s="758"/>
      <c r="E66" s="752"/>
      <c r="F66" s="752"/>
      <c r="G66" s="752"/>
      <c r="H66" s="573"/>
      <c r="I66" s="752"/>
      <c r="J66" s="752"/>
      <c r="K66" s="752"/>
      <c r="L66" s="573"/>
      <c r="M66" s="573"/>
      <c r="N66" s="573"/>
      <c r="U66" s="18"/>
      <c r="V66" s="18"/>
      <c r="W66" s="129"/>
      <c r="X66" s="120"/>
      <c r="Y66" s="130"/>
      <c r="Z66" s="130"/>
      <c r="AA66" s="131"/>
      <c r="AB66" s="132"/>
      <c r="AC66" s="130"/>
      <c r="AD66" s="130"/>
      <c r="AE66" s="130"/>
      <c r="AF66" s="133"/>
    </row>
    <row r="67" spans="1:32" ht="15" customHeight="1" thickBot="1">
      <c r="A67" s="1416" t="s">
        <v>6</v>
      </c>
      <c r="B67" s="1417"/>
      <c r="C67" s="1418"/>
      <c r="D67" s="828">
        <f>SUM(D61:D66)</f>
      </c>
      <c r="E67" s="573"/>
      <c r="F67" s="573"/>
      <c r="G67" s="573"/>
      <c r="H67" s="573"/>
      <c r="I67" s="573"/>
      <c r="J67" s="573"/>
      <c r="K67" s="573"/>
      <c r="L67" s="573"/>
      <c r="M67" s="573"/>
      <c r="N67" s="573"/>
      <c r="U67" s="18"/>
      <c r="V67" s="18"/>
    </row>
    <row r="68" spans="1:32" ht="15" customHeight="1" thickBot="1">
      <c r="A68" s="901"/>
      <c r="B68" s="902"/>
      <c r="C68" s="902"/>
      <c r="D68" s="903"/>
      <c r="E68" s="573"/>
      <c r="F68" s="573"/>
      <c r="G68" s="573"/>
      <c r="H68" s="573"/>
      <c r="I68" s="573"/>
      <c r="J68" s="573"/>
      <c r="K68" s="573"/>
      <c r="L68" s="573"/>
      <c r="M68" s="573"/>
      <c r="N68" s="573"/>
      <c r="U68" s="18"/>
      <c r="V68" s="18"/>
    </row>
    <row r="69" spans="1:32" ht="15" customHeight="1" thickBot="1">
      <c r="A69" s="907"/>
      <c r="B69" s="908"/>
      <c r="C69" s="908"/>
      <c r="D69" s="909"/>
      <c r="E69" s="573"/>
      <c r="F69" s="573"/>
      <c r="G69" s="573"/>
      <c r="H69" s="573"/>
      <c r="I69" s="573"/>
      <c r="J69" s="573"/>
      <c r="K69" s="573"/>
      <c r="L69" s="573"/>
      <c r="M69" s="573"/>
      <c r="N69" s="573"/>
      <c r="U69" s="18"/>
      <c r="V69" s="18"/>
    </row>
    <row r="70" spans="1:32" ht="15" customHeight="1" thickBot="1">
      <c r="A70" s="910"/>
      <c r="B70" s="911"/>
      <c r="C70" s="911"/>
      <c r="D70" s="912"/>
      <c r="E70" s="573"/>
      <c r="F70" s="573"/>
      <c r="G70" s="573"/>
      <c r="H70" s="573"/>
      <c r="I70" s="573"/>
      <c r="J70" s="573"/>
      <c r="K70" s="573"/>
      <c r="L70" s="573"/>
      <c r="M70" s="573"/>
      <c r="N70" s="573"/>
      <c r="U70" s="18"/>
      <c r="V70" s="18"/>
    </row>
    <row r="71" spans="1:32" ht="15" customHeight="1" thickBot="1">
      <c r="A71" s="910"/>
      <c r="B71" s="911"/>
      <c r="C71" s="911"/>
      <c r="D71" s="912"/>
      <c r="E71" s="573"/>
      <c r="F71" s="573"/>
      <c r="G71" s="573"/>
      <c r="H71" s="573"/>
      <c r="I71" s="573"/>
      <c r="J71" s="573"/>
      <c r="K71" s="573"/>
      <c r="L71" s="573"/>
      <c r="M71" s="573"/>
      <c r="N71" s="573"/>
      <c r="U71" s="18"/>
      <c r="V71" s="18"/>
    </row>
    <row r="72" spans="1:32" ht="15" customHeight="1" thickBot="1">
      <c r="A72" s="910"/>
      <c r="B72" s="911"/>
      <c r="C72" s="911"/>
      <c r="D72" s="912"/>
      <c r="E72" s="573"/>
      <c r="F72" s="573"/>
      <c r="G72" s="573"/>
      <c r="H72" s="573"/>
      <c r="I72" s="573"/>
      <c r="J72" s="573"/>
      <c r="K72" s="573"/>
      <c r="L72" s="573"/>
      <c r="M72" s="573"/>
      <c r="N72" s="573"/>
      <c r="U72" s="18"/>
      <c r="V72" s="18"/>
    </row>
    <row r="73" spans="1:32" ht="15" customHeight="1" thickBot="1">
      <c r="A73" s="910"/>
      <c r="B73" s="911"/>
      <c r="C73" s="911"/>
      <c r="D73" s="912"/>
      <c r="E73" s="573"/>
      <c r="F73" s="573"/>
      <c r="G73" s="573"/>
      <c r="H73" s="573"/>
      <c r="I73" s="573"/>
      <c r="J73" s="573"/>
      <c r="K73" s="573"/>
      <c r="L73" s="573"/>
      <c r="M73" s="573"/>
      <c r="N73" s="573"/>
      <c r="U73" s="18"/>
      <c r="V73" s="18"/>
    </row>
    <row r="74" spans="1:32" ht="15" customHeight="1" thickBot="1">
      <c r="A74" s="910"/>
      <c r="B74" s="911"/>
      <c r="C74" s="911"/>
      <c r="D74" s="912"/>
      <c r="E74" s="573"/>
      <c r="F74" s="573"/>
      <c r="G74" s="573"/>
      <c r="H74" s="573"/>
      <c r="I74" s="573"/>
      <c r="J74" s="573"/>
      <c r="K74" s="573"/>
      <c r="L74" s="573"/>
      <c r="M74" s="573"/>
      <c r="N74" s="573"/>
      <c r="U74" s="18"/>
      <c r="V74" s="18"/>
    </row>
    <row r="75" spans="1:32" ht="15" customHeight="1" thickBot="1">
      <c r="A75" s="910"/>
      <c r="B75" s="911"/>
      <c r="C75" s="911"/>
      <c r="D75" s="912"/>
      <c r="E75" s="573"/>
      <c r="F75" s="573"/>
      <c r="G75" s="573"/>
      <c r="H75" s="573"/>
      <c r="I75" s="573"/>
      <c r="J75" s="573"/>
      <c r="K75" s="573"/>
      <c r="L75" s="573"/>
      <c r="M75" s="573"/>
      <c r="N75" s="573"/>
      <c r="U75" s="18"/>
      <c r="V75" s="18"/>
    </row>
    <row r="76" spans="1:32" ht="15" customHeight="1" thickBot="1">
      <c r="A76" s="910"/>
      <c r="B76" s="911"/>
      <c r="C76" s="911"/>
      <c r="D76" s="912"/>
      <c r="E76" s="573"/>
      <c r="F76" s="573"/>
      <c r="G76" s="573"/>
      <c r="H76" s="573"/>
      <c r="I76" s="573"/>
      <c r="J76" s="573"/>
      <c r="K76" s="573"/>
      <c r="L76" s="573"/>
      <c r="M76" s="573"/>
      <c r="N76" s="573"/>
      <c r="U76" s="18"/>
      <c r="V76" s="18"/>
    </row>
    <row r="77" spans="1:32" ht="15" customHeight="1" thickBot="1">
      <c r="A77" s="910"/>
      <c r="B77" s="911"/>
      <c r="C77" s="911"/>
      <c r="D77" s="912"/>
      <c r="E77" s="573"/>
      <c r="F77" s="573"/>
      <c r="G77" s="573"/>
      <c r="H77" s="573"/>
      <c r="I77" s="573"/>
      <c r="J77" s="573"/>
      <c r="K77" s="573"/>
      <c r="L77" s="573"/>
      <c r="M77" s="573"/>
      <c r="N77" s="573"/>
      <c r="U77" s="18"/>
      <c r="V77" s="18"/>
    </row>
    <row r="78" spans="1:32" ht="15" customHeight="1" thickBot="1">
      <c r="A78" s="910"/>
      <c r="B78" s="911"/>
      <c r="C78" s="911"/>
      <c r="D78" s="912"/>
      <c r="E78" s="573"/>
      <c r="F78" s="573"/>
      <c r="G78" s="573"/>
      <c r="H78" s="573"/>
      <c r="I78" s="573"/>
      <c r="J78" s="573"/>
      <c r="K78" s="573"/>
      <c r="L78" s="573"/>
      <c r="M78" s="573"/>
      <c r="N78" s="573"/>
      <c r="U78" s="18"/>
      <c r="V78" s="18"/>
    </row>
    <row r="79" spans="1:32" ht="15" customHeight="1" thickBot="1">
      <c r="A79" s="910"/>
      <c r="B79" s="911"/>
      <c r="C79" s="911"/>
      <c r="D79" s="912"/>
      <c r="E79" s="573"/>
      <c r="F79" s="573"/>
      <c r="G79" s="573"/>
      <c r="H79" s="573"/>
      <c r="I79" s="573"/>
      <c r="J79" s="573"/>
      <c r="K79" s="573"/>
      <c r="L79" s="573"/>
      <c r="M79" s="573"/>
      <c r="N79" s="573"/>
      <c r="U79" s="18"/>
      <c r="V79" s="18"/>
    </row>
    <row r="80" spans="1:32" ht="15" customHeight="1" thickBot="1">
      <c r="A80" s="910"/>
      <c r="B80" s="911"/>
      <c r="C80" s="911"/>
      <c r="D80" s="912"/>
      <c r="E80" s="573"/>
      <c r="F80" s="573"/>
      <c r="G80" s="573"/>
      <c r="H80" s="573"/>
      <c r="I80" s="573"/>
      <c r="J80" s="573"/>
      <c r="K80" s="573"/>
      <c r="L80" s="573"/>
      <c r="M80" s="573"/>
      <c r="N80" s="573"/>
      <c r="U80" s="18"/>
      <c r="V80" s="18"/>
    </row>
    <row r="81" spans="1:26" ht="15" customHeight="1" thickBot="1">
      <c r="A81" s="907"/>
      <c r="B81" s="908"/>
      <c r="C81" s="908"/>
      <c r="D81" s="909"/>
      <c r="E81" s="573"/>
      <c r="F81" s="573"/>
      <c r="G81" s="573"/>
      <c r="H81" s="573"/>
      <c r="I81" s="573"/>
      <c r="J81" s="573"/>
      <c r="K81" s="573"/>
      <c r="L81" s="573"/>
      <c r="M81" s="573"/>
      <c r="N81" s="573"/>
      <c r="U81" s="18"/>
      <c r="V81" s="18"/>
    </row>
    <row r="82" spans="1:26" ht="15" customHeight="1" thickBot="1">
      <c r="A82" s="904"/>
      <c r="B82" s="905"/>
      <c r="C82" s="905"/>
      <c r="D82" s="906"/>
      <c r="E82" s="573"/>
      <c r="F82" s="573"/>
      <c r="G82" s="573"/>
      <c r="H82" s="573"/>
      <c r="I82" s="573"/>
      <c r="J82" s="573"/>
      <c r="K82" s="573"/>
      <c r="L82" s="573"/>
      <c r="M82" s="573"/>
      <c r="N82" s="573"/>
      <c r="U82" s="18"/>
      <c r="V82" s="18"/>
    </row>
    <row r="83" spans="1:26" customFormat="1" ht="16.2" thickBot="1">
      <c r="A83" s="100"/>
      <c r="B83" s="1440" t="s">
        <v>874</v>
      </c>
      <c r="C83" s="1441"/>
      <c r="D83" s="1441"/>
      <c r="E83" s="1441"/>
      <c r="F83" s="1441"/>
      <c r="G83" s="1441"/>
      <c r="H83" s="1442"/>
      <c r="I83" s="465"/>
      <c r="J83" s="465"/>
      <c r="K83" s="465"/>
      <c r="L83" s="465"/>
      <c r="M83" s="391"/>
      <c r="N83" s="391"/>
      <c r="O83" s="391"/>
      <c r="P83" s="391"/>
      <c r="Q83" s="391"/>
      <c r="R83" s="391"/>
      <c r="S83" s="391"/>
      <c r="T83" s="391"/>
      <c r="U83" s="391"/>
      <c r="V83" s="391"/>
      <c r="W83" s="391"/>
      <c r="X83" s="391"/>
      <c r="Y83" s="391"/>
      <c r="Z83" s="391"/>
    </row>
    <row r="84" spans="1:26" customFormat="1" ht="5.25" customHeight="1">
      <c r="A84" s="100"/>
      <c r="B84" s="392"/>
      <c r="C84" s="392"/>
      <c r="D84" s="392"/>
      <c r="E84" s="392"/>
      <c r="F84" s="392"/>
      <c r="G84" s="392"/>
      <c r="H84" s="392"/>
      <c r="I84" s="393"/>
      <c r="J84" s="393"/>
      <c r="K84" s="393"/>
      <c r="L84" s="393"/>
      <c r="M84" s="393"/>
      <c r="N84" s="393"/>
      <c r="O84" s="393"/>
      <c r="P84" s="393"/>
      <c r="Q84" s="393"/>
      <c r="R84" s="393"/>
      <c r="S84" s="393"/>
      <c r="T84" s="393"/>
      <c r="U84" s="393"/>
      <c r="V84" s="393"/>
      <c r="W84" s="393"/>
      <c r="X84" s="393"/>
      <c r="Y84" s="393"/>
      <c r="Z84" s="393"/>
    </row>
    <row r="85" spans="1:26" customFormat="1" ht="15.75" customHeight="1">
      <c r="A85" s="100"/>
      <c r="B85" s="783" t="s">
        <v>909</v>
      </c>
      <c r="C85" s="393"/>
      <c r="D85" s="393"/>
      <c r="E85" s="393"/>
      <c r="F85" s="783" t="s">
        <v>909</v>
      </c>
      <c r="G85" s="393"/>
      <c r="H85" s="393"/>
      <c r="I85" s="393"/>
      <c r="J85" s="393"/>
      <c r="K85" s="393"/>
      <c r="L85" s="393"/>
      <c r="M85" s="393"/>
      <c r="N85" s="393"/>
      <c r="O85" s="393"/>
      <c r="P85" s="393"/>
      <c r="Q85" s="393"/>
      <c r="R85" s="393"/>
      <c r="S85" s="393"/>
      <c r="T85" s="393"/>
      <c r="U85" s="393"/>
      <c r="V85" s="393"/>
      <c r="W85" s="393"/>
      <c r="X85" s="393"/>
      <c r="Y85" s="393"/>
      <c r="Z85" s="393"/>
    </row>
    <row r="86" spans="1:26" customFormat="1" ht="2.25" customHeight="1" thickBot="1">
      <c r="A86" s="100"/>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row>
    <row r="87" spans="1:26" customFormat="1" ht="15.6">
      <c r="A87" s="100"/>
      <c r="B87" s="1404" t="s">
        <v>990</v>
      </c>
      <c r="C87" s="1405"/>
      <c r="D87" s="402" t="s">
        <v>905</v>
      </c>
      <c r="E87" s="466"/>
      <c r="F87" s="1404" t="s">
        <v>990</v>
      </c>
      <c r="G87" s="1405"/>
      <c r="H87" s="402" t="s">
        <v>875</v>
      </c>
      <c r="I87" s="56"/>
      <c r="J87" s="56"/>
      <c r="K87" s="56"/>
      <c r="L87" s="172"/>
      <c r="M87" s="395"/>
      <c r="N87" s="172"/>
      <c r="O87" s="20"/>
      <c r="P87" s="20"/>
      <c r="Q87" s="20"/>
      <c r="R87" s="38"/>
      <c r="S87" s="1428"/>
      <c r="T87" s="1428"/>
      <c r="U87" s="1428"/>
      <c r="V87" s="1428"/>
      <c r="W87" s="1428"/>
      <c r="X87" s="1428"/>
      <c r="Y87" s="1428"/>
      <c r="Z87" s="1428"/>
    </row>
    <row r="88" customFormat="1" ht="15.6">
      <c r="A88" s="100"/>
      <c r="B88" s="1406" t="s">
        <v>992</v>
      </c>
      <c r="C88" s="1407"/>
      <c r="D88" s="403"/>
      <c r="E88" s="404"/>
      <c r="F88" s="1406" t="s">
        <v>992</v>
      </c>
      <c r="G88" s="1407"/>
      <c r="H88" s="405">
        <f>C1</f>
      </c>
      <c r="I88" s="467"/>
      <c r="J88" s="467"/>
      <c r="K88" s="467"/>
      <c r="L88" s="172"/>
      <c r="M88" s="395"/>
      <c r="N88" s="172"/>
      <c r="O88" s="20"/>
      <c r="P88" s="20"/>
      <c r="Q88" s="20"/>
      <c r="R88" s="38"/>
      <c r="S88" s="1428"/>
      <c r="T88" s="1428"/>
      <c r="U88" s="1428"/>
      <c r="V88" s="1428"/>
      <c r="W88" s="1428"/>
      <c r="X88" s="1428"/>
      <c r="Y88" s="1428"/>
      <c r="Z88" s="1428"/>
    </row>
    <row r="89" customFormat="1" ht="16.2" thickBot="1">
      <c r="A89" s="100"/>
      <c r="B89" s="1408" t="s">
        <v>993</v>
      </c>
      <c r="C89" s="1409"/>
      <c r="D89" s="470"/>
      <c r="E89" s="466"/>
      <c r="F89" s="1410" t="s">
        <v>993</v>
      </c>
      <c r="G89" s="1411"/>
      <c r="H89" s="468">
        <f>T9</f>
      </c>
      <c r="I89" s="56"/>
      <c r="J89" s="56"/>
      <c r="K89" s="56"/>
      <c r="L89" s="172"/>
      <c r="M89" s="395"/>
      <c r="N89" s="151"/>
      <c r="O89" s="20"/>
      <c r="P89" s="20"/>
      <c r="Q89" s="20"/>
      <c r="R89" s="38"/>
      <c r="S89" s="1428"/>
      <c r="T89" s="1428"/>
      <c r="U89" s="1428"/>
      <c r="V89" s="1428"/>
      <c r="W89" s="1428"/>
      <c r="X89" s="1428"/>
      <c r="Y89" s="1428"/>
      <c r="Z89" s="1428"/>
    </row>
    <row r="90" spans="1:26" customFormat="1" ht="13.5" customHeight="1">
      <c r="A90" s="100"/>
      <c r="B90" s="1404" t="s">
        <v>990</v>
      </c>
      <c r="C90" s="1405"/>
      <c r="D90" s="402" t="s">
        <v>905</v>
      </c>
      <c r="E90" s="393"/>
      <c r="F90" s="1404" t="s">
        <v>990</v>
      </c>
      <c r="G90" s="1405"/>
      <c r="H90" s="402" t="s">
        <v>905</v>
      </c>
      <c r="I90" s="393"/>
      <c r="J90" s="393"/>
      <c r="K90" s="393"/>
      <c r="L90" s="393"/>
      <c r="M90" s="393"/>
      <c r="N90" s="393"/>
      <c r="O90" s="394"/>
      <c r="P90" s="394"/>
      <c r="Q90" s="394"/>
      <c r="R90" s="394"/>
      <c r="S90" s="394"/>
      <c r="T90" s="394"/>
      <c r="U90" s="394"/>
      <c r="V90" s="394"/>
      <c r="W90" s="394"/>
      <c r="X90" s="394"/>
      <c r="Y90" s="394"/>
      <c r="Z90" s="394"/>
    </row>
    <row r="91" customFormat="1" ht="15.6">
      <c r="A91" s="100"/>
      <c r="B91" s="1406" t="s">
        <v>992</v>
      </c>
      <c r="C91" s="1407"/>
      <c r="D91" s="403"/>
      <c r="E91" s="466"/>
      <c r="F91" s="1406" t="s">
        <v>992</v>
      </c>
      <c r="G91" s="1407"/>
      <c r="H91" s="403"/>
      <c r="I91" s="56"/>
      <c r="J91" s="56"/>
      <c r="K91" s="56"/>
      <c r="L91" s="172"/>
      <c r="M91" s="395"/>
      <c r="N91" s="172"/>
      <c r="O91" s="20"/>
      <c r="P91" s="20"/>
      <c r="Q91" s="20"/>
      <c r="R91" s="38"/>
      <c r="S91" s="1428"/>
      <c r="T91" s="1428"/>
      <c r="U91" s="1428"/>
      <c r="V91" s="1428"/>
      <c r="W91" s="1428"/>
      <c r="X91" s="1428"/>
      <c r="Y91" s="1428"/>
      <c r="Z91" s="1428"/>
    </row>
    <row r="92" customFormat="1" ht="16.2" thickBot="1">
      <c r="A92" s="100"/>
      <c r="B92" s="1408" t="s">
        <v>993</v>
      </c>
      <c r="C92" s="1409"/>
      <c r="D92" s="470"/>
      <c r="E92" s="466"/>
      <c r="F92" s="1410" t="s">
        <v>993</v>
      </c>
      <c r="G92" s="1411"/>
      <c r="H92" s="469"/>
      <c r="I92" s="56"/>
      <c r="J92" s="56"/>
      <c r="K92" s="56"/>
      <c r="L92" s="172"/>
      <c r="M92" s="395"/>
      <c r="N92" s="151"/>
      <c r="O92" s="20"/>
      <c r="P92" s="20"/>
      <c r="Q92" s="20"/>
      <c r="R92" s="38"/>
      <c r="S92" s="1428"/>
      <c r="T92" s="1428"/>
      <c r="U92" s="1428"/>
      <c r="V92" s="1428"/>
      <c r="W92" s="1428"/>
      <c r="X92" s="1428"/>
      <c r="Y92" s="1428"/>
      <c r="Z92" s="1428"/>
    </row>
    <row r="93" spans="1:26" customFormat="1" ht="15.6">
      <c r="A93" s="100"/>
      <c r="B93" s="1404" t="s">
        <v>990</v>
      </c>
      <c r="C93" s="1405"/>
      <c r="D93" s="402" t="s">
        <v>905</v>
      </c>
      <c r="E93" s="404"/>
      <c r="F93" s="1404" t="s">
        <v>990</v>
      </c>
      <c r="G93" s="1405"/>
      <c r="H93" s="402" t="s">
        <v>905</v>
      </c>
      <c r="I93" s="467"/>
      <c r="J93" s="467"/>
      <c r="K93" s="467"/>
      <c r="L93" s="172"/>
      <c r="M93" s="395"/>
      <c r="N93" s="151"/>
      <c r="O93" s="20"/>
      <c r="P93" s="20"/>
      <c r="Q93" s="20"/>
      <c r="R93" s="38"/>
      <c r="S93" s="1429"/>
      <c r="T93" s="1429"/>
      <c r="U93" s="1429"/>
      <c r="V93" s="1429"/>
      <c r="W93" s="1429"/>
      <c r="X93" s="1429"/>
      <c r="Y93" s="1429"/>
      <c r="Z93" s="1429"/>
    </row>
    <row r="94" customFormat="1" ht="15.6">
      <c r="A94" s="55"/>
      <c r="B94" s="1406" t="s">
        <v>992</v>
      </c>
      <c r="C94" s="1407"/>
      <c r="D94" s="403"/>
      <c r="E94" s="404"/>
      <c r="F94" s="1406" t="s">
        <v>992</v>
      </c>
      <c r="G94" s="1407"/>
      <c r="H94" s="403"/>
      <c r="I94" s="467"/>
      <c r="J94" s="467"/>
      <c r="K94" s="467"/>
      <c r="L94" s="172"/>
      <c r="M94" s="395"/>
      <c r="N94" s="151"/>
      <c r="O94" s="20"/>
      <c r="P94" s="20"/>
      <c r="Q94" s="20"/>
      <c r="R94" s="38"/>
      <c r="S94" s="438"/>
      <c r="T94" s="438"/>
      <c r="U94" s="438"/>
      <c r="V94" s="438"/>
      <c r="W94" s="438"/>
      <c r="X94" s="438"/>
      <c r="Y94" s="438"/>
      <c r="Z94" s="438"/>
    </row>
    <row r="95" customFormat="1" ht="16.2" thickBot="1">
      <c r="A95" s="55"/>
      <c r="B95" s="1408" t="s">
        <v>993</v>
      </c>
      <c r="C95" s="1409"/>
      <c r="D95" s="470"/>
      <c r="E95" s="404"/>
      <c r="F95" s="1410" t="s">
        <v>993</v>
      </c>
      <c r="G95" s="1411"/>
      <c r="H95" s="469"/>
      <c r="I95" s="467"/>
      <c r="J95" s="467"/>
      <c r="K95" s="467"/>
      <c r="L95" s="172"/>
      <c r="M95" s="395"/>
      <c r="N95" s="151"/>
      <c r="O95" s="20"/>
      <c r="P95" s="20"/>
      <c r="Q95" s="20"/>
      <c r="R95" s="38"/>
      <c r="S95" s="438"/>
      <c r="T95" s="438"/>
      <c r="U95" s="438"/>
      <c r="V95" s="438"/>
      <c r="W95" s="438"/>
      <c r="X95" s="438"/>
      <c r="Y95" s="438"/>
      <c r="Z95" s="438"/>
    </row>
    <row r="96" spans="1:26" customFormat="1" ht="16.2" thickBot="1">
      <c r="A96" s="55"/>
      <c r="B96" s="1412" t="s">
        <v>990</v>
      </c>
      <c r="C96" s="1413"/>
      <c r="D96" s="749" t="s">
        <v>905</v>
      </c>
      <c r="E96" s="404"/>
      <c r="F96" s="1404" t="s">
        <v>990</v>
      </c>
      <c r="G96" s="1405"/>
      <c r="H96" s="402" t="s">
        <v>905</v>
      </c>
      <c r="I96" s="467"/>
      <c r="J96" s="467"/>
      <c r="K96" s="467"/>
      <c r="L96" s="172"/>
      <c r="M96" s="395"/>
      <c r="N96" s="151"/>
      <c r="O96" s="20"/>
      <c r="P96" s="20"/>
      <c r="Q96" s="20"/>
      <c r="R96" s="38"/>
      <c r="S96" s="438"/>
      <c r="T96" s="438"/>
      <c r="U96" s="438"/>
      <c r="V96" s="438"/>
      <c r="W96" s="438"/>
      <c r="X96" s="438"/>
      <c r="Y96" s="438"/>
      <c r="Z96" s="438"/>
    </row>
    <row r="97" customFormat="1" ht="15.6">
      <c r="A97" s="55"/>
      <c r="B97" s="1404" t="s">
        <v>992</v>
      </c>
      <c r="C97" s="1405"/>
      <c r="D97" s="750"/>
      <c r="E97" s="404"/>
      <c r="F97" s="1406" t="s">
        <v>992</v>
      </c>
      <c r="G97" s="1407"/>
      <c r="H97" s="403"/>
      <c r="I97" s="467"/>
      <c r="J97" s="467"/>
      <c r="K97" s="467"/>
      <c r="L97" s="172"/>
      <c r="M97" s="395"/>
      <c r="N97" s="151"/>
      <c r="O97" s="20"/>
      <c r="P97" s="20"/>
      <c r="Q97" s="20"/>
      <c r="R97" s="38"/>
      <c r="S97" s="438"/>
      <c r="T97" s="438"/>
      <c r="U97" s="438"/>
      <c r="V97" s="438"/>
      <c r="W97" s="438"/>
      <c r="X97" s="438"/>
      <c r="Y97" s="438"/>
      <c r="Z97" s="438"/>
    </row>
    <row r="98" customFormat="1" ht="16.2" thickBot="1">
      <c r="A98" s="55"/>
      <c r="B98" s="1408" t="s">
        <v>993</v>
      </c>
      <c r="C98" s="1409"/>
      <c r="D98" s="470"/>
      <c r="E98" s="404"/>
      <c r="F98" s="1410" t="s">
        <v>993</v>
      </c>
      <c r="G98" s="1411"/>
      <c r="H98" s="469"/>
      <c r="I98" s="467"/>
      <c r="J98" s="467"/>
      <c r="K98" s="467"/>
      <c r="L98" s="172"/>
      <c r="M98" s="395"/>
      <c r="N98" s="151"/>
      <c r="O98" s="20"/>
      <c r="P98" s="20"/>
      <c r="Q98" s="20"/>
      <c r="R98" s="38"/>
      <c r="S98" s="438"/>
      <c r="T98" s="438"/>
      <c r="U98" s="438"/>
      <c r="V98" s="438"/>
      <c r="W98" s="438"/>
      <c r="X98" s="438"/>
      <c r="Y98" s="438"/>
      <c r="Z98" s="438"/>
    </row>
    <row r="99" spans="1:26" customFormat="1" ht="15.6">
      <c r="A99" s="55"/>
      <c r="B99" s="1419" t="s">
        <v>990</v>
      </c>
      <c r="C99" s="1420"/>
      <c r="D99" s="748" t="s">
        <v>905</v>
      </c>
      <c r="E99" s="404"/>
      <c r="F99" s="1404" t="s">
        <v>990</v>
      </c>
      <c r="G99" s="1405"/>
      <c r="H99" s="402" t="s">
        <v>905</v>
      </c>
      <c r="I99" s="467"/>
      <c r="J99" s="467"/>
      <c r="K99" s="467"/>
      <c r="L99" s="172"/>
      <c r="M99" s="395"/>
      <c r="N99" s="151"/>
      <c r="O99" s="20"/>
      <c r="P99" s="20"/>
      <c r="Q99" s="20"/>
      <c r="R99" s="38"/>
      <c r="S99" s="438"/>
      <c r="T99" s="438"/>
      <c r="U99" s="438"/>
      <c r="V99" s="438"/>
      <c r="W99" s="438"/>
      <c r="X99" s="438"/>
      <c r="Y99" s="438"/>
      <c r="Z99" s="438"/>
    </row>
    <row r="100" customFormat="1" ht="15.6">
      <c r="A100" s="55"/>
      <c r="B100" s="1406" t="s">
        <v>992</v>
      </c>
      <c r="C100" s="1407"/>
      <c r="D100" s="403"/>
      <c r="E100" s="404"/>
      <c r="F100" s="1406" t="s">
        <v>992</v>
      </c>
      <c r="G100" s="1407"/>
      <c r="H100" s="403"/>
      <c r="I100" s="467"/>
      <c r="J100" s="467"/>
      <c r="K100" s="467"/>
      <c r="L100" s="172"/>
      <c r="M100" s="395"/>
      <c r="N100" s="151"/>
      <c r="O100" s="20"/>
      <c r="P100" s="20"/>
      <c r="Q100" s="20"/>
      <c r="R100" s="38"/>
      <c r="S100" s="438"/>
      <c r="T100" s="438"/>
      <c r="U100" s="438"/>
      <c r="V100" s="438"/>
      <c r="W100" s="438"/>
      <c r="X100" s="438"/>
      <c r="Y100" s="438"/>
      <c r="Z100" s="438"/>
    </row>
    <row r="101" customFormat="1" ht="16.2" thickBot="1">
      <c r="A101" s="55"/>
      <c r="B101" s="1408" t="s">
        <v>993</v>
      </c>
      <c r="C101" s="1409"/>
      <c r="D101" s="470"/>
      <c r="E101" s="404"/>
      <c r="F101" s="1410" t="s">
        <v>993</v>
      </c>
      <c r="G101" s="1411"/>
      <c r="H101" s="469"/>
      <c r="I101" s="467"/>
      <c r="J101" s="467"/>
      <c r="K101" s="467"/>
      <c r="L101" s="172"/>
      <c r="M101" s="395"/>
      <c r="N101" s="151"/>
      <c r="O101" s="20"/>
      <c r="P101" s="20"/>
      <c r="Q101" s="20"/>
      <c r="R101" s="38"/>
      <c r="S101" s="438"/>
      <c r="T101" s="438"/>
      <c r="U101" s="438"/>
      <c r="V101" s="438"/>
      <c r="W101" s="438"/>
      <c r="X101" s="438"/>
      <c r="Y101" s="438"/>
      <c r="Z101" s="438"/>
    </row>
    <row r="102" spans="1:26" customFormat="1" ht="16.2" thickBot="1">
      <c r="A102" s="55"/>
      <c r="B102" s="18"/>
      <c r="C102" s="18"/>
      <c r="D102" s="18"/>
      <c r="E102" s="404"/>
      <c r="F102" s="18"/>
      <c r="G102" s="18"/>
      <c r="H102" s="18"/>
      <c r="I102" s="467"/>
      <c r="J102" s="467"/>
      <c r="K102" s="467"/>
      <c r="L102" s="172"/>
      <c r="M102" s="395"/>
      <c r="N102" s="151"/>
      <c r="O102" s="20"/>
      <c r="P102" s="20"/>
      <c r="Q102" s="20"/>
      <c r="R102" s="38"/>
      <c r="S102" s="438"/>
      <c r="T102" s="438"/>
      <c r="U102" s="438"/>
      <c r="V102" s="438"/>
      <c r="W102" s="438"/>
      <c r="X102" s="438"/>
      <c r="Y102" s="438"/>
      <c r="Z102" s="438"/>
    </row>
    <row r="103" spans="1:26" s="55" customFormat="1" ht="15.6">
      <c r="B103" s="1404" t="s">
        <v>990</v>
      </c>
      <c r="C103" s="1405"/>
      <c r="D103" s="402" t="s">
        <v>906</v>
      </c>
      <c r="E103" s="404"/>
      <c r="F103" s="1404" t="s">
        <v>990</v>
      </c>
      <c r="G103" s="1405"/>
      <c r="H103" s="402" t="s">
        <v>906</v>
      </c>
      <c r="I103" s="467"/>
      <c r="J103" s="467"/>
      <c r="K103" s="467"/>
      <c r="L103" s="172"/>
      <c r="M103" s="395"/>
      <c r="N103" s="151"/>
      <c r="O103" s="56"/>
      <c r="P103" s="56"/>
      <c r="Q103" s="56"/>
      <c r="R103" s="118"/>
      <c r="S103" s="396"/>
      <c r="T103" s="396"/>
      <c r="U103" s="396"/>
      <c r="V103" s="396"/>
      <c r="W103" s="396"/>
      <c r="X103" s="396"/>
      <c r="Y103" s="396"/>
      <c r="Z103" s="396"/>
    </row>
    <row r="104" customFormat="1" ht="15.6">
      <c r="A104" s="100"/>
      <c r="B104" s="1406" t="s">
        <v>992</v>
      </c>
      <c r="C104" s="1407"/>
      <c r="D104" s="403"/>
      <c r="E104" s="466"/>
      <c r="F104" s="1406" t="s">
        <v>992</v>
      </c>
      <c r="G104" s="1407"/>
      <c r="H104" s="403"/>
      <c r="I104" s="56"/>
      <c r="J104" s="56"/>
      <c r="K104" s="56"/>
      <c r="L104" s="172"/>
      <c r="M104" s="395"/>
      <c r="N104" s="172"/>
      <c r="O104" s="20"/>
      <c r="P104" s="20"/>
      <c r="Q104" s="20"/>
      <c r="R104" s="38"/>
      <c r="S104" s="1428"/>
      <c r="T104" s="1428"/>
      <c r="U104" s="1428"/>
      <c r="V104" s="1428"/>
      <c r="W104" s="1428"/>
      <c r="X104" s="1428"/>
      <c r="Y104" s="1428"/>
      <c r="Z104" s="1428"/>
    </row>
    <row r="105" customFormat="1" ht="16.2" thickBot="1">
      <c r="A105" s="100"/>
      <c r="B105" s="1408" t="s">
        <v>993</v>
      </c>
      <c r="C105" s="1409"/>
      <c r="D105" s="470"/>
      <c r="E105" s="466"/>
      <c r="F105" s="1410" t="s">
        <v>993</v>
      </c>
      <c r="G105" s="1411"/>
      <c r="H105" s="469"/>
      <c r="I105" s="56"/>
      <c r="J105" s="56"/>
      <c r="K105" s="56"/>
      <c r="L105" s="172"/>
      <c r="M105" s="395"/>
      <c r="N105" s="151"/>
      <c r="O105" s="20"/>
      <c r="P105" s="20"/>
      <c r="Q105" s="20"/>
      <c r="R105" s="38"/>
      <c r="S105" s="1428"/>
      <c r="T105" s="1428"/>
      <c r="U105" s="1428"/>
      <c r="V105" s="1428"/>
      <c r="W105" s="1428"/>
      <c r="X105" s="1428"/>
      <c r="Y105" s="1428"/>
      <c r="Z105" s="1428"/>
    </row>
    <row r="106" spans="1:26" customFormat="1" ht="15.6">
      <c r="A106" s="100"/>
      <c r="B106" s="1419" t="s">
        <v>990</v>
      </c>
      <c r="C106" s="1420"/>
      <c r="D106" s="748" t="s">
        <v>906</v>
      </c>
      <c r="E106" s="404"/>
      <c r="F106" s="1404" t="s">
        <v>990</v>
      </c>
      <c r="G106" s="1405"/>
      <c r="H106" s="402" t="s">
        <v>906</v>
      </c>
      <c r="I106" s="467"/>
      <c r="J106" s="467"/>
      <c r="K106" s="467"/>
      <c r="L106" s="172"/>
      <c r="M106" s="395"/>
      <c r="N106" s="151"/>
      <c r="O106" s="20"/>
      <c r="P106" s="20"/>
      <c r="Q106" s="20"/>
      <c r="R106" s="38"/>
      <c r="S106" s="1429"/>
      <c r="T106" s="1429"/>
      <c r="U106" s="1429"/>
      <c r="V106" s="1429"/>
      <c r="W106" s="1429"/>
      <c r="X106" s="1429"/>
      <c r="Y106" s="1429"/>
      <c r="Z106" s="1429"/>
    </row>
    <row r="107" customFormat="1" ht="15.6">
      <c r="A107" s="55"/>
      <c r="B107" s="1406" t="s">
        <v>992</v>
      </c>
      <c r="C107" s="1407"/>
      <c r="D107" s="403"/>
      <c r="E107" s="404"/>
      <c r="F107" s="1406" t="s">
        <v>992</v>
      </c>
      <c r="G107" s="1407"/>
      <c r="H107" s="403"/>
      <c r="I107" s="467"/>
      <c r="J107" s="467"/>
      <c r="K107" s="467"/>
      <c r="L107" s="172"/>
      <c r="M107" s="395"/>
      <c r="N107" s="151"/>
      <c r="O107" s="20"/>
      <c r="P107" s="20"/>
      <c r="Q107" s="20"/>
      <c r="R107" s="38"/>
      <c r="S107" s="438"/>
      <c r="T107" s="438"/>
      <c r="U107" s="438"/>
      <c r="V107" s="438"/>
      <c r="W107" s="438"/>
      <c r="X107" s="438"/>
      <c r="Y107" s="438"/>
      <c r="Z107" s="438"/>
    </row>
    <row r="108" customFormat="1" ht="16.2" thickBot="1">
      <c r="A108" s="55"/>
      <c r="B108" s="1421" t="s">
        <v>993</v>
      </c>
      <c r="C108" s="1422"/>
      <c r="D108" s="751"/>
      <c r="E108" s="404"/>
      <c r="F108" s="1410" t="s">
        <v>993</v>
      </c>
      <c r="G108" s="1411"/>
      <c r="H108" s="470"/>
      <c r="I108" s="467"/>
      <c r="J108" s="467"/>
      <c r="K108" s="467"/>
      <c r="L108" s="172"/>
      <c r="M108" s="395"/>
      <c r="N108" s="151"/>
      <c r="O108" s="20"/>
      <c r="P108" s="20"/>
      <c r="Q108" s="20"/>
      <c r="R108" s="38"/>
      <c r="S108" s="438"/>
      <c r="T108" s="438"/>
      <c r="U108" s="438"/>
      <c r="V108" s="438"/>
      <c r="W108" s="438"/>
      <c r="X108" s="438"/>
      <c r="Y108" s="438"/>
      <c r="Z108" s="438"/>
    </row>
    <row r="109" spans="1:26" customFormat="1" ht="15.6">
      <c r="A109" s="55"/>
      <c r="B109" s="1404" t="s">
        <v>990</v>
      </c>
      <c r="C109" s="1405"/>
      <c r="D109" s="402" t="s">
        <v>906</v>
      </c>
      <c r="E109" s="404"/>
      <c r="F109" s="1404" t="s">
        <v>990</v>
      </c>
      <c r="G109" s="1405"/>
      <c r="H109" s="402" t="s">
        <v>906</v>
      </c>
      <c r="I109" s="467"/>
      <c r="J109" s="467"/>
      <c r="K109" s="467"/>
      <c r="L109" s="172"/>
      <c r="M109" s="395"/>
      <c r="N109" s="151"/>
      <c r="O109" s="20"/>
      <c r="P109" s="20"/>
      <c r="Q109" s="20"/>
      <c r="R109" s="38"/>
      <c r="S109" s="438"/>
      <c r="T109" s="438"/>
      <c r="U109" s="438"/>
      <c r="V109" s="438"/>
      <c r="W109" s="438"/>
      <c r="X109" s="438"/>
      <c r="Y109" s="438"/>
      <c r="Z109" s="438"/>
    </row>
    <row r="110" customFormat="1" ht="15.6">
      <c r="A110" s="55"/>
      <c r="B110" s="1406" t="s">
        <v>992</v>
      </c>
      <c r="C110" s="1407"/>
      <c r="D110" s="403"/>
      <c r="E110" s="404"/>
      <c r="F110" s="1406" t="s">
        <v>992</v>
      </c>
      <c r="G110" s="1407"/>
      <c r="H110" s="403"/>
      <c r="I110" s="467"/>
      <c r="J110" s="467"/>
      <c r="K110" s="467"/>
      <c r="L110" s="172"/>
      <c r="M110" s="395"/>
      <c r="N110" s="151"/>
      <c r="O110" s="20"/>
      <c r="P110" s="20"/>
      <c r="Q110" s="20"/>
      <c r="R110" s="38"/>
      <c r="S110" s="438"/>
      <c r="T110" s="438"/>
      <c r="U110" s="438"/>
      <c r="V110" s="438"/>
      <c r="W110" s="438"/>
      <c r="X110" s="438"/>
      <c r="Y110" s="438"/>
      <c r="Z110" s="438"/>
    </row>
    <row r="111" customFormat="1" ht="16.2" thickBot="1">
      <c r="A111" s="55"/>
      <c r="B111" s="1408" t="s">
        <v>993</v>
      </c>
      <c r="C111" s="1409"/>
      <c r="D111" s="470"/>
      <c r="E111" s="404"/>
      <c r="F111" s="1410" t="s">
        <v>993</v>
      </c>
      <c r="G111" s="1411"/>
      <c r="H111" s="470"/>
      <c r="I111" s="467"/>
      <c r="J111" s="467"/>
      <c r="K111" s="467"/>
      <c r="L111" s="172"/>
      <c r="M111" s="395"/>
      <c r="N111" s="151"/>
      <c r="O111" s="20"/>
      <c r="P111" s="20"/>
      <c r="Q111" s="20"/>
      <c r="R111" s="38"/>
      <c r="S111" s="438"/>
      <c r="T111" s="438"/>
      <c r="U111" s="438"/>
      <c r="V111" s="438"/>
      <c r="W111" s="438"/>
      <c r="X111" s="438"/>
      <c r="Y111" s="438"/>
      <c r="Z111" s="438"/>
    </row>
    <row r="112" spans="1:26" customFormat="1" ht="16.2" thickBot="1">
      <c r="A112" s="55"/>
      <c r="B112" s="471"/>
      <c r="C112" s="471"/>
      <c r="D112" s="472"/>
      <c r="E112" s="404"/>
      <c r="F112" s="1439"/>
      <c r="G112" s="1439"/>
      <c r="H112" s="466"/>
      <c r="I112" s="467"/>
      <c r="J112" s="467"/>
      <c r="K112" s="467"/>
      <c r="L112" s="172"/>
      <c r="M112" s="395"/>
      <c r="N112" s="151"/>
      <c r="O112" s="20"/>
      <c r="P112" s="20"/>
      <c r="Q112" s="20"/>
      <c r="R112" s="38"/>
      <c r="S112" s="438"/>
      <c r="T112" s="438"/>
      <c r="U112" s="438"/>
      <c r="V112" s="438"/>
      <c r="W112" s="438"/>
      <c r="X112" s="438"/>
      <c r="Y112" s="438"/>
      <c r="Z112" s="438"/>
    </row>
    <row r="113" spans="1:30" customFormat="1" ht="15.6">
      <c r="A113" s="55"/>
      <c r="B113" s="1404" t="s">
        <v>990</v>
      </c>
      <c r="C113" s="1405"/>
      <c r="D113" s="402" t="s">
        <v>904</v>
      </c>
      <c r="E113" s="404"/>
      <c r="F113" s="1404" t="s">
        <v>990</v>
      </c>
      <c r="G113" s="1405"/>
      <c r="H113" s="402" t="s">
        <v>904</v>
      </c>
      <c r="I113" s="467"/>
      <c r="J113" s="467"/>
      <c r="K113" s="467"/>
      <c r="L113" s="172"/>
      <c r="M113" s="395"/>
      <c r="N113" s="151"/>
      <c r="O113" s="20"/>
      <c r="P113" s="20"/>
      <c r="Q113" s="20"/>
      <c r="R113" s="38"/>
      <c r="S113" s="438"/>
      <c r="T113" s="438"/>
      <c r="U113" s="438"/>
      <c r="V113" s="438"/>
      <c r="W113" s="438"/>
      <c r="X113" s="438"/>
      <c r="Y113" s="438"/>
      <c r="Z113" s="438"/>
    </row>
    <row r="114" customFormat="1" ht="15.6">
      <c r="A114" s="55"/>
      <c r="B114" s="1406" t="s">
        <v>992</v>
      </c>
      <c r="C114" s="1407"/>
      <c r="D114" s="403"/>
      <c r="E114" s="404"/>
      <c r="F114" s="1406" t="s">
        <v>992</v>
      </c>
      <c r="G114" s="1407"/>
      <c r="H114" s="403"/>
      <c r="I114" s="467"/>
      <c r="J114" s="467"/>
      <c r="K114" s="467"/>
      <c r="L114" s="172"/>
      <c r="M114" s="395"/>
      <c r="N114" s="151"/>
      <c r="O114" s="20"/>
      <c r="P114" s="20"/>
      <c r="Q114" s="20"/>
      <c r="R114" s="38"/>
      <c r="S114" s="438"/>
      <c r="T114" s="438"/>
      <c r="U114" s="438"/>
      <c r="V114" s="438"/>
      <c r="W114" s="438"/>
      <c r="X114" s="438"/>
      <c r="Y114" s="438"/>
      <c r="Z114" s="438"/>
    </row>
    <row r="115" customFormat="1" ht="16.2" thickBot="1">
      <c r="A115" s="55"/>
      <c r="B115" s="1408" t="s">
        <v>993</v>
      </c>
      <c r="C115" s="1409"/>
      <c r="D115" s="470"/>
      <c r="E115" s="404"/>
      <c r="F115" s="1408" t="s">
        <v>993</v>
      </c>
      <c r="G115" s="1409"/>
      <c r="H115" s="470"/>
      <c r="I115" s="467"/>
      <c r="J115" s="467"/>
      <c r="K115" s="467"/>
      <c r="L115" s="172"/>
      <c r="M115" s="395"/>
      <c r="N115" s="151"/>
      <c r="O115" s="20"/>
      <c r="P115" s="20"/>
      <c r="Q115" s="20"/>
      <c r="R115" s="38"/>
      <c r="S115" s="438"/>
      <c r="T115" s="438"/>
      <c r="U115" s="438"/>
      <c r="V115" s="438"/>
      <c r="W115" s="438"/>
      <c r="X115" s="438"/>
      <c r="Y115" s="438"/>
      <c r="Z115" s="438"/>
    </row>
    <row r="116" spans="1:30" customFormat="1" ht="16.2" thickBot="1">
      <c r="A116" s="55"/>
      <c r="B116" s="471"/>
      <c r="C116" s="471"/>
      <c r="D116" s="472"/>
      <c r="E116" s="404"/>
      <c r="F116" s="471"/>
      <c r="G116" s="471"/>
      <c r="H116" s="472"/>
      <c r="I116" s="467"/>
      <c r="J116" s="467"/>
      <c r="K116" s="467"/>
      <c r="L116" s="172"/>
      <c r="M116" s="395"/>
      <c r="N116" s="151"/>
      <c r="O116" s="20"/>
      <c r="P116" s="20"/>
      <c r="Q116" s="20"/>
      <c r="R116" s="38"/>
      <c r="S116" s="438"/>
      <c r="T116" s="438"/>
      <c r="U116" s="438"/>
      <c r="V116" s="438"/>
      <c r="W116" s="438"/>
      <c r="X116" s="438"/>
      <c r="Y116" s="438"/>
      <c r="Z116" s="438"/>
    </row>
    <row r="117" spans="1:30" customFormat="1" ht="15" thickBot="1">
      <c r="A117" s="55"/>
      <c r="B117" s="1436" t="s">
        <v>1047</v>
      </c>
      <c r="C117" s="1437"/>
      <c r="D117" s="1437"/>
      <c r="E117" s="818" t="s">
        <v>0</v>
      </c>
      <c r="F117" s="1438">
        <f>D89+D92+D95+D98+D101+D105+D108+D111+D115+H89+H92+H95+H98+H101+H105+H108+H111+H115</f>
      </c>
      <c r="G117" s="1438"/>
      <c r="H117" s="819"/>
      <c r="I117" s="397"/>
      <c r="J117" s="439"/>
      <c r="K117" s="397"/>
      <c r="L117" s="398"/>
      <c r="M117" s="1432"/>
      <c r="N117" s="1432"/>
      <c r="O117" s="1432"/>
      <c r="P117" s="1432"/>
      <c r="Q117" s="1432"/>
      <c r="R117" s="118"/>
      <c r="S117" s="396"/>
      <c r="T117" s="396"/>
      <c r="U117" s="396"/>
      <c r="V117" s="396"/>
      <c r="W117" s="396"/>
      <c r="X117" s="396"/>
      <c r="Y117" s="396"/>
      <c r="Z117" s="396"/>
    </row>
    <row r="118" spans="1:30" s="574" customFormat="1">
      <c r="A118" s="573"/>
      <c r="B118" s="573"/>
      <c r="C118" s="573"/>
      <c r="D118" s="573"/>
      <c r="E118" s="573"/>
      <c r="F118" s="573"/>
      <c r="G118" s="573"/>
      <c r="H118" s="573"/>
      <c r="I118" s="573"/>
      <c r="J118" s="573"/>
      <c r="K118" s="573"/>
      <c r="L118" s="573"/>
      <c r="M118" s="573"/>
      <c r="N118" s="573"/>
      <c r="O118" s="573"/>
      <c r="P118" s="573"/>
      <c r="Q118" s="573"/>
      <c r="R118" s="573"/>
      <c r="S118" s="573"/>
      <c r="T118" s="573"/>
    </row>
    <row r="119" spans="1:30" s="574" customFormat="1">
      <c r="A119" s="573"/>
      <c r="B119" s="573"/>
      <c r="C119" s="573"/>
      <c r="D119" s="573"/>
      <c r="E119" s="573"/>
      <c r="F119" s="573"/>
      <c r="G119" s="573"/>
      <c r="H119" s="573"/>
      <c r="I119" s="573"/>
      <c r="J119" s="573"/>
      <c r="K119" s="573"/>
      <c r="L119" s="573"/>
      <c r="M119" s="573"/>
      <c r="N119" s="573"/>
      <c r="O119" s="573"/>
      <c r="P119" s="573"/>
      <c r="Q119" s="573"/>
      <c r="R119" s="573"/>
      <c r="S119" s="573"/>
      <c r="T119" s="573"/>
    </row>
    <row r="120" spans="1:30" s="574" customFormat="1">
      <c r="A120" s="573"/>
      <c r="B120" s="573"/>
      <c r="C120" s="573"/>
      <c r="D120" s="573"/>
      <c r="E120" s="573"/>
      <c r="F120" s="573"/>
      <c r="G120" s="573"/>
      <c r="H120" s="573"/>
      <c r="I120" s="573"/>
      <c r="J120" s="573"/>
      <c r="K120" s="573"/>
      <c r="L120" s="573"/>
      <c r="M120" s="573"/>
      <c r="N120" s="573"/>
      <c r="O120" s="573"/>
      <c r="P120" s="573"/>
      <c r="Q120" s="573"/>
      <c r="R120" s="573"/>
      <c r="S120" s="573"/>
      <c r="T120" s="573"/>
    </row>
    <row r="121" spans="1:30" s="574" customFormat="1" ht="15" thickBot="1">
      <c r="A121" s="573"/>
      <c r="B121" s="573"/>
      <c r="C121" s="573"/>
      <c r="D121" s="573"/>
      <c r="E121" s="573"/>
      <c r="F121" s="573"/>
      <c r="G121" s="573"/>
      <c r="H121" s="573"/>
      <c r="I121" s="573"/>
      <c r="J121" s="573"/>
      <c r="K121" s="573"/>
      <c r="L121" s="573"/>
      <c r="M121" s="573"/>
      <c r="N121" s="573"/>
      <c r="O121" s="573"/>
      <c r="P121" s="573"/>
      <c r="Q121" s="573"/>
      <c r="R121" s="573"/>
      <c r="S121" s="573"/>
      <c r="T121" s="573"/>
    </row>
    <row r="122" spans="1:30" s="55" customFormat="1" ht="16.2" thickBot="1">
      <c r="A122" s="1433" t="s">
        <v>703</v>
      </c>
      <c r="B122" s="1434"/>
      <c r="C122" s="1434"/>
      <c r="D122" s="1434"/>
      <c r="E122" s="1434"/>
      <c r="F122" s="1434"/>
      <c r="G122" s="1434"/>
      <c r="H122" s="1434"/>
      <c r="I122" s="1434"/>
      <c r="J122" s="1434"/>
      <c r="K122" s="1434"/>
      <c r="L122" s="1435"/>
      <c r="M122" s="419"/>
      <c r="N122" s="575"/>
      <c r="O122" s="419"/>
      <c r="P122" s="419"/>
      <c r="Q122" s="419"/>
      <c r="R122" s="419"/>
      <c r="S122" s="419"/>
      <c r="T122" s="419"/>
      <c r="U122" s="419"/>
      <c r="V122" s="419"/>
      <c r="W122" s="419"/>
      <c r="X122" s="419"/>
      <c r="Y122" s="419"/>
      <c r="Z122" s="419"/>
      <c r="AA122" s="419"/>
      <c r="AB122" s="419"/>
      <c r="AC122" s="420"/>
      <c r="AD122" s="372"/>
    </row>
    <row r="123" spans="1:30" s="55" customFormat="1" ht="4.5" customHeight="1">
      <c r="A123" s="104"/>
      <c r="L123" s="54"/>
      <c r="AB123"/>
      <c r="AD123" s="372"/>
    </row>
    <row r="124" spans="1:30" s="55" customFormat="1">
      <c r="A124" s="104"/>
      <c r="J124" s="1227" t="s">
        <v>693</v>
      </c>
      <c r="K124" s="1229"/>
      <c r="L124" s="54"/>
      <c r="T124" s="56"/>
      <c r="AC124" s="54"/>
      <c r="AD124" s="372"/>
    </row>
    <row r="125" spans="1:30" s="55" customFormat="1">
      <c r="A125" s="104"/>
      <c r="J125" s="143"/>
      <c r="K125" s="142"/>
      <c r="L125" s="54"/>
      <c r="AD125" s="372"/>
    </row>
    <row r="126" spans="1:30" s="55" customFormat="1">
      <c r="A126" s="104"/>
      <c r="J126" s="143"/>
      <c r="K126" s="142"/>
      <c r="L126" s="54"/>
      <c r="AD126" s="372"/>
    </row>
    <row r="127" spans="1:30" s="55" customFormat="1">
      <c r="A127" s="104"/>
      <c r="J127" s="143"/>
      <c r="K127" s="142"/>
      <c r="L127" s="54"/>
      <c r="AD127" s="372"/>
    </row>
    <row r="128" spans="1:30" s="55" customFormat="1">
      <c r="A128" s="104"/>
      <c r="J128" s="143"/>
      <c r="K128" s="142"/>
      <c r="L128" s="54"/>
      <c r="AD128" s="372"/>
    </row>
    <row r="129" spans="1:30" s="55" customFormat="1">
      <c r="A129" s="104"/>
      <c r="J129" s="1414">
        <f>'Informasi Pokok'!D6</f>
      </c>
      <c r="K129" s="1415"/>
      <c r="L129" s="54"/>
      <c r="AD129" s="372"/>
    </row>
    <row r="130" spans="1:30" s="55" customFormat="1">
      <c r="A130" s="104"/>
      <c r="J130" s="1430" t="s">
        <v>635</v>
      </c>
      <c r="K130" s="1431"/>
      <c r="L130" s="54"/>
      <c r="AD130" s="372"/>
    </row>
    <row r="131" spans="1:30" s="55" customFormat="1" ht="16.2">
      <c r="A131" s="104"/>
      <c r="J131" s="421"/>
      <c r="K131" s="421"/>
      <c r="L131" s="54"/>
      <c r="T131" s="422"/>
      <c r="U131" s="151"/>
      <c r="V131" s="151"/>
      <c r="W131" s="151"/>
      <c r="X131" s="151"/>
      <c r="Y131" s="151"/>
      <c r="Z131" s="151"/>
      <c r="AA131" s="151"/>
      <c r="AB131" s="151"/>
      <c r="AC131" s="418"/>
      <c r="AD131" s="372"/>
    </row>
    <row r="132" spans="1:30" s="55" customFormat="1">
      <c r="A132" s="1400" t="s">
        <v>604</v>
      </c>
      <c r="B132" s="1400"/>
      <c r="C132" s="1400"/>
      <c r="D132" s="1400"/>
      <c r="E132" s="1400"/>
      <c r="F132" s="1401"/>
      <c r="G132" s="1400" t="s">
        <v>605</v>
      </c>
      <c r="H132" s="1400"/>
      <c r="I132" s="1400"/>
      <c r="J132" s="1400"/>
      <c r="K132" s="1400"/>
      <c r="L132" s="1400"/>
      <c r="M132" s="63"/>
      <c r="N132"/>
      <c r="O132" s="63"/>
      <c r="P132" s="63"/>
      <c r="Q132" s="63"/>
      <c r="R132" s="63"/>
      <c r="S132" s="63"/>
      <c r="T132" s="63"/>
      <c r="U132" s="63"/>
      <c r="V132" s="63"/>
      <c r="W132" s="63"/>
      <c r="X132" s="63"/>
      <c r="Y132" s="63"/>
      <c r="Z132" s="63"/>
      <c r="AA132" s="63"/>
      <c r="AC132" s="98"/>
      <c r="AD132" s="372"/>
    </row>
    <row r="133" spans="1:30" s="55" customFormat="1">
      <c r="A133" s="107"/>
      <c r="B133" s="11" t="s">
        <v>1</v>
      </c>
      <c r="C133" s="423" t="s">
        <v>0</v>
      </c>
      <c r="D133" s="11"/>
      <c r="E133" s="11"/>
      <c r="G133" s="424"/>
      <c r="H133" s="425"/>
      <c r="I133" s="425"/>
      <c r="J133" s="425"/>
      <c r="K133" s="425"/>
      <c r="L133" s="426"/>
      <c r="M133" s="211"/>
      <c r="N133" s="64"/>
      <c r="O133" s="64"/>
      <c r="P133" s="64"/>
      <c r="Q133" s="64"/>
      <c r="R133" s="64"/>
      <c r="S133" s="64"/>
      <c r="T133" s="64"/>
      <c r="U133" s="64"/>
      <c r="V133" s="64"/>
      <c r="W133" s="64"/>
      <c r="X133" s="64"/>
      <c r="Y133" s="64"/>
      <c r="Z133" s="64"/>
      <c r="AA133" s="64"/>
      <c r="AC133" s="109"/>
      <c r="AD133" s="372"/>
    </row>
    <row r="134" spans="1:30" s="55" customFormat="1">
      <c r="A134" s="107"/>
      <c r="B134" s="11" t="s">
        <v>606</v>
      </c>
      <c r="C134" s="423" t="s">
        <v>0</v>
      </c>
      <c r="D134" s="117" t="s">
        <v>962</v>
      </c>
      <c r="E134" s="11"/>
      <c r="G134" s="427"/>
      <c r="H134" s="214"/>
      <c r="I134" s="214"/>
      <c r="J134" s="214"/>
      <c r="K134" s="214"/>
      <c r="L134" s="428"/>
      <c r="M134" s="211"/>
      <c r="N134" s="64"/>
      <c r="O134" s="64"/>
      <c r="P134" s="64"/>
      <c r="Q134" s="64"/>
      <c r="R134" s="64"/>
      <c r="S134" s="64"/>
      <c r="T134" s="64"/>
      <c r="U134" s="64"/>
      <c r="V134" s="64"/>
      <c r="W134" s="64"/>
      <c r="X134" s="64"/>
      <c r="Y134" s="64"/>
      <c r="Z134" s="64"/>
      <c r="AA134" s="64"/>
      <c r="AC134" s="109"/>
      <c r="AD134" s="372"/>
    </row>
    <row r="135" spans="1:30" s="55" customFormat="1">
      <c r="A135" s="107"/>
      <c r="B135" s="11" t="s">
        <v>152</v>
      </c>
      <c r="C135" s="423" t="s">
        <v>0</v>
      </c>
      <c r="D135" s="11"/>
      <c r="E135" s="11"/>
      <c r="G135" s="429"/>
      <c r="H135" s="412"/>
      <c r="I135" s="412"/>
      <c r="J135" s="412"/>
      <c r="K135" s="412"/>
      <c r="L135" s="417"/>
      <c r="M135" s="430"/>
      <c r="N135" s="64"/>
      <c r="O135" s="64"/>
      <c r="P135" s="64"/>
      <c r="Q135" s="64"/>
      <c r="R135" s="64"/>
      <c r="S135" s="64"/>
      <c r="T135" s="64"/>
      <c r="U135" s="64"/>
      <c r="V135" s="64"/>
      <c r="W135" s="64"/>
      <c r="X135" s="64"/>
      <c r="Y135" s="64"/>
      <c r="Z135" s="64"/>
      <c r="AA135" s="64"/>
      <c r="AC135" s="109"/>
      <c r="AD135" s="372"/>
    </row>
    <row r="136" spans="1:30" s="55" customFormat="1">
      <c r="A136" s="107"/>
      <c r="B136" s="11" t="s">
        <v>607</v>
      </c>
      <c r="C136" s="423" t="s">
        <v>0</v>
      </c>
      <c r="D136" s="113"/>
      <c r="E136" s="114"/>
      <c r="G136" s="107"/>
      <c r="H136" s="11"/>
      <c r="I136" s="11"/>
      <c r="J136" s="11"/>
      <c r="K136" s="11"/>
      <c r="L136" s="108"/>
      <c r="M136" s="64"/>
      <c r="N136" s="64"/>
      <c r="O136" s="64"/>
      <c r="P136" s="64"/>
      <c r="Q136" s="64"/>
      <c r="R136" s="64"/>
      <c r="S136" s="64"/>
      <c r="T136" s="64"/>
      <c r="U136" s="64"/>
      <c r="V136" s="64"/>
      <c r="W136" s="64"/>
      <c r="X136" s="64"/>
      <c r="Y136" s="64"/>
      <c r="Z136" s="64"/>
      <c r="AA136" s="64"/>
      <c r="AC136" s="109"/>
      <c r="AD136" s="372"/>
    </row>
    <row r="137" spans="1:30" s="55" customFormat="1">
      <c r="A137" s="107"/>
      <c r="B137" s="11"/>
      <c r="C137" s="11"/>
      <c r="D137" s="107"/>
      <c r="E137" s="108"/>
      <c r="F137" s="11"/>
      <c r="G137" s="107"/>
      <c r="H137" s="11"/>
      <c r="I137" s="11"/>
      <c r="J137" s="11"/>
      <c r="K137" s="11"/>
      <c r="L137" s="108"/>
      <c r="M137" s="64"/>
      <c r="N137" s="64"/>
      <c r="O137" s="64"/>
      <c r="P137" s="64"/>
      <c r="Q137" s="64"/>
      <c r="R137" s="64"/>
      <c r="S137" s="64"/>
      <c r="T137" s="64"/>
      <c r="U137" s="64"/>
      <c r="V137" s="64"/>
      <c r="W137" s="64"/>
      <c r="X137" s="64"/>
      <c r="Y137" s="64"/>
      <c r="Z137" s="64"/>
      <c r="AA137" s="64"/>
      <c r="AC137" s="109"/>
      <c r="AD137" s="372"/>
    </row>
    <row r="138" spans="1:30" s="55" customFormat="1">
      <c r="A138" s="107"/>
      <c r="B138" s="11"/>
      <c r="C138" s="11"/>
      <c r="D138" s="110"/>
      <c r="E138" s="112"/>
      <c r="F138" s="11"/>
      <c r="G138" s="107"/>
      <c r="H138" s="11"/>
      <c r="I138" s="11"/>
      <c r="J138" s="11"/>
      <c r="K138" s="11"/>
      <c r="L138" s="108"/>
      <c r="M138" s="64"/>
      <c r="N138" s="64"/>
      <c r="O138" s="64"/>
      <c r="P138" s="64"/>
      <c r="Q138" s="64"/>
      <c r="R138" s="64"/>
      <c r="S138" s="64"/>
      <c r="T138" s="64"/>
      <c r="U138" s="64"/>
      <c r="V138" s="64"/>
      <c r="W138" s="64"/>
      <c r="X138" s="64"/>
      <c r="Y138" s="64"/>
      <c r="Z138" s="64"/>
      <c r="AA138" s="64"/>
      <c r="AC138" s="109"/>
      <c r="AD138" s="372"/>
    </row>
    <row r="139" spans="1:30" s="55" customFormat="1">
      <c r="A139" s="110"/>
      <c r="B139" s="111"/>
      <c r="C139" s="111"/>
      <c r="D139" s="111"/>
      <c r="E139" s="111"/>
      <c r="F139" s="111"/>
      <c r="G139" s="110"/>
      <c r="H139" s="111"/>
      <c r="I139" s="111"/>
      <c r="J139" s="111"/>
      <c r="K139" s="111"/>
      <c r="L139" s="112"/>
      <c r="M139" s="64"/>
      <c r="N139" s="64"/>
      <c r="O139" s="64"/>
      <c r="P139" s="64"/>
      <c r="Q139" s="64"/>
      <c r="R139" s="64"/>
      <c r="S139" s="64"/>
      <c r="T139" s="64"/>
      <c r="U139" s="64"/>
      <c r="V139" s="64"/>
      <c r="W139" s="64"/>
      <c r="X139" s="64"/>
      <c r="Y139" s="64"/>
      <c r="Z139" s="64"/>
      <c r="AA139" s="64"/>
      <c r="AC139" s="109"/>
      <c r="AD139" s="372"/>
    </row>
    <row r="140" spans="1:30" s="55" customFormat="1">
      <c r="A140" s="1401" t="s">
        <v>604</v>
      </c>
      <c r="B140" s="1402"/>
      <c r="C140" s="1402"/>
      <c r="D140" s="1402"/>
      <c r="E140" s="1402"/>
      <c r="F140" s="1403"/>
      <c r="G140" s="1401" t="s">
        <v>605</v>
      </c>
      <c r="H140" s="1402"/>
      <c r="I140" s="1402"/>
      <c r="J140" s="1402"/>
      <c r="K140" s="1402"/>
      <c r="L140" s="1403"/>
      <c r="M140" s="63"/>
      <c r="N140" s="63"/>
      <c r="O140" s="63"/>
      <c r="P140" s="63"/>
      <c r="Q140" s="63"/>
      <c r="R140" s="63"/>
      <c r="S140" s="63"/>
      <c r="T140" s="63"/>
      <c r="U140" s="63"/>
      <c r="V140" s="63"/>
      <c r="W140" s="63"/>
      <c r="X140" s="63"/>
      <c r="Y140" s="63"/>
      <c r="Z140" s="63"/>
      <c r="AA140" s="63"/>
      <c r="AC140" s="98"/>
      <c r="AD140" s="372"/>
    </row>
    <row r="141" spans="1:30" s="55" customFormat="1">
      <c r="A141" s="113"/>
      <c r="B141" s="144" t="s">
        <v>1</v>
      </c>
      <c r="C141" s="431" t="s">
        <v>0</v>
      </c>
      <c r="D141" s="144"/>
      <c r="E141" s="144"/>
      <c r="F141" s="144"/>
      <c r="G141" s="432"/>
      <c r="H141" s="413"/>
      <c r="I141" s="413"/>
      <c r="J141" s="413"/>
      <c r="K141" s="413"/>
      <c r="L141" s="415"/>
      <c r="M141" s="433"/>
      <c r="N141" s="64"/>
      <c r="O141" s="64"/>
      <c r="P141" s="64"/>
      <c r="Q141" s="64"/>
      <c r="R141" s="64"/>
      <c r="S141" s="64"/>
      <c r="T141" s="64"/>
      <c r="U141" s="64"/>
      <c r="V141" s="64"/>
      <c r="W141" s="64"/>
      <c r="X141" s="64"/>
      <c r="Y141" s="64"/>
      <c r="Z141" s="64"/>
      <c r="AA141" s="64"/>
      <c r="AC141" s="109"/>
      <c r="AD141" s="372"/>
    </row>
    <row r="142" spans="1:30" s="55" customFormat="1">
      <c r="A142" s="107"/>
      <c r="B142" s="11" t="s">
        <v>606</v>
      </c>
      <c r="C142" s="423" t="s">
        <v>0</v>
      </c>
      <c r="D142" s="117" t="s">
        <v>608</v>
      </c>
      <c r="E142" s="11"/>
      <c r="F142" s="11"/>
      <c r="G142" s="434"/>
      <c r="H142" s="414"/>
      <c r="I142" s="414"/>
      <c r="J142" s="414"/>
      <c r="K142" s="414"/>
      <c r="L142" s="416"/>
      <c r="M142" s="433"/>
      <c r="N142" s="64"/>
      <c r="O142" s="64"/>
      <c r="P142" s="64"/>
      <c r="Q142" s="64"/>
      <c r="R142" s="64"/>
      <c r="S142" s="64"/>
      <c r="T142" s="64"/>
      <c r="U142" s="64"/>
      <c r="V142" s="64"/>
      <c r="W142" s="64"/>
      <c r="X142" s="64"/>
      <c r="Y142" s="64"/>
      <c r="Z142" s="64"/>
      <c r="AA142" s="64"/>
      <c r="AC142" s="109"/>
      <c r="AD142" s="372"/>
    </row>
    <row r="143" spans="1:30" s="55" customFormat="1">
      <c r="A143" s="107"/>
      <c r="B143" s="11" t="s">
        <v>152</v>
      </c>
      <c r="C143" s="423" t="s">
        <v>0</v>
      </c>
      <c r="D143" s="11"/>
      <c r="E143" s="11"/>
      <c r="F143" s="11"/>
      <c r="G143" s="429"/>
      <c r="H143" s="412"/>
      <c r="I143" s="412"/>
      <c r="J143" s="412"/>
      <c r="K143" s="412"/>
      <c r="L143" s="417"/>
      <c r="M143" s="430"/>
      <c r="N143" s="64"/>
      <c r="O143" s="64"/>
      <c r="P143" s="64"/>
      <c r="Q143" s="64"/>
      <c r="R143" s="64"/>
      <c r="S143" s="64"/>
      <c r="T143" s="64"/>
      <c r="U143" s="64"/>
      <c r="V143" s="64"/>
      <c r="W143" s="64"/>
      <c r="X143" s="64"/>
      <c r="Y143" s="64"/>
      <c r="Z143" s="64"/>
      <c r="AA143" s="64"/>
      <c r="AC143" s="109"/>
      <c r="AD143" s="372"/>
    </row>
    <row r="144" spans="1:30" s="55" customFormat="1">
      <c r="A144" s="107"/>
      <c r="B144" s="11" t="s">
        <v>607</v>
      </c>
      <c r="C144" s="423" t="s">
        <v>0</v>
      </c>
      <c r="D144" s="113"/>
      <c r="E144" s="114"/>
      <c r="F144" s="11"/>
      <c r="G144" s="107"/>
      <c r="H144" s="11"/>
      <c r="I144" s="11"/>
      <c r="J144" s="11"/>
      <c r="K144" s="11"/>
      <c r="L144" s="108"/>
      <c r="M144" s="64"/>
      <c r="N144" s="64"/>
      <c r="O144" s="64"/>
      <c r="P144" s="64"/>
      <c r="Q144" s="64"/>
      <c r="R144" s="64"/>
      <c r="S144" s="64"/>
      <c r="T144" s="64"/>
      <c r="U144" s="64"/>
      <c r="V144" s="64"/>
      <c r="W144" s="64"/>
      <c r="X144" s="64"/>
      <c r="Y144" s="64"/>
      <c r="Z144" s="64"/>
      <c r="AA144" s="64"/>
      <c r="AC144" s="109"/>
      <c r="AD144" s="372"/>
    </row>
    <row r="145" spans="1:30" s="55" customFormat="1">
      <c r="A145" s="107"/>
      <c r="B145" s="11"/>
      <c r="C145" s="11"/>
      <c r="D145" s="107"/>
      <c r="E145" s="108"/>
      <c r="F145" s="11"/>
      <c r="G145" s="107"/>
      <c r="H145" s="11"/>
      <c r="I145" s="11"/>
      <c r="J145" s="11"/>
      <c r="K145" s="11"/>
      <c r="L145" s="108"/>
      <c r="M145" s="64"/>
      <c r="N145" s="64"/>
      <c r="O145" s="64"/>
      <c r="P145" s="64"/>
      <c r="Q145" s="64"/>
      <c r="R145" s="64"/>
      <c r="S145" s="64"/>
      <c r="T145" s="64"/>
      <c r="U145" s="64"/>
      <c r="V145" s="64"/>
      <c r="W145" s="64"/>
      <c r="X145" s="64"/>
      <c r="Y145" s="64"/>
      <c r="Z145" s="64"/>
      <c r="AA145" s="64"/>
      <c r="AC145" s="109"/>
      <c r="AD145" s="372"/>
    </row>
    <row r="146" spans="1:30" s="55" customFormat="1">
      <c r="A146" s="107"/>
      <c r="B146" s="11"/>
      <c r="C146" s="11"/>
      <c r="D146" s="110"/>
      <c r="E146" s="112"/>
      <c r="F146" s="11"/>
      <c r="G146" s="107"/>
      <c r="H146" s="11"/>
      <c r="I146" s="11"/>
      <c r="J146" s="11"/>
      <c r="K146" s="11"/>
      <c r="L146" s="108"/>
      <c r="M146" s="64"/>
      <c r="N146" s="64"/>
      <c r="O146" s="64"/>
      <c r="P146" s="64"/>
      <c r="Q146" s="64"/>
      <c r="R146" s="64"/>
      <c r="S146" s="64"/>
      <c r="T146" s="64"/>
      <c r="U146" s="64"/>
      <c r="V146" s="64"/>
      <c r="W146" s="64"/>
      <c r="X146" s="64"/>
      <c r="Y146" s="64"/>
      <c r="Z146" s="64"/>
      <c r="AA146" s="64"/>
      <c r="AC146" s="109"/>
      <c r="AD146" s="372"/>
    </row>
    <row r="147" spans="1:30" s="55" customFormat="1">
      <c r="A147" s="110"/>
      <c r="B147" s="111"/>
      <c r="C147" s="111"/>
      <c r="D147" s="111"/>
      <c r="E147" s="111"/>
      <c r="F147" s="111"/>
      <c r="G147" s="110"/>
      <c r="H147" s="111"/>
      <c r="I147" s="111"/>
      <c r="J147" s="111"/>
      <c r="K147" s="111"/>
      <c r="L147" s="112"/>
      <c r="M147" s="64"/>
      <c r="N147" s="64"/>
      <c r="O147" s="64"/>
      <c r="P147" s="64"/>
      <c r="Q147" s="64"/>
      <c r="R147" s="64"/>
      <c r="S147" s="64"/>
      <c r="T147" s="64"/>
      <c r="U147" s="64"/>
      <c r="V147" s="64"/>
      <c r="W147" s="64"/>
      <c r="X147" s="64"/>
      <c r="Y147" s="64"/>
      <c r="Z147" s="64"/>
      <c r="AA147" s="64"/>
      <c r="AC147" s="109"/>
      <c r="AD147" s="372"/>
    </row>
  </sheetData>
  <mergeCells count="83">
    <mergeCell ref="B97:C97"/>
    <mergeCell ref="B83:H83"/>
    <mergeCell ref="F97:G97"/>
    <mergeCell ref="B98:C98"/>
    <mergeCell ref="F98:G98"/>
    <mergeCell ref="F96:G96"/>
    <mergeCell ref="B111:C111"/>
    <mergeCell ref="F111:G111"/>
    <mergeCell ref="F112:G112"/>
    <mergeCell ref="F100:G100"/>
    <mergeCell ref="F101:G101"/>
    <mergeCell ref="J130:K130"/>
    <mergeCell ref="F113:G113"/>
    <mergeCell ref="M117:Q117"/>
    <mergeCell ref="F114:G114"/>
    <mergeCell ref="F115:G115"/>
    <mergeCell ref="A122:L122"/>
    <mergeCell ref="B117:D117"/>
    <mergeCell ref="F117:G117"/>
    <mergeCell ref="B113:C113"/>
    <mergeCell ref="B115:C115"/>
    <mergeCell ref="B114:C114"/>
    <mergeCell ref="S105:Z105"/>
    <mergeCell ref="B106:C106"/>
    <mergeCell ref="F106:G106"/>
    <mergeCell ref="S106:Z106"/>
    <mergeCell ref="F103:G103"/>
    <mergeCell ref="B104:C104"/>
    <mergeCell ref="F104:G104"/>
    <mergeCell ref="S104:Z104"/>
    <mergeCell ref="B103:C103"/>
    <mergeCell ref="B105:C105"/>
    <mergeCell ref="F105:G105"/>
    <mergeCell ref="S91:Z91"/>
    <mergeCell ref="F92:G92"/>
    <mergeCell ref="S92:Z92"/>
    <mergeCell ref="F93:G93"/>
    <mergeCell ref="S93:Z93"/>
    <mergeCell ref="S87:Z87"/>
    <mergeCell ref="B88:C88"/>
    <mergeCell ref="F88:G88"/>
    <mergeCell ref="S88:Z88"/>
    <mergeCell ref="B89:C89"/>
    <mergeCell ref="F89:G89"/>
    <mergeCell ref="S89:Z89"/>
    <mergeCell ref="A1:B1"/>
    <mergeCell ref="E1:F1"/>
    <mergeCell ref="A2:B2"/>
    <mergeCell ref="E2:F2"/>
    <mergeCell ref="A3:B3"/>
    <mergeCell ref="C3:D3"/>
    <mergeCell ref="A67:C67"/>
    <mergeCell ref="B90:C90"/>
    <mergeCell ref="B92:C92"/>
    <mergeCell ref="B93:C93"/>
    <mergeCell ref="A132:F132"/>
    <mergeCell ref="B99:C99"/>
    <mergeCell ref="F99:G99"/>
    <mergeCell ref="B100:C100"/>
    <mergeCell ref="B107:C107"/>
    <mergeCell ref="F107:G107"/>
    <mergeCell ref="B108:C108"/>
    <mergeCell ref="F108:G108"/>
    <mergeCell ref="B109:C109"/>
    <mergeCell ref="F109:G109"/>
    <mergeCell ref="B110:C110"/>
    <mergeCell ref="F110:G110"/>
    <mergeCell ref="G132:L132"/>
    <mergeCell ref="A140:F140"/>
    <mergeCell ref="G140:L140"/>
    <mergeCell ref="B87:C87"/>
    <mergeCell ref="F87:G87"/>
    <mergeCell ref="F90:G90"/>
    <mergeCell ref="B91:C91"/>
    <mergeCell ref="F91:G91"/>
    <mergeCell ref="B94:C94"/>
    <mergeCell ref="F94:G94"/>
    <mergeCell ref="B95:C95"/>
    <mergeCell ref="F95:G95"/>
    <mergeCell ref="B96:C96"/>
    <mergeCell ref="B101:C101"/>
    <mergeCell ref="J124:K124"/>
    <mergeCell ref="J129:K129"/>
  </mergeCells>
  <pageMargins left="0.45" right="0.45" top="0.5" bottom="0.5" header="0.3" footer="0.3"/>
  <pageSetup paperSize="10000"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79"/>
  <sheetViews>
    <sheetView zoomScale="85" zoomScaleNormal="85" workbookViewId="0">
      <selection sqref="A1:AB3"/>
    </sheetView>
  </sheetViews>
  <sheetFormatPr defaultColWidth="9.109375" defaultRowHeight="14.4"/>
  <cols>
    <col min="1" max="1" width="2.6640625" style="151" customWidth="1"/>
    <col min="2" max="2" width="4.33203125" style="151" customWidth="1"/>
    <col min="3" max="4" width="3.6640625" style="151" customWidth="1"/>
    <col min="5" max="5" width="3" style="151" customWidth="1"/>
    <col min="6" max="6" width="3.6640625" style="151" customWidth="1"/>
    <col min="7" max="7" width="2" style="151" customWidth="1"/>
    <col min="8" max="8" width="7.109375" style="151" customWidth="1"/>
    <col min="9" max="9" width="3.6640625" style="151" customWidth="1"/>
    <col min="10" max="10" width="5.33203125" style="151" customWidth="1"/>
    <col min="11" max="11" width="6" style="151" customWidth="1"/>
    <col min="12" max="12" width="5" style="151" customWidth="1"/>
    <col min="13" max="13" width="4.44140625" style="151" customWidth="1"/>
    <col min="14" max="14" width="2.6640625" style="151" customWidth="1"/>
    <col min="15" max="15" width="10.109375" style="151" customWidth="1"/>
    <col min="16" max="16" width="3.6640625" style="151" hidden="1" customWidth="1"/>
    <col min="17" max="17" width="3.6640625" style="151" customWidth="1"/>
    <col min="18" max="18" width="11" style="151" customWidth="1"/>
    <col min="19" max="19" width="1.6640625" style="151" customWidth="1"/>
    <col min="20" max="20" width="3.6640625" style="151" customWidth="1"/>
    <col min="21" max="21" width="12.44140625" style="151" customWidth="1"/>
    <col min="22" max="22" width="8.44140625" style="151" customWidth="1"/>
    <col min="23" max="23" width="4.33203125" style="151" customWidth="1"/>
    <col min="24" max="24" width="3.88671875" style="151" customWidth="1"/>
    <col min="25" max="25" width="12.6640625" style="151" customWidth="1"/>
    <col min="26" max="26" width="4" style="151" customWidth="1"/>
    <col min="27" max="27" width="11" style="151" customWidth="1"/>
    <col min="28" max="28" width="5.44140625" style="151" customWidth="1"/>
    <col min="29" max="29" width="6.44140625" style="151" customWidth="1"/>
    <col min="30" max="30" width="7.33203125" style="583" hidden="1" customWidth="1"/>
    <col min="31" max="31" width="12.44140625" style="151" hidden="1" customWidth="1"/>
    <col min="32" max="32" width="11.44140625" style="151" hidden="1" customWidth="1"/>
    <col min="33" max="33" width="13.44140625" style="151" hidden="1" customWidth="1"/>
    <col min="34" max="34" width="9.109375" style="151" hidden="1" customWidth="1"/>
    <col min="35" max="35" width="12" style="151" hidden="1" customWidth="1"/>
    <col min="36" max="36" width="14.109375" style="151" hidden="1" customWidth="1"/>
    <col min="37" max="37" width="10.109375" style="151" hidden="1" customWidth="1"/>
    <col min="38" max="38" width="9.109375" style="151" hidden="1" customWidth="1"/>
    <col min="39" max="39" width="12.88671875" style="151" hidden="1" customWidth="1"/>
    <col min="40" max="40" width="11.33203125" style="151" hidden="1" customWidth="1"/>
    <col min="41" max="41" width="11.88671875" style="151" hidden="1" customWidth="1"/>
    <col min="42" max="42" width="12.33203125" style="151" hidden="1" customWidth="1"/>
    <col min="43" max="47" width="9.109375" style="151" hidden="1" customWidth="1"/>
    <col min="48" max="48" width="0" style="151" hidden="1" customWidth="1"/>
    <col min="49" max="16384" width="9.109375" style="151"/>
  </cols>
  <sheetData>
    <row r="1" spans="1:33" ht="15" customHeight="1">
      <c r="A1" s="1519" t="s">
        <v>68</v>
      </c>
      <c r="B1" s="1520"/>
      <c r="C1" s="1520"/>
      <c r="D1" s="1520"/>
      <c r="E1" s="1520"/>
      <c r="F1" s="1520"/>
      <c r="G1" s="1520"/>
      <c r="H1" s="1520"/>
      <c r="I1" s="1520"/>
      <c r="J1" s="1520"/>
      <c r="K1" s="1520"/>
      <c r="L1" s="1520"/>
      <c r="M1" s="1520"/>
      <c r="N1" s="1520"/>
      <c r="O1" s="1520"/>
      <c r="P1" s="1520"/>
      <c r="Q1" s="1520"/>
      <c r="R1" s="1520"/>
      <c r="S1" s="1520"/>
      <c r="T1" s="1520"/>
      <c r="U1" s="1520"/>
      <c r="V1" s="1520"/>
      <c r="W1" s="1520"/>
      <c r="X1" s="1520"/>
      <c r="Y1" s="1520"/>
      <c r="Z1" s="1520"/>
      <c r="AA1" s="1520"/>
      <c r="AB1" s="1521"/>
      <c r="AC1" s="674"/>
    </row>
    <row r="2" spans="1:33" ht="4.5" customHeight="1">
      <c r="A2" s="1024"/>
      <c r="B2" s="1025"/>
      <c r="C2" s="1025"/>
      <c r="D2" s="1025"/>
      <c r="E2" s="1025"/>
      <c r="F2" s="1025"/>
      <c r="G2" s="1025"/>
      <c r="H2" s="1025"/>
      <c r="I2" s="1025"/>
      <c r="J2" s="1025"/>
      <c r="K2" s="1025"/>
      <c r="L2" s="1025"/>
      <c r="M2" s="1025"/>
      <c r="N2" s="1025"/>
      <c r="O2" s="1025"/>
      <c r="P2" s="1025"/>
      <c r="Q2" s="1025"/>
      <c r="R2" s="1025"/>
      <c r="S2" s="1025"/>
      <c r="T2" s="1025"/>
      <c r="U2" s="1025"/>
      <c r="V2" s="1025"/>
      <c r="W2" s="1025"/>
      <c r="X2" s="1025"/>
      <c r="Y2" s="1025"/>
      <c r="Z2" s="1025"/>
      <c r="AA2" s="1025"/>
      <c r="AB2" s="1026"/>
    </row>
    <row r="3" spans="1:33" ht="18">
      <c r="A3" s="1495" t="s">
        <v>47</v>
      </c>
      <c r="B3" s="1496"/>
      <c r="C3" s="1496"/>
      <c r="D3" s="1496"/>
      <c r="E3" s="1496"/>
      <c r="F3" s="1496"/>
      <c r="G3" s="1496"/>
      <c r="H3" s="1496"/>
      <c r="I3" s="1496"/>
      <c r="J3" s="1496"/>
      <c r="K3" s="1496"/>
      <c r="L3" s="1496"/>
      <c r="M3" s="1496"/>
      <c r="N3" s="1496"/>
      <c r="O3" s="1496"/>
      <c r="P3" s="1496"/>
      <c r="Q3" s="1496"/>
      <c r="R3" s="1496"/>
      <c r="S3" s="1496"/>
      <c r="T3" s="1496"/>
      <c r="U3" s="1496"/>
      <c r="V3" s="1496"/>
      <c r="W3" s="1496"/>
      <c r="X3" s="1496"/>
      <c r="Y3" s="1496"/>
      <c r="Z3" s="1496"/>
      <c r="AA3" s="1496"/>
      <c r="AB3" s="1497"/>
      <c r="AC3" s="675"/>
    </row>
    <row r="4" spans="1:33">
      <c r="A4" s="224"/>
      <c r="AB4" s="212"/>
    </row>
    <row r="5">
      <c r="A5" s="1525" t="s">
        <v>994</v>
      </c>
      <c r="B5" s="1526"/>
      <c r="C5" s="1526"/>
      <c r="D5" s="1526"/>
      <c r="E5" s="1526"/>
      <c r="F5" s="210" t="s">
        <v>0</v>
      </c>
      <c r="G5" s="1527"/>
      <c r="H5" s="1528"/>
      <c r="I5" s="1528"/>
      <c r="J5" s="1528"/>
      <c r="K5" s="1528"/>
      <c r="L5" s="1529"/>
      <c r="AB5" s="212"/>
    </row>
    <row r="6" spans="1:33">
      <c r="A6" s="676"/>
      <c r="B6" s="171"/>
      <c r="C6" s="171"/>
      <c r="D6" s="171"/>
      <c r="E6" s="171"/>
      <c r="F6" s="210"/>
      <c r="G6" s="677"/>
      <c r="H6" s="677"/>
      <c r="I6" s="677"/>
      <c r="J6" s="677"/>
      <c r="K6" s="677"/>
      <c r="L6" s="677"/>
      <c r="AB6" s="212"/>
    </row>
    <row r="7" spans="1:33" s="236" customFormat="1">
      <c r="A7" s="742"/>
      <c r="B7" s="1530" t="s">
        <v>45</v>
      </c>
      <c r="C7" s="1530"/>
      <c r="D7" s="1530"/>
      <c r="E7" s="941" t="s">
        <v>593</v>
      </c>
      <c r="F7" s="1531" t="s">
        <v>595</v>
      </c>
      <c r="G7" s="1531"/>
      <c r="H7" s="1531"/>
      <c r="I7" s="1532" t="s">
        <v>596</v>
      </c>
      <c r="J7" s="1532"/>
      <c r="K7" s="1532"/>
      <c r="L7" s="941" t="s">
        <v>593</v>
      </c>
      <c r="M7" s="1531" t="s">
        <v>736</v>
      </c>
      <c r="N7" s="1531"/>
      <c r="O7" s="1531"/>
      <c r="P7" s="1532" t="s">
        <v>596</v>
      </c>
      <c r="Q7" s="1532"/>
      <c r="R7" s="1532"/>
      <c r="S7" s="1531" t="s">
        <v>597</v>
      </c>
      <c r="T7" s="1531"/>
      <c r="U7" s="1531"/>
      <c r="V7" s="743" t="s">
        <v>598</v>
      </c>
      <c r="W7" s="553">
        <f>Parameter!B103</f>
      </c>
      <c r="X7" s="449"/>
      <c r="Y7" s="449"/>
      <c r="Z7" s="449"/>
      <c r="AA7" s="449"/>
      <c r="AB7" s="942"/>
      <c r="AD7" s="744"/>
    </row>
    <row r="8" spans="1:33" s="236" customFormat="1">
      <c r="A8" s="742"/>
      <c r="B8" s="1536">
        <f>'Rekening Koran &amp; Aset '!M7</f>
      </c>
      <c r="C8" s="1537"/>
      <c r="D8" s="1538"/>
      <c r="E8" s="937">
        <f>'Rekening Koran &amp; Aset '!N7</f>
      </c>
      <c r="F8" s="1471">
        <f>'Rekening Koran &amp; Aset '!O7</f>
      </c>
      <c r="G8" s="1472"/>
      <c r="H8" s="1473"/>
      <c r="I8" s="1476">
        <f>'Rekening Koran &amp; Aset '!P7</f>
      </c>
      <c r="J8" s="1477"/>
      <c r="K8" s="1478"/>
      <c r="L8" s="938">
        <f>'Rekening Koran &amp; Aset '!Q7</f>
      </c>
      <c r="M8" s="1465">
        <f>'Rekening Koran &amp; Aset '!R7</f>
      </c>
      <c r="N8" s="1466"/>
      <c r="O8" s="1467"/>
      <c r="P8" s="1465">
        <f>'Rekening Koran &amp; Aset '!S7</f>
      </c>
      <c r="Q8" s="1466"/>
      <c r="R8" s="1467"/>
      <c r="S8" s="1465">
        <f>'Rekening Koran &amp; Aset '!T7</f>
      </c>
      <c r="T8" s="1466"/>
      <c r="U8" s="1467"/>
      <c r="W8" s="1474">
        <f>IF(L11&lt;1,"Tidak ada",IF(L11&lt;3,"Pasif atau kurang dari 3 kali perbulan",IF(AND(L11&gt;=3,L11&lt;=8),"Mutasi 3 - 8 kali perbulan",IF(L11&gt;8,"Lebih dari 8 kali perbulan"))))</f>
      </c>
      <c r="X8" s="1474"/>
      <c r="Y8" s="1474"/>
      <c r="Z8" s="1474"/>
      <c r="AA8" s="1474"/>
      <c r="AB8" s="1475"/>
      <c r="AC8" s="458"/>
      <c r="AD8" s="744"/>
    </row>
    <row r="9" spans="1:33" s="236" customFormat="1">
      <c r="A9" s="742"/>
      <c r="B9" s="1536">
        <f>'Rekening Koran &amp; Aset '!M8</f>
      </c>
      <c r="C9" s="1537"/>
      <c r="D9" s="1538"/>
      <c r="E9" s="937">
        <f>'Rekening Koran &amp; Aset '!N8</f>
      </c>
      <c r="F9" s="1471">
        <f>'Rekening Koran &amp; Aset '!O8</f>
      </c>
      <c r="G9" s="1472"/>
      <c r="H9" s="1473"/>
      <c r="I9" s="1476">
        <f>'Rekening Koran &amp; Aset '!P8</f>
      </c>
      <c r="J9" s="1477"/>
      <c r="K9" s="1478"/>
      <c r="L9" s="938">
        <f>'Rekening Koran &amp; Aset '!Q8</f>
      </c>
      <c r="M9" s="1465">
        <f>'Rekening Koran &amp; Aset '!R8</f>
      </c>
      <c r="N9" s="1466"/>
      <c r="O9" s="1467"/>
      <c r="P9" s="1465">
        <f>'Rekening Koran &amp; Aset '!S8</f>
      </c>
      <c r="Q9" s="1466"/>
      <c r="R9" s="1467"/>
      <c r="S9" s="1465">
        <f>'Rekening Koran &amp; Aset '!T8</f>
      </c>
      <c r="T9" s="1466"/>
      <c r="U9" s="1467"/>
      <c r="V9" s="745" t="s">
        <v>598</v>
      </c>
      <c r="W9" s="943">
        <f>Parameter!B98</f>
        <v xml:space="preserve">Saldo rekening rata-rata per-bulan </v>
      </c>
      <c r="X9" s="449"/>
      <c r="Y9" s="449"/>
      <c r="Z9" s="449"/>
      <c r="AA9" s="449"/>
      <c r="AB9" s="942"/>
      <c r="AC9" s="746"/>
      <c r="AD9" s="744"/>
    </row>
    <row r="10" spans="1:33" s="236" customFormat="1">
      <c r="A10" s="742"/>
      <c r="B10" s="1536">
        <f>'Rekening Koran &amp; Aset '!M9</f>
      </c>
      <c r="C10" s="1537"/>
      <c r="D10" s="1538"/>
      <c r="E10" s="937">
        <f>'Rekening Koran &amp; Aset '!N9</f>
      </c>
      <c r="F10" s="1471">
        <f>'Rekening Koran &amp; Aset '!O9</f>
      </c>
      <c r="G10" s="1472"/>
      <c r="H10" s="1473"/>
      <c r="I10" s="1476">
        <f>'Rekening Koran &amp; Aset '!P9</f>
      </c>
      <c r="J10" s="1477"/>
      <c r="K10" s="1478"/>
      <c r="L10" s="938">
        <f>'Rekening Koran &amp; Aset '!Q9</f>
      </c>
      <c r="M10" s="1465">
        <f>'Rekening Koran &amp; Aset '!R9</f>
      </c>
      <c r="N10" s="1466"/>
      <c r="O10" s="1467"/>
      <c r="P10" s="1465">
        <f>'Rekening Koran &amp; Aset '!S9</f>
      </c>
      <c r="Q10" s="1466"/>
      <c r="R10" s="1467"/>
      <c r="S10" s="1465">
        <f>'Rekening Koran &amp; Aset '!T9</f>
      </c>
      <c r="T10" s="1466"/>
      <c r="U10" s="1467"/>
      <c r="V10" s="745"/>
      <c r="W10" s="1474">
        <f>IF(S11&lt;1,"Tidak ada",IF(S11&lt;5000000,"&lt; 5 Juta",IF(AND(S11&gt;=5000000,S11&lt;=10000000),"5 - 10 juta",IF(S11&gt;10000000,"&gt; 10 juta"))))</f>
      </c>
      <c r="X10" s="1474"/>
      <c r="Y10" s="1474"/>
      <c r="Z10" s="1474"/>
      <c r="AA10" s="1474"/>
      <c r="AB10" s="1475"/>
      <c r="AC10" s="458"/>
      <c r="AD10" s="744"/>
    </row>
    <row r="11" spans="1:33" s="236" customFormat="1">
      <c r="A11" s="742"/>
      <c r="B11" s="1539">
        <f>'Rekening Koran &amp; Aset '!M10</f>
      </c>
      <c r="C11" s="1540"/>
      <c r="D11" s="1541"/>
      <c r="E11" s="939">
        <f>'Rekening Koran &amp; Aset '!N10</f>
      </c>
      <c r="F11" s="1468">
        <f>'Rekening Koran &amp; Aset '!O10</f>
      </c>
      <c r="G11" s="1469"/>
      <c r="H11" s="1470"/>
      <c r="I11" s="1533">
        <f>'Rekening Koran &amp; Aset '!P10</f>
      </c>
      <c r="J11" s="1534"/>
      <c r="K11" s="1535"/>
      <c r="L11" s="940">
        <f>'Rekening Koran &amp; Aset '!Q10</f>
      </c>
      <c r="M11" s="1468">
        <f>'Rekening Koran &amp; Aset '!R10</f>
      </c>
      <c r="N11" s="1469"/>
      <c r="O11" s="1470"/>
      <c r="P11" s="1468">
        <f>'Rekening Koran &amp; Aset '!S10</f>
      </c>
      <c r="Q11" s="1469"/>
      <c r="R11" s="1470"/>
      <c r="S11" s="1468">
        <f>'Rekening Koran &amp; Aset '!T10</f>
      </c>
      <c r="T11" s="1469"/>
      <c r="U11" s="1470"/>
      <c r="AB11" s="242"/>
      <c r="AD11" s="744"/>
      <c r="AG11" s="747"/>
    </row>
    <row r="12" spans="1:33" s="236" customFormat="1" ht="6" customHeight="1">
      <c r="A12" s="480"/>
      <c r="AB12" s="242"/>
      <c r="AD12" s="744"/>
    </row>
    <row r="13" spans="1:33" s="236" customFormat="1" ht="4.5" customHeight="1">
      <c r="A13" s="480"/>
      <c r="AB13" s="242"/>
      <c r="AD13" s="744"/>
    </row>
    <row r="14" spans="1:33" s="236" customFormat="1">
      <c r="A14" s="935" t="s">
        <v>1053</v>
      </c>
      <c r="B14" s="936"/>
      <c r="C14" s="936"/>
      <c r="D14" s="936"/>
      <c r="E14" s="936"/>
      <c r="F14" s="497" t="s">
        <v>0</v>
      </c>
      <c r="G14" s="1522">
        <f>G5+S10</f>
      </c>
      <c r="H14" s="1523"/>
      <c r="I14" s="1523"/>
      <c r="J14" s="1523"/>
      <c r="K14" s="1523"/>
      <c r="L14" s="1524"/>
      <c r="W14" s="1669"/>
      <c r="X14" s="1669"/>
      <c r="Y14" s="1669"/>
      <c r="Z14" s="1669"/>
      <c r="AA14" s="1669"/>
      <c r="AB14" s="1670"/>
      <c r="AC14" s="453"/>
      <c r="AD14" s="744"/>
      <c r="AG14" s="268"/>
    </row>
    <row r="15" spans="1:33">
      <c r="A15" s="224"/>
      <c r="AB15" s="212"/>
      <c r="AG15" s="150"/>
    </row>
    <row r="16" spans="1:33" ht="18">
      <c r="A16" s="1495" t="s">
        <v>1065</v>
      </c>
      <c r="B16" s="1496"/>
      <c r="C16" s="1496"/>
      <c r="D16" s="1496"/>
      <c r="E16" s="1496"/>
      <c r="F16" s="1496"/>
      <c r="G16" s="1496"/>
      <c r="H16" s="1496"/>
      <c r="I16" s="1496"/>
      <c r="J16" s="1496"/>
      <c r="K16" s="1496"/>
      <c r="L16" s="1496"/>
      <c r="M16" s="1496"/>
      <c r="N16" s="1496"/>
      <c r="O16" s="1496"/>
      <c r="P16" s="1496"/>
      <c r="Q16" s="1496"/>
      <c r="R16" s="1496"/>
      <c r="S16" s="1496"/>
      <c r="T16" s="1496"/>
      <c r="U16" s="1496"/>
      <c r="V16" s="1496"/>
      <c r="W16" s="1496"/>
      <c r="X16" s="1496"/>
      <c r="Y16" s="1496"/>
      <c r="Z16" s="1496"/>
      <c r="AA16" s="1496"/>
      <c r="AB16" s="1497"/>
      <c r="AC16" s="675"/>
      <c r="AG16" s="150"/>
    </row>
    <row r="17" spans="1:33" ht="6.75" customHeight="1">
      <c r="A17" s="224"/>
      <c r="AB17" s="212"/>
      <c r="AG17" s="150"/>
    </row>
    <row r="18" spans="1:33">
      <c r="A18" s="944" t="s">
        <v>44</v>
      </c>
      <c r="B18" s="1209" t="s">
        <v>996</v>
      </c>
      <c r="C18" s="1209"/>
      <c r="D18" s="1209"/>
      <c r="E18" s="1209"/>
      <c r="F18" s="1209"/>
      <c r="G18" s="1209"/>
      <c r="H18" s="1209" t="s">
        <v>997</v>
      </c>
      <c r="I18" s="1209"/>
      <c r="J18" s="1209"/>
      <c r="K18" s="1209" t="s">
        <v>998</v>
      </c>
      <c r="L18" s="1209"/>
      <c r="M18" s="1209"/>
      <c r="N18" s="1209"/>
      <c r="O18" s="1209" t="s">
        <v>999</v>
      </c>
      <c r="P18" s="1209"/>
      <c r="Q18" s="1209"/>
      <c r="R18" s="1209"/>
      <c r="S18" s="1209"/>
      <c r="T18" s="1568" t="s">
        <v>995</v>
      </c>
      <c r="U18" s="1569"/>
      <c r="V18" s="1569"/>
      <c r="W18" s="1569"/>
      <c r="X18" s="1569"/>
      <c r="Y18" s="1569"/>
      <c r="Z18" s="1569"/>
      <c r="AA18" s="1570"/>
      <c r="AB18" s="595"/>
      <c r="AC18" s="594"/>
    </row>
    <row r="19">
      <c r="A19" s="776">
        <v>1</v>
      </c>
      <c r="B19" s="1457"/>
      <c r="C19" s="1457"/>
      <c r="D19" s="1457"/>
      <c r="E19" s="1457"/>
      <c r="F19" s="1457"/>
      <c r="G19" s="1457"/>
      <c r="H19" s="1457"/>
      <c r="I19" s="1457"/>
      <c r="J19" s="1457"/>
      <c r="K19" s="1458"/>
      <c r="L19" s="1458"/>
      <c r="M19" s="1458"/>
      <c r="N19" s="1458"/>
      <c r="O19" s="1459">
        <f>H19*K19</f>
      </c>
      <c r="P19" s="1459"/>
      <c r="Q19" s="1459"/>
      <c r="R19" s="1459"/>
      <c r="S19" s="1459"/>
      <c r="T19" s="1571"/>
      <c r="U19" s="1572"/>
      <c r="V19" s="1572"/>
      <c r="W19" s="1572"/>
      <c r="X19" s="1572"/>
      <c r="Y19" s="1572"/>
      <c r="Z19" s="1572"/>
      <c r="AA19" s="1573"/>
      <c r="AB19" s="418"/>
      <c r="AC19" s="213"/>
    </row>
    <row r="20" hidden="1">
      <c r="A20" s="776">
        <v>2</v>
      </c>
      <c r="B20" s="1457"/>
      <c r="C20" s="1457"/>
      <c r="D20" s="1457"/>
      <c r="E20" s="1457"/>
      <c r="F20" s="1457"/>
      <c r="G20" s="1457"/>
      <c r="H20" s="1457"/>
      <c r="I20" s="1457"/>
      <c r="J20" s="1457"/>
      <c r="K20" s="1458"/>
      <c r="L20" s="1458"/>
      <c r="M20" s="1458"/>
      <c r="N20" s="1458"/>
      <c r="O20" s="1459"/>
      <c r="P20" s="1459"/>
      <c r="Q20" s="1459"/>
      <c r="R20" s="1459"/>
      <c r="S20" s="1459"/>
      <c r="T20" s="1571"/>
      <c r="U20" s="1572"/>
      <c r="V20" s="1572"/>
      <c r="W20" s="1572"/>
      <c r="X20" s="1572"/>
      <c r="Y20" s="1572"/>
      <c r="Z20" s="1572"/>
      <c r="AA20" s="1573"/>
      <c r="AB20" s="418"/>
      <c r="AC20" s="213"/>
      <c r="AE20" s="679"/>
    </row>
    <row r="21" hidden="1">
      <c r="A21" s="776">
        <v>3</v>
      </c>
      <c r="B21" s="1457"/>
      <c r="C21" s="1457"/>
      <c r="D21" s="1457"/>
      <c r="E21" s="1457"/>
      <c r="F21" s="1457"/>
      <c r="G21" s="1457"/>
      <c r="H21" s="1457"/>
      <c r="I21" s="1457"/>
      <c r="J21" s="1457"/>
      <c r="K21" s="1458"/>
      <c r="L21" s="1458"/>
      <c r="M21" s="1458"/>
      <c r="N21" s="1458"/>
      <c r="O21" s="1459"/>
      <c r="P21" s="1459"/>
      <c r="Q21" s="1459"/>
      <c r="R21" s="1459"/>
      <c r="S21" s="1459"/>
      <c r="T21" s="1571"/>
      <c r="U21" s="1572"/>
      <c r="V21" s="1572"/>
      <c r="W21" s="1572"/>
      <c r="X21" s="1572"/>
      <c r="Y21" s="1572"/>
      <c r="Z21" s="1572"/>
      <c r="AA21" s="1573"/>
      <c r="AB21" s="418"/>
      <c r="AC21" s="213"/>
    </row>
    <row r="22" hidden="1">
      <c r="A22" s="776">
        <v>4</v>
      </c>
      <c r="B22" s="1457"/>
      <c r="C22" s="1457"/>
      <c r="D22" s="1457"/>
      <c r="E22" s="1457"/>
      <c r="F22" s="1457"/>
      <c r="G22" s="1457"/>
      <c r="H22" s="1457"/>
      <c r="I22" s="1457"/>
      <c r="J22" s="1457"/>
      <c r="K22" s="1458"/>
      <c r="L22" s="1458"/>
      <c r="M22" s="1458"/>
      <c r="N22" s="1458"/>
      <c r="O22" s="1459"/>
      <c r="P22" s="1459"/>
      <c r="Q22" s="1459"/>
      <c r="R22" s="1459"/>
      <c r="S22" s="1459"/>
      <c r="T22" s="1571"/>
      <c r="U22" s="1572"/>
      <c r="V22" s="1572"/>
      <c r="W22" s="1572"/>
      <c r="X22" s="1572"/>
      <c r="Y22" s="1572"/>
      <c r="Z22" s="1572"/>
      <c r="AA22" s="1573"/>
      <c r="AB22" s="418"/>
      <c r="AC22" s="213"/>
    </row>
    <row r="23" hidden="1">
      <c r="A23" s="776">
        <v>5</v>
      </c>
      <c r="B23" s="1457"/>
      <c r="C23" s="1457"/>
      <c r="D23" s="1457"/>
      <c r="E23" s="1457"/>
      <c r="F23" s="1457"/>
      <c r="G23" s="1457"/>
      <c r="H23" s="1457"/>
      <c r="I23" s="1457"/>
      <c r="J23" s="1457"/>
      <c r="K23" s="1458"/>
      <c r="L23" s="1458"/>
      <c r="M23" s="1458"/>
      <c r="N23" s="1458"/>
      <c r="O23" s="1459"/>
      <c r="P23" s="1459"/>
      <c r="Q23" s="1459"/>
      <c r="R23" s="1459"/>
      <c r="S23" s="1459"/>
      <c r="T23" s="1571"/>
      <c r="U23" s="1572"/>
      <c r="V23" s="1572"/>
      <c r="W23" s="1572"/>
      <c r="X23" s="1572"/>
      <c r="Y23" s="1572"/>
      <c r="Z23" s="1572"/>
      <c r="AA23" s="1573"/>
      <c r="AB23" s="418"/>
      <c r="AC23" s="213"/>
    </row>
    <row r="24" spans="1:33">
      <c r="A24" s="1574" t="s">
        <v>43</v>
      </c>
      <c r="B24" s="1464"/>
      <c r="C24" s="1464"/>
      <c r="D24" s="1464"/>
      <c r="E24" s="1464"/>
      <c r="F24" s="1464"/>
      <c r="G24" s="1464"/>
      <c r="H24" s="1488">
        <f>SUM(H19:J23)</f>
      </c>
      <c r="I24" s="1488"/>
      <c r="J24" s="1488"/>
      <c r="K24" s="1463">
        <f>SUM(K19:N23)</f>
      </c>
      <c r="L24" s="1464"/>
      <c r="M24" s="1464"/>
      <c r="N24" s="1464"/>
      <c r="O24" s="1460">
        <f>SUM(O19:S23)</f>
      </c>
      <c r="P24" s="1461"/>
      <c r="Q24" s="1461"/>
      <c r="R24" s="1461"/>
      <c r="S24" s="1462"/>
      <c r="T24" s="1571"/>
      <c r="U24" s="1572"/>
      <c r="V24" s="1572"/>
      <c r="W24" s="1572"/>
      <c r="X24" s="1572"/>
      <c r="Y24" s="1572"/>
      <c r="Z24" s="1572"/>
      <c r="AA24" s="1573"/>
      <c r="AB24" s="459"/>
      <c r="AC24" s="602"/>
    </row>
    <row r="25" spans="1:33" ht="6.75" customHeight="1">
      <c r="A25" s="594"/>
      <c r="B25" s="595"/>
      <c r="C25" s="595"/>
      <c r="D25" s="595"/>
      <c r="E25" s="597"/>
      <c r="F25" s="597"/>
      <c r="G25" s="597"/>
      <c r="H25" s="598"/>
      <c r="I25" s="598"/>
      <c r="J25" s="598"/>
      <c r="K25" s="599"/>
      <c r="L25" s="597"/>
      <c r="M25" s="597"/>
      <c r="N25" s="597"/>
      <c r="O25" s="599"/>
      <c r="P25" s="599"/>
      <c r="Q25" s="599"/>
      <c r="R25" s="599"/>
      <c r="S25" s="599"/>
      <c r="T25" s="600"/>
      <c r="U25" s="600"/>
      <c r="V25" s="600"/>
      <c r="W25" s="600"/>
      <c r="X25" s="600"/>
      <c r="Y25" s="600"/>
      <c r="Z25" s="600"/>
      <c r="AA25" s="600"/>
      <c r="AB25" s="596"/>
      <c r="AC25" s="459"/>
    </row>
    <row r="26">
      <c r="A26" s="945" t="s">
        <v>48</v>
      </c>
      <c r="B26" s="680"/>
      <c r="C26" s="680"/>
      <c r="D26" s="680"/>
      <c r="E26" s="1261"/>
      <c r="F26" s="1483"/>
      <c r="G26" s="1483"/>
      <c r="H26" s="1483"/>
      <c r="I26" s="1483"/>
      <c r="J26" s="1483"/>
      <c r="K26" s="1483"/>
      <c r="L26" s="1483"/>
      <c r="M26" s="1483"/>
      <c r="N26" s="1483"/>
      <c r="O26" s="1483"/>
      <c r="P26" s="1483"/>
      <c r="Q26" s="1483"/>
      <c r="R26" s="1483"/>
      <c r="S26" s="1483"/>
      <c r="T26" s="1483"/>
      <c r="U26" s="1483"/>
      <c r="V26" s="1483"/>
      <c r="W26" s="1483"/>
      <c r="X26" s="1483"/>
      <c r="Y26" s="1483"/>
      <c r="Z26" s="1483"/>
      <c r="AA26" s="1484"/>
      <c r="AB26" s="681"/>
      <c r="AC26" s="682"/>
    </row>
    <row r="27" spans="1:33">
      <c r="A27" s="683"/>
      <c r="B27" s="680"/>
      <c r="C27" s="680"/>
      <c r="D27" s="680"/>
      <c r="E27" s="1485"/>
      <c r="F27" s="1486"/>
      <c r="G27" s="1486"/>
      <c r="H27" s="1486"/>
      <c r="I27" s="1486"/>
      <c r="J27" s="1486"/>
      <c r="K27" s="1486"/>
      <c r="L27" s="1486"/>
      <c r="M27" s="1486"/>
      <c r="N27" s="1486"/>
      <c r="O27" s="1486"/>
      <c r="P27" s="1486"/>
      <c r="Q27" s="1486"/>
      <c r="R27" s="1486"/>
      <c r="S27" s="1486"/>
      <c r="T27" s="1486"/>
      <c r="U27" s="1486"/>
      <c r="V27" s="1486"/>
      <c r="W27" s="1486"/>
      <c r="X27" s="1486"/>
      <c r="Y27" s="1486"/>
      <c r="Z27" s="1486"/>
      <c r="AA27" s="1487"/>
      <c r="AB27" s="681"/>
      <c r="AC27" s="682"/>
    </row>
    <row r="28" spans="1:33">
      <c r="A28" s="224"/>
      <c r="AB28" s="212"/>
    </row>
    <row r="29" spans="1:33" ht="18">
      <c r="A29" s="1495" t="s">
        <v>743</v>
      </c>
      <c r="B29" s="1496"/>
      <c r="C29" s="1496"/>
      <c r="D29" s="1496"/>
      <c r="E29" s="1496"/>
      <c r="F29" s="1496"/>
      <c r="G29" s="1496"/>
      <c r="H29" s="1496"/>
      <c r="I29" s="1496"/>
      <c r="J29" s="1496"/>
      <c r="K29" s="1496"/>
      <c r="L29" s="1496"/>
      <c r="M29" s="1496"/>
      <c r="N29" s="1496"/>
      <c r="O29" s="1496"/>
      <c r="P29" s="1496"/>
      <c r="Q29" s="1496"/>
      <c r="R29" s="1496"/>
      <c r="S29" s="1496"/>
      <c r="T29" s="1496"/>
      <c r="U29" s="1496"/>
      <c r="V29" s="1496"/>
      <c r="W29" s="1496"/>
      <c r="X29" s="1496"/>
      <c r="Y29" s="1496"/>
      <c r="Z29" s="1496"/>
      <c r="AA29" s="1496"/>
      <c r="AB29" s="1497"/>
      <c r="AC29" s="675"/>
    </row>
    <row r="30" spans="1:33">
      <c r="A30" s="224"/>
      <c r="AB30" s="212"/>
    </row>
    <row r="31" spans="1:33">
      <c r="A31" s="900" t="s">
        <v>44</v>
      </c>
      <c r="B31" s="1446" t="s">
        <v>1000</v>
      </c>
      <c r="C31" s="1446"/>
      <c r="D31" s="1446"/>
      <c r="E31" s="1446"/>
      <c r="F31" s="1446"/>
      <c r="G31" s="1446"/>
      <c r="H31" s="1456" t="s">
        <v>997</v>
      </c>
      <c r="I31" s="1456"/>
      <c r="J31" s="1456"/>
      <c r="K31" s="1446" t="s">
        <v>1001</v>
      </c>
      <c r="L31" s="1446"/>
      <c r="M31" s="1446"/>
      <c r="N31" s="1456" t="s">
        <v>998</v>
      </c>
      <c r="O31" s="1456"/>
      <c r="P31" s="1456"/>
      <c r="Q31" s="1456"/>
      <c r="R31" s="1446" t="s">
        <v>1060</v>
      </c>
      <c r="S31" s="1446"/>
      <c r="T31" s="1446"/>
      <c r="U31" s="1446"/>
      <c r="V31" s="1446"/>
      <c r="W31" s="684"/>
      <c r="X31" s="684"/>
      <c r="Y31" s="684"/>
      <c r="Z31" s="684"/>
      <c r="AA31" s="589"/>
      <c r="AB31" s="685"/>
      <c r="AC31" s="589"/>
    </row>
    <row r="32">
      <c r="A32" s="173">
        <v>1</v>
      </c>
      <c r="B32" s="1245"/>
      <c r="C32" s="1246"/>
      <c r="D32" s="1246"/>
      <c r="E32" s="1246"/>
      <c r="F32" s="1246"/>
      <c r="G32" s="1246"/>
      <c r="H32" s="1450"/>
      <c r="I32" s="1450"/>
      <c r="J32" s="1450"/>
      <c r="K32" s="1490"/>
      <c r="L32" s="1491"/>
      <c r="M32" s="1491"/>
      <c r="N32" s="1451"/>
      <c r="O32" s="1451"/>
      <c r="P32" s="1451"/>
      <c r="Q32" s="1451"/>
      <c r="R32" s="1452">
        <f>H32*N32</f>
      </c>
      <c r="S32" s="1453"/>
      <c r="T32" s="1453"/>
      <c r="U32" s="1453"/>
      <c r="V32" s="1453"/>
      <c r="AB32" s="212"/>
    </row>
    <row r="33" hidden="1">
      <c r="A33" s="173">
        <v>2</v>
      </c>
      <c r="B33" s="1245"/>
      <c r="C33" s="1246"/>
      <c r="D33" s="1246"/>
      <c r="E33" s="1246"/>
      <c r="F33" s="1246"/>
      <c r="G33" s="1246"/>
      <c r="H33" s="1450"/>
      <c r="I33" s="1450"/>
      <c r="J33" s="1450"/>
      <c r="K33" s="1490"/>
      <c r="L33" s="1491"/>
      <c r="M33" s="1491"/>
      <c r="N33" s="1451"/>
      <c r="O33" s="1451"/>
      <c r="P33" s="1451"/>
      <c r="Q33" s="1451"/>
      <c r="R33" s="1452">
        <f t="shared" ref="R33:R36" si="0">H33*N33</f>
      </c>
      <c r="S33" s="1453"/>
      <c r="T33" s="1453"/>
      <c r="U33" s="1453"/>
      <c r="V33" s="1453"/>
      <c r="AB33" s="212"/>
    </row>
    <row r="34" hidden="1">
      <c r="A34" s="173">
        <v>3</v>
      </c>
      <c r="B34" s="1245"/>
      <c r="C34" s="1246"/>
      <c r="D34" s="1246"/>
      <c r="E34" s="1246"/>
      <c r="F34" s="1246"/>
      <c r="G34" s="1246"/>
      <c r="H34" s="1450"/>
      <c r="I34" s="1450"/>
      <c r="J34" s="1450"/>
      <c r="K34" s="1490"/>
      <c r="L34" s="1491"/>
      <c r="M34" s="1491"/>
      <c r="N34" s="1451"/>
      <c r="O34" s="1451"/>
      <c r="P34" s="1451"/>
      <c r="Q34" s="1451"/>
      <c r="R34" s="1452">
        <f t="shared" si="0"/>
      </c>
      <c r="S34" s="1453"/>
      <c r="T34" s="1453"/>
      <c r="U34" s="1453"/>
      <c r="V34" s="1453"/>
      <c r="AB34" s="212"/>
    </row>
    <row r="35" hidden="1">
      <c r="A35" s="173">
        <v>4</v>
      </c>
      <c r="B35" s="1245"/>
      <c r="C35" s="1246"/>
      <c r="D35" s="1246"/>
      <c r="E35" s="1246"/>
      <c r="F35" s="1246"/>
      <c r="G35" s="1246"/>
      <c r="H35" s="1450"/>
      <c r="I35" s="1450"/>
      <c r="J35" s="1450"/>
      <c r="K35" s="1490"/>
      <c r="L35" s="1491"/>
      <c r="M35" s="1491"/>
      <c r="N35" s="1451"/>
      <c r="O35" s="1451"/>
      <c r="P35" s="1451"/>
      <c r="Q35" s="1451"/>
      <c r="R35" s="1452">
        <f t="shared" si="0"/>
      </c>
      <c r="S35" s="1453"/>
      <c r="T35" s="1453"/>
      <c r="U35" s="1453"/>
      <c r="V35" s="1453"/>
      <c r="AB35" s="212"/>
    </row>
    <row r="36" hidden="1">
      <c r="A36" s="173">
        <v>5</v>
      </c>
      <c r="B36" s="1563"/>
      <c r="C36" s="1564"/>
      <c r="D36" s="1564"/>
      <c r="E36" s="1564"/>
      <c r="F36" s="1564"/>
      <c r="G36" s="1565"/>
      <c r="H36" s="1566"/>
      <c r="I36" s="1551"/>
      <c r="J36" s="1567"/>
      <c r="K36" s="1575"/>
      <c r="L36" s="1576"/>
      <c r="M36" s="1577"/>
      <c r="N36" s="1559"/>
      <c r="O36" s="1560"/>
      <c r="P36" s="1560"/>
      <c r="Q36" s="1561"/>
      <c r="R36" s="1452">
        <f t="shared" si="0"/>
      </c>
      <c r="S36" s="1453"/>
      <c r="T36" s="1453"/>
      <c r="U36" s="1453"/>
      <c r="V36" s="1453"/>
      <c r="AB36" s="212"/>
    </row>
    <row r="37" spans="1:32">
      <c r="A37" s="1547" t="s">
        <v>43</v>
      </c>
      <c r="B37" s="1446"/>
      <c r="C37" s="1446"/>
      <c r="D37" s="1446"/>
      <c r="E37" s="1446"/>
      <c r="F37" s="1446"/>
      <c r="G37" s="1446"/>
      <c r="H37" s="1674"/>
      <c r="I37" s="1446"/>
      <c r="J37" s="1446"/>
      <c r="K37" s="1675"/>
      <c r="L37" s="1675"/>
      <c r="M37" s="1675"/>
      <c r="N37" s="1674">
        <f>SUM(N32:Q36)</f>
      </c>
      <c r="O37" s="1446"/>
      <c r="P37" s="1446"/>
      <c r="Q37" s="1446"/>
      <c r="R37" s="1556">
        <f>SUM(R32:V36)</f>
      </c>
      <c r="S37" s="1557"/>
      <c r="T37" s="1557"/>
      <c r="U37" s="1557"/>
      <c r="V37" s="1558"/>
      <c r="W37" s="217"/>
      <c r="X37" s="1672"/>
      <c r="Y37" s="1672"/>
      <c r="Z37" s="1672"/>
      <c r="AA37" s="1672"/>
      <c r="AB37" s="1673"/>
      <c r="AC37" s="418"/>
    </row>
    <row r="38" spans="1:32" ht="6.75" customHeight="1">
      <c r="A38" s="594"/>
      <c r="B38" s="595"/>
      <c r="C38" s="595"/>
      <c r="D38" s="595"/>
      <c r="E38" s="597"/>
      <c r="F38" s="597"/>
      <c r="G38" s="597"/>
      <c r="H38" s="598"/>
      <c r="I38" s="598"/>
      <c r="J38" s="598"/>
      <c r="K38" s="599"/>
      <c r="L38" s="597"/>
      <c r="M38" s="597"/>
      <c r="N38" s="597"/>
      <c r="O38" s="599"/>
      <c r="P38" s="599"/>
      <c r="Q38" s="599"/>
      <c r="R38" s="599"/>
      <c r="S38" s="599"/>
      <c r="T38" s="600"/>
      <c r="U38" s="600"/>
      <c r="V38" s="600"/>
      <c r="W38" s="601"/>
      <c r="X38" s="601"/>
      <c r="Y38" s="601"/>
      <c r="Z38" s="601"/>
      <c r="AA38" s="601"/>
      <c r="AB38" s="596"/>
      <c r="AC38" s="459"/>
    </row>
    <row r="39">
      <c r="A39" s="945" t="s">
        <v>48</v>
      </c>
      <c r="B39" s="680"/>
      <c r="C39" s="680"/>
      <c r="D39" s="680"/>
      <c r="E39" s="1261"/>
      <c r="F39" s="1483"/>
      <c r="G39" s="1483"/>
      <c r="H39" s="1483"/>
      <c r="I39" s="1483"/>
      <c r="J39" s="1483"/>
      <c r="K39" s="1483"/>
      <c r="L39" s="1483"/>
      <c r="M39" s="1483"/>
      <c r="N39" s="1483"/>
      <c r="O39" s="1483"/>
      <c r="P39" s="1483"/>
      <c r="Q39" s="1483"/>
      <c r="R39" s="1483"/>
      <c r="S39" s="1483"/>
      <c r="T39" s="1483"/>
      <c r="U39" s="1483"/>
      <c r="V39" s="1483"/>
      <c r="W39" s="1483"/>
      <c r="X39" s="1483"/>
      <c r="Y39" s="1483"/>
      <c r="Z39" s="1483"/>
      <c r="AA39" s="1484"/>
      <c r="AB39" s="681"/>
      <c r="AC39" s="682"/>
    </row>
    <row r="40" spans="1:32">
      <c r="A40" s="683"/>
      <c r="B40" s="680"/>
      <c r="C40" s="680"/>
      <c r="D40" s="680"/>
      <c r="E40" s="1485"/>
      <c r="F40" s="1486"/>
      <c r="G40" s="1486"/>
      <c r="H40" s="1486"/>
      <c r="I40" s="1486"/>
      <c r="J40" s="1486"/>
      <c r="K40" s="1486"/>
      <c r="L40" s="1486"/>
      <c r="M40" s="1486"/>
      <c r="N40" s="1486"/>
      <c r="O40" s="1486"/>
      <c r="P40" s="1486"/>
      <c r="Q40" s="1486"/>
      <c r="R40" s="1486"/>
      <c r="S40" s="1486"/>
      <c r="T40" s="1486"/>
      <c r="U40" s="1486"/>
      <c r="V40" s="1486"/>
      <c r="W40" s="1486"/>
      <c r="X40" s="1486"/>
      <c r="Y40" s="1486"/>
      <c r="Z40" s="1486"/>
      <c r="AA40" s="1487"/>
      <c r="AB40" s="681"/>
      <c r="AC40" s="682"/>
    </row>
    <row r="41" spans="1:32">
      <c r="A41" s="224"/>
      <c r="AB41" s="212"/>
    </row>
    <row r="42" spans="1:32" ht="18">
      <c r="A42" s="1495" t="s">
        <v>1061</v>
      </c>
      <c r="B42" s="1496"/>
      <c r="C42" s="1496"/>
      <c r="D42" s="1496"/>
      <c r="E42" s="1496"/>
      <c r="F42" s="1496"/>
      <c r="G42" s="1496"/>
      <c r="H42" s="1496"/>
      <c r="I42" s="1496"/>
      <c r="J42" s="1496"/>
      <c r="K42" s="1496"/>
      <c r="L42" s="1496"/>
      <c r="M42" s="1496"/>
      <c r="N42" s="1496"/>
      <c r="O42" s="1496"/>
      <c r="P42" s="1496"/>
      <c r="Q42" s="1496"/>
      <c r="R42" s="1496"/>
      <c r="S42" s="1496"/>
      <c r="T42" s="1496"/>
      <c r="U42" s="1496"/>
      <c r="V42" s="1496"/>
      <c r="W42" s="1496"/>
      <c r="X42" s="1496"/>
      <c r="Y42" s="1496"/>
      <c r="Z42" s="1496"/>
      <c r="AA42" s="1496"/>
      <c r="AB42" s="1497"/>
      <c r="AC42" s="687"/>
      <c r="AF42" s="679"/>
    </row>
    <row r="43" spans="1:32">
      <c r="A43" s="224"/>
      <c r="AB43" s="212"/>
    </row>
    <row r="44" spans="1:32">
      <c r="A44" s="946" t="s">
        <v>44</v>
      </c>
      <c r="B44" s="1446" t="s">
        <v>996</v>
      </c>
      <c r="C44" s="1446"/>
      <c r="D44" s="1446"/>
      <c r="E44" s="1446"/>
      <c r="F44" s="1446"/>
      <c r="G44" s="1446"/>
      <c r="H44" s="1446" t="s">
        <v>997</v>
      </c>
      <c r="I44" s="1446"/>
      <c r="J44" s="1446"/>
      <c r="K44" s="1446" t="s">
        <v>998</v>
      </c>
      <c r="L44" s="1446"/>
      <c r="M44" s="1446"/>
      <c r="N44" s="1446"/>
      <c r="O44" s="1446" t="s">
        <v>999</v>
      </c>
      <c r="P44" s="1446"/>
      <c r="Q44" s="1446"/>
      <c r="R44" s="1446"/>
      <c r="S44" s="1446"/>
      <c r="T44" s="1454" t="s">
        <v>1062</v>
      </c>
      <c r="U44" s="1552"/>
      <c r="V44" s="1552"/>
      <c r="W44" s="1552"/>
      <c r="X44" s="1552"/>
      <c r="Y44" s="1552"/>
      <c r="Z44" s="1552"/>
      <c r="AA44" s="1455"/>
      <c r="AB44" s="688"/>
      <c r="AC44" s="689"/>
      <c r="AE44" s="679"/>
    </row>
    <row r="45">
      <c r="A45" s="173">
        <v>1</v>
      </c>
      <c r="B45" s="1449"/>
      <c r="C45" s="1450"/>
      <c r="D45" s="1450"/>
      <c r="E45" s="1450"/>
      <c r="F45" s="1450"/>
      <c r="G45" s="1450"/>
      <c r="H45" s="1450"/>
      <c r="I45" s="1450"/>
      <c r="J45" s="1450"/>
      <c r="K45" s="1451"/>
      <c r="L45" s="1451"/>
      <c r="M45" s="1451"/>
      <c r="N45" s="1451"/>
      <c r="O45" s="1452">
        <f>H45*K45</f>
      </c>
      <c r="P45" s="1453"/>
      <c r="Q45" s="1453"/>
      <c r="R45" s="1453"/>
      <c r="S45" s="1453"/>
      <c r="T45" s="1553"/>
      <c r="U45" s="1554"/>
      <c r="V45" s="1554"/>
      <c r="W45" s="1554"/>
      <c r="X45" s="1554"/>
      <c r="Y45" s="1554"/>
      <c r="Z45" s="1554"/>
      <c r="AA45" s="1555"/>
      <c r="AB45" s="603"/>
      <c r="AC45" s="418"/>
      <c r="AE45" s="679"/>
    </row>
    <row r="46" hidden="1">
      <c r="A46" s="173">
        <v>2</v>
      </c>
      <c r="B46" s="1449"/>
      <c r="C46" s="1450"/>
      <c r="D46" s="1450"/>
      <c r="E46" s="1450"/>
      <c r="F46" s="1450"/>
      <c r="G46" s="1450"/>
      <c r="H46" s="1450"/>
      <c r="I46" s="1450"/>
      <c r="J46" s="1450"/>
      <c r="K46" s="1451"/>
      <c r="L46" s="1451"/>
      <c r="M46" s="1451"/>
      <c r="N46" s="1451"/>
      <c r="O46" s="1452">
        <f>H46*K46</f>
      </c>
      <c r="P46" s="1453"/>
      <c r="Q46" s="1453"/>
      <c r="R46" s="1453"/>
      <c r="S46" s="1453"/>
      <c r="T46" s="1553"/>
      <c r="U46" s="1554"/>
      <c r="V46" s="1554"/>
      <c r="W46" s="1554"/>
      <c r="X46" s="1554"/>
      <c r="Y46" s="1554"/>
      <c r="Z46" s="1554"/>
      <c r="AA46" s="1555"/>
      <c r="AB46" s="603"/>
      <c r="AC46" s="418"/>
    </row>
    <row r="47" hidden="1">
      <c r="A47" s="173">
        <v>3</v>
      </c>
      <c r="B47" s="1449"/>
      <c r="C47" s="1450"/>
      <c r="D47" s="1450"/>
      <c r="E47" s="1450"/>
      <c r="F47" s="1450"/>
      <c r="G47" s="1450"/>
      <c r="H47" s="1450"/>
      <c r="I47" s="1450"/>
      <c r="J47" s="1450"/>
      <c r="K47" s="1451"/>
      <c r="L47" s="1451"/>
      <c r="M47" s="1451"/>
      <c r="N47" s="1451"/>
      <c r="O47" s="1452">
        <f>H47*K47</f>
      </c>
      <c r="P47" s="1453"/>
      <c r="Q47" s="1453"/>
      <c r="R47" s="1453"/>
      <c r="S47" s="1453"/>
      <c r="T47" s="1553"/>
      <c r="U47" s="1554"/>
      <c r="V47" s="1554"/>
      <c r="W47" s="1554"/>
      <c r="X47" s="1554"/>
      <c r="Y47" s="1554"/>
      <c r="Z47" s="1554"/>
      <c r="AA47" s="1555"/>
      <c r="AB47" s="603"/>
      <c r="AC47" s="418"/>
      <c r="AD47" s="690"/>
    </row>
    <row r="48" spans="1:32">
      <c r="A48" s="1580" t="s">
        <v>43</v>
      </c>
      <c r="B48" s="1544"/>
      <c r="C48" s="1544"/>
      <c r="D48" s="1544"/>
      <c r="E48" s="1544"/>
      <c r="F48" s="1544"/>
      <c r="G48" s="1544"/>
      <c r="H48" s="1544">
        <f>SUM(H45:J47)</f>
      </c>
      <c r="I48" s="1544"/>
      <c r="J48" s="1544"/>
      <c r="K48" s="1543">
        <f>SUM(K45:N47)</f>
      </c>
      <c r="L48" s="1544"/>
      <c r="M48" s="1544"/>
      <c r="N48" s="1544"/>
      <c r="O48" s="1556">
        <f>SUM(O45:S47)</f>
      </c>
      <c r="P48" s="1557"/>
      <c r="Q48" s="1557"/>
      <c r="R48" s="1557"/>
      <c r="S48" s="1558"/>
      <c r="T48" s="1553"/>
      <c r="U48" s="1554"/>
      <c r="V48" s="1554"/>
      <c r="W48" s="1554"/>
      <c r="X48" s="1554"/>
      <c r="Y48" s="1554"/>
      <c r="Z48" s="1554"/>
      <c r="AA48" s="1555"/>
      <c r="AB48" s="691"/>
      <c r="AC48" s="678"/>
    </row>
    <row r="49" spans="1:42" ht="6.75" customHeight="1">
      <c r="A49" s="594"/>
      <c r="B49" s="595"/>
      <c r="C49" s="595"/>
      <c r="D49" s="595"/>
      <c r="E49" s="597"/>
      <c r="F49" s="597"/>
      <c r="G49" s="597"/>
      <c r="H49" s="598"/>
      <c r="I49" s="598"/>
      <c r="J49" s="598"/>
      <c r="K49" s="599"/>
      <c r="L49" s="597"/>
      <c r="M49" s="597"/>
      <c r="N49" s="597"/>
      <c r="O49" s="599"/>
      <c r="P49" s="599"/>
      <c r="Q49" s="599"/>
      <c r="R49" s="599"/>
      <c r="S49" s="599"/>
      <c r="T49" s="600"/>
      <c r="U49" s="600"/>
      <c r="V49" s="600"/>
      <c r="W49" s="601"/>
      <c r="X49" s="601"/>
      <c r="Y49" s="601"/>
      <c r="Z49" s="601"/>
      <c r="AA49" s="601"/>
      <c r="AB49" s="596"/>
      <c r="AC49" s="459"/>
    </row>
    <row r="50">
      <c r="A50" s="945" t="s">
        <v>48</v>
      </c>
      <c r="B50" s="680"/>
      <c r="C50" s="680"/>
      <c r="D50" s="680"/>
      <c r="E50" s="1261"/>
      <c r="F50" s="1483"/>
      <c r="G50" s="1483"/>
      <c r="H50" s="1483"/>
      <c r="I50" s="1483"/>
      <c r="J50" s="1483"/>
      <c r="K50" s="1483"/>
      <c r="L50" s="1483"/>
      <c r="M50" s="1483"/>
      <c r="N50" s="1483"/>
      <c r="O50" s="1483"/>
      <c r="P50" s="1483"/>
      <c r="Q50" s="1483"/>
      <c r="R50" s="1483"/>
      <c r="S50" s="1483"/>
      <c r="T50" s="1483"/>
      <c r="U50" s="1483"/>
      <c r="V50" s="1483"/>
      <c r="W50" s="1483"/>
      <c r="X50" s="1483"/>
      <c r="Y50" s="1483"/>
      <c r="Z50" s="1483"/>
      <c r="AA50" s="1484"/>
      <c r="AB50" s="681"/>
      <c r="AC50" s="682"/>
    </row>
    <row r="51" spans="1:42">
      <c r="A51" s="683"/>
      <c r="B51" s="680"/>
      <c r="C51" s="680"/>
      <c r="D51" s="680"/>
      <c r="E51" s="1485"/>
      <c r="F51" s="1486"/>
      <c r="G51" s="1486"/>
      <c r="H51" s="1486"/>
      <c r="I51" s="1486"/>
      <c r="J51" s="1486"/>
      <c r="K51" s="1486"/>
      <c r="L51" s="1486"/>
      <c r="M51" s="1486"/>
      <c r="N51" s="1486"/>
      <c r="O51" s="1486"/>
      <c r="P51" s="1486"/>
      <c r="Q51" s="1486"/>
      <c r="R51" s="1486"/>
      <c r="S51" s="1486"/>
      <c r="T51" s="1486"/>
      <c r="U51" s="1486"/>
      <c r="V51" s="1486"/>
      <c r="W51" s="1486"/>
      <c r="X51" s="1486"/>
      <c r="Y51" s="1486"/>
      <c r="Z51" s="1486"/>
      <c r="AA51" s="1487"/>
      <c r="AB51" s="681"/>
      <c r="AC51" s="682"/>
    </row>
    <row r="52" spans="1:42">
      <c r="A52" s="224"/>
      <c r="AB52" s="212"/>
    </row>
    <row r="53" spans="1:42" ht="18">
      <c r="A53" s="1495" t="s">
        <v>49</v>
      </c>
      <c r="B53" s="1496"/>
      <c r="C53" s="1496"/>
      <c r="D53" s="1496"/>
      <c r="E53" s="1496"/>
      <c r="F53" s="1496"/>
      <c r="G53" s="1496"/>
      <c r="H53" s="1496"/>
      <c r="I53" s="1496"/>
      <c r="J53" s="1496"/>
      <c r="K53" s="1496"/>
      <c r="L53" s="1496"/>
      <c r="M53" s="1496"/>
      <c r="N53" s="1496"/>
      <c r="O53" s="1496"/>
      <c r="P53" s="1496"/>
      <c r="Q53" s="1496"/>
      <c r="R53" s="1496"/>
      <c r="S53" s="1496"/>
      <c r="T53" s="1496"/>
      <c r="U53" s="1496"/>
      <c r="V53" s="1496"/>
      <c r="W53" s="1496"/>
      <c r="X53" s="1496"/>
      <c r="Y53" s="1496"/>
      <c r="Z53" s="1496"/>
      <c r="AA53" s="1496"/>
      <c r="AB53" s="1497"/>
      <c r="AC53" s="687"/>
    </row>
    <row r="54" spans="1:42">
      <c r="A54" s="1578" t="s">
        <v>1085</v>
      </c>
      <c r="B54" s="1579"/>
      <c r="C54" s="1579"/>
      <c r="D54" s="1579"/>
      <c r="E54" s="1579"/>
      <c r="F54" s="692"/>
      <c r="G54" s="692"/>
      <c r="H54" s="692"/>
      <c r="I54" s="692"/>
      <c r="J54" s="692"/>
      <c r="K54" s="692"/>
      <c r="L54" s="692"/>
      <c r="M54" s="692"/>
      <c r="N54" s="692"/>
      <c r="O54" s="692"/>
      <c r="P54" s="692"/>
      <c r="Q54" s="692"/>
      <c r="R54" s="692"/>
      <c r="S54" s="692"/>
      <c r="T54" s="692"/>
      <c r="U54" s="692"/>
      <c r="V54" s="692"/>
      <c r="W54" s="692"/>
      <c r="X54" s="692"/>
      <c r="Y54" s="692"/>
      <c r="Z54" s="692"/>
      <c r="AB54" s="212"/>
    </row>
    <row r="55" spans="1:42" ht="33.9" customHeight="1">
      <c r="A55" s="946" t="s">
        <v>44</v>
      </c>
      <c r="B55" s="1446" t="s">
        <v>1002</v>
      </c>
      <c r="C55" s="1446"/>
      <c r="D55" s="1446"/>
      <c r="E55" s="1446"/>
      <c r="F55" s="1446" t="s">
        <v>1003</v>
      </c>
      <c r="G55" s="1446"/>
      <c r="H55" s="1446"/>
      <c r="I55" s="1446" t="s">
        <v>1004</v>
      </c>
      <c r="J55" s="1446"/>
      <c r="K55" s="1446"/>
      <c r="L55" s="1456" t="s">
        <v>1005</v>
      </c>
      <c r="M55" s="1492"/>
      <c r="N55" s="1456" t="s">
        <v>1084</v>
      </c>
      <c r="O55" s="1456"/>
      <c r="P55" s="1456"/>
      <c r="Q55" s="1446" t="s">
        <v>1006</v>
      </c>
      <c r="R55" s="1446"/>
      <c r="S55" s="1446"/>
      <c r="T55" s="1446" t="s">
        <v>1007</v>
      </c>
      <c r="U55" s="1446"/>
      <c r="V55" s="1446"/>
      <c r="W55" s="1482" t="s">
        <v>1010</v>
      </c>
      <c r="X55" s="1482"/>
      <c r="Y55" s="686" t="s">
        <v>1008</v>
      </c>
      <c r="Z55" s="947" t="s">
        <v>1011</v>
      </c>
      <c r="AA55" s="686" t="s">
        <v>1009</v>
      </c>
      <c r="AB55" s="693"/>
      <c r="AC55" s="689"/>
    </row>
    <row r="56">
      <c r="A56" s="173">
        <v>1</v>
      </c>
      <c r="B56" s="1449"/>
      <c r="C56" s="1450"/>
      <c r="D56" s="1450"/>
      <c r="E56" s="1450"/>
      <c r="F56" s="1451"/>
      <c r="G56" s="1451"/>
      <c r="H56" s="1451"/>
      <c r="I56" s="1443">
        <f ca="1">IF(Y56="Flat",AP56,AO56)</f>
      </c>
      <c r="J56" s="1444"/>
      <c r="K56" s="1445"/>
      <c r="L56" s="1542"/>
      <c r="M56" s="1450"/>
      <c r="N56" s="1443">
        <f>IF(AA56="Ya",0,AE56)</f>
      </c>
      <c r="O56" s="1444"/>
      <c r="P56" s="1445"/>
      <c r="Q56" s="1447"/>
      <c r="R56" s="1448"/>
      <c r="S56" s="1448"/>
      <c r="T56" s="1447"/>
      <c r="U56" s="1448"/>
      <c r="V56" s="1448"/>
      <c r="W56" s="1449"/>
      <c r="X56" s="1450"/>
      <c r="Y56" s="778" t="s">
        <v>130</v>
      </c>
      <c r="Z56" s="437"/>
      <c r="AA56" s="780" t="s">
        <v>110</v>
      </c>
      <c r="AB56" s="444"/>
      <c r="AC56" s="418"/>
      <c r="AD56" s="694" t="s">
        <v>603</v>
      </c>
      <c r="AE56" s="695">
        <f>IF(Y56="Flat",AI56,AK56)</f>
      </c>
      <c r="AF56" s="695">
        <f>IF(AA56="Ya",AP56,0)</f>
      </c>
      <c r="AG56" s="696">
        <f>IF(AA56="Ya",B56,"")</f>
      </c>
      <c r="AH56" s="188">
        <f>DATEDIF(Q56,T56,"M")</f>
      </c>
      <c r="AI56" s="697">
        <f>IFERROR(F56/Parameter!D269,"0")+IFERROR(F56*(L56/12),"")</f>
      </c>
      <c r="AJ56" s="698">
        <f>PMT(L56/12,AH56,-F56)</f>
      </c>
      <c r="AK56" s="699">
        <f>IFERROR(AJ56,0)</f>
      </c>
      <c r="AL56" s="151">
        <f ca="1">Parameter!F269</f>
      </c>
      <c r="AM56" s="700">
        <f>(AH56/12)*L56</f>
      </c>
      <c r="AN56" s="701">
        <f ca="1">F56*(1+AM56/AH56)^AL56-(AK56*((1+AM56/AH56)^AL56-1)/(AM56/AH56))</f>
      </c>
      <c r="AO56" s="702">
        <f ca="1">IFERROR(AN56,0)</f>
      </c>
      <c r="AP56" s="703">
        <f ca="1">IFERROR(Parameter!G269*Parameter!G270,"")</f>
      </c>
    </row>
    <row r="57" hidden="1">
      <c r="A57" s="173">
        <v>2</v>
      </c>
      <c r="B57" s="1449"/>
      <c r="C57" s="1450"/>
      <c r="D57" s="1450"/>
      <c r="E57" s="1450"/>
      <c r="F57" s="1451"/>
      <c r="G57" s="1451"/>
      <c r="H57" s="1451"/>
      <c r="I57" s="1443">
        <f t="shared" ref="I57:I60" ca="1" si="1">IF(Y57="Flat",AP57,AO57)</f>
      </c>
      <c r="J57" s="1444"/>
      <c r="K57" s="1445"/>
      <c r="L57" s="1542"/>
      <c r="M57" s="1450"/>
      <c r="N57" s="1443">
        <f t="shared" ref="N57:N60" si="2">IF(AA57="Ya",0,AE57)</f>
      </c>
      <c r="O57" s="1444"/>
      <c r="P57" s="1445"/>
      <c r="Q57" s="1447"/>
      <c r="R57" s="1448"/>
      <c r="S57" s="1448"/>
      <c r="T57" s="1447"/>
      <c r="U57" s="1448"/>
      <c r="V57" s="1448"/>
      <c r="W57" s="1449"/>
      <c r="X57" s="1450"/>
      <c r="Y57" s="778"/>
      <c r="Z57" s="437"/>
      <c r="AA57" s="780"/>
      <c r="AB57" s="444"/>
      <c r="AC57" s="418"/>
      <c r="AD57" s="694" t="s">
        <v>110</v>
      </c>
      <c r="AE57" s="695">
        <f t="shared" ref="AE57:AE60" si="3">IF(Y57="Flat",AI57,AK57)</f>
      </c>
      <c r="AF57" s="695">
        <f>IF(AA57="Ya",AP57,0)</f>
      </c>
      <c r="AG57" s="696">
        <f t="shared" ref="AG57:AG60" si="4">IF(AA57="Ya",B57,"")</f>
      </c>
      <c r="AH57" s="188">
        <f t="shared" ref="AH57:AH60" si="5">DATEDIF(Q57,T57,"M")</f>
      </c>
      <c r="AI57" s="697">
        <f>IFERROR(F57/Parameter!D271,"0")+IFERROR(F57*(L57/12),"")</f>
      </c>
      <c r="AJ57" s="698">
        <f t="shared" ref="AJ57:AJ60" si="6">PMT(L57/12,AH57,-F57)</f>
      </c>
      <c r="AK57" s="699">
        <f t="shared" ref="AK57:AK60" si="7">IFERROR(AJ57,0)</f>
      </c>
      <c r="AL57" s="151">
        <f ca="1">Parameter!F271</f>
      </c>
      <c r="AM57" s="700">
        <f t="shared" ref="AM57:AM60" si="8">(AH57/12)*L57</f>
      </c>
      <c r="AN57" s="701">
        <f t="shared" ref="AN57:AN60" ca="1" si="9">F57*(1+AM57/AH57)^AL57-(AK57*((1+AM57/AH57)^AL57-1)/(AM57/AH57))</f>
      </c>
      <c r="AO57" s="702">
        <f t="shared" ref="AO57:AO60" ca="1" si="10">IFERROR(AN57,0)</f>
      </c>
      <c r="AP57" s="703">
        <f ca="1">IFERROR(Parameter!G271*Parameter!G272,"")</f>
      </c>
    </row>
    <row r="58" hidden="1">
      <c r="A58" s="173">
        <v>3</v>
      </c>
      <c r="B58" s="1449"/>
      <c r="C58" s="1450"/>
      <c r="D58" s="1450"/>
      <c r="E58" s="1450"/>
      <c r="F58" s="1451"/>
      <c r="G58" s="1451"/>
      <c r="H58" s="1451"/>
      <c r="I58" s="1443">
        <f t="shared" ca="1" si="1"/>
      </c>
      <c r="J58" s="1444"/>
      <c r="K58" s="1445"/>
      <c r="L58" s="1542"/>
      <c r="M58" s="1450"/>
      <c r="N58" s="1443">
        <f t="shared" si="2"/>
      </c>
      <c r="O58" s="1444"/>
      <c r="P58" s="1445"/>
      <c r="Q58" s="1447"/>
      <c r="R58" s="1448"/>
      <c r="S58" s="1448"/>
      <c r="T58" s="1447"/>
      <c r="U58" s="1448"/>
      <c r="V58" s="1448"/>
      <c r="W58" s="1449"/>
      <c r="X58" s="1450"/>
      <c r="Y58" s="778"/>
      <c r="Z58" s="437"/>
      <c r="AA58" s="780"/>
      <c r="AB58" s="444"/>
      <c r="AC58" s="418"/>
      <c r="AE58" s="695">
        <f t="shared" si="3"/>
      </c>
      <c r="AF58" s="695">
        <f>IF(AA58="Ya",AP58,0)</f>
      </c>
      <c r="AG58" s="696">
        <f t="shared" si="4"/>
      </c>
      <c r="AH58" s="188">
        <f t="shared" si="5"/>
      </c>
      <c r="AI58" s="697">
        <f>IFERROR(F58/Parameter!D273,"0")+IFERROR(F58*(L58/12),"")</f>
      </c>
      <c r="AJ58" s="698">
        <f t="shared" si="6"/>
      </c>
      <c r="AK58" s="699">
        <f t="shared" si="7"/>
      </c>
      <c r="AL58" s="151">
        <f ca="1">Parameter!F273</f>
      </c>
      <c r="AM58" s="700">
        <f t="shared" si="8"/>
      </c>
      <c r="AN58" s="701">
        <f t="shared" ca="1" si="9"/>
      </c>
      <c r="AO58" s="702">
        <f t="shared" ca="1" si="10"/>
      </c>
      <c r="AP58" s="703">
        <f ca="1">IFERROR(Parameter!G273*Parameter!G274,"")</f>
      </c>
    </row>
    <row r="59" hidden="1">
      <c r="A59" s="173">
        <v>4</v>
      </c>
      <c r="B59" s="1449"/>
      <c r="C59" s="1450"/>
      <c r="D59" s="1450"/>
      <c r="E59" s="1450"/>
      <c r="F59" s="1451"/>
      <c r="G59" s="1451"/>
      <c r="H59" s="1451"/>
      <c r="I59" s="1443">
        <f t="shared" ca="1" si="1"/>
      </c>
      <c r="J59" s="1444"/>
      <c r="K59" s="1445"/>
      <c r="L59" s="1542"/>
      <c r="M59" s="1450"/>
      <c r="N59" s="1443">
        <f t="shared" si="2"/>
      </c>
      <c r="O59" s="1444"/>
      <c r="P59" s="1445"/>
      <c r="Q59" s="1447"/>
      <c r="R59" s="1448"/>
      <c r="S59" s="1448"/>
      <c r="T59" s="1447"/>
      <c r="U59" s="1448"/>
      <c r="V59" s="1448"/>
      <c r="W59" s="1449"/>
      <c r="X59" s="1450"/>
      <c r="Y59" s="778"/>
      <c r="Z59" s="437"/>
      <c r="AA59" s="780"/>
      <c r="AB59" s="444"/>
      <c r="AC59" s="418"/>
      <c r="AE59" s="695">
        <f t="shared" si="3"/>
      </c>
      <c r="AF59" s="695">
        <f>IF(AA59="Ya",AP59,0)</f>
      </c>
      <c r="AG59" s="696">
        <f t="shared" si="4"/>
      </c>
      <c r="AH59" s="188">
        <f t="shared" si="5"/>
      </c>
      <c r="AI59" s="697">
        <f>IFERROR(F59/Parameter!D275,"0")+IFERROR(F59*(L59/12),"")</f>
      </c>
      <c r="AJ59" s="698">
        <f t="shared" si="6"/>
      </c>
      <c r="AK59" s="699">
        <f t="shared" si="7"/>
      </c>
      <c r="AL59" s="151">
        <f ca="1">Parameter!F275</f>
      </c>
      <c r="AM59" s="700">
        <f t="shared" si="8"/>
      </c>
      <c r="AN59" s="701">
        <f t="shared" ca="1" si="9"/>
      </c>
      <c r="AO59" s="702">
        <f t="shared" ca="1" si="10"/>
      </c>
      <c r="AP59" s="703">
        <f ca="1">IFERROR(Parameter!G275*Parameter!G276,"")</f>
      </c>
    </row>
    <row r="60" hidden="1">
      <c r="A60" s="173">
        <v>5</v>
      </c>
      <c r="B60" s="1449"/>
      <c r="C60" s="1450"/>
      <c r="D60" s="1450"/>
      <c r="E60" s="1450"/>
      <c r="F60" s="1451"/>
      <c r="G60" s="1451"/>
      <c r="H60" s="1451"/>
      <c r="I60" s="1443">
        <f t="shared" ca="1" si="1"/>
      </c>
      <c r="J60" s="1444"/>
      <c r="K60" s="1445"/>
      <c r="L60" s="1542"/>
      <c r="M60" s="1450"/>
      <c r="N60" s="1443">
        <f t="shared" si="2"/>
      </c>
      <c r="O60" s="1444"/>
      <c r="P60" s="1445"/>
      <c r="Q60" s="1447"/>
      <c r="R60" s="1448"/>
      <c r="S60" s="1448"/>
      <c r="T60" s="1447"/>
      <c r="U60" s="1448"/>
      <c r="V60" s="1448"/>
      <c r="W60" s="1449"/>
      <c r="X60" s="1450"/>
      <c r="Y60" s="778"/>
      <c r="Z60" s="437"/>
      <c r="AA60" s="780"/>
      <c r="AB60" s="444"/>
      <c r="AC60" s="418"/>
      <c r="AE60" s="695">
        <f t="shared" si="3"/>
      </c>
      <c r="AF60" s="695">
        <f>IF(AA60="Ya",AP60,0)</f>
      </c>
      <c r="AG60" s="696">
        <f t="shared" si="4"/>
      </c>
      <c r="AH60" s="188">
        <f t="shared" si="5"/>
      </c>
      <c r="AI60" s="697">
        <f>IFERROR(F60/Parameter!D277,"0")+IFERROR(F60*(L60/12),"")</f>
      </c>
      <c r="AJ60" s="698">
        <f t="shared" si="6"/>
      </c>
      <c r="AK60" s="699">
        <f t="shared" si="7"/>
      </c>
      <c r="AL60" s="151">
        <f ca="1">Parameter!F277</f>
      </c>
      <c r="AM60" s="700">
        <f t="shared" si="8"/>
      </c>
      <c r="AN60" s="701">
        <f t="shared" ca="1" si="9"/>
      </c>
      <c r="AO60" s="702">
        <f t="shared" ca="1" si="10"/>
      </c>
      <c r="AP60" s="703">
        <f ca="1">IFERROR(Parameter!G277*Parameter!G278,"")</f>
      </c>
    </row>
    <row r="61" spans="1:42">
      <c r="A61" s="1547" t="s">
        <v>999</v>
      </c>
      <c r="B61" s="1446"/>
      <c r="C61" s="1446"/>
      <c r="D61" s="1446"/>
      <c r="E61" s="1446"/>
      <c r="F61" s="1543">
        <f>SUM(F56:H60)</f>
      </c>
      <c r="G61" s="1544"/>
      <c r="H61" s="1544"/>
      <c r="I61" s="1548">
        <f ca="1">SUM(I56:K60)</f>
      </c>
      <c r="J61" s="1549"/>
      <c r="K61" s="1550"/>
      <c r="L61" s="1454"/>
      <c r="M61" s="1455"/>
      <c r="N61" s="1489">
        <f>SUM(N56:P60)</f>
      </c>
      <c r="O61" s="1489"/>
      <c r="P61" s="1489"/>
      <c r="Q61" s="1454"/>
      <c r="R61" s="1552"/>
      <c r="S61" s="1455"/>
      <c r="T61" s="1454"/>
      <c r="U61" s="1552"/>
      <c r="V61" s="1455"/>
      <c r="W61" s="1454"/>
      <c r="X61" s="1455"/>
      <c r="Y61" s="779"/>
      <c r="Z61" s="686"/>
      <c r="AA61" s="777"/>
      <c r="AB61" s="693"/>
      <c r="AC61" s="689"/>
      <c r="AD61" s="694" t="s">
        <v>768</v>
      </c>
      <c r="AE61" s="704">
        <f>SUM(AE56:AE60)</f>
      </c>
      <c r="AF61" s="704">
        <f>SUM(AF56:AF60)</f>
      </c>
      <c r="AI61" s="705"/>
      <c r="AP61" s="706"/>
    </row>
    <row r="62" spans="1:42" ht="6.75" customHeight="1">
      <c r="A62" s="594"/>
      <c r="B62" s="595"/>
      <c r="C62" s="595"/>
      <c r="D62" s="595"/>
      <c r="E62" s="597"/>
      <c r="F62" s="597"/>
      <c r="G62" s="597"/>
      <c r="H62" s="598"/>
      <c r="I62" s="598"/>
      <c r="J62" s="598"/>
      <c r="K62" s="599"/>
      <c r="L62" s="597"/>
      <c r="M62" s="597"/>
      <c r="N62" s="597"/>
      <c r="O62" s="599"/>
      <c r="P62" s="599"/>
      <c r="Q62" s="599"/>
      <c r="R62" s="599"/>
      <c r="S62" s="599"/>
      <c r="T62" s="600"/>
      <c r="U62" s="600"/>
      <c r="V62" s="600"/>
      <c r="W62" s="601"/>
      <c r="X62" s="601"/>
      <c r="Y62" s="601"/>
      <c r="Z62" s="601"/>
      <c r="AA62" s="601"/>
      <c r="AB62" s="596"/>
      <c r="AC62" s="459"/>
    </row>
    <row r="63">
      <c r="A63" s="945" t="s">
        <v>48</v>
      </c>
      <c r="B63" s="680"/>
      <c r="C63" s="680"/>
      <c r="D63" s="680"/>
      <c r="E63" s="1261"/>
      <c r="F63" s="1483"/>
      <c r="G63" s="1483"/>
      <c r="H63" s="1483"/>
      <c r="I63" s="1483"/>
      <c r="J63" s="1483"/>
      <c r="K63" s="1483"/>
      <c r="L63" s="1483"/>
      <c r="M63" s="1483"/>
      <c r="N63" s="1483"/>
      <c r="O63" s="1483"/>
      <c r="P63" s="1483"/>
      <c r="Q63" s="1483"/>
      <c r="R63" s="1483"/>
      <c r="S63" s="1483"/>
      <c r="T63" s="1483"/>
      <c r="U63" s="1483"/>
      <c r="V63" s="1483"/>
      <c r="W63" s="1483"/>
      <c r="X63" s="1483"/>
      <c r="Y63" s="1483"/>
      <c r="Z63" s="1483"/>
      <c r="AA63" s="1484"/>
      <c r="AB63" s="681"/>
      <c r="AC63" s="682"/>
    </row>
    <row r="64" spans="1:42">
      <c r="A64" s="683"/>
      <c r="B64" s="680"/>
      <c r="C64" s="680"/>
      <c r="D64" s="680"/>
      <c r="E64" s="1485"/>
      <c r="F64" s="1486"/>
      <c r="G64" s="1486"/>
      <c r="H64" s="1486"/>
      <c r="I64" s="1486"/>
      <c r="J64" s="1486"/>
      <c r="K64" s="1486"/>
      <c r="L64" s="1486"/>
      <c r="M64" s="1486"/>
      <c r="N64" s="1486"/>
      <c r="O64" s="1486"/>
      <c r="P64" s="1486"/>
      <c r="Q64" s="1486"/>
      <c r="R64" s="1486"/>
      <c r="S64" s="1486"/>
      <c r="T64" s="1486"/>
      <c r="U64" s="1486"/>
      <c r="V64" s="1486"/>
      <c r="W64" s="1486"/>
      <c r="X64" s="1486"/>
      <c r="Y64" s="1486"/>
      <c r="Z64" s="1486"/>
      <c r="AA64" s="1487"/>
      <c r="AB64" s="681"/>
      <c r="AC64" s="682"/>
    </row>
    <row r="65">
      <c r="A65" s="1545" t="s">
        <v>50</v>
      </c>
      <c r="B65" s="1546"/>
      <c r="C65" s="1546"/>
      <c r="D65" s="1546"/>
      <c r="E65" s="172"/>
      <c r="I65" s="1551"/>
      <c r="J65" s="1551"/>
      <c r="K65" s="1551"/>
      <c r="AB65" s="212"/>
    </row>
    <row r="66" spans="1:42" ht="24" customHeight="1">
      <c r="A66" s="944" t="s">
        <v>44</v>
      </c>
      <c r="B66" s="1209" t="s">
        <v>1002</v>
      </c>
      <c r="C66" s="1209"/>
      <c r="D66" s="1209"/>
      <c r="E66" s="1209"/>
      <c r="F66" s="1209" t="s">
        <v>1003</v>
      </c>
      <c r="G66" s="1209"/>
      <c r="H66" s="1209"/>
      <c r="I66" s="1209" t="s">
        <v>1004</v>
      </c>
      <c r="J66" s="1209"/>
      <c r="K66" s="1209"/>
      <c r="L66" s="1189" t="s">
        <v>1005</v>
      </c>
      <c r="M66" s="1562"/>
      <c r="N66" s="1189" t="s">
        <v>1086</v>
      </c>
      <c r="O66" s="1189"/>
      <c r="P66" s="1189"/>
      <c r="Q66" s="1209" t="s">
        <v>1006</v>
      </c>
      <c r="R66" s="1209"/>
      <c r="S66" s="1209"/>
      <c r="T66" s="1209" t="s">
        <v>1007</v>
      </c>
      <c r="U66" s="1209"/>
      <c r="V66" s="1209"/>
      <c r="W66" s="1189" t="s">
        <v>1010</v>
      </c>
      <c r="X66" s="1189"/>
      <c r="Y66" s="672" t="s">
        <v>1008</v>
      </c>
      <c r="Z66" s="931" t="s">
        <v>1011</v>
      </c>
      <c r="AA66" s="672" t="s">
        <v>1009</v>
      </c>
      <c r="AB66" s="707"/>
      <c r="AC66" s="608"/>
    </row>
    <row r="67">
      <c r="A67" s="173">
        <v>1</v>
      </c>
      <c r="B67" s="1449"/>
      <c r="C67" s="1450"/>
      <c r="D67" s="1450"/>
      <c r="E67" s="1450"/>
      <c r="F67" s="1451"/>
      <c r="G67" s="1451"/>
      <c r="H67" s="1451"/>
      <c r="I67" s="1443">
        <f ca="1">IF(Y67="Flat",AP67,AO67)</f>
      </c>
      <c r="J67" s="1444"/>
      <c r="K67" s="1445"/>
      <c r="L67" s="1583"/>
      <c r="M67" s="1583"/>
      <c r="N67" s="1443">
        <f>IF(AA67="Ya",0,AE67)</f>
      </c>
      <c r="O67" s="1444"/>
      <c r="P67" s="1445"/>
      <c r="Q67" s="1447"/>
      <c r="R67" s="1448"/>
      <c r="S67" s="1448"/>
      <c r="T67" s="1447"/>
      <c r="U67" s="1448"/>
      <c r="V67" s="1448"/>
      <c r="W67" s="1449"/>
      <c r="X67" s="1450"/>
      <c r="Y67" s="778" t="s">
        <v>130</v>
      </c>
      <c r="Z67" s="437"/>
      <c r="AA67" s="780" t="s">
        <v>110</v>
      </c>
      <c r="AB67" s="444"/>
      <c r="AC67" s="418"/>
      <c r="AE67" s="695">
        <f t="shared" ref="AE67:AE71" si="11">IF(Y67="Flat",AI67,AK67)</f>
      </c>
      <c r="AF67" s="695">
        <f>IF(AA67="Ya",AP67,0)</f>
      </c>
      <c r="AG67" s="696">
        <f t="shared" ref="AG67:AG71" si="12">IF(AA67="Ya",B67,"")</f>
      </c>
      <c r="AH67" s="188">
        <f t="shared" ref="AH67:AH71" si="13">DATEDIF(Q67,T67,"M")</f>
      </c>
      <c r="AI67" s="697">
        <f>IFERROR(F67/Parameter!D280,"0")+IFERROR(F67*(L67/12),"")</f>
      </c>
      <c r="AJ67" s="698">
        <f>PMT(L67/12,AH67,-F67)</f>
      </c>
      <c r="AK67" s="699">
        <f>IFERROR(AJ67,0)</f>
      </c>
      <c r="AL67" s="151">
        <f ca="1">Parameter!F280</f>
      </c>
      <c r="AM67" s="700">
        <f t="shared" ref="AM67:AM71" si="14">(AH67/12)*L67</f>
      </c>
      <c r="AN67" s="701">
        <f ca="1">F67*(1+AM67/AH67)^AL67-(AK67*((1+AM67/AH67)^AL67-1)/(AM67/AH67))</f>
      </c>
      <c r="AO67" s="702">
        <f ca="1">IFERROR(AN67,0)</f>
      </c>
      <c r="AP67" s="708">
        <f ca="1">IFERROR(Parameter!G280*Parameter!G281,"")</f>
      </c>
    </row>
    <row r="68" hidden="1">
      <c r="A68" s="173">
        <v>2</v>
      </c>
      <c r="B68" s="1449"/>
      <c r="C68" s="1450"/>
      <c r="D68" s="1450"/>
      <c r="E68" s="1450"/>
      <c r="F68" s="1451"/>
      <c r="G68" s="1451"/>
      <c r="H68" s="1451"/>
      <c r="I68" s="1443">
        <f t="shared" ref="I68:I71" ca="1" si="15">IF(Y68="Flat",AP68,AO68)</f>
      </c>
      <c r="J68" s="1444"/>
      <c r="K68" s="1445"/>
      <c r="L68" s="1542"/>
      <c r="M68" s="1450"/>
      <c r="N68" s="1443">
        <f t="shared" ref="N68:N71" si="16">IF(AA68="Ya",0,AE68)</f>
      </c>
      <c r="O68" s="1444"/>
      <c r="P68" s="1445"/>
      <c r="Q68" s="1447"/>
      <c r="R68" s="1448"/>
      <c r="S68" s="1448"/>
      <c r="T68" s="1447"/>
      <c r="U68" s="1448"/>
      <c r="V68" s="1448"/>
      <c r="W68" s="1553"/>
      <c r="X68" s="1555"/>
      <c r="Y68" s="778" t="s">
        <v>130</v>
      </c>
      <c r="Z68" s="440"/>
      <c r="AA68" s="780" t="s">
        <v>603</v>
      </c>
      <c r="AB68" s="444"/>
      <c r="AC68" s="418"/>
      <c r="AE68" s="695">
        <f t="shared" si="11"/>
      </c>
      <c r="AF68" s="695">
        <f ca="1">IF(AA68="Ya",AP68,0)</f>
      </c>
      <c r="AG68" s="696">
        <f t="shared" si="12"/>
      </c>
      <c r="AH68" s="188">
        <f t="shared" si="13"/>
      </c>
      <c r="AI68" s="697">
        <f>IFERROR(F68/Parameter!D282,"0")+IFERROR(F68*(L68/12),"")</f>
      </c>
      <c r="AJ68" s="698">
        <f t="shared" ref="AJ68:AJ71" si="17">PMT(L68/12,AH68,-F68)</f>
      </c>
      <c r="AK68" s="699">
        <f t="shared" ref="AK68:AK71" si="18">IFERROR(AJ68,0)</f>
      </c>
      <c r="AL68" s="151">
        <f ca="1">Parameter!F282</f>
      </c>
      <c r="AM68" s="700">
        <f t="shared" si="14"/>
      </c>
      <c r="AN68" s="701">
        <f t="shared" ref="AN68:AN71" ca="1" si="19">F68*(1+AM68/AH68)^AL68-(AK68*((1+AM68/AH68)^AL68-1)/(AM68/AH68))</f>
      </c>
      <c r="AO68" s="702">
        <f t="shared" ref="AO68:AO71" ca="1" si="20">IFERROR(AN68,0)</f>
      </c>
      <c r="AP68" s="708">
        <f ca="1">IFERROR(Parameter!G282*Parameter!G283,"")</f>
      </c>
    </row>
    <row r="69" hidden="1">
      <c r="A69" s="173">
        <v>3</v>
      </c>
      <c r="B69" s="1449"/>
      <c r="C69" s="1450"/>
      <c r="D69" s="1450"/>
      <c r="E69" s="1450"/>
      <c r="F69" s="1451"/>
      <c r="G69" s="1451"/>
      <c r="H69" s="1451"/>
      <c r="I69" s="1443">
        <f t="shared" ca="1" si="15"/>
      </c>
      <c r="J69" s="1444"/>
      <c r="K69" s="1445"/>
      <c r="L69" s="1542"/>
      <c r="M69" s="1450"/>
      <c r="N69" s="1443">
        <f t="shared" si="16"/>
      </c>
      <c r="O69" s="1444"/>
      <c r="P69" s="1445"/>
      <c r="Q69" s="1447"/>
      <c r="R69" s="1448"/>
      <c r="S69" s="1448"/>
      <c r="T69" s="1447"/>
      <c r="U69" s="1448"/>
      <c r="V69" s="1448"/>
      <c r="W69" s="1553"/>
      <c r="X69" s="1555"/>
      <c r="Y69" s="778" t="s">
        <v>130</v>
      </c>
      <c r="Z69" s="440"/>
      <c r="AA69" s="780" t="s">
        <v>603</v>
      </c>
      <c r="AB69" s="444"/>
      <c r="AC69" s="418"/>
      <c r="AE69" s="695">
        <f t="shared" si="11"/>
      </c>
      <c r="AF69" s="695">
        <f ca="1">IF(AA69="Ya",AP69,0)</f>
      </c>
      <c r="AG69" s="696">
        <f t="shared" si="12"/>
      </c>
      <c r="AH69" s="188">
        <f t="shared" si="13"/>
      </c>
      <c r="AI69" s="697">
        <f>IFERROR(F69/Parameter!D284,"0")+IFERROR(F69*(L69/12),"")</f>
      </c>
      <c r="AJ69" s="698">
        <f t="shared" si="17"/>
      </c>
      <c r="AK69" s="699">
        <f t="shared" si="18"/>
      </c>
      <c r="AL69" s="151">
        <f ca="1">Parameter!F284</f>
      </c>
      <c r="AM69" s="700">
        <f t="shared" si="14"/>
      </c>
      <c r="AN69" s="701">
        <f t="shared" ca="1" si="19"/>
      </c>
      <c r="AO69" s="702">
        <f t="shared" ca="1" si="20"/>
      </c>
      <c r="AP69" s="708">
        <f ca="1">IFERROR(Parameter!G284*Parameter!G285,"")</f>
      </c>
    </row>
    <row r="70" hidden="1">
      <c r="A70" s="173">
        <v>4</v>
      </c>
      <c r="B70" s="1449"/>
      <c r="C70" s="1450"/>
      <c r="D70" s="1450"/>
      <c r="E70" s="1450"/>
      <c r="F70" s="1451"/>
      <c r="G70" s="1451"/>
      <c r="H70" s="1451"/>
      <c r="I70" s="1443">
        <f t="shared" ca="1" si="15"/>
      </c>
      <c r="J70" s="1444"/>
      <c r="K70" s="1445"/>
      <c r="L70" s="1542"/>
      <c r="M70" s="1450"/>
      <c r="N70" s="1443">
        <f t="shared" si="16"/>
      </c>
      <c r="O70" s="1444"/>
      <c r="P70" s="1445"/>
      <c r="Q70" s="1447"/>
      <c r="R70" s="1448"/>
      <c r="S70" s="1448"/>
      <c r="T70" s="1447"/>
      <c r="U70" s="1448"/>
      <c r="V70" s="1448"/>
      <c r="W70" s="1553"/>
      <c r="X70" s="1555"/>
      <c r="Y70" s="778" t="s">
        <v>130</v>
      </c>
      <c r="Z70" s="440"/>
      <c r="AA70" s="780" t="s">
        <v>603</v>
      </c>
      <c r="AB70" s="444"/>
      <c r="AC70" s="418"/>
      <c r="AE70" s="695">
        <f t="shared" si="11"/>
      </c>
      <c r="AF70" s="695">
        <f ca="1">IF(AA70="Ya",AP70,0)</f>
      </c>
      <c r="AG70" s="696">
        <f t="shared" si="12"/>
      </c>
      <c r="AH70" s="188">
        <f t="shared" si="13"/>
      </c>
      <c r="AI70" s="697">
        <f>IFERROR(F70/Parameter!D286,"0")+IFERROR(F70*(L70/12),"")</f>
      </c>
      <c r="AJ70" s="698">
        <f t="shared" si="17"/>
      </c>
      <c r="AK70" s="699">
        <f t="shared" si="18"/>
      </c>
      <c r="AL70" s="151">
        <f ca="1">Parameter!F286</f>
      </c>
      <c r="AM70" s="700">
        <f t="shared" si="14"/>
      </c>
      <c r="AN70" s="701">
        <f t="shared" ca="1" si="19"/>
      </c>
      <c r="AO70" s="702">
        <f t="shared" ca="1" si="20"/>
      </c>
      <c r="AP70" s="708">
        <f ca="1">IFERROR(Parameter!G286*Parameter!G287,"")</f>
      </c>
    </row>
    <row r="71" hidden="1">
      <c r="A71" s="173">
        <v>5</v>
      </c>
      <c r="B71" s="1449"/>
      <c r="C71" s="1450"/>
      <c r="D71" s="1450"/>
      <c r="E71" s="1450"/>
      <c r="F71" s="1451"/>
      <c r="G71" s="1451"/>
      <c r="H71" s="1451"/>
      <c r="I71" s="1443">
        <f t="shared" ca="1" si="15"/>
      </c>
      <c r="J71" s="1444"/>
      <c r="K71" s="1445"/>
      <c r="L71" s="1542"/>
      <c r="M71" s="1450"/>
      <c r="N71" s="1443">
        <f t="shared" si="16"/>
      </c>
      <c r="O71" s="1444"/>
      <c r="P71" s="1445"/>
      <c r="Q71" s="1447"/>
      <c r="R71" s="1448"/>
      <c r="S71" s="1448"/>
      <c r="T71" s="1447"/>
      <c r="U71" s="1448"/>
      <c r="V71" s="1448"/>
      <c r="W71" s="1553"/>
      <c r="X71" s="1555"/>
      <c r="Y71" s="778" t="s">
        <v>130</v>
      </c>
      <c r="Z71" s="440"/>
      <c r="AA71" s="780" t="s">
        <v>603</v>
      </c>
      <c r="AB71" s="444"/>
      <c r="AC71" s="418"/>
      <c r="AE71" s="695">
        <f t="shared" si="11"/>
      </c>
      <c r="AF71" s="695">
        <f ca="1">IF(AA71="Ya",AP71,0)</f>
      </c>
      <c r="AG71" s="696">
        <f t="shared" si="12"/>
      </c>
      <c r="AH71" s="188">
        <f t="shared" si="13"/>
      </c>
      <c r="AI71" s="697">
        <f>IFERROR(F71/Parameter!D288,"0")+IFERROR(F71*(L71/12),"")</f>
      </c>
      <c r="AJ71" s="698">
        <f t="shared" si="17"/>
      </c>
      <c r="AK71" s="699">
        <f t="shared" si="18"/>
      </c>
      <c r="AL71" s="151">
        <f ca="1">Parameter!F288</f>
      </c>
      <c r="AM71" s="700">
        <f t="shared" si="14"/>
      </c>
      <c r="AN71" s="701">
        <f t="shared" ca="1" si="19"/>
      </c>
      <c r="AO71" s="702">
        <f t="shared" ca="1" si="20"/>
      </c>
      <c r="AP71" s="708">
        <f ca="1">IFERROR(Parameter!G288*Parameter!G289,"")</f>
      </c>
    </row>
    <row r="72" spans="1:42">
      <c r="A72" s="1588" t="s">
        <v>999</v>
      </c>
      <c r="B72" s="1209"/>
      <c r="C72" s="1209"/>
      <c r="D72" s="1209"/>
      <c r="E72" s="1209"/>
      <c r="F72" s="1632">
        <f>SUM(F67:H71)</f>
      </c>
      <c r="G72" s="1633"/>
      <c r="H72" s="1633"/>
      <c r="I72" s="1479">
        <f ca="1">SUM(I67:K71)</f>
      </c>
      <c r="J72" s="1480"/>
      <c r="K72" s="1481"/>
      <c r="L72" s="1584"/>
      <c r="M72" s="1570"/>
      <c r="N72" s="1479">
        <f>SUM(N67:P71)</f>
      </c>
      <c r="O72" s="1480"/>
      <c r="P72" s="1481"/>
      <c r="Q72" s="1568"/>
      <c r="R72" s="1569"/>
      <c r="S72" s="1570"/>
      <c r="T72" s="1568"/>
      <c r="U72" s="1569"/>
      <c r="V72" s="1570"/>
      <c r="W72" s="1568"/>
      <c r="X72" s="1570"/>
      <c r="Y72" s="709"/>
      <c r="Z72" s="671"/>
      <c r="AA72" s="672"/>
      <c r="AB72" s="707"/>
      <c r="AC72" s="608"/>
      <c r="AD72" s="694" t="s">
        <v>768</v>
      </c>
      <c r="AE72" s="704">
        <f>SUM(AE67:AE71)</f>
      </c>
      <c r="AF72" s="704">
        <f ca="1">SUM(AF67:AF71)</f>
      </c>
      <c r="AI72" s="710"/>
      <c r="AP72" s="711"/>
    </row>
    <row r="73" spans="1:42" ht="8.25" customHeight="1">
      <c r="A73" s="712"/>
      <c r="B73" s="608"/>
      <c r="C73" s="608"/>
      <c r="D73" s="608"/>
      <c r="E73" s="608"/>
      <c r="F73" s="713"/>
      <c r="G73" s="608"/>
      <c r="H73" s="608"/>
      <c r="I73" s="713"/>
      <c r="J73" s="608"/>
      <c r="K73" s="608"/>
      <c r="L73" s="608"/>
      <c r="M73" s="608"/>
      <c r="N73" s="713"/>
      <c r="O73" s="713"/>
      <c r="P73" s="713"/>
      <c r="Q73" s="608"/>
      <c r="R73" s="608"/>
      <c r="S73" s="608"/>
      <c r="T73" s="608"/>
      <c r="U73" s="608"/>
      <c r="V73" s="608"/>
      <c r="W73" s="608"/>
      <c r="X73" s="608"/>
      <c r="Y73" s="608"/>
      <c r="Z73" s="608"/>
      <c r="AA73" s="608"/>
      <c r="AB73" s="707"/>
      <c r="AC73" s="608"/>
      <c r="AD73" s="694"/>
      <c r="AE73" s="704"/>
      <c r="AF73" s="704"/>
    </row>
    <row r="74">
      <c r="A74" s="945" t="s">
        <v>48</v>
      </c>
      <c r="B74" s="680"/>
      <c r="C74" s="680"/>
      <c r="D74" s="680"/>
      <c r="E74" s="1261"/>
      <c r="F74" s="1483"/>
      <c r="G74" s="1483"/>
      <c r="H74" s="1483"/>
      <c r="I74" s="1483"/>
      <c r="J74" s="1483"/>
      <c r="K74" s="1483"/>
      <c r="L74" s="1483"/>
      <c r="M74" s="1483"/>
      <c r="N74" s="1483"/>
      <c r="O74" s="1483"/>
      <c r="P74" s="1483"/>
      <c r="Q74" s="1483"/>
      <c r="R74" s="1483"/>
      <c r="S74" s="1483"/>
      <c r="T74" s="1483"/>
      <c r="U74" s="1483"/>
      <c r="V74" s="1483"/>
      <c r="W74" s="1483"/>
      <c r="X74" s="1483"/>
      <c r="Y74" s="1483"/>
      <c r="Z74" s="1483"/>
      <c r="AA74" s="1484"/>
      <c r="AB74" s="681"/>
      <c r="AC74" s="682"/>
    </row>
    <row r="75" spans="1:42">
      <c r="A75" s="683"/>
      <c r="B75" s="680"/>
      <c r="C75" s="680"/>
      <c r="D75" s="680"/>
      <c r="E75" s="1485"/>
      <c r="F75" s="1486"/>
      <c r="G75" s="1486"/>
      <c r="H75" s="1486"/>
      <c r="I75" s="1486"/>
      <c r="J75" s="1486"/>
      <c r="K75" s="1486"/>
      <c r="L75" s="1486"/>
      <c r="M75" s="1486"/>
      <c r="N75" s="1486"/>
      <c r="O75" s="1486"/>
      <c r="P75" s="1486"/>
      <c r="Q75" s="1486"/>
      <c r="R75" s="1486"/>
      <c r="S75" s="1486"/>
      <c r="T75" s="1486"/>
      <c r="U75" s="1486"/>
      <c r="V75" s="1486"/>
      <c r="W75" s="1486"/>
      <c r="X75" s="1486"/>
      <c r="Y75" s="1486"/>
      <c r="Z75" s="1486"/>
      <c r="AA75" s="1487"/>
      <c r="AB75" s="681"/>
      <c r="AC75" s="682"/>
    </row>
    <row r="76" spans="1:42" ht="4.5" customHeight="1">
      <c r="A76" s="683"/>
      <c r="B76" s="680"/>
      <c r="C76" s="680"/>
      <c r="D76" s="680"/>
      <c r="E76" s="680"/>
      <c r="F76" s="680"/>
      <c r="G76" s="680"/>
      <c r="H76" s="680"/>
      <c r="I76" s="680"/>
      <c r="J76" s="680"/>
      <c r="K76" s="680"/>
      <c r="L76" s="680"/>
      <c r="M76" s="680"/>
      <c r="N76" s="680"/>
      <c r="O76" s="680"/>
      <c r="P76" s="680"/>
      <c r="Q76" s="680"/>
      <c r="R76" s="680"/>
      <c r="S76" s="680"/>
      <c r="T76" s="680"/>
      <c r="U76" s="680"/>
      <c r="V76" s="680"/>
      <c r="W76" s="680"/>
      <c r="X76" s="680"/>
      <c r="Y76" s="680"/>
      <c r="Z76" s="680"/>
      <c r="AA76" s="680"/>
      <c r="AB76" s="681"/>
      <c r="AC76" s="682"/>
    </row>
    <row r="77" spans="1:42" ht="11.25" customHeight="1" thickBot="1">
      <c r="A77" s="676"/>
      <c r="B77" s="443"/>
      <c r="C77" s="443"/>
      <c r="D77" s="443"/>
      <c r="AB77" s="212"/>
    </row>
    <row r="78" spans="1:42" ht="18">
      <c r="A78" s="676"/>
      <c r="B78" s="1635" t="s">
        <v>1127</v>
      </c>
      <c r="C78" s="1636"/>
      <c r="D78" s="1636"/>
      <c r="E78" s="1636"/>
      <c r="F78" s="1636"/>
      <c r="G78" s="1636"/>
      <c r="H78" s="1636"/>
      <c r="I78" s="1636"/>
      <c r="J78" s="1636"/>
      <c r="K78" s="1636"/>
      <c r="L78" s="1636"/>
      <c r="M78" s="1636"/>
      <c r="N78" s="1636"/>
      <c r="O78" s="1636"/>
      <c r="P78" s="1636"/>
      <c r="Q78" s="1636"/>
      <c r="R78" s="1637"/>
      <c r="AB78" s="212"/>
    </row>
    <row r="79" spans="1:42">
      <c r="A79" s="676"/>
      <c r="B79" s="1666" t="s">
        <v>991</v>
      </c>
      <c r="C79" s="1617"/>
      <c r="D79" s="1617"/>
      <c r="E79" s="1617"/>
      <c r="F79" s="1617"/>
      <c r="G79" s="1617"/>
      <c r="H79" s="1617"/>
      <c r="I79" s="1617"/>
      <c r="J79" s="1617"/>
      <c r="K79" s="1617"/>
      <c r="L79" s="1618"/>
      <c r="M79" s="1616" t="s">
        <v>1012</v>
      </c>
      <c r="N79" s="1617"/>
      <c r="O79" s="1618"/>
      <c r="P79" s="948" t="s">
        <v>19</v>
      </c>
      <c r="Q79" s="949" t="s">
        <v>1066</v>
      </c>
      <c r="R79" s="950"/>
      <c r="AB79" s="212"/>
    </row>
    <row r="80">
      <c r="A80" s="676"/>
      <c r="B80" s="1667">
        <f>"Debitur: "&amp;AG56&amp;"-"&amp;AG57&amp;"-"&amp;AG58&amp;"-"&amp;AG59&amp;"-"&amp;AG60</f>
      </c>
      <c r="C80" s="1668"/>
      <c r="D80" s="1668"/>
      <c r="E80" s="1668"/>
      <c r="F80" s="1668"/>
      <c r="G80" s="1668"/>
      <c r="H80" s="1668"/>
      <c r="I80" s="1668"/>
      <c r="J80" s="1668"/>
      <c r="K80" s="1668"/>
      <c r="L80" s="1668"/>
      <c r="M80" s="1644">
        <f>AF61</f>
      </c>
      <c r="N80" s="1644"/>
      <c r="O80" s="1644"/>
      <c r="P80" s="1498"/>
      <c r="Q80" s="1499"/>
      <c r="R80" s="1671"/>
      <c r="AB80" s="212"/>
    </row>
    <row r="81">
      <c r="A81" s="676"/>
      <c r="B81" s="1667">
        <f>"Debitur: "&amp;AG67&amp;"-"&amp;AG68&amp;"-"&amp;AG69&amp;"-"&amp;AG70&amp;"-"&amp;AG71</f>
      </c>
      <c r="C81" s="1668"/>
      <c r="D81" s="1668"/>
      <c r="E81" s="1668"/>
      <c r="F81" s="1668"/>
      <c r="G81" s="1668"/>
      <c r="H81" s="1668"/>
      <c r="I81" s="1668"/>
      <c r="J81" s="1668"/>
      <c r="K81" s="1668"/>
      <c r="L81" s="1668"/>
      <c r="M81" s="1644">
        <f ca="1">AF72</f>
      </c>
      <c r="N81" s="1644"/>
      <c r="O81" s="1644"/>
      <c r="P81" s="1498"/>
      <c r="Q81" s="1499"/>
      <c r="R81" s="1671"/>
      <c r="AB81" s="212"/>
    </row>
    <row r="82" spans="1:31">
      <c r="A82" s="676"/>
      <c r="B82" s="1663"/>
      <c r="C82" s="1664"/>
      <c r="D82" s="1664"/>
      <c r="E82" s="1664"/>
      <c r="F82" s="1664"/>
      <c r="G82" s="1664"/>
      <c r="H82" s="1664"/>
      <c r="I82" s="1664"/>
      <c r="J82" s="1664"/>
      <c r="K82" s="1664"/>
      <c r="L82" s="1665"/>
      <c r="M82" s="1662"/>
      <c r="N82" s="1662"/>
      <c r="O82" s="1662"/>
      <c r="P82" s="267"/>
      <c r="Q82" s="267"/>
      <c r="R82" s="373"/>
      <c r="AB82" s="212"/>
    </row>
    <row r="83" spans="1:31" ht="15" thickBot="1">
      <c r="A83" s="714"/>
      <c r="B83" s="1639" t="s">
        <v>1128</v>
      </c>
      <c r="C83" s="1640"/>
      <c r="D83" s="1640"/>
      <c r="E83" s="1640"/>
      <c r="F83" s="1640"/>
      <c r="G83" s="1640"/>
      <c r="H83" s="1640"/>
      <c r="I83" s="1640"/>
      <c r="J83" s="1640"/>
      <c r="K83" s="1640"/>
      <c r="L83" s="1640"/>
      <c r="M83" s="1641">
        <f ca="1">M80+P80+M81+P81</f>
      </c>
      <c r="N83" s="1642"/>
      <c r="O83" s="1642"/>
      <c r="P83" s="1642"/>
      <c r="Q83" s="1642"/>
      <c r="R83" s="1643"/>
      <c r="S83" s="172"/>
      <c r="T83" s="172"/>
      <c r="U83" s="172"/>
      <c r="V83" s="172"/>
      <c r="W83" s="172"/>
      <c r="X83" s="172"/>
      <c r="Y83" s="172"/>
      <c r="Z83" s="172"/>
      <c r="AA83" s="172"/>
      <c r="AB83" s="715"/>
      <c r="AC83" s="172"/>
    </row>
    <row r="84" spans="1:31">
      <c r="A84" s="714"/>
      <c r="B84" s="716"/>
      <c r="C84" s="716"/>
      <c r="D84" s="716"/>
      <c r="E84" s="716"/>
      <c r="F84" s="716"/>
      <c r="G84" s="717"/>
      <c r="H84" s="717"/>
      <c r="I84" s="717"/>
      <c r="J84" s="717"/>
      <c r="K84" s="718"/>
      <c r="L84" s="718"/>
      <c r="M84" s="718"/>
      <c r="N84" s="718"/>
      <c r="O84" s="717"/>
      <c r="P84" s="717"/>
      <c r="Q84" s="717"/>
      <c r="R84" s="717"/>
      <c r="S84" s="172"/>
      <c r="T84" s="172"/>
      <c r="U84" s="172"/>
      <c r="V84" s="172"/>
      <c r="W84" s="172"/>
      <c r="X84" s="172"/>
      <c r="Y84" s="172"/>
      <c r="Z84" s="172"/>
      <c r="AA84" s="172"/>
      <c r="AB84" s="715"/>
      <c r="AC84" s="172"/>
    </row>
    <row r="85" spans="1:31" ht="18">
      <c r="A85" s="1495" t="s">
        <v>899</v>
      </c>
      <c r="B85" s="1496"/>
      <c r="C85" s="1496"/>
      <c r="D85" s="1496"/>
      <c r="E85" s="1496"/>
      <c r="F85" s="1496"/>
      <c r="G85" s="1496"/>
      <c r="H85" s="1496"/>
      <c r="I85" s="1496"/>
      <c r="J85" s="1496"/>
      <c r="K85" s="1496"/>
      <c r="L85" s="1496"/>
      <c r="M85" s="1496"/>
      <c r="N85" s="1496"/>
      <c r="O85" s="1496"/>
      <c r="P85" s="1496"/>
      <c r="Q85" s="1496"/>
      <c r="R85" s="1496"/>
      <c r="S85" s="1496"/>
      <c r="T85" s="1496"/>
      <c r="U85" s="1496"/>
      <c r="V85" s="1496"/>
      <c r="W85" s="1496"/>
      <c r="X85" s="1496"/>
      <c r="Y85" s="1496"/>
      <c r="Z85" s="1496"/>
      <c r="AA85" s="1496"/>
      <c r="AB85" s="1497"/>
      <c r="AC85" s="687"/>
    </row>
    <row r="86" spans="1:31" ht="12" customHeight="1">
      <c r="A86" s="224"/>
      <c r="AB86" s="212"/>
    </row>
    <row r="87" spans="1:31">
      <c r="A87" s="712">
        <v>1</v>
      </c>
      <c r="B87" s="589" t="s">
        <v>15</v>
      </c>
      <c r="C87" s="589"/>
      <c r="AB87" s="212"/>
    </row>
    <row r="88" ht="15" customHeight="1">
      <c r="A88" s="712"/>
      <c r="B88" s="1494" t="s">
        <v>1070</v>
      </c>
      <c r="C88" s="1494"/>
      <c r="D88" s="1494"/>
      <c r="E88" s="1494"/>
      <c r="F88" s="1494"/>
      <c r="G88" s="1494"/>
      <c r="H88" s="1494"/>
      <c r="I88" s="1494"/>
      <c r="J88" s="1494"/>
      <c r="K88" s="214" t="s">
        <v>0</v>
      </c>
      <c r="L88" s="1493"/>
      <c r="M88" s="1493"/>
      <c r="AB88" s="212"/>
      <c r="AD88" s="719"/>
      <c r="AE88" s="720"/>
    </row>
    <row r="89" spans="1:31">
      <c r="A89" s="712"/>
      <c r="B89" s="589"/>
      <c r="C89" s="589"/>
      <c r="U89" s="188"/>
      <c r="AB89" s="212"/>
      <c r="AD89" s="721"/>
    </row>
    <row r="90" spans="1:31">
      <c r="A90" s="712"/>
      <c r="B90" s="1513" t="s">
        <v>10</v>
      </c>
      <c r="C90" s="1513" t="s">
        <v>1013</v>
      </c>
      <c r="D90" s="1513"/>
      <c r="E90" s="1513"/>
      <c r="F90" s="1513"/>
      <c r="G90" s="1513"/>
      <c r="H90" s="1585" t="s">
        <v>400</v>
      </c>
      <c r="I90" s="1586"/>
      <c r="J90" s="1586"/>
      <c r="K90" s="1586"/>
      <c r="L90" s="1586"/>
      <c r="M90" s="1586"/>
      <c r="N90" s="1587"/>
      <c r="O90" s="1513" t="s">
        <v>401</v>
      </c>
      <c r="P90" s="1513"/>
      <c r="Q90" s="1513"/>
      <c r="R90" s="1513"/>
      <c r="S90" s="1513"/>
      <c r="T90" s="1513"/>
      <c r="U90" s="1513"/>
      <c r="V90" s="1513" t="s">
        <v>402</v>
      </c>
      <c r="W90" s="1513"/>
      <c r="X90" s="1513"/>
      <c r="Y90" s="1513"/>
      <c r="Z90" s="1513"/>
      <c r="AA90" s="1513"/>
      <c r="AB90" s="1581"/>
      <c r="AC90" s="722"/>
    </row>
    <row r="91" spans="1:31">
      <c r="A91" s="213"/>
      <c r="B91" s="1513"/>
      <c r="C91" s="1513"/>
      <c r="D91" s="1513"/>
      <c r="E91" s="1513"/>
      <c r="F91" s="1513"/>
      <c r="G91" s="1513"/>
      <c r="H91" s="951" t="s">
        <v>1014</v>
      </c>
      <c r="I91" s="1582" t="s">
        <v>1015</v>
      </c>
      <c r="J91" s="1582"/>
      <c r="K91" s="1582"/>
      <c r="L91" s="1646" t="s">
        <v>1016</v>
      </c>
      <c r="M91" s="1647"/>
      <c r="N91" s="1648"/>
      <c r="O91" s="953" t="s">
        <v>1014</v>
      </c>
      <c r="P91" s="1582" t="s">
        <v>1015</v>
      </c>
      <c r="Q91" s="1582"/>
      <c r="R91" s="1582"/>
      <c r="S91" s="1582" t="s">
        <v>1016</v>
      </c>
      <c r="T91" s="1582"/>
      <c r="U91" s="1582"/>
      <c r="V91" s="951" t="s">
        <v>1014</v>
      </c>
      <c r="W91" s="1582" t="s">
        <v>1015</v>
      </c>
      <c r="X91" s="1582"/>
      <c r="Y91" s="1582"/>
      <c r="Z91" s="1582" t="s">
        <v>1016</v>
      </c>
      <c r="AA91" s="1582"/>
      <c r="AB91" s="1638"/>
      <c r="AC91" s="723"/>
    </row>
    <row r="92" ht="27" customHeight="1" thickBot="1">
      <c r="A92" s="213"/>
      <c r="B92" s="670">
        <v>1</v>
      </c>
      <c r="C92" s="1589"/>
      <c r="D92" s="1589"/>
      <c r="E92" s="1589"/>
      <c r="F92" s="1589"/>
      <c r="G92" s="1589"/>
      <c r="H92" s="441"/>
      <c r="I92" s="1451"/>
      <c r="J92" s="1451"/>
      <c r="K92" s="1451"/>
      <c r="L92" s="1502">
        <f>H92*I92</f>
      </c>
      <c r="M92" s="1503"/>
      <c r="N92" s="1504"/>
      <c r="O92" s="441"/>
      <c r="P92" s="1451"/>
      <c r="Q92" s="1451"/>
      <c r="R92" s="1451"/>
      <c r="S92" s="1502">
        <f>O92*P92</f>
      </c>
      <c r="T92" s="1503"/>
      <c r="U92" s="1504"/>
      <c r="V92" s="441"/>
      <c r="W92" s="1451"/>
      <c r="X92" s="1451"/>
      <c r="Y92" s="1451"/>
      <c r="Z92" s="1502">
        <f>V92*W92</f>
      </c>
      <c r="AA92" s="1503"/>
      <c r="AB92" s="1628"/>
      <c r="AC92" s="460"/>
    </row>
    <row r="93" ht="26.25" hidden="1" customHeight="1" thickBot="1">
      <c r="A93" s="213"/>
      <c r="B93" s="669">
        <v>2</v>
      </c>
      <c r="C93" s="1661"/>
      <c r="D93" s="1509"/>
      <c r="E93" s="1509"/>
      <c r="F93" s="1509"/>
      <c r="G93" s="1509"/>
      <c r="H93" s="442"/>
      <c r="I93" s="1509"/>
      <c r="J93" s="1509"/>
      <c r="K93" s="1509"/>
      <c r="L93" s="1506">
        <v>0</v>
      </c>
      <c r="M93" s="1507"/>
      <c r="N93" s="1508"/>
      <c r="O93" s="442"/>
      <c r="P93" s="1509"/>
      <c r="Q93" s="1509"/>
      <c r="R93" s="1509"/>
      <c r="S93" s="1506">
        <v>0</v>
      </c>
      <c r="T93" s="1507"/>
      <c r="U93" s="1508"/>
      <c r="V93" s="442"/>
      <c r="W93" s="1509"/>
      <c r="X93" s="1509"/>
      <c r="Y93" s="1509"/>
      <c r="Z93" s="1629">
        <v>0</v>
      </c>
      <c r="AA93" s="1630"/>
      <c r="AB93" s="1631"/>
      <c r="AC93" s="460"/>
    </row>
    <row r="94" spans="1:31" ht="15" thickBot="1">
      <c r="A94" s="213"/>
      <c r="B94" s="1517" t="s">
        <v>6</v>
      </c>
      <c r="C94" s="1518"/>
      <c r="D94" s="1518"/>
      <c r="E94" s="1518"/>
      <c r="F94" s="1518"/>
      <c r="G94" s="1518"/>
      <c r="H94" s="954">
        <f>AVERAGE(H92:H93)</f>
      </c>
      <c r="I94" s="1518">
        <f>SUM(I92:K93)</f>
      </c>
      <c r="J94" s="1518"/>
      <c r="K94" s="1518"/>
      <c r="L94" s="1514">
        <f>SUM(L92:N93)</f>
      </c>
      <c r="M94" s="1515"/>
      <c r="N94" s="1516"/>
      <c r="O94" s="955">
        <f>AVERAGE(O92:O93)</f>
      </c>
      <c r="P94" s="1518">
        <f>SUM(P92:R93)</f>
      </c>
      <c r="Q94" s="1518"/>
      <c r="R94" s="1518"/>
      <c r="S94" s="1518">
        <f>SUM(S92:U93)</f>
      </c>
      <c r="T94" s="1518"/>
      <c r="U94" s="1518"/>
      <c r="V94" s="954">
        <f>AVERAGE(V92:V93)</f>
      </c>
      <c r="W94" s="1518">
        <f>SUM(W92:Y93)</f>
      </c>
      <c r="X94" s="1518"/>
      <c r="Y94" s="1518"/>
      <c r="Z94" s="1518">
        <f>SUM(Z92:AB93)</f>
      </c>
      <c r="AA94" s="1518"/>
      <c r="AB94" s="1634"/>
      <c r="AC94" s="722"/>
    </row>
    <row r="95" spans="1:31" ht="5.25" customHeight="1">
      <c r="A95" s="213"/>
      <c r="B95" s="724"/>
      <c r="C95" s="724"/>
      <c r="D95" s="724"/>
      <c r="E95" s="724"/>
      <c r="F95" s="724"/>
      <c r="G95" s="724"/>
      <c r="H95" s="725"/>
      <c r="I95" s="724"/>
      <c r="J95" s="724"/>
      <c r="K95" s="724"/>
      <c r="L95" s="460"/>
      <c r="M95" s="460"/>
      <c r="N95" s="460"/>
      <c r="O95" s="725"/>
      <c r="P95" s="724"/>
      <c r="Q95" s="724"/>
      <c r="R95" s="724"/>
      <c r="S95" s="460"/>
      <c r="T95" s="460"/>
      <c r="U95" s="460"/>
      <c r="V95" s="725"/>
      <c r="W95" s="724"/>
      <c r="X95" s="724"/>
      <c r="Y95" s="724"/>
      <c r="Z95" s="460"/>
      <c r="AA95" s="460"/>
      <c r="AB95" s="726"/>
      <c r="AC95" s="460"/>
    </row>
    <row r="96" spans="1:31" ht="6" customHeight="1">
      <c r="A96" s="213"/>
      <c r="B96" s="724"/>
      <c r="C96" s="724"/>
      <c r="D96" s="724"/>
      <c r="E96" s="724"/>
      <c r="F96" s="724"/>
      <c r="G96" s="724"/>
      <c r="H96" s="725"/>
      <c r="I96" s="724"/>
      <c r="J96" s="724"/>
      <c r="K96" s="724"/>
      <c r="L96" s="460"/>
      <c r="M96" s="460"/>
      <c r="N96" s="460"/>
      <c r="O96" s="725"/>
      <c r="P96" s="724"/>
      <c r="Q96" s="724"/>
      <c r="R96" s="724"/>
      <c r="S96" s="460"/>
      <c r="T96" s="460"/>
      <c r="U96" s="460"/>
      <c r="V96" s="725"/>
      <c r="W96" s="724"/>
      <c r="X96" s="724"/>
      <c r="Y96" s="724"/>
      <c r="Z96" s="460"/>
      <c r="AA96" s="460"/>
      <c r="AB96" s="726"/>
      <c r="AC96" s="460"/>
    </row>
    <row r="97" spans="1:29" ht="8.25" customHeight="1">
      <c r="A97" s="213"/>
      <c r="B97" s="724"/>
      <c r="C97" s="724"/>
      <c r="D97" s="724"/>
      <c r="E97" s="724"/>
      <c r="F97" s="724"/>
      <c r="G97" s="724"/>
      <c r="H97" s="725"/>
      <c r="I97" s="724"/>
      <c r="J97" s="724"/>
      <c r="K97" s="724"/>
      <c r="L97" s="460"/>
      <c r="M97" s="460"/>
      <c r="N97" s="460"/>
      <c r="O97" s="725"/>
      <c r="P97" s="724"/>
      <c r="Q97" s="724"/>
      <c r="R97" s="724"/>
      <c r="S97" s="460"/>
      <c r="T97" s="460"/>
      <c r="U97" s="460"/>
      <c r="V97" s="725"/>
      <c r="W97" s="724"/>
      <c r="X97" s="724"/>
      <c r="Y97" s="724"/>
      <c r="Z97" s="460"/>
      <c r="AA97" s="460"/>
      <c r="AB97" s="726"/>
      <c r="AC97" s="460"/>
    </row>
    <row r="98" spans="1:29" ht="15" customHeight="1">
      <c r="A98" s="213"/>
      <c r="B98" s="1513" t="s">
        <v>10</v>
      </c>
      <c r="C98" s="1513" t="s">
        <v>1017</v>
      </c>
      <c r="D98" s="1513"/>
      <c r="E98" s="1513"/>
      <c r="F98" s="1513"/>
      <c r="G98" s="1513"/>
      <c r="H98" s="1585" t="s">
        <v>601</v>
      </c>
      <c r="I98" s="1586"/>
      <c r="J98" s="1586"/>
      <c r="K98" s="1586"/>
      <c r="L98" s="1586"/>
      <c r="M98" s="1586"/>
      <c r="N98" s="1587"/>
      <c r="O98" s="1582" t="s">
        <v>31</v>
      </c>
      <c r="P98" s="1582"/>
      <c r="Q98" s="1582"/>
      <c r="R98" s="1582"/>
      <c r="S98" s="1582"/>
      <c r="T98" s="727"/>
      <c r="U98" s="460"/>
      <c r="V98" s="725"/>
      <c r="W98" s="724"/>
      <c r="X98" s="724"/>
      <c r="Y98" s="724"/>
      <c r="Z98" s="460"/>
      <c r="AA98" s="460"/>
      <c r="AB98" s="726"/>
      <c r="AC98" s="460"/>
    </row>
    <row r="99" spans="1:29">
      <c r="A99" s="213"/>
      <c r="B99" s="1513"/>
      <c r="C99" s="1513"/>
      <c r="D99" s="1513"/>
      <c r="E99" s="1513"/>
      <c r="F99" s="1513"/>
      <c r="G99" s="1513"/>
      <c r="H99" s="951" t="s">
        <v>1018</v>
      </c>
      <c r="I99" s="1582" t="s">
        <v>1019</v>
      </c>
      <c r="J99" s="1582"/>
      <c r="K99" s="1582"/>
      <c r="L99" s="1646">
        <v>50</v>
      </c>
      <c r="M99" s="1647"/>
      <c r="N99" s="1648"/>
      <c r="O99" s="952" t="s">
        <v>1021</v>
      </c>
      <c r="P99" s="1513" t="s">
        <v>1020</v>
      </c>
      <c r="Q99" s="1513"/>
      <c r="R99" s="1513"/>
      <c r="S99" s="1513"/>
      <c r="T99" s="725"/>
      <c r="U99" s="460"/>
      <c r="V99" s="725"/>
      <c r="W99" s="724"/>
      <c r="X99" s="724"/>
      <c r="Y99" s="724"/>
      <c r="Z99" s="460"/>
      <c r="AA99" s="460"/>
      <c r="AB99" s="726"/>
      <c r="AC99" s="460"/>
    </row>
    <row r="100" ht="26.25" customHeight="1">
      <c r="A100" s="213"/>
      <c r="B100" s="670">
        <v>1</v>
      </c>
      <c r="C100" s="1459">
        <f>C92</f>
      </c>
      <c r="D100" s="1459"/>
      <c r="E100" s="1459"/>
      <c r="F100" s="1459"/>
      <c r="G100" s="1459"/>
      <c r="H100" s="775">
        <f>(H92+O92+V92)/3</f>
      </c>
      <c r="I100" s="1592">
        <f>(I92+P92+W92)/3</f>
      </c>
      <c r="J100" s="1593"/>
      <c r="K100" s="1594"/>
      <c r="L100" s="1592">
        <f>(L92+S92+Z92)/3</f>
      </c>
      <c r="M100" s="1593"/>
      <c r="N100" s="1594"/>
      <c r="O100" s="163"/>
      <c r="P100" s="1510">
        <f>L100*O100</f>
      </c>
      <c r="Q100" s="1511"/>
      <c r="R100" s="1511"/>
      <c r="S100" s="1512"/>
      <c r="T100" s="460"/>
      <c r="U100" s="188"/>
      <c r="V100" s="188"/>
      <c r="W100" s="188"/>
      <c r="X100" s="724"/>
      <c r="Y100" s="724"/>
      <c r="Z100" s="460"/>
      <c r="AA100" s="460"/>
      <c r="AB100" s="726"/>
      <c r="AC100" s="460"/>
    </row>
    <row r="101" ht="26.25" hidden="1" customHeight="1">
      <c r="A101" s="213"/>
      <c r="B101" s="670">
        <v>2</v>
      </c>
      <c r="C101" s="1459">
        <f>C93</f>
      </c>
      <c r="D101" s="1652"/>
      <c r="E101" s="1652"/>
      <c r="F101" s="1652"/>
      <c r="G101" s="1652"/>
      <c r="H101" s="775">
        <f>(H93+O93+V93)/3</f>
      </c>
      <c r="I101" s="1592">
        <f>(I93+P93+W93)/3</f>
      </c>
      <c r="J101" s="1593"/>
      <c r="K101" s="1594"/>
      <c r="L101" s="1592">
        <f>(L93+S93+Z93)/3</f>
      </c>
      <c r="M101" s="1593"/>
      <c r="N101" s="1594"/>
      <c r="O101" s="163"/>
      <c r="P101" s="1510">
        <f t="shared" ref="P101" si="21">L101*O101</f>
      </c>
      <c r="Q101" s="1511"/>
      <c r="R101" s="1511"/>
      <c r="S101" s="1512"/>
      <c r="T101" s="460"/>
      <c r="U101" s="725" t="s">
        <v>1182</v>
      </c>
      <c r="V101" s="188"/>
      <c r="W101" s="188"/>
      <c r="X101" s="724"/>
      <c r="Y101" s="724"/>
      <c r="Z101" s="460"/>
      <c r="AA101" s="460"/>
      <c r="AB101" s="726"/>
      <c r="AC101" s="460"/>
    </row>
    <row r="102" spans="1:29">
      <c r="A102" s="213"/>
      <c r="B102" s="1656" t="s">
        <v>6</v>
      </c>
      <c r="C102" s="1656"/>
      <c r="D102" s="1656"/>
      <c r="E102" s="1656"/>
      <c r="F102" s="1656"/>
      <c r="G102" s="1656"/>
      <c r="H102" s="781">
        <f>AVERAGE(H100:H101)</f>
      </c>
      <c r="I102" s="1656">
        <f>SUM(I100:K101)</f>
      </c>
      <c r="J102" s="1656"/>
      <c r="K102" s="1656"/>
      <c r="L102" s="1653">
        <f>SUM(L100:N101)</f>
      </c>
      <c r="M102" s="1654"/>
      <c r="N102" s="1655"/>
      <c r="O102" s="782">
        <f>AVERAGE(O100:O101)</f>
      </c>
      <c r="P102" s="1653">
        <f>SUM(P100:S101)</f>
      </c>
      <c r="Q102" s="1654"/>
      <c r="R102" s="1654"/>
      <c r="S102" s="1655"/>
      <c r="T102" s="460"/>
      <c r="U102" s="188"/>
      <c r="V102" s="188"/>
      <c r="W102" s="188"/>
      <c r="X102" s="724"/>
      <c r="Y102" s="724"/>
      <c r="Z102" s="460"/>
      <c r="AA102" s="460"/>
      <c r="AB102" s="726"/>
      <c r="AC102" s="460"/>
    </row>
    <row r="103" spans="1:29">
      <c r="A103" s="213"/>
      <c r="B103" s="171"/>
      <c r="C103" s="443"/>
      <c r="D103" s="443"/>
      <c r="E103" s="443"/>
      <c r="F103" s="443"/>
      <c r="G103" s="172"/>
      <c r="H103" s="172"/>
      <c r="U103" s="1501"/>
      <c r="V103" s="1501"/>
      <c r="W103" s="1501"/>
      <c r="AB103" s="212"/>
    </row>
    <row r="104" spans="1:29">
      <c r="A104" s="213"/>
      <c r="B104" s="1494" t="s">
        <v>1022</v>
      </c>
      <c r="C104" s="1494"/>
      <c r="D104" s="1494"/>
      <c r="E104" s="1494"/>
      <c r="F104" s="1494"/>
      <c r="G104" s="1494"/>
      <c r="H104" s="1494"/>
      <c r="I104" s="1494"/>
      <c r="J104" s="1494"/>
      <c r="L104" s="214" t="s">
        <v>0</v>
      </c>
      <c r="M104" s="1505">
        <f>(L94+S94+Z94)/3</f>
      </c>
      <c r="N104" s="1505"/>
      <c r="O104" s="1505"/>
      <c r="P104" s="728"/>
      <c r="AB104" s="212"/>
    </row>
    <row r="105" spans="1:29">
      <c r="A105" s="213"/>
      <c r="B105" s="956" t="s">
        <v>1023</v>
      </c>
      <c r="C105" s="956"/>
      <c r="D105" s="956"/>
      <c r="E105" s="956"/>
      <c r="F105" s="956"/>
      <c r="G105" s="956"/>
      <c r="H105" s="956"/>
      <c r="I105" s="956"/>
      <c r="J105" s="956"/>
      <c r="L105" s="214" t="s">
        <v>0</v>
      </c>
      <c r="M105" s="1505">
        <f>M104*L88</f>
      </c>
      <c r="N105" s="1505"/>
      <c r="O105" s="1505"/>
      <c r="P105" s="728"/>
      <c r="AB105" s="212"/>
    </row>
    <row r="106" spans="1:29">
      <c r="A106" s="213"/>
      <c r="B106" s="956" t="s">
        <v>1024</v>
      </c>
      <c r="C106" s="956"/>
      <c r="D106" s="956"/>
      <c r="E106" s="956"/>
      <c r="F106" s="956"/>
      <c r="G106" s="956"/>
      <c r="H106" s="956"/>
      <c r="I106" s="956"/>
      <c r="J106" s="956"/>
      <c r="L106" s="214" t="s">
        <v>0</v>
      </c>
      <c r="M106" s="1505">
        <f>M104-M105</f>
      </c>
      <c r="N106" s="1505"/>
      <c r="O106" s="1505"/>
      <c r="P106" s="728"/>
      <c r="AB106" s="212"/>
    </row>
    <row r="107" spans="1:29" ht="15" thickBot="1">
      <c r="A107" s="233"/>
      <c r="B107" s="729"/>
      <c r="C107" s="729"/>
      <c r="D107" s="729"/>
      <c r="E107" s="729"/>
      <c r="F107" s="729"/>
      <c r="G107" s="729"/>
      <c r="H107" s="729"/>
      <c r="I107" s="729"/>
      <c r="J107" s="729"/>
      <c r="K107" s="729"/>
      <c r="L107" s="730"/>
      <c r="M107" s="730"/>
      <c r="N107" s="730"/>
      <c r="O107" s="730"/>
      <c r="P107" s="730"/>
      <c r="Q107" s="231"/>
      <c r="R107" s="231"/>
      <c r="S107" s="231"/>
      <c r="T107" s="231"/>
      <c r="U107" s="231"/>
      <c r="V107" s="231"/>
      <c r="W107" s="231"/>
      <c r="X107" s="231"/>
      <c r="Y107" s="231"/>
      <c r="Z107" s="231"/>
      <c r="AA107" s="231"/>
      <c r="AB107" s="232"/>
    </row>
    <row r="108" spans="1:29" ht="18">
      <c r="A108" s="1495" t="s">
        <v>900</v>
      </c>
      <c r="B108" s="1496"/>
      <c r="C108" s="1496"/>
      <c r="D108" s="1496"/>
      <c r="E108" s="1496"/>
      <c r="F108" s="1496"/>
      <c r="G108" s="1496"/>
      <c r="H108" s="1496"/>
      <c r="I108" s="1496"/>
      <c r="J108" s="1496"/>
      <c r="K108" s="1496"/>
      <c r="L108" s="1496"/>
      <c r="M108" s="1496"/>
      <c r="N108" s="1496"/>
      <c r="O108" s="1496"/>
      <c r="P108" s="1496"/>
      <c r="Q108" s="1496"/>
      <c r="R108" s="1496"/>
      <c r="S108" s="1496"/>
      <c r="T108" s="1496"/>
      <c r="U108" s="1496"/>
      <c r="V108" s="1496"/>
      <c r="W108" s="1496"/>
      <c r="X108" s="1496"/>
      <c r="Y108" s="1496"/>
      <c r="Z108" s="1496"/>
      <c r="AA108" s="1496"/>
      <c r="AB108" s="1497"/>
      <c r="AC108" s="687"/>
    </row>
    <row r="109" spans="1:29" ht="6.75" customHeight="1">
      <c r="A109" s="213"/>
      <c r="B109" s="171"/>
      <c r="C109" s="443"/>
      <c r="D109" s="443"/>
      <c r="E109" s="443"/>
      <c r="F109" s="443"/>
      <c r="G109" s="172"/>
      <c r="H109" s="172"/>
      <c r="AB109" s="212"/>
    </row>
    <row r="110">
      <c r="A110" s="213"/>
      <c r="B110" s="214"/>
      <c r="C110" s="957" t="s">
        <v>1025</v>
      </c>
      <c r="D110" s="425"/>
      <c r="E110" s="425"/>
      <c r="F110" s="425"/>
      <c r="G110" s="425"/>
      <c r="H110" s="425"/>
      <c r="I110" s="425"/>
      <c r="J110" s="425"/>
      <c r="K110" s="426"/>
      <c r="L110" s="215" t="s">
        <v>0</v>
      </c>
      <c r="M110" s="174"/>
      <c r="N110" s="464"/>
      <c r="O110" s="464"/>
      <c r="P110" s="464"/>
      <c r="Q110" s="464"/>
      <c r="AB110" s="212"/>
    </row>
    <row r="111">
      <c r="A111" s="213"/>
      <c r="B111" s="214"/>
      <c r="C111" s="427" t="s">
        <v>1026</v>
      </c>
      <c r="D111" s="214"/>
      <c r="E111" s="214"/>
      <c r="F111" s="214"/>
      <c r="G111" s="214"/>
      <c r="H111" s="214"/>
      <c r="I111" s="214"/>
      <c r="J111" s="214"/>
      <c r="K111" s="428"/>
      <c r="L111" s="215" t="s">
        <v>0</v>
      </c>
      <c r="M111" s="1498"/>
      <c r="N111" s="1499"/>
      <c r="O111" s="1500"/>
      <c r="P111" s="464"/>
      <c r="Q111" s="464"/>
      <c r="AB111" s="212"/>
    </row>
    <row r="112" spans="1:29">
      <c r="A112" s="213"/>
      <c r="B112" s="214"/>
      <c r="C112" s="737"/>
      <c r="D112" s="214"/>
      <c r="E112" s="214"/>
      <c r="F112" s="214"/>
      <c r="G112" s="214"/>
      <c r="H112" s="214"/>
      <c r="I112" s="214"/>
      <c r="J112" s="214"/>
      <c r="K112" s="428"/>
      <c r="L112" s="214"/>
      <c r="M112" s="57"/>
      <c r="N112" s="57"/>
      <c r="O112" s="57"/>
      <c r="P112" s="57"/>
      <c r="Q112" s="57"/>
      <c r="AB112" s="212"/>
    </row>
    <row r="113">
      <c r="A113" s="213"/>
      <c r="B113" s="214"/>
      <c r="C113" s="427" t="s">
        <v>1027</v>
      </c>
      <c r="D113" s="214"/>
      <c r="E113" s="214"/>
      <c r="F113" s="214"/>
      <c r="G113" s="214"/>
      <c r="H113" s="214"/>
      <c r="I113" s="214"/>
      <c r="J113" s="214"/>
      <c r="K113" s="428"/>
      <c r="L113" s="215" t="s">
        <v>0</v>
      </c>
      <c r="M113" s="174"/>
      <c r="N113" s="464"/>
      <c r="O113" s="464"/>
      <c r="P113" s="464"/>
      <c r="Q113" s="464"/>
      <c r="AB113" s="212"/>
    </row>
    <row r="114">
      <c r="A114" s="213"/>
      <c r="B114" s="214"/>
      <c r="C114" s="427" t="s">
        <v>1028</v>
      </c>
      <c r="D114" s="214"/>
      <c r="E114" s="214"/>
      <c r="F114" s="214"/>
      <c r="G114" s="214"/>
      <c r="H114" s="214"/>
      <c r="I114" s="214"/>
      <c r="J114" s="214"/>
      <c r="K114" s="428"/>
      <c r="L114" s="215" t="s">
        <v>0</v>
      </c>
      <c r="M114" s="1498"/>
      <c r="N114" s="1499"/>
      <c r="O114" s="1500"/>
      <c r="P114" s="464"/>
      <c r="Q114" s="464"/>
      <c r="AB114" s="212"/>
    </row>
    <row r="115" spans="1:42">
      <c r="A115" s="213"/>
      <c r="B115" s="214"/>
      <c r="C115" s="737"/>
      <c r="D115" s="214"/>
      <c r="E115" s="214"/>
      <c r="F115" s="214"/>
      <c r="G115" s="214"/>
      <c r="H115" s="214"/>
      <c r="I115" s="214"/>
      <c r="J115" s="214"/>
      <c r="K115" s="428"/>
      <c r="L115" s="214"/>
      <c r="M115" s="57"/>
      <c r="N115" s="57"/>
      <c r="O115" s="57"/>
      <c r="P115" s="57"/>
      <c r="Q115" s="57"/>
      <c r="AB115" s="212"/>
    </row>
    <row r="116">
      <c r="A116" s="213"/>
      <c r="B116" s="214"/>
      <c r="C116" s="427" t="s">
        <v>1029</v>
      </c>
      <c r="D116" s="214"/>
      <c r="E116" s="214"/>
      <c r="F116" s="214"/>
      <c r="G116" s="214"/>
      <c r="H116" s="214"/>
      <c r="I116" s="214"/>
      <c r="J116" s="214"/>
      <c r="K116" s="428"/>
      <c r="L116" s="215" t="s">
        <v>0</v>
      </c>
      <c r="M116" s="174"/>
      <c r="N116" s="464"/>
      <c r="O116" s="464"/>
      <c r="P116" s="464"/>
      <c r="Q116" s="464"/>
      <c r="AB116" s="212"/>
    </row>
    <row r="117">
      <c r="A117" s="213"/>
      <c r="B117" s="214"/>
      <c r="C117" s="958" t="s">
        <v>1030</v>
      </c>
      <c r="D117" s="739"/>
      <c r="E117" s="739"/>
      <c r="F117" s="739"/>
      <c r="G117" s="739"/>
      <c r="H117" s="739"/>
      <c r="I117" s="739"/>
      <c r="J117" s="739"/>
      <c r="K117" s="740"/>
      <c r="L117" s="215" t="s">
        <v>0</v>
      </c>
      <c r="M117" s="1498"/>
      <c r="N117" s="1499"/>
      <c r="O117" s="1500"/>
      <c r="P117" s="464"/>
      <c r="Q117" s="464"/>
      <c r="R117" s="172"/>
      <c r="AB117" s="212"/>
      <c r="AE117" s="214"/>
      <c r="AF117" s="214"/>
      <c r="AG117" s="214"/>
      <c r="AH117" s="214"/>
      <c r="AI117" s="214"/>
      <c r="AJ117" s="214"/>
      <c r="AK117" s="214"/>
      <c r="AL117" s="214"/>
      <c r="AM117" s="214"/>
      <c r="AN117" s="214" t="s">
        <v>0</v>
      </c>
      <c r="AO117" s="1493">
        <v>0.2</v>
      </c>
      <c r="AP117" s="1493"/>
    </row>
    <row r="118" spans="1:42" ht="5.25" customHeight="1">
      <c r="A118" s="213"/>
      <c r="B118" s="214"/>
      <c r="C118" s="214"/>
      <c r="D118" s="214"/>
      <c r="E118" s="214"/>
      <c r="F118" s="214"/>
      <c r="G118" s="214"/>
      <c r="H118" s="214"/>
      <c r="I118" s="214"/>
      <c r="J118" s="214"/>
      <c r="K118" s="214"/>
      <c r="L118" s="214"/>
      <c r="M118" s="57"/>
      <c r="N118" s="57"/>
      <c r="O118" s="57"/>
      <c r="P118" s="57"/>
      <c r="Q118" s="57"/>
      <c r="AB118" s="212"/>
      <c r="AE118" s="214"/>
      <c r="AF118" s="214"/>
      <c r="AG118" s="214"/>
      <c r="AH118" s="214"/>
      <c r="AI118" s="214"/>
      <c r="AJ118" s="214"/>
      <c r="AK118" s="214"/>
      <c r="AL118" s="214"/>
      <c r="AM118" s="214"/>
      <c r="AN118" s="214"/>
      <c r="AO118" s="140"/>
      <c r="AP118" s="140"/>
    </row>
    <row r="119" spans="1:42">
      <c r="A119" s="712"/>
      <c r="B119" s="214"/>
      <c r="C119" s="948" t="s">
        <v>1031</v>
      </c>
      <c r="D119" s="949"/>
      <c r="E119" s="949"/>
      <c r="F119" s="949"/>
      <c r="G119" s="949"/>
      <c r="H119" s="949"/>
      <c r="I119" s="949"/>
      <c r="J119" s="949"/>
      <c r="K119" s="959"/>
      <c r="L119" s="731" t="s">
        <v>0</v>
      </c>
      <c r="M119" s="1649">
        <f>M116*M117</f>
      </c>
      <c r="N119" s="1650"/>
      <c r="O119" s="1651"/>
      <c r="P119" s="732"/>
      <c r="Q119" s="732"/>
      <c r="AB119" s="212"/>
      <c r="AE119" s="214"/>
      <c r="AF119" s="214"/>
      <c r="AG119" s="214"/>
      <c r="AH119" s="214"/>
      <c r="AI119" s="214"/>
      <c r="AJ119" s="214"/>
      <c r="AK119" s="214"/>
      <c r="AL119" s="214"/>
      <c r="AM119" s="214"/>
      <c r="AN119" s="214"/>
      <c r="AO119" s="140"/>
      <c r="AP119" s="140"/>
    </row>
    <row r="120" spans="1:42">
      <c r="A120" s="213"/>
      <c r="B120" s="171"/>
      <c r="C120" s="443"/>
      <c r="D120" s="443"/>
      <c r="E120" s="443"/>
      <c r="F120" s="443"/>
      <c r="G120" s="172"/>
      <c r="H120" s="172"/>
      <c r="AB120" s="212"/>
      <c r="AE120" s="214"/>
      <c r="AF120" s="214"/>
      <c r="AG120" s="214"/>
      <c r="AH120" s="214"/>
      <c r="AI120" s="214"/>
      <c r="AJ120" s="214"/>
      <c r="AK120" s="214"/>
      <c r="AL120" s="214"/>
      <c r="AM120" s="214"/>
      <c r="AN120" s="214"/>
      <c r="AO120" s="140"/>
      <c r="AP120" s="140"/>
    </row>
    <row r="121" spans="1:42" ht="18">
      <c r="A121" s="1495" t="s">
        <v>901</v>
      </c>
      <c r="B121" s="1496"/>
      <c r="C121" s="1496"/>
      <c r="D121" s="1496"/>
      <c r="E121" s="1496"/>
      <c r="F121" s="1496"/>
      <c r="G121" s="1496"/>
      <c r="H121" s="1496"/>
      <c r="I121" s="1496"/>
      <c r="J121" s="1496"/>
      <c r="K121" s="1496"/>
      <c r="L121" s="1496"/>
      <c r="M121" s="1496"/>
      <c r="N121" s="1496"/>
      <c r="O121" s="1496"/>
      <c r="P121" s="1496"/>
      <c r="Q121" s="1496"/>
      <c r="R121" s="1496"/>
      <c r="S121" s="1496"/>
      <c r="T121" s="1496"/>
      <c r="U121" s="1496"/>
      <c r="V121" s="1496"/>
      <c r="W121" s="1496"/>
      <c r="X121" s="1496"/>
      <c r="Y121" s="1496"/>
      <c r="Z121" s="1496"/>
      <c r="AA121" s="1496"/>
      <c r="AB121" s="1497"/>
      <c r="AC121" s="687"/>
      <c r="AE121" s="214"/>
      <c r="AF121" s="214"/>
      <c r="AG121" s="214"/>
      <c r="AH121" s="214"/>
      <c r="AI121" s="214"/>
      <c r="AJ121" s="214"/>
      <c r="AK121" s="214"/>
      <c r="AL121" s="214"/>
      <c r="AM121" s="214"/>
      <c r="AN121" s="214"/>
      <c r="AO121" s="140"/>
      <c r="AP121" s="140"/>
    </row>
    <row r="122" spans="1:42" ht="6.75" customHeight="1">
      <c r="A122" s="213"/>
      <c r="B122" s="171"/>
      <c r="C122" s="443"/>
      <c r="D122" s="443"/>
      <c r="E122" s="443"/>
      <c r="F122" s="443"/>
      <c r="G122" s="172"/>
      <c r="H122" s="172"/>
      <c r="AB122" s="212"/>
      <c r="AE122" s="214"/>
      <c r="AF122" s="214"/>
      <c r="AG122" s="214"/>
      <c r="AH122" s="214"/>
      <c r="AI122" s="214"/>
      <c r="AJ122" s="214"/>
      <c r="AK122" s="214"/>
      <c r="AL122" s="214"/>
      <c r="AM122" s="214"/>
      <c r="AN122" s="214"/>
      <c r="AO122" s="140"/>
      <c r="AP122" s="140"/>
    </row>
    <row r="123">
      <c r="A123" s="213"/>
      <c r="B123" s="214"/>
      <c r="C123" s="960"/>
      <c r="D123" s="739"/>
      <c r="E123" s="739"/>
      <c r="F123" s="739"/>
      <c r="G123" s="739"/>
      <c r="H123" s="739"/>
      <c r="I123" s="739"/>
      <c r="J123" s="226"/>
      <c r="K123" s="226"/>
      <c r="L123" s="733" t="s">
        <v>0</v>
      </c>
      <c r="M123" s="1660"/>
      <c r="N123" s="1660"/>
      <c r="O123" s="1660"/>
      <c r="AB123" s="212"/>
      <c r="AE123" s="214"/>
      <c r="AF123" s="214"/>
      <c r="AG123" s="214"/>
      <c r="AH123" s="214"/>
      <c r="AI123" s="214"/>
      <c r="AJ123" s="214"/>
      <c r="AK123" s="214"/>
      <c r="AL123" s="214"/>
      <c r="AM123" s="214"/>
      <c r="AN123" s="214"/>
      <c r="AO123" s="140"/>
      <c r="AP123" s="140"/>
    </row>
    <row r="124">
      <c r="A124" s="213"/>
      <c r="B124" s="214"/>
      <c r="C124" s="961"/>
      <c r="D124" s="962"/>
      <c r="E124" s="962"/>
      <c r="F124" s="962"/>
      <c r="G124" s="962"/>
      <c r="H124" s="962"/>
      <c r="I124" s="962"/>
      <c r="J124" s="963"/>
      <c r="K124" s="963"/>
      <c r="L124" s="733" t="s">
        <v>0</v>
      </c>
      <c r="M124" s="1625"/>
      <c r="N124" s="1626"/>
      <c r="O124" s="1627"/>
      <c r="AB124" s="212"/>
      <c r="AE124" s="214"/>
      <c r="AF124" s="214"/>
      <c r="AG124" s="214"/>
      <c r="AH124" s="214"/>
      <c r="AI124" s="214"/>
      <c r="AJ124" s="214"/>
      <c r="AK124" s="214"/>
      <c r="AL124" s="214"/>
      <c r="AM124" s="214"/>
      <c r="AN124" s="214"/>
      <c r="AO124" s="140"/>
      <c r="AP124" s="140"/>
    </row>
    <row r="125">
      <c r="A125" s="213"/>
      <c r="B125" s="214"/>
      <c r="C125" s="961"/>
      <c r="D125" s="962"/>
      <c r="E125" s="962"/>
      <c r="F125" s="962"/>
      <c r="G125" s="962"/>
      <c r="H125" s="962"/>
      <c r="I125" s="962"/>
      <c r="J125" s="963"/>
      <c r="K125" s="963"/>
      <c r="L125" s="733" t="s">
        <v>0</v>
      </c>
      <c r="M125" s="1625"/>
      <c r="N125" s="1626"/>
      <c r="O125" s="1627"/>
      <c r="AB125" s="212"/>
      <c r="AE125" s="214"/>
      <c r="AF125" s="214"/>
      <c r="AG125" s="214"/>
      <c r="AH125" s="214"/>
      <c r="AI125" s="214"/>
      <c r="AJ125" s="214"/>
      <c r="AK125" s="214"/>
      <c r="AL125" s="214"/>
      <c r="AM125" s="214"/>
      <c r="AN125" s="214"/>
      <c r="AO125" s="140"/>
      <c r="AP125" s="140"/>
    </row>
    <row r="126">
      <c r="A126" s="213"/>
      <c r="B126" s="214"/>
      <c r="C126" s="961"/>
      <c r="D126" s="962"/>
      <c r="E126" s="962"/>
      <c r="F126" s="962"/>
      <c r="G126" s="962"/>
      <c r="H126" s="962"/>
      <c r="I126" s="962"/>
      <c r="J126" s="963"/>
      <c r="K126" s="963"/>
      <c r="L126" s="733" t="s">
        <v>0</v>
      </c>
      <c r="M126" s="1625"/>
      <c r="N126" s="1626"/>
      <c r="O126" s="1627"/>
      <c r="AB126" s="212"/>
      <c r="AE126" s="214"/>
      <c r="AF126" s="214"/>
      <c r="AG126" s="214"/>
      <c r="AH126" s="214"/>
      <c r="AI126" s="214"/>
      <c r="AJ126" s="214"/>
      <c r="AK126" s="214"/>
      <c r="AL126" s="214"/>
      <c r="AM126" s="214"/>
      <c r="AN126" s="214"/>
      <c r="AO126" s="140"/>
      <c r="AP126" s="140"/>
    </row>
    <row r="127">
      <c r="A127" s="213"/>
      <c r="B127" s="214"/>
      <c r="C127" s="961"/>
      <c r="D127" s="962"/>
      <c r="E127" s="962"/>
      <c r="F127" s="962"/>
      <c r="G127" s="962"/>
      <c r="H127" s="962"/>
      <c r="I127" s="962"/>
      <c r="J127" s="963"/>
      <c r="K127" s="963"/>
      <c r="L127" s="733" t="s">
        <v>0</v>
      </c>
      <c r="M127" s="1625"/>
      <c r="N127" s="1626"/>
      <c r="O127" s="1627"/>
      <c r="AB127" s="212"/>
      <c r="AE127" s="214"/>
      <c r="AF127" s="214"/>
      <c r="AG127" s="214"/>
      <c r="AH127" s="214"/>
      <c r="AI127" s="214"/>
      <c r="AJ127" s="214"/>
      <c r="AK127" s="214"/>
      <c r="AL127" s="214"/>
      <c r="AM127" s="214"/>
      <c r="AN127" s="214"/>
      <c r="AO127" s="140"/>
      <c r="AP127" s="140"/>
    </row>
    <row r="128" ht="15.9" customHeight="1">
      <c r="A128" s="213"/>
      <c r="B128" s="214"/>
      <c r="C128" s="214"/>
      <c r="D128" s="214"/>
      <c r="E128" s="214"/>
      <c r="F128" s="214"/>
      <c r="G128" s="214"/>
      <c r="H128" s="214"/>
      <c r="I128" s="214"/>
      <c r="J128" s="733"/>
      <c r="L128" s="464"/>
      <c r="M128" s="734"/>
      <c r="N128" s="734"/>
      <c r="O128" s="734"/>
      <c r="AB128" s="212"/>
      <c r="AE128" s="214"/>
      <c r="AF128" s="214"/>
      <c r="AG128" s="214"/>
      <c r="AH128" s="214"/>
      <c r="AI128" s="214"/>
      <c r="AJ128" s="214"/>
      <c r="AK128" s="214"/>
      <c r="AL128" s="214"/>
      <c r="AM128" s="214"/>
      <c r="AN128" s="214"/>
      <c r="AO128" s="140"/>
      <c r="AP128" s="140"/>
    </row>
    <row r="129" spans="1:42">
      <c r="A129" s="213"/>
      <c r="B129" s="214"/>
      <c r="C129" s="948" t="s">
        <v>1032</v>
      </c>
      <c r="D129" s="962"/>
      <c r="E129" s="962"/>
      <c r="F129" s="962"/>
      <c r="G129" s="962"/>
      <c r="H129" s="962"/>
      <c r="I129" s="962"/>
      <c r="J129" s="962"/>
      <c r="K129" s="964"/>
      <c r="L129" s="735" t="s">
        <v>0</v>
      </c>
      <c r="M129" s="1657">
        <f>SUM(M123:O128)</f>
      </c>
      <c r="N129" s="1658"/>
      <c r="O129" s="1659"/>
      <c r="AB129" s="212"/>
      <c r="AE129" s="214"/>
      <c r="AF129" s="214"/>
      <c r="AG129" s="214"/>
      <c r="AH129" s="214"/>
      <c r="AI129" s="214"/>
      <c r="AJ129" s="214"/>
      <c r="AK129" s="214"/>
      <c r="AL129" s="214"/>
      <c r="AM129" s="214"/>
      <c r="AN129" s="214"/>
      <c r="AO129" s="140"/>
      <c r="AP129" s="140"/>
    </row>
    <row r="130" spans="1:42">
      <c r="A130" s="213"/>
      <c r="B130" s="171"/>
      <c r="C130" s="443"/>
      <c r="D130" s="443"/>
      <c r="E130" s="443"/>
      <c r="F130" s="443"/>
      <c r="G130" s="172"/>
      <c r="H130" s="172"/>
      <c r="AB130" s="212"/>
      <c r="AE130" s="214"/>
      <c r="AF130" s="214"/>
      <c r="AG130" s="214"/>
      <c r="AH130" s="214"/>
      <c r="AI130" s="214"/>
      <c r="AJ130" s="214"/>
      <c r="AK130" s="214"/>
      <c r="AL130" s="214"/>
      <c r="AM130" s="214"/>
      <c r="AN130" s="214"/>
      <c r="AO130" s="140"/>
      <c r="AP130" s="140"/>
    </row>
    <row r="131" spans="1:42" ht="18">
      <c r="A131" s="1495" t="s">
        <v>902</v>
      </c>
      <c r="B131" s="1496"/>
      <c r="C131" s="1496"/>
      <c r="D131" s="1496"/>
      <c r="E131" s="1496"/>
      <c r="F131" s="1496"/>
      <c r="G131" s="1496"/>
      <c r="H131" s="1496"/>
      <c r="I131" s="1496"/>
      <c r="J131" s="1496"/>
      <c r="K131" s="1496"/>
      <c r="L131" s="1496"/>
      <c r="M131" s="1496"/>
      <c r="N131" s="1496"/>
      <c r="O131" s="1496"/>
      <c r="P131" s="1496"/>
      <c r="Q131" s="1496"/>
      <c r="R131" s="1496"/>
      <c r="S131" s="1496"/>
      <c r="T131" s="1496"/>
      <c r="U131" s="1496"/>
      <c r="V131" s="1496"/>
      <c r="W131" s="1496"/>
      <c r="X131" s="1496"/>
      <c r="Y131" s="1496"/>
      <c r="Z131" s="1496"/>
      <c r="AA131" s="1496"/>
      <c r="AB131" s="1497"/>
      <c r="AC131" s="687"/>
      <c r="AE131" s="214"/>
      <c r="AF131" s="214"/>
      <c r="AG131" s="214"/>
      <c r="AH131" s="214"/>
      <c r="AI131" s="214"/>
      <c r="AJ131" s="214"/>
      <c r="AK131" s="214"/>
      <c r="AL131" s="214"/>
      <c r="AM131" s="214"/>
      <c r="AN131" s="214"/>
      <c r="AO131" s="140"/>
      <c r="AP131" s="140"/>
    </row>
    <row r="132" spans="1:42" ht="6.75" customHeight="1">
      <c r="A132" s="213"/>
      <c r="B132" s="171"/>
      <c r="C132" s="443"/>
      <c r="D132" s="443"/>
      <c r="E132" s="443"/>
      <c r="F132" s="443"/>
      <c r="G132" s="172"/>
      <c r="H132" s="172"/>
      <c r="AB132" s="212"/>
      <c r="AE132" s="214"/>
      <c r="AF132" s="214"/>
      <c r="AG132" s="214"/>
      <c r="AH132" s="214"/>
      <c r="AI132" s="214"/>
      <c r="AJ132" s="214"/>
      <c r="AK132" s="214"/>
      <c r="AL132" s="214"/>
      <c r="AM132" s="214"/>
      <c r="AN132" s="214"/>
      <c r="AO132" s="140"/>
      <c r="AP132" s="140"/>
    </row>
    <row r="133">
      <c r="A133" s="213"/>
      <c r="B133" s="214"/>
      <c r="C133" s="1590" t="s">
        <v>1033</v>
      </c>
      <c r="D133" s="1645"/>
      <c r="E133" s="1645"/>
      <c r="F133" s="1645"/>
      <c r="G133" s="1645"/>
      <c r="H133" s="1645"/>
      <c r="I133" s="1645"/>
      <c r="J133" s="1645"/>
      <c r="K133" s="964"/>
      <c r="L133" s="733" t="s">
        <v>0</v>
      </c>
      <c r="M133" s="1598"/>
      <c r="N133" s="1598"/>
      <c r="O133" s="1598"/>
      <c r="P133" s="464"/>
      <c r="AB133" s="212"/>
      <c r="AE133" s="214"/>
      <c r="AF133" s="214"/>
      <c r="AG133" s="214"/>
      <c r="AH133" s="214"/>
      <c r="AI133" s="214"/>
      <c r="AJ133" s="214"/>
      <c r="AK133" s="214"/>
      <c r="AL133" s="214"/>
      <c r="AM133" s="214"/>
      <c r="AN133" s="214"/>
      <c r="AO133" s="140"/>
      <c r="AP133" s="140"/>
    </row>
    <row r="134">
      <c r="A134" s="213"/>
      <c r="B134" s="214"/>
      <c r="C134" s="1590" t="s">
        <v>1034</v>
      </c>
      <c r="D134" s="1645"/>
      <c r="E134" s="1645"/>
      <c r="F134" s="1645"/>
      <c r="G134" s="1645"/>
      <c r="H134" s="1645"/>
      <c r="I134" s="1645"/>
      <c r="J134" s="1645"/>
      <c r="K134" s="964"/>
      <c r="L134" s="733" t="s">
        <v>0</v>
      </c>
      <c r="M134" s="1598"/>
      <c r="N134" s="1598"/>
      <c r="O134" s="1598"/>
      <c r="P134" s="464"/>
      <c r="AB134" s="212"/>
      <c r="AE134" s="214"/>
      <c r="AF134" s="214"/>
      <c r="AG134" s="214"/>
      <c r="AH134" s="214"/>
      <c r="AI134" s="214"/>
      <c r="AJ134" s="214"/>
      <c r="AK134" s="214"/>
      <c r="AL134" s="214"/>
      <c r="AM134" s="214"/>
      <c r="AN134" s="214"/>
      <c r="AO134" s="140"/>
      <c r="AP134" s="140"/>
    </row>
    <row r="135">
      <c r="A135" s="213"/>
      <c r="B135" s="215"/>
      <c r="C135" s="1590" t="s">
        <v>1035</v>
      </c>
      <c r="D135" s="1591"/>
      <c r="E135" s="1591"/>
      <c r="F135" s="1591"/>
      <c r="G135" s="1591"/>
      <c r="H135" s="1591"/>
      <c r="I135" s="1591"/>
      <c r="J135" s="1591"/>
      <c r="K135" s="964"/>
      <c r="L135" s="733" t="s">
        <v>0</v>
      </c>
      <c r="M135" s="1598"/>
      <c r="N135" s="1598"/>
      <c r="O135" s="1598"/>
      <c r="P135" s="464"/>
      <c r="AB135" s="212"/>
      <c r="AE135" s="214"/>
      <c r="AF135" s="214"/>
      <c r="AG135" s="214"/>
      <c r="AH135" s="214"/>
      <c r="AI135" s="214"/>
      <c r="AJ135" s="214"/>
      <c r="AK135" s="214"/>
      <c r="AL135" s="214"/>
      <c r="AM135" s="214"/>
      <c r="AN135" s="214"/>
      <c r="AO135" s="140"/>
      <c r="AP135" s="140"/>
    </row>
    <row r="136">
      <c r="A136" s="213"/>
      <c r="B136" s="215"/>
      <c r="C136" s="1590" t="s">
        <v>1036</v>
      </c>
      <c r="D136" s="1591"/>
      <c r="E136" s="1591"/>
      <c r="F136" s="1591"/>
      <c r="G136" s="1591"/>
      <c r="H136" s="1591"/>
      <c r="I136" s="1591"/>
      <c r="J136" s="1591"/>
      <c r="K136" s="964"/>
      <c r="L136" s="733" t="s">
        <v>0</v>
      </c>
      <c r="M136" s="1598"/>
      <c r="N136" s="1598"/>
      <c r="O136" s="1598"/>
      <c r="P136" s="464"/>
      <c r="AB136" s="212"/>
    </row>
    <row r="137">
      <c r="A137" s="213"/>
      <c r="B137" s="214"/>
      <c r="C137" s="1590"/>
      <c r="D137" s="1645"/>
      <c r="E137" s="1645"/>
      <c r="F137" s="1645"/>
      <c r="G137" s="1645"/>
      <c r="H137" s="1645"/>
      <c r="I137" s="1645"/>
      <c r="J137" s="1645"/>
      <c r="K137" s="964"/>
      <c r="L137" s="733" t="s">
        <v>0</v>
      </c>
      <c r="M137" s="1598"/>
      <c r="N137" s="1598"/>
      <c r="O137" s="1598"/>
      <c r="P137" s="464"/>
      <c r="AB137" s="212"/>
    </row>
    <row r="138">
      <c r="A138" s="213"/>
      <c r="B138" s="214"/>
      <c r="C138" s="1590"/>
      <c r="D138" s="1645"/>
      <c r="E138" s="1645"/>
      <c r="F138" s="1645"/>
      <c r="G138" s="1645"/>
      <c r="H138" s="1645"/>
      <c r="I138" s="1645"/>
      <c r="J138" s="1645"/>
      <c r="K138" s="964"/>
      <c r="L138" s="733" t="s">
        <v>0</v>
      </c>
      <c r="M138" s="1598"/>
      <c r="N138" s="1598"/>
      <c r="O138" s="1598"/>
      <c r="P138" s="464"/>
      <c r="AB138" s="212"/>
    </row>
    <row r="139" spans="1:42" ht="6.75" customHeight="1">
      <c r="A139" s="213"/>
      <c r="B139" s="214"/>
      <c r="C139" s="414"/>
      <c r="D139" s="414"/>
      <c r="E139" s="414"/>
      <c r="F139" s="414"/>
      <c r="G139" s="414"/>
      <c r="H139" s="414"/>
      <c r="I139" s="414"/>
      <c r="J139" s="414"/>
      <c r="K139" s="214"/>
      <c r="L139" s="57"/>
      <c r="M139" s="736"/>
      <c r="N139" s="736"/>
      <c r="O139" s="736"/>
      <c r="P139" s="57"/>
      <c r="AB139" s="212"/>
    </row>
    <row r="140" spans="1:42">
      <c r="A140" s="213"/>
      <c r="B140" s="731"/>
      <c r="C140" s="1606" t="s">
        <v>1037</v>
      </c>
      <c r="D140" s="1607"/>
      <c r="E140" s="1607"/>
      <c r="F140" s="1607"/>
      <c r="G140" s="1607"/>
      <c r="H140" s="1607"/>
      <c r="I140" s="1607"/>
      <c r="J140" s="1607"/>
      <c r="K140" s="965"/>
      <c r="L140" s="735" t="s">
        <v>0</v>
      </c>
      <c r="M140" s="1608">
        <f>SUM(M133:O138)</f>
      </c>
      <c r="N140" s="1609"/>
      <c r="O140" s="1610"/>
      <c r="P140" s="732"/>
      <c r="AB140" s="212"/>
    </row>
    <row r="141" spans="1:42">
      <c r="A141" s="213"/>
      <c r="B141" s="171"/>
      <c r="C141" s="443"/>
      <c r="D141" s="443"/>
      <c r="E141" s="443"/>
      <c r="F141" s="443"/>
      <c r="G141" s="172"/>
      <c r="H141" s="172"/>
      <c r="AB141" s="212"/>
    </row>
    <row r="142" spans="1:42" ht="18">
      <c r="A142" s="1495" t="s">
        <v>903</v>
      </c>
      <c r="B142" s="1496"/>
      <c r="C142" s="1496"/>
      <c r="D142" s="1496"/>
      <c r="E142" s="1496"/>
      <c r="F142" s="1496"/>
      <c r="G142" s="1496"/>
      <c r="H142" s="1496"/>
      <c r="I142" s="1496"/>
      <c r="J142" s="1496"/>
      <c r="K142" s="1496"/>
      <c r="L142" s="1496"/>
      <c r="M142" s="1496"/>
      <c r="N142" s="1496"/>
      <c r="O142" s="1496"/>
      <c r="P142" s="1496"/>
      <c r="Q142" s="1496"/>
      <c r="R142" s="1496"/>
      <c r="S142" s="1496"/>
      <c r="T142" s="1496"/>
      <c r="U142" s="1496"/>
      <c r="V142" s="1496"/>
      <c r="W142" s="1496"/>
      <c r="X142" s="1496"/>
      <c r="Y142" s="1496"/>
      <c r="Z142" s="1496"/>
      <c r="AA142" s="1496"/>
      <c r="AB142" s="1497"/>
      <c r="AC142" s="687"/>
    </row>
    <row r="143" spans="1:42">
      <c r="A143" s="213"/>
      <c r="B143" s="171"/>
      <c r="C143" s="443"/>
      <c r="D143" s="443"/>
      <c r="E143" s="443"/>
      <c r="F143" s="443"/>
      <c r="G143" s="172"/>
      <c r="H143" s="172"/>
      <c r="AB143" s="212"/>
    </row>
    <row r="144" spans="1:42">
      <c r="A144" s="213"/>
      <c r="B144" s="214"/>
      <c r="C144" s="214" t="s">
        <v>19</v>
      </c>
      <c r="D144" s="214"/>
      <c r="E144" s="214"/>
      <c r="F144" s="214"/>
      <c r="G144" s="214"/>
      <c r="H144" s="733" t="s">
        <v>0</v>
      </c>
      <c r="I144" s="214"/>
      <c r="J144" s="1599" t="s">
        <v>1038</v>
      </c>
      <c r="K144" s="1599"/>
      <c r="L144" s="1599"/>
      <c r="M144" s="1599"/>
      <c r="N144" s="1599"/>
      <c r="O144" s="1599"/>
      <c r="P144" s="1599"/>
      <c r="Q144" s="1599"/>
      <c r="R144" s="1599"/>
      <c r="S144" s="1599"/>
      <c r="T144" s="1599" t="s">
        <v>1039</v>
      </c>
      <c r="U144" s="1599"/>
      <c r="V144" s="1599"/>
      <c r="W144" s="1599"/>
      <c r="X144" s="1599"/>
      <c r="AB144" s="212"/>
    </row>
    <row r="145">
      <c r="A145" s="213"/>
      <c r="B145" s="214"/>
      <c r="C145" s="214"/>
      <c r="D145" s="214"/>
      <c r="E145" s="214"/>
      <c r="F145" s="214"/>
      <c r="G145" s="214"/>
      <c r="H145" s="733"/>
      <c r="I145" s="214"/>
      <c r="J145" s="1600"/>
      <c r="K145" s="1600"/>
      <c r="L145" s="1600"/>
      <c r="M145" s="1600"/>
      <c r="N145" s="1600"/>
      <c r="O145" s="1600"/>
      <c r="P145" s="1600"/>
      <c r="Q145" s="1600"/>
      <c r="R145" s="1600"/>
      <c r="S145" s="1600"/>
      <c r="T145" s="1601"/>
      <c r="U145" s="1601"/>
      <c r="V145" s="1601"/>
      <c r="W145" s="1601"/>
      <c r="X145" s="1601"/>
      <c r="AB145" s="212"/>
    </row>
    <row r="146" spans="1:29">
      <c r="A146" s="213"/>
      <c r="B146" s="214"/>
      <c r="C146" s="214"/>
      <c r="D146" s="214"/>
      <c r="E146" s="214"/>
      <c r="F146" s="214"/>
      <c r="G146" s="214"/>
      <c r="H146" s="733"/>
      <c r="I146" s="214"/>
      <c r="J146" s="1600"/>
      <c r="K146" s="1600"/>
      <c r="L146" s="1600"/>
      <c r="M146" s="1600"/>
      <c r="N146" s="1600"/>
      <c r="O146" s="1600"/>
      <c r="P146" s="1600"/>
      <c r="Q146" s="1600"/>
      <c r="R146" s="1600"/>
      <c r="S146" s="1600"/>
      <c r="AB146" s="212"/>
    </row>
    <row r="147" spans="1:29">
      <c r="A147" s="213"/>
      <c r="B147" s="214"/>
      <c r="C147" s="214"/>
      <c r="D147" s="214"/>
      <c r="E147" s="214"/>
      <c r="F147" s="214"/>
      <c r="G147" s="214"/>
      <c r="H147" s="733"/>
      <c r="I147" s="214"/>
      <c r="J147" s="1602" t="s">
        <v>1040</v>
      </c>
      <c r="K147" s="1602"/>
      <c r="L147" s="1602"/>
      <c r="M147" s="1602"/>
      <c r="N147" s="1602"/>
      <c r="O147" s="1602"/>
      <c r="P147" s="1602"/>
      <c r="Q147" s="1602"/>
      <c r="R147" s="1602"/>
      <c r="S147" s="1602"/>
      <c r="T147" s="1603">
        <f>SUM(T145:X145)</f>
      </c>
      <c r="U147" s="1604"/>
      <c r="V147" s="1604"/>
      <c r="W147" s="1604"/>
      <c r="X147" s="1605"/>
      <c r="AB147" s="212"/>
    </row>
    <row r="148" spans="1:29">
      <c r="A148" s="213"/>
      <c r="B148" s="214"/>
      <c r="C148" s="214"/>
      <c r="D148" s="214"/>
      <c r="E148" s="214"/>
      <c r="F148" s="214"/>
      <c r="G148" s="214"/>
      <c r="H148" s="733"/>
      <c r="I148" s="214"/>
      <c r="J148" s="214"/>
      <c r="K148" s="214"/>
      <c r="L148" s="214"/>
      <c r="M148" s="716"/>
      <c r="N148" s="716"/>
      <c r="O148" s="716"/>
      <c r="P148" s="716"/>
      <c r="Q148" s="716"/>
      <c r="R148" s="716"/>
      <c r="S148" s="716"/>
      <c r="T148" s="214"/>
      <c r="U148" s="214"/>
      <c r="V148" s="214"/>
      <c r="W148" s="214"/>
      <c r="X148" s="214"/>
      <c r="AB148" s="212"/>
    </row>
    <row r="149" spans="1:29">
      <c r="A149" s="213"/>
      <c r="B149" s="214"/>
      <c r="C149" s="214" t="s">
        <v>403</v>
      </c>
      <c r="D149" s="214"/>
      <c r="E149" s="214"/>
      <c r="F149" s="214"/>
      <c r="G149" s="214"/>
      <c r="H149" s="733" t="s">
        <v>0</v>
      </c>
      <c r="I149" s="214"/>
      <c r="J149" s="1599" t="s">
        <v>1041</v>
      </c>
      <c r="K149" s="1599"/>
      <c r="L149" s="1599"/>
      <c r="M149" s="1599"/>
      <c r="N149" s="1599"/>
      <c r="O149" s="1599"/>
      <c r="P149" s="1599"/>
      <c r="Q149" s="1599"/>
      <c r="R149" s="1599"/>
      <c r="S149" s="1599"/>
      <c r="T149" s="1599" t="s">
        <v>1039</v>
      </c>
      <c r="U149" s="1599"/>
      <c r="V149" s="1599"/>
      <c r="W149" s="1599"/>
      <c r="X149" s="1599"/>
      <c r="AB149" s="212"/>
    </row>
    <row r="150">
      <c r="A150" s="213"/>
      <c r="B150" s="214"/>
      <c r="C150" s="214"/>
      <c r="D150" s="214"/>
      <c r="E150" s="214"/>
      <c r="F150" s="214"/>
      <c r="G150" s="214"/>
      <c r="H150" s="214"/>
      <c r="I150" s="214"/>
      <c r="J150" s="1600"/>
      <c r="K150" s="1600"/>
      <c r="L150" s="1600"/>
      <c r="M150" s="1600"/>
      <c r="N150" s="1600"/>
      <c r="O150" s="1600"/>
      <c r="P150" s="1600"/>
      <c r="Q150" s="1600"/>
      <c r="R150" s="1600"/>
      <c r="S150" s="1600"/>
      <c r="T150" s="1601"/>
      <c r="U150" s="1601"/>
      <c r="V150" s="1601"/>
      <c r="W150" s="1601"/>
      <c r="X150" s="1601"/>
      <c r="AB150" s="212"/>
    </row>
    <row r="151">
      <c r="A151" s="213"/>
      <c r="B151" s="214"/>
      <c r="C151" s="214"/>
      <c r="D151" s="214"/>
      <c r="E151" s="214"/>
      <c r="F151" s="214"/>
      <c r="G151" s="214"/>
      <c r="H151" s="214"/>
      <c r="I151" s="214"/>
      <c r="J151" s="1600"/>
      <c r="K151" s="1600"/>
      <c r="L151" s="1600"/>
      <c r="M151" s="1600"/>
      <c r="N151" s="1600"/>
      <c r="O151" s="1600"/>
      <c r="P151" s="1600"/>
      <c r="Q151" s="1600"/>
      <c r="R151" s="1600"/>
      <c r="S151" s="1600"/>
      <c r="T151" s="1601"/>
      <c r="U151" s="1601"/>
      <c r="V151" s="1601"/>
      <c r="W151" s="1601"/>
      <c r="X151" s="1601"/>
      <c r="AB151" s="212"/>
    </row>
    <row r="152" spans="1:29">
      <c r="A152" s="213"/>
      <c r="B152" s="214"/>
      <c r="C152" s="214"/>
      <c r="D152" s="214"/>
      <c r="E152" s="214"/>
      <c r="F152" s="214"/>
      <c r="G152" s="214"/>
      <c r="H152" s="214"/>
      <c r="I152" s="214"/>
      <c r="J152" s="1602" t="s">
        <v>1042</v>
      </c>
      <c r="K152" s="1602"/>
      <c r="L152" s="1602"/>
      <c r="M152" s="1602"/>
      <c r="N152" s="1602"/>
      <c r="O152" s="1602"/>
      <c r="P152" s="1602"/>
      <c r="Q152" s="1602"/>
      <c r="R152" s="1602"/>
      <c r="S152" s="1602"/>
      <c r="T152" s="1603">
        <f>SUM(T150:X151)</f>
      </c>
      <c r="U152" s="1604"/>
      <c r="V152" s="1604"/>
      <c r="W152" s="1604"/>
      <c r="X152" s="1605"/>
      <c r="AB152" s="212"/>
    </row>
    <row r="153" spans="1:29">
      <c r="A153" s="213"/>
      <c r="B153" s="171"/>
      <c r="C153" s="443"/>
      <c r="D153" s="443"/>
      <c r="E153" s="443"/>
      <c r="F153" s="443"/>
      <c r="G153" s="172"/>
      <c r="H153" s="172"/>
      <c r="AB153" s="212"/>
    </row>
    <row r="154" spans="1:29" ht="15.6">
      <c r="A154" s="1595" t="s">
        <v>703</v>
      </c>
      <c r="B154" s="1596"/>
      <c r="C154" s="1596"/>
      <c r="D154" s="1596"/>
      <c r="E154" s="1596"/>
      <c r="F154" s="1596"/>
      <c r="G154" s="1596"/>
      <c r="H154" s="1596"/>
      <c r="I154" s="1596"/>
      <c r="J154" s="1596"/>
      <c r="K154" s="1596"/>
      <c r="L154" s="1596"/>
      <c r="M154" s="1596"/>
      <c r="N154" s="1596"/>
      <c r="O154" s="1596"/>
      <c r="P154" s="1596"/>
      <c r="Q154" s="1596"/>
      <c r="R154" s="1596"/>
      <c r="S154" s="1596"/>
      <c r="T154" s="1596"/>
      <c r="U154" s="1596"/>
      <c r="V154" s="1596"/>
      <c r="W154" s="1596"/>
      <c r="X154" s="1596"/>
      <c r="Y154" s="1596"/>
      <c r="Z154" s="1596"/>
      <c r="AA154" s="1596"/>
      <c r="AB154" s="1597"/>
      <c r="AC154" s="687"/>
    </row>
    <row r="155" spans="1:29">
      <c r="A155" s="213"/>
      <c r="L155" s="418"/>
      <c r="AB155" s="212"/>
    </row>
    <row r="156" spans="1:29">
      <c r="A156" s="213"/>
      <c r="L156" s="418"/>
      <c r="T156" s="1553" t="s">
        <v>693</v>
      </c>
      <c r="U156" s="1554"/>
      <c r="V156" s="1554"/>
      <c r="W156" s="1554"/>
      <c r="X156" s="1554"/>
      <c r="Y156" s="1555"/>
      <c r="AB156" s="212"/>
      <c r="AC156" s="418"/>
    </row>
    <row r="157" spans="1:29">
      <c r="A157" s="213"/>
      <c r="L157" s="418"/>
      <c r="T157" s="217"/>
      <c r="Y157" s="611"/>
      <c r="AB157" s="212"/>
    </row>
    <row r="158" spans="1:29" ht="21.75" customHeight="1">
      <c r="A158" s="213"/>
      <c r="L158" s="418"/>
      <c r="T158" s="217"/>
      <c r="Y158" s="611"/>
      <c r="AB158" s="212"/>
    </row>
    <row r="159" spans="1:29">
      <c r="A159" s="213"/>
      <c r="L159" s="418"/>
      <c r="T159" s="217"/>
      <c r="Y159" s="611"/>
      <c r="AB159" s="212"/>
    </row>
    <row r="160" spans="1:29">
      <c r="A160" s="213"/>
      <c r="L160" s="418"/>
      <c r="T160" s="1622">
        <f>'Informasi Pokok'!D6</f>
      </c>
      <c r="U160" s="1623"/>
      <c r="V160" s="1623"/>
      <c r="W160" s="1623"/>
      <c r="X160" s="1623"/>
      <c r="Y160" s="1624"/>
      <c r="AB160" s="212"/>
      <c r="AC160" s="418"/>
    </row>
    <row r="161" spans="1:29">
      <c r="A161" s="213"/>
      <c r="L161" s="418"/>
      <c r="T161" s="1230" t="s">
        <v>635</v>
      </c>
      <c r="U161" s="1231"/>
      <c r="V161" s="1231"/>
      <c r="W161" s="1231"/>
      <c r="X161" s="1231"/>
      <c r="Y161" s="1232"/>
      <c r="AB161" s="212"/>
      <c r="AC161" s="418"/>
    </row>
    <row r="162" spans="1:29">
      <c r="A162" s="213"/>
      <c r="L162" s="418"/>
      <c r="AB162" s="212"/>
    </row>
    <row r="163" spans="1:29">
      <c r="A163" s="224"/>
      <c r="B163" s="1616" t="s">
        <v>604</v>
      </c>
      <c r="C163" s="1617"/>
      <c r="D163" s="1617"/>
      <c r="E163" s="1617"/>
      <c r="F163" s="1617"/>
      <c r="G163" s="1617"/>
      <c r="H163" s="1617"/>
      <c r="I163" s="1617"/>
      <c r="J163" s="1617"/>
      <c r="K163" s="1617"/>
      <c r="L163" s="1617"/>
      <c r="M163" s="1617"/>
      <c r="N163" s="1618"/>
      <c r="O163" s="1599" t="s">
        <v>605</v>
      </c>
      <c r="P163" s="1599"/>
      <c r="Q163" s="1599"/>
      <c r="R163" s="1599"/>
      <c r="S163" s="1599"/>
      <c r="T163" s="1599"/>
      <c r="U163" s="1599"/>
      <c r="V163" s="1599"/>
      <c r="W163" s="1599"/>
      <c r="X163" s="1599"/>
      <c r="Y163" s="1599"/>
      <c r="Z163" s="1599"/>
      <c r="AA163" s="1599"/>
      <c r="AB163" s="1611"/>
      <c r="AC163" s="716"/>
    </row>
    <row r="164">
      <c r="A164" s="224"/>
      <c r="B164" s="737"/>
      <c r="C164" s="214" t="s">
        <v>1</v>
      </c>
      <c r="D164" s="214"/>
      <c r="E164" s="214"/>
      <c r="F164" s="214"/>
      <c r="G164" s="214" t="s">
        <v>0</v>
      </c>
      <c r="H164" s="1221"/>
      <c r="I164" s="1221"/>
      <c r="J164" s="1221"/>
      <c r="K164" s="1221"/>
      <c r="L164" s="1221"/>
      <c r="M164" s="1221"/>
      <c r="N164" s="1619"/>
      <c r="O164" s="1612"/>
      <c r="P164" s="1612"/>
      <c r="Q164" s="1612"/>
      <c r="R164" s="1612"/>
      <c r="S164" s="1612"/>
      <c r="T164" s="1612"/>
      <c r="U164" s="1612"/>
      <c r="V164" s="1612"/>
      <c r="W164" s="1612"/>
      <c r="X164" s="1612"/>
      <c r="Y164" s="1612"/>
      <c r="Z164" s="1612"/>
      <c r="AA164" s="1612"/>
      <c r="AB164" s="1613"/>
      <c r="AC164" s="733"/>
    </row>
    <row r="165" spans="1:29">
      <c r="A165" s="224"/>
      <c r="B165" s="737"/>
      <c r="C165" s="214" t="s">
        <v>606</v>
      </c>
      <c r="D165" s="214"/>
      <c r="E165" s="214"/>
      <c r="F165" s="214"/>
      <c r="G165" s="214" t="s">
        <v>0</v>
      </c>
      <c r="H165" s="1222" t="s">
        <v>1191</v>
      </c>
      <c r="I165" s="1223"/>
      <c r="J165" s="1223"/>
      <c r="K165" s="1223"/>
      <c r="L165" s="1223"/>
      <c r="M165" s="1223"/>
      <c r="N165" s="1620"/>
      <c r="O165" s="1612"/>
      <c r="P165" s="1612"/>
      <c r="Q165" s="1612"/>
      <c r="R165" s="1612"/>
      <c r="S165" s="1612"/>
      <c r="T165" s="1612"/>
      <c r="U165" s="1612"/>
      <c r="V165" s="1612"/>
      <c r="W165" s="1612"/>
      <c r="X165" s="1612"/>
      <c r="Y165" s="1612"/>
      <c r="Z165" s="1612"/>
      <c r="AA165" s="1612"/>
      <c r="AB165" s="1613"/>
      <c r="AC165" s="733"/>
    </row>
    <row r="166" spans="1:29">
      <c r="A166" s="224"/>
      <c r="B166" s="737"/>
      <c r="C166" s="214" t="s">
        <v>152</v>
      </c>
      <c r="D166" s="214"/>
      <c r="E166" s="214"/>
      <c r="F166" s="214"/>
      <c r="G166" s="214" t="s">
        <v>0</v>
      </c>
      <c r="H166" s="1213"/>
      <c r="I166" s="1213"/>
      <c r="J166" s="1213"/>
      <c r="K166" s="1213"/>
      <c r="L166" s="1213"/>
      <c r="M166" s="1213"/>
      <c r="N166" s="1621"/>
      <c r="O166" s="1612"/>
      <c r="P166" s="1612"/>
      <c r="Q166" s="1612"/>
      <c r="R166" s="1612"/>
      <c r="S166" s="1612"/>
      <c r="T166" s="1612"/>
      <c r="U166" s="1612"/>
      <c r="V166" s="1612"/>
      <c r="W166" s="1612"/>
      <c r="X166" s="1612"/>
      <c r="Y166" s="1612"/>
      <c r="Z166" s="1612"/>
      <c r="AA166" s="1612"/>
      <c r="AB166" s="1613"/>
      <c r="AC166" s="733"/>
    </row>
    <row r="167" spans="1:29">
      <c r="A167" s="224"/>
      <c r="B167" s="737"/>
      <c r="C167" s="214" t="s">
        <v>607</v>
      </c>
      <c r="D167" s="214"/>
      <c r="E167" s="214"/>
      <c r="F167" s="214"/>
      <c r="G167" s="214" t="s">
        <v>0</v>
      </c>
      <c r="H167" s="424"/>
      <c r="I167" s="425"/>
      <c r="J167" s="425"/>
      <c r="K167" s="425"/>
      <c r="L167" s="425"/>
      <c r="M167" s="426"/>
      <c r="N167" s="428"/>
      <c r="O167" s="1612"/>
      <c r="P167" s="1612"/>
      <c r="Q167" s="1612"/>
      <c r="R167" s="1612"/>
      <c r="S167" s="1612"/>
      <c r="T167" s="1612"/>
      <c r="U167" s="1612"/>
      <c r="V167" s="1612"/>
      <c r="W167" s="1612"/>
      <c r="X167" s="1612"/>
      <c r="Y167" s="1612"/>
      <c r="Z167" s="1612"/>
      <c r="AA167" s="1612"/>
      <c r="AB167" s="1613"/>
      <c r="AC167" s="733"/>
    </row>
    <row r="168" spans="1:29">
      <c r="A168" s="224"/>
      <c r="B168" s="737"/>
      <c r="C168" s="214"/>
      <c r="D168" s="214"/>
      <c r="E168" s="214"/>
      <c r="F168" s="214"/>
      <c r="G168" s="214"/>
      <c r="H168" s="737"/>
      <c r="I168" s="214"/>
      <c r="J168" s="214"/>
      <c r="K168" s="214"/>
      <c r="L168" s="214"/>
      <c r="M168" s="428"/>
      <c r="N168" s="428"/>
      <c r="O168" s="1612"/>
      <c r="P168" s="1612"/>
      <c r="Q168" s="1612"/>
      <c r="R168" s="1612"/>
      <c r="S168" s="1612"/>
      <c r="T168" s="1612"/>
      <c r="U168" s="1612"/>
      <c r="V168" s="1612"/>
      <c r="W168" s="1612"/>
      <c r="X168" s="1612"/>
      <c r="Y168" s="1612"/>
      <c r="Z168" s="1612"/>
      <c r="AA168" s="1612"/>
      <c r="AB168" s="1613"/>
      <c r="AC168" s="733"/>
    </row>
    <row r="169" spans="1:29">
      <c r="A169" s="224"/>
      <c r="B169" s="737"/>
      <c r="C169" s="214"/>
      <c r="D169" s="214"/>
      <c r="E169" s="214"/>
      <c r="F169" s="214"/>
      <c r="G169" s="214"/>
      <c r="H169" s="738"/>
      <c r="I169" s="739"/>
      <c r="J169" s="739"/>
      <c r="K169" s="739"/>
      <c r="L169" s="739"/>
      <c r="M169" s="740"/>
      <c r="N169" s="428"/>
      <c r="O169" s="1612"/>
      <c r="P169" s="1612"/>
      <c r="Q169" s="1612"/>
      <c r="R169" s="1612"/>
      <c r="S169" s="1612"/>
      <c r="T169" s="1612"/>
      <c r="U169" s="1612"/>
      <c r="V169" s="1612"/>
      <c r="W169" s="1612"/>
      <c r="X169" s="1612"/>
      <c r="Y169" s="1612"/>
      <c r="Z169" s="1612"/>
      <c r="AA169" s="1612"/>
      <c r="AB169" s="1613"/>
      <c r="AC169" s="733"/>
    </row>
    <row r="170" spans="1:29">
      <c r="A170" s="224"/>
      <c r="B170" s="738"/>
      <c r="C170" s="739"/>
      <c r="D170" s="739"/>
      <c r="E170" s="739"/>
      <c r="F170" s="739"/>
      <c r="G170" s="739"/>
      <c r="H170" s="739"/>
      <c r="I170" s="739"/>
      <c r="J170" s="739"/>
      <c r="K170" s="739"/>
      <c r="L170" s="739"/>
      <c r="M170" s="739"/>
      <c r="N170" s="740"/>
      <c r="O170" s="1614"/>
      <c r="P170" s="1614"/>
      <c r="Q170" s="1614"/>
      <c r="R170" s="1614"/>
      <c r="S170" s="1614"/>
      <c r="T170" s="1614"/>
      <c r="U170" s="1614"/>
      <c r="V170" s="1614"/>
      <c r="W170" s="1614"/>
      <c r="X170" s="1614"/>
      <c r="Y170" s="1614"/>
      <c r="Z170" s="1614"/>
      <c r="AA170" s="1614"/>
      <c r="AB170" s="1615"/>
      <c r="AC170" s="733"/>
    </row>
    <row r="171" spans="1:29">
      <c r="A171" s="224"/>
      <c r="B171" s="1616" t="s">
        <v>604</v>
      </c>
      <c r="C171" s="1617"/>
      <c r="D171" s="1617"/>
      <c r="E171" s="1617"/>
      <c r="F171" s="1617"/>
      <c r="G171" s="1617"/>
      <c r="H171" s="1617"/>
      <c r="I171" s="1617"/>
      <c r="J171" s="1617"/>
      <c r="K171" s="1617"/>
      <c r="L171" s="1617"/>
      <c r="M171" s="1617"/>
      <c r="N171" s="1617"/>
      <c r="O171" s="1599" t="s">
        <v>605</v>
      </c>
      <c r="P171" s="1599"/>
      <c r="Q171" s="1599"/>
      <c r="R171" s="1599"/>
      <c r="S171" s="1599"/>
      <c r="T171" s="1599"/>
      <c r="U171" s="1599"/>
      <c r="V171" s="1599"/>
      <c r="W171" s="1599"/>
      <c r="X171" s="1599"/>
      <c r="Y171" s="1599"/>
      <c r="Z171" s="1599"/>
      <c r="AA171" s="1599"/>
      <c r="AB171" s="1611"/>
      <c r="AC171" s="716"/>
    </row>
    <row r="172">
      <c r="A172" s="224"/>
      <c r="B172" s="737"/>
      <c r="C172" s="214" t="s">
        <v>1</v>
      </c>
      <c r="D172" s="214"/>
      <c r="E172" s="214"/>
      <c r="F172" s="214"/>
      <c r="G172" s="214" t="s">
        <v>0</v>
      </c>
      <c r="H172" s="1221"/>
      <c r="I172" s="1221"/>
      <c r="J172" s="1221"/>
      <c r="K172" s="1221"/>
      <c r="L172" s="1221"/>
      <c r="M172" s="1221"/>
      <c r="N172" s="1221"/>
      <c r="O172" s="1612"/>
      <c r="P172" s="1612"/>
      <c r="Q172" s="1612"/>
      <c r="R172" s="1612"/>
      <c r="S172" s="1612"/>
      <c r="T172" s="1612"/>
      <c r="U172" s="1612"/>
      <c r="V172" s="1612"/>
      <c r="W172" s="1612"/>
      <c r="X172" s="1612"/>
      <c r="Y172" s="1612"/>
      <c r="Z172" s="1612"/>
      <c r="AA172" s="1612"/>
      <c r="AB172" s="1613"/>
      <c r="AC172" s="733"/>
    </row>
    <row r="173" spans="1:29">
      <c r="A173" s="224"/>
      <c r="B173" s="737"/>
      <c r="C173" s="214" t="s">
        <v>606</v>
      </c>
      <c r="D173" s="214"/>
      <c r="E173" s="214"/>
      <c r="F173" s="214"/>
      <c r="G173" s="214" t="s">
        <v>0</v>
      </c>
      <c r="H173" s="1222" t="s">
        <v>608</v>
      </c>
      <c r="I173" s="1223"/>
      <c r="J173" s="1223"/>
      <c r="K173" s="1223"/>
      <c r="L173" s="1223"/>
      <c r="M173" s="1223"/>
      <c r="N173" s="1223"/>
      <c r="O173" s="1612"/>
      <c r="P173" s="1612"/>
      <c r="Q173" s="1612"/>
      <c r="R173" s="1612"/>
      <c r="S173" s="1612"/>
      <c r="T173" s="1612"/>
      <c r="U173" s="1612"/>
      <c r="V173" s="1612"/>
      <c r="W173" s="1612"/>
      <c r="X173" s="1612"/>
      <c r="Y173" s="1612"/>
      <c r="Z173" s="1612"/>
      <c r="AA173" s="1612"/>
      <c r="AB173" s="1613"/>
      <c r="AC173" s="733"/>
    </row>
    <row r="174" spans="1:29">
      <c r="A174" s="224"/>
      <c r="B174" s="737"/>
      <c r="C174" s="214" t="s">
        <v>152</v>
      </c>
      <c r="D174" s="214"/>
      <c r="E174" s="214"/>
      <c r="F174" s="214"/>
      <c r="G174" s="214" t="s">
        <v>0</v>
      </c>
      <c r="H174" s="1213"/>
      <c r="I174" s="1213"/>
      <c r="J174" s="1213"/>
      <c r="K174" s="1213"/>
      <c r="L174" s="1213"/>
      <c r="M174" s="1213"/>
      <c r="N174" s="1213"/>
      <c r="O174" s="1612"/>
      <c r="P174" s="1612"/>
      <c r="Q174" s="1612"/>
      <c r="R174" s="1612"/>
      <c r="S174" s="1612"/>
      <c r="T174" s="1612"/>
      <c r="U174" s="1612"/>
      <c r="V174" s="1612"/>
      <c r="W174" s="1612"/>
      <c r="X174" s="1612"/>
      <c r="Y174" s="1612"/>
      <c r="Z174" s="1612"/>
      <c r="AA174" s="1612"/>
      <c r="AB174" s="1613"/>
      <c r="AC174" s="733"/>
    </row>
    <row r="175" spans="1:29">
      <c r="A175" s="224"/>
      <c r="B175" s="737"/>
      <c r="C175" s="214" t="s">
        <v>607</v>
      </c>
      <c r="D175" s="214"/>
      <c r="E175" s="214"/>
      <c r="F175" s="214"/>
      <c r="G175" s="214" t="s">
        <v>0</v>
      </c>
      <c r="H175" s="424"/>
      <c r="I175" s="425"/>
      <c r="J175" s="425"/>
      <c r="K175" s="425"/>
      <c r="L175" s="425"/>
      <c r="M175" s="426"/>
      <c r="N175" s="214"/>
      <c r="O175" s="1612"/>
      <c r="P175" s="1612"/>
      <c r="Q175" s="1612"/>
      <c r="R175" s="1612"/>
      <c r="S175" s="1612"/>
      <c r="T175" s="1612"/>
      <c r="U175" s="1612"/>
      <c r="V175" s="1612"/>
      <c r="W175" s="1612"/>
      <c r="X175" s="1612"/>
      <c r="Y175" s="1612"/>
      <c r="Z175" s="1612"/>
      <c r="AA175" s="1612"/>
      <c r="AB175" s="1613"/>
      <c r="AC175" s="733"/>
    </row>
    <row r="176" spans="1:29">
      <c r="A176" s="224"/>
      <c r="B176" s="737"/>
      <c r="C176" s="214"/>
      <c r="D176" s="214"/>
      <c r="E176" s="214"/>
      <c r="F176" s="214"/>
      <c r="G176" s="214"/>
      <c r="H176" s="737"/>
      <c r="I176" s="214"/>
      <c r="J176" s="214"/>
      <c r="K176" s="214"/>
      <c r="L176" s="214"/>
      <c r="M176" s="428"/>
      <c r="N176" s="214"/>
      <c r="O176" s="1612"/>
      <c r="P176" s="1612"/>
      <c r="Q176" s="1612"/>
      <c r="R176" s="1612"/>
      <c r="S176" s="1612"/>
      <c r="T176" s="1612"/>
      <c r="U176" s="1612"/>
      <c r="V176" s="1612"/>
      <c r="W176" s="1612"/>
      <c r="X176" s="1612"/>
      <c r="Y176" s="1612"/>
      <c r="Z176" s="1612"/>
      <c r="AA176" s="1612"/>
      <c r="AB176" s="1613"/>
      <c r="AC176" s="733"/>
    </row>
    <row r="177" spans="1:29">
      <c r="A177" s="224"/>
      <c r="B177" s="737"/>
      <c r="C177" s="214"/>
      <c r="D177" s="214"/>
      <c r="E177" s="214"/>
      <c r="F177" s="214"/>
      <c r="G177" s="214"/>
      <c r="H177" s="738"/>
      <c r="I177" s="739"/>
      <c r="J177" s="739"/>
      <c r="K177" s="739"/>
      <c r="L177" s="739"/>
      <c r="M177" s="740"/>
      <c r="N177" s="214"/>
      <c r="O177" s="1612"/>
      <c r="P177" s="1612"/>
      <c r="Q177" s="1612"/>
      <c r="R177" s="1612"/>
      <c r="S177" s="1612"/>
      <c r="T177" s="1612"/>
      <c r="U177" s="1612"/>
      <c r="V177" s="1612"/>
      <c r="W177" s="1612"/>
      <c r="X177" s="1612"/>
      <c r="Y177" s="1612"/>
      <c r="Z177" s="1612"/>
      <c r="AA177" s="1612"/>
      <c r="AB177" s="1613"/>
      <c r="AC177" s="733"/>
    </row>
    <row r="178" spans="1:29">
      <c r="A178" s="224"/>
      <c r="B178" s="738"/>
      <c r="C178" s="739"/>
      <c r="D178" s="739"/>
      <c r="E178" s="739"/>
      <c r="F178" s="739"/>
      <c r="G178" s="739"/>
      <c r="H178" s="739"/>
      <c r="I178" s="739"/>
      <c r="J178" s="739"/>
      <c r="K178" s="739"/>
      <c r="L178" s="739"/>
      <c r="M178" s="739"/>
      <c r="N178" s="739"/>
      <c r="O178" s="1612"/>
      <c r="P178" s="1612"/>
      <c r="Q178" s="1612"/>
      <c r="R178" s="1612"/>
      <c r="S178" s="1612"/>
      <c r="T178" s="1612"/>
      <c r="U178" s="1612"/>
      <c r="V178" s="1612"/>
      <c r="W178" s="1612"/>
      <c r="X178" s="1612"/>
      <c r="Y178" s="1612"/>
      <c r="Z178" s="1612"/>
      <c r="AA178" s="1612"/>
      <c r="AB178" s="1613"/>
      <c r="AC178" s="733"/>
    </row>
    <row r="179" spans="1:29" ht="15" thickBot="1">
      <c r="A179" s="74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c r="AA179" s="231"/>
      <c r="AB179" s="232"/>
    </row>
  </sheetData>
  <mergeCells count="391">
    <mergeCell ref="M81:O81"/>
    <mergeCell ref="B79:L79"/>
    <mergeCell ref="B80:L80"/>
    <mergeCell ref="B81:L81"/>
    <mergeCell ref="W14:AB14"/>
    <mergeCell ref="P80:R80"/>
    <mergeCell ref="P81:R81"/>
    <mergeCell ref="Q57:S57"/>
    <mergeCell ref="Q58:S58"/>
    <mergeCell ref="Q60:S60"/>
    <mergeCell ref="W72:X72"/>
    <mergeCell ref="Q61:S61"/>
    <mergeCell ref="B66:E66"/>
    <mergeCell ref="W66:X66"/>
    <mergeCell ref="A16:AB16"/>
    <mergeCell ref="X37:Z37"/>
    <mergeCell ref="AA37:AB37"/>
    <mergeCell ref="H37:J37"/>
    <mergeCell ref="K37:M37"/>
    <mergeCell ref="A29:AB29"/>
    <mergeCell ref="N37:Q37"/>
    <mergeCell ref="B46:G46"/>
    <mergeCell ref="H46:J46"/>
    <mergeCell ref="K46:N46"/>
    <mergeCell ref="M126:O126"/>
    <mergeCell ref="M123:O123"/>
    <mergeCell ref="M124:O124"/>
    <mergeCell ref="M125:O125"/>
    <mergeCell ref="C93:G93"/>
    <mergeCell ref="I91:K91"/>
    <mergeCell ref="F67:H67"/>
    <mergeCell ref="I67:K67"/>
    <mergeCell ref="B67:E67"/>
    <mergeCell ref="M82:O82"/>
    <mergeCell ref="B82:L82"/>
    <mergeCell ref="L91:N91"/>
    <mergeCell ref="I72:K72"/>
    <mergeCell ref="B69:E69"/>
    <mergeCell ref="F69:H69"/>
    <mergeCell ref="I68:K68"/>
    <mergeCell ref="I69:K69"/>
    <mergeCell ref="L68:M68"/>
    <mergeCell ref="L69:M69"/>
    <mergeCell ref="F70:H70"/>
    <mergeCell ref="I70:K70"/>
    <mergeCell ref="L70:M70"/>
    <mergeCell ref="B68:E68"/>
    <mergeCell ref="F68:H68"/>
    <mergeCell ref="C137:J137"/>
    <mergeCell ref="C138:J138"/>
    <mergeCell ref="O98:S98"/>
    <mergeCell ref="H98:N98"/>
    <mergeCell ref="I99:K99"/>
    <mergeCell ref="L99:N99"/>
    <mergeCell ref="A121:AB121"/>
    <mergeCell ref="M119:O119"/>
    <mergeCell ref="W94:Y94"/>
    <mergeCell ref="C135:J135"/>
    <mergeCell ref="L100:N100"/>
    <mergeCell ref="C101:G101"/>
    <mergeCell ref="I101:K101"/>
    <mergeCell ref="L101:N101"/>
    <mergeCell ref="L102:N102"/>
    <mergeCell ref="A131:AB131"/>
    <mergeCell ref="C133:J133"/>
    <mergeCell ref="C134:J134"/>
    <mergeCell ref="M133:O133"/>
    <mergeCell ref="M134:O134"/>
    <mergeCell ref="B102:G102"/>
    <mergeCell ref="I102:K102"/>
    <mergeCell ref="P102:S102"/>
    <mergeCell ref="M129:O129"/>
    <mergeCell ref="M127:O127"/>
    <mergeCell ref="Z92:AB92"/>
    <mergeCell ref="Z93:AB93"/>
    <mergeCell ref="T71:V71"/>
    <mergeCell ref="B90:B91"/>
    <mergeCell ref="F71:H71"/>
    <mergeCell ref="I71:K71"/>
    <mergeCell ref="B71:E71"/>
    <mergeCell ref="F72:H72"/>
    <mergeCell ref="Z94:AB94"/>
    <mergeCell ref="B78:R78"/>
    <mergeCell ref="W91:Y91"/>
    <mergeCell ref="N71:P71"/>
    <mergeCell ref="B98:B99"/>
    <mergeCell ref="C98:G99"/>
    <mergeCell ref="P94:R94"/>
    <mergeCell ref="S94:U94"/>
    <mergeCell ref="S93:U93"/>
    <mergeCell ref="I92:K92"/>
    <mergeCell ref="Z91:AB91"/>
    <mergeCell ref="B83:L83"/>
    <mergeCell ref="M83:R83"/>
    <mergeCell ref="M79:O79"/>
    <mergeCell ref="M80:O80"/>
    <mergeCell ref="M140:O140"/>
    <mergeCell ref="O163:AB163"/>
    <mergeCell ref="O164:AB170"/>
    <mergeCell ref="T147:X147"/>
    <mergeCell ref="O171:AB171"/>
    <mergeCell ref="O172:AB178"/>
    <mergeCell ref="H174:N174"/>
    <mergeCell ref="B163:N163"/>
    <mergeCell ref="H164:N164"/>
    <mergeCell ref="H165:N165"/>
    <mergeCell ref="H166:N166"/>
    <mergeCell ref="B171:N171"/>
    <mergeCell ref="H172:N172"/>
    <mergeCell ref="H173:N173"/>
    <mergeCell ref="T156:Y156"/>
    <mergeCell ref="T160:Y160"/>
    <mergeCell ref="T161:Y161"/>
    <mergeCell ref="T150:X150"/>
    <mergeCell ref="C136:J136"/>
    <mergeCell ref="I93:K93"/>
    <mergeCell ref="C100:G100"/>
    <mergeCell ref="I100:K100"/>
    <mergeCell ref="A154:AB154"/>
    <mergeCell ref="M135:O135"/>
    <mergeCell ref="M136:O136"/>
    <mergeCell ref="M137:O137"/>
    <mergeCell ref="M138:O138"/>
    <mergeCell ref="J144:S144"/>
    <mergeCell ref="T144:X144"/>
    <mergeCell ref="J145:S145"/>
    <mergeCell ref="J151:S151"/>
    <mergeCell ref="T151:X151"/>
    <mergeCell ref="J152:S152"/>
    <mergeCell ref="J146:S146"/>
    <mergeCell ref="T145:X145"/>
    <mergeCell ref="J147:S147"/>
    <mergeCell ref="J149:S149"/>
    <mergeCell ref="T149:X149"/>
    <mergeCell ref="T152:X152"/>
    <mergeCell ref="C140:J140"/>
    <mergeCell ref="A142:AB142"/>
    <mergeCell ref="J150:S150"/>
    <mergeCell ref="W93:Y93"/>
    <mergeCell ref="Q67:S67"/>
    <mergeCell ref="Q72:S72"/>
    <mergeCell ref="T72:V72"/>
    <mergeCell ref="T70:V70"/>
    <mergeCell ref="W70:X70"/>
    <mergeCell ref="W69:X69"/>
    <mergeCell ref="W71:X71"/>
    <mergeCell ref="W67:X67"/>
    <mergeCell ref="O90:U90"/>
    <mergeCell ref="V90:AB90"/>
    <mergeCell ref="P91:R91"/>
    <mergeCell ref="S91:U91"/>
    <mergeCell ref="Q70:S70"/>
    <mergeCell ref="E74:AA75"/>
    <mergeCell ref="L67:M67"/>
    <mergeCell ref="L72:M72"/>
    <mergeCell ref="H90:N90"/>
    <mergeCell ref="A85:AB85"/>
    <mergeCell ref="B70:E70"/>
    <mergeCell ref="A72:E72"/>
    <mergeCell ref="C90:G91"/>
    <mergeCell ref="W68:X68"/>
    <mergeCell ref="C92:G92"/>
    <mergeCell ref="B35:G35"/>
    <mergeCell ref="H35:J35"/>
    <mergeCell ref="K35:M35"/>
    <mergeCell ref="K44:N44"/>
    <mergeCell ref="R36:V36"/>
    <mergeCell ref="T46:AA46"/>
    <mergeCell ref="Q68:S68"/>
    <mergeCell ref="N57:P57"/>
    <mergeCell ref="L58:M58"/>
    <mergeCell ref="F58:H58"/>
    <mergeCell ref="L57:M57"/>
    <mergeCell ref="Q59:S59"/>
    <mergeCell ref="T59:V59"/>
    <mergeCell ref="I66:K66"/>
    <mergeCell ref="W57:X57"/>
    <mergeCell ref="F57:H57"/>
    <mergeCell ref="I57:K57"/>
    <mergeCell ref="Q56:S56"/>
    <mergeCell ref="W56:X56"/>
    <mergeCell ref="A54:E54"/>
    <mergeCell ref="F56:H56"/>
    <mergeCell ref="A48:G48"/>
    <mergeCell ref="O48:S48"/>
    <mergeCell ref="A37:G37"/>
    <mergeCell ref="H18:J18"/>
    <mergeCell ref="K18:N18"/>
    <mergeCell ref="N32:Q32"/>
    <mergeCell ref="N33:Q33"/>
    <mergeCell ref="H32:J32"/>
    <mergeCell ref="B36:G36"/>
    <mergeCell ref="H36:J36"/>
    <mergeCell ref="R32:V32"/>
    <mergeCell ref="R33:V33"/>
    <mergeCell ref="B32:G32"/>
    <mergeCell ref="B33:G33"/>
    <mergeCell ref="B34:G34"/>
    <mergeCell ref="K32:M32"/>
    <mergeCell ref="T18:AA18"/>
    <mergeCell ref="T19:AA19"/>
    <mergeCell ref="T20:AA20"/>
    <mergeCell ref="T21:AA21"/>
    <mergeCell ref="T22:AA22"/>
    <mergeCell ref="T23:AA23"/>
    <mergeCell ref="T24:AA24"/>
    <mergeCell ref="A24:G24"/>
    <mergeCell ref="B22:G22"/>
    <mergeCell ref="K34:M34"/>
    <mergeCell ref="K36:M36"/>
    <mergeCell ref="T67:V67"/>
    <mergeCell ref="T66:V66"/>
    <mergeCell ref="L66:M66"/>
    <mergeCell ref="N66:P66"/>
    <mergeCell ref="Q66:S66"/>
    <mergeCell ref="E63:AA64"/>
    <mergeCell ref="N67:P67"/>
    <mergeCell ref="N68:P68"/>
    <mergeCell ref="N69:P69"/>
    <mergeCell ref="N34:Q34"/>
    <mergeCell ref="T61:V61"/>
    <mergeCell ref="T58:V58"/>
    <mergeCell ref="R35:V35"/>
    <mergeCell ref="N35:Q35"/>
    <mergeCell ref="R34:V34"/>
    <mergeCell ref="O46:S46"/>
    <mergeCell ref="H48:J48"/>
    <mergeCell ref="I58:K58"/>
    <mergeCell ref="N58:P58"/>
    <mergeCell ref="N59:P59"/>
    <mergeCell ref="F60:H60"/>
    <mergeCell ref="I60:K60"/>
    <mergeCell ref="A53:AB53"/>
    <mergeCell ref="L56:M56"/>
    <mergeCell ref="N56:P56"/>
    <mergeCell ref="W59:X59"/>
    <mergeCell ref="T47:AA47"/>
    <mergeCell ref="T48:AA48"/>
    <mergeCell ref="T44:AA44"/>
    <mergeCell ref="R37:V37"/>
    <mergeCell ref="N36:Q36"/>
    <mergeCell ref="A42:AB42"/>
    <mergeCell ref="T45:AA45"/>
    <mergeCell ref="L71:M71"/>
    <mergeCell ref="Q71:S71"/>
    <mergeCell ref="F66:H66"/>
    <mergeCell ref="B60:E60"/>
    <mergeCell ref="B58:E58"/>
    <mergeCell ref="K48:N48"/>
    <mergeCell ref="B44:G44"/>
    <mergeCell ref="H44:J44"/>
    <mergeCell ref="A65:D65"/>
    <mergeCell ref="B57:E57"/>
    <mergeCell ref="A61:E61"/>
    <mergeCell ref="I56:K56"/>
    <mergeCell ref="B56:E56"/>
    <mergeCell ref="F61:H61"/>
    <mergeCell ref="I61:K61"/>
    <mergeCell ref="F59:H59"/>
    <mergeCell ref="I59:K59"/>
    <mergeCell ref="L59:M59"/>
    <mergeCell ref="L60:M60"/>
    <mergeCell ref="N60:P60"/>
    <mergeCell ref="I65:K65"/>
    <mergeCell ref="E50:AA51"/>
    <mergeCell ref="F55:H55"/>
    <mergeCell ref="I55:K55"/>
    <mergeCell ref="A1:AB1"/>
    <mergeCell ref="B18:G18"/>
    <mergeCell ref="G14:L14"/>
    <mergeCell ref="A5:E5"/>
    <mergeCell ref="G5:L5"/>
    <mergeCell ref="A3:AB3"/>
    <mergeCell ref="B7:D7"/>
    <mergeCell ref="F7:H7"/>
    <mergeCell ref="I7:K7"/>
    <mergeCell ref="M7:O7"/>
    <mergeCell ref="P7:R7"/>
    <mergeCell ref="S7:U7"/>
    <mergeCell ref="O18:S18"/>
    <mergeCell ref="I9:K9"/>
    <mergeCell ref="I10:K10"/>
    <mergeCell ref="I11:K11"/>
    <mergeCell ref="B8:D8"/>
    <mergeCell ref="B9:D9"/>
    <mergeCell ref="B10:D10"/>
    <mergeCell ref="B11:D11"/>
    <mergeCell ref="M8:O8"/>
    <mergeCell ref="M9:O9"/>
    <mergeCell ref="P8:R8"/>
    <mergeCell ref="P9:R9"/>
    <mergeCell ref="AO117:AP117"/>
    <mergeCell ref="L88:M88"/>
    <mergeCell ref="B88:J88"/>
    <mergeCell ref="B104:J104"/>
    <mergeCell ref="A108:AB108"/>
    <mergeCell ref="M111:O111"/>
    <mergeCell ref="M114:O114"/>
    <mergeCell ref="M117:O117"/>
    <mergeCell ref="U103:W103"/>
    <mergeCell ref="S92:U92"/>
    <mergeCell ref="M104:O104"/>
    <mergeCell ref="M105:O105"/>
    <mergeCell ref="M106:O106"/>
    <mergeCell ref="L92:N92"/>
    <mergeCell ref="L93:N93"/>
    <mergeCell ref="P92:R92"/>
    <mergeCell ref="P93:R93"/>
    <mergeCell ref="P100:S100"/>
    <mergeCell ref="P99:S99"/>
    <mergeCell ref="P101:S101"/>
    <mergeCell ref="L94:N94"/>
    <mergeCell ref="B94:G94"/>
    <mergeCell ref="I94:K94"/>
    <mergeCell ref="W92:Y92"/>
    <mergeCell ref="N72:P72"/>
    <mergeCell ref="T55:V55"/>
    <mergeCell ref="W55:X55"/>
    <mergeCell ref="O19:S19"/>
    <mergeCell ref="B19:G19"/>
    <mergeCell ref="H19:J19"/>
    <mergeCell ref="B20:G20"/>
    <mergeCell ref="N31:Q31"/>
    <mergeCell ref="R31:V31"/>
    <mergeCell ref="E26:AA27"/>
    <mergeCell ref="E39:AA40"/>
    <mergeCell ref="H31:J31"/>
    <mergeCell ref="K31:M31"/>
    <mergeCell ref="B31:G31"/>
    <mergeCell ref="H21:J21"/>
    <mergeCell ref="H24:J24"/>
    <mergeCell ref="K19:N19"/>
    <mergeCell ref="K20:N20"/>
    <mergeCell ref="K21:N21"/>
    <mergeCell ref="N61:P61"/>
    <mergeCell ref="H33:J33"/>
    <mergeCell ref="K33:M33"/>
    <mergeCell ref="H34:J34"/>
    <mergeCell ref="L55:M55"/>
    <mergeCell ref="P10:R10"/>
    <mergeCell ref="P11:R11"/>
    <mergeCell ref="F8:H8"/>
    <mergeCell ref="F9:H9"/>
    <mergeCell ref="F10:H10"/>
    <mergeCell ref="W10:AB10"/>
    <mergeCell ref="S8:U8"/>
    <mergeCell ref="S9:U9"/>
    <mergeCell ref="S10:U10"/>
    <mergeCell ref="F11:H11"/>
    <mergeCell ref="I8:K8"/>
    <mergeCell ref="M11:O11"/>
    <mergeCell ref="S11:U11"/>
    <mergeCell ref="M10:O10"/>
    <mergeCell ref="W8:AB8"/>
    <mergeCell ref="H23:J23"/>
    <mergeCell ref="K22:N22"/>
    <mergeCell ref="K23:N23"/>
    <mergeCell ref="O21:S21"/>
    <mergeCell ref="O24:S24"/>
    <mergeCell ref="O22:S22"/>
    <mergeCell ref="O23:S23"/>
    <mergeCell ref="B21:G21"/>
    <mergeCell ref="H20:J20"/>
    <mergeCell ref="K24:N24"/>
    <mergeCell ref="O20:S20"/>
    <mergeCell ref="B23:G23"/>
    <mergeCell ref="H22:J22"/>
    <mergeCell ref="N70:P70"/>
    <mergeCell ref="Q55:S55"/>
    <mergeCell ref="T56:V56"/>
    <mergeCell ref="B45:G45"/>
    <mergeCell ref="H45:J45"/>
    <mergeCell ref="K45:N45"/>
    <mergeCell ref="O45:S45"/>
    <mergeCell ref="O44:S44"/>
    <mergeCell ref="W61:X61"/>
    <mergeCell ref="T60:V60"/>
    <mergeCell ref="W60:X60"/>
    <mergeCell ref="W58:X58"/>
    <mergeCell ref="T57:V57"/>
    <mergeCell ref="L61:M61"/>
    <mergeCell ref="B55:E55"/>
    <mergeCell ref="N55:P55"/>
    <mergeCell ref="B59:E59"/>
    <mergeCell ref="T68:V68"/>
    <mergeCell ref="Q69:S69"/>
    <mergeCell ref="T69:V69"/>
    <mergeCell ref="B47:G47"/>
    <mergeCell ref="H47:J47"/>
    <mergeCell ref="K47:N47"/>
    <mergeCell ref="O47:S47"/>
  </mergeCells>
  <dataValidations count="2">
    <dataValidation type="list" allowBlank="1" showInputMessage="1" showErrorMessage="1" sqref="Y56:Y60 Y67:Y71">
      <formula1>"Flat,Efektif"</formula1>
    </dataValidation>
    <dataValidation type="list" allowBlank="1" showInputMessage="1" showErrorMessage="1" sqref="AA56:AA60 AA67:AA71">
      <formula1>"Ya,Tidak"</formula1>
    </dataValidation>
  </dataValidations>
  <pageMargins left="0.25" right="0.25" top="0.5" bottom="0.75" header="0.3" footer="0.3"/>
  <pageSetup paperSize="5" scale="65" fitToHeight="0" orientation="portrait" r:id="rId1"/>
  <rowBreaks count="1" manualBreakCount="1">
    <brk id="96"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X145"/>
  <sheetViews>
    <sheetView topLeftCell="A115" zoomScale="120" zoomScaleNormal="120" zoomScaleSheetLayoutView="80" workbookViewId="0">
      <selection activeCell="A110" sqref="A110:Y110"/>
    </sheetView>
  </sheetViews>
  <sheetFormatPr defaultColWidth="9.109375" defaultRowHeight="14.4"/>
  <cols>
    <col min="1" max="1" width="3.44140625" style="234" customWidth="1"/>
    <col min="2" max="5" width="3.44140625" style="154" customWidth="1"/>
    <col min="6" max="6" width="5.109375" style="154" customWidth="1"/>
    <col min="7" max="7" width="7.6640625" style="154" customWidth="1"/>
    <col min="8" max="8" width="8" style="154" customWidth="1"/>
    <col min="9" max="10" width="3.44140625" style="154" customWidth="1"/>
    <col min="11" max="11" width="9.6640625" style="154" customWidth="1"/>
    <col min="12" max="12" width="6.44140625" style="234" customWidth="1"/>
    <col min="13" max="16" width="3.44140625" style="154" customWidth="1"/>
    <col min="17" max="17" width="15.44140625" style="154" customWidth="1"/>
    <col min="18" max="21" width="3.44140625" style="154" customWidth="1"/>
    <col min="22" max="22" width="2.33203125" style="154" customWidth="1"/>
    <col min="23" max="23" width="2.44140625" style="154" customWidth="1"/>
    <col min="24" max="24" width="1.44140625" style="154" customWidth="1"/>
    <col min="25" max="25" width="2" style="154" customWidth="1"/>
    <col min="26" max="26" width="9.109375" style="154"/>
    <col min="27" max="27" width="14.88671875" style="154" hidden="1" customWidth="1"/>
    <col min="28" max="28" width="13.109375" style="154" hidden="1" customWidth="1"/>
    <col min="29" max="29" width="13.88671875" style="154" hidden="1" customWidth="1"/>
    <col min="30" max="30" width="14.44140625" style="154" hidden="1" customWidth="1"/>
    <col min="31" max="40" width="9.109375" style="154" hidden="1" customWidth="1"/>
    <col min="41" max="41" width="14.109375" style="154" hidden="1" customWidth="1"/>
    <col min="42" max="50" width="9.109375" style="154" hidden="1" customWidth="1"/>
    <col min="51" max="16384" width="9.109375" style="154"/>
  </cols>
  <sheetData>
    <row r="1" spans="1:42" ht="3.75" customHeight="1">
      <c r="A1" s="1753"/>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5"/>
    </row>
    <row r="2" spans="1:42" s="350" customFormat="1" ht="16.5" customHeight="1">
      <c r="A2" s="1773" t="s">
        <v>1194</v>
      </c>
      <c r="B2" s="1774"/>
      <c r="C2" s="1774"/>
      <c r="D2" s="1774"/>
      <c r="E2" s="1774"/>
      <c r="F2" s="1774"/>
      <c r="G2" s="1774"/>
      <c r="H2" s="1774"/>
      <c r="I2" s="1774"/>
      <c r="J2" s="1774"/>
      <c r="K2" s="1774"/>
      <c r="L2" s="1774"/>
      <c r="M2" s="1774"/>
      <c r="N2" s="1774"/>
      <c r="O2" s="1774"/>
      <c r="P2" s="1774"/>
      <c r="Q2" s="1774"/>
      <c r="R2" s="1774"/>
      <c r="S2" s="1774"/>
      <c r="T2" s="1774"/>
      <c r="U2" s="1774"/>
      <c r="V2" s="1774"/>
      <c r="W2" s="1774"/>
      <c r="X2" s="1774"/>
      <c r="Y2" s="1775"/>
      <c r="AA2" s="64" t="s">
        <v>728</v>
      </c>
      <c r="AB2" s="64" t="s">
        <v>729</v>
      </c>
      <c r="AC2" s="64"/>
      <c r="AD2" s="64"/>
      <c r="AE2" s="64"/>
      <c r="AF2" s="64"/>
    </row>
    <row r="3" spans="1:42" s="350" customFormat="1" ht="15.6">
      <c r="A3" s="498"/>
      <c r="B3" s="966" t="s">
        <v>1193</v>
      </c>
      <c r="C3" s="487"/>
      <c r="D3" s="487"/>
      <c r="E3" s="487"/>
      <c r="F3" s="487" t="s">
        <v>0</v>
      </c>
      <c r="G3" s="1766">
        <f>'Informasi Pokok'!D5</f>
      </c>
      <c r="H3" s="1767"/>
      <c r="I3" s="1767"/>
      <c r="J3" s="1767"/>
      <c r="K3" s="1767"/>
      <c r="L3" s="1767"/>
      <c r="M3" s="1767"/>
      <c r="N3" s="1767"/>
      <c r="O3" s="1767"/>
      <c r="P3" s="1767"/>
      <c r="Q3" s="1767"/>
      <c r="R3" s="1767"/>
      <c r="S3" s="1767"/>
      <c r="T3" s="1767"/>
      <c r="U3" s="1767"/>
      <c r="V3" s="1767"/>
      <c r="W3" s="1767"/>
      <c r="X3" s="1768"/>
      <c r="Y3" s="446"/>
      <c r="AA3" s="64">
        <v>10</v>
      </c>
      <c r="AB3" s="64" t="s">
        <v>652</v>
      </c>
      <c r="AC3" s="64" t="s">
        <v>687</v>
      </c>
      <c r="AD3" s="64" t="s">
        <v>679</v>
      </c>
      <c r="AE3" s="64" t="s">
        <v>680</v>
      </c>
      <c r="AF3" s="578" t="s">
        <v>778</v>
      </c>
      <c r="AG3" s="454" t="s">
        <v>779</v>
      </c>
      <c r="AH3" s="454" t="s">
        <v>780</v>
      </c>
      <c r="AI3" s="579" t="s">
        <v>910</v>
      </c>
      <c r="AJ3" s="454" t="s">
        <v>911</v>
      </c>
      <c r="AK3" s="579" t="s">
        <v>912</v>
      </c>
      <c r="AL3" s="454" t="s">
        <v>681</v>
      </c>
      <c r="AM3" s="579" t="s">
        <v>913</v>
      </c>
      <c r="AN3" s="579" t="s">
        <v>914</v>
      </c>
      <c r="AO3" s="580">
        <f t="shared" ref="AO3:AO8" si="0">$J$76-$J$77-$J$78</f>
      </c>
      <c r="AP3" s="454" t="s">
        <v>758</v>
      </c>
    </row>
    <row r="4" spans="1:42" s="350" customFormat="1" ht="15.6">
      <c r="A4" s="498"/>
      <c r="B4" s="966" t="s">
        <v>633</v>
      </c>
      <c r="C4" s="487"/>
      <c r="D4" s="487"/>
      <c r="E4" s="487"/>
      <c r="F4" s="487" t="s">
        <v>0</v>
      </c>
      <c r="G4" s="1769">
        <f ca="1">TODAY()</f>
      </c>
      <c r="H4" s="1769"/>
      <c r="I4" s="1769"/>
      <c r="J4" s="1769"/>
      <c r="K4" s="1769"/>
      <c r="L4" s="1769"/>
      <c r="M4" s="1769"/>
      <c r="N4" s="1769"/>
      <c r="O4" s="1769"/>
      <c r="P4" s="1769"/>
      <c r="Q4" s="1769"/>
      <c r="R4" s="1769"/>
      <c r="S4" s="1769"/>
      <c r="T4" s="1769"/>
      <c r="U4" s="1769"/>
      <c r="V4" s="1769"/>
      <c r="W4" s="1769"/>
      <c r="X4" s="1770"/>
      <c r="Y4" s="446"/>
      <c r="AA4" s="64">
        <v>11</v>
      </c>
      <c r="AB4" s="64" t="s">
        <v>730</v>
      </c>
      <c r="AC4" s="64" t="s">
        <v>687</v>
      </c>
      <c r="AD4" s="64" t="s">
        <v>679</v>
      </c>
      <c r="AE4" s="64" t="s">
        <v>680</v>
      </c>
      <c r="AF4" s="578" t="s">
        <v>778</v>
      </c>
      <c r="AG4" s="454" t="s">
        <v>779</v>
      </c>
      <c r="AH4" s="454" t="s">
        <v>780</v>
      </c>
      <c r="AI4" s="579" t="s">
        <v>910</v>
      </c>
      <c r="AJ4" s="454" t="s">
        <v>911</v>
      </c>
      <c r="AK4" s="579" t="s">
        <v>912</v>
      </c>
      <c r="AL4" s="454" t="s">
        <v>681</v>
      </c>
      <c r="AM4" s="579" t="s">
        <v>913</v>
      </c>
      <c r="AN4" s="579" t="s">
        <v>914</v>
      </c>
      <c r="AO4" s="580">
        <f t="shared" si="0"/>
      </c>
      <c r="AP4" s="454" t="s">
        <v>758</v>
      </c>
    </row>
    <row r="5" spans="1:42" s="350" customFormat="1" ht="15.6">
      <c r="A5" s="498"/>
      <c r="B5" s="966" t="s">
        <v>634</v>
      </c>
      <c r="C5" s="487"/>
      <c r="D5" s="487"/>
      <c r="E5" s="487"/>
      <c r="F5" s="487" t="s">
        <v>0</v>
      </c>
      <c r="G5" s="1771" t="s">
        <v>635</v>
      </c>
      <c r="H5" s="1771"/>
      <c r="I5" s="1771"/>
      <c r="J5" s="1771"/>
      <c r="K5" s="1771"/>
      <c r="L5" s="1771"/>
      <c r="M5" s="1771"/>
      <c r="N5" s="1771"/>
      <c r="O5" s="1771"/>
      <c r="P5" s="1771"/>
      <c r="Q5" s="1771"/>
      <c r="R5" s="1771"/>
      <c r="S5" s="1771"/>
      <c r="T5" s="1771"/>
      <c r="U5" s="1771"/>
      <c r="V5" s="1771"/>
      <c r="W5" s="1771"/>
      <c r="X5" s="1772"/>
      <c r="Y5" s="446"/>
      <c r="AA5" s="64">
        <v>20</v>
      </c>
      <c r="AB5" s="64" t="s">
        <v>653</v>
      </c>
      <c r="AC5" s="64" t="s">
        <v>687</v>
      </c>
      <c r="AD5" s="64" t="s">
        <v>679</v>
      </c>
      <c r="AE5" s="64" t="s">
        <v>680</v>
      </c>
      <c r="AF5" s="578" t="s">
        <v>778</v>
      </c>
      <c r="AG5" s="454" t="s">
        <v>779</v>
      </c>
      <c r="AH5" s="454" t="s">
        <v>780</v>
      </c>
      <c r="AI5" s="579" t="s">
        <v>910</v>
      </c>
      <c r="AJ5" s="454" t="s">
        <v>911</v>
      </c>
      <c r="AK5" s="579" t="s">
        <v>912</v>
      </c>
      <c r="AL5" s="454" t="s">
        <v>681</v>
      </c>
      <c r="AM5" s="579" t="s">
        <v>913</v>
      </c>
      <c r="AN5" s="579" t="s">
        <v>914</v>
      </c>
      <c r="AO5" s="580">
        <f t="shared" si="0"/>
      </c>
      <c r="AP5" s="454" t="s">
        <v>758</v>
      </c>
    </row>
    <row r="6" spans="1:42" s="350" customFormat="1" ht="15.6">
      <c r="A6" s="498"/>
      <c r="B6" s="966" t="s">
        <v>636</v>
      </c>
      <c r="C6" s="487"/>
      <c r="D6" s="487"/>
      <c r="E6" s="487"/>
      <c r="F6" s="487" t="s">
        <v>0</v>
      </c>
      <c r="G6" s="1771" t="s">
        <v>637</v>
      </c>
      <c r="H6" s="1771"/>
      <c r="I6" s="1771"/>
      <c r="J6" s="1771"/>
      <c r="K6" s="1771"/>
      <c r="L6" s="1771"/>
      <c r="M6" s="1771"/>
      <c r="N6" s="1771"/>
      <c r="O6" s="1771"/>
      <c r="P6" s="1771"/>
      <c r="Q6" s="1771"/>
      <c r="R6" s="1771"/>
      <c r="S6" s="1771"/>
      <c r="T6" s="1771"/>
      <c r="U6" s="1771"/>
      <c r="V6" s="1771"/>
      <c r="W6" s="1771"/>
      <c r="X6" s="1772"/>
      <c r="Y6" s="446"/>
      <c r="AA6" s="64">
        <v>30</v>
      </c>
      <c r="AB6" s="64" t="s">
        <v>654</v>
      </c>
      <c r="AC6" s="64" t="s">
        <v>687</v>
      </c>
      <c r="AD6" s="64" t="s">
        <v>679</v>
      </c>
      <c r="AE6" s="64" t="s">
        <v>680</v>
      </c>
      <c r="AF6" s="578" t="s">
        <v>778</v>
      </c>
      <c r="AG6" s="454" t="s">
        <v>779</v>
      </c>
      <c r="AH6" s="454" t="s">
        <v>780</v>
      </c>
      <c r="AI6" s="579" t="s">
        <v>910</v>
      </c>
      <c r="AJ6" s="454" t="s">
        <v>911</v>
      </c>
      <c r="AK6" s="579" t="s">
        <v>912</v>
      </c>
      <c r="AL6" s="454" t="s">
        <v>681</v>
      </c>
      <c r="AM6" s="579" t="s">
        <v>913</v>
      </c>
      <c r="AN6" s="579" t="s">
        <v>914</v>
      </c>
      <c r="AO6" s="580">
        <f t="shared" si="0"/>
      </c>
      <c r="AP6" s="454" t="s">
        <v>758</v>
      </c>
    </row>
    <row r="7" spans="1:42" s="350" customFormat="1" ht="15.6">
      <c r="A7" s="498"/>
      <c r="B7" s="966" t="s">
        <v>638</v>
      </c>
      <c r="C7" s="487"/>
      <c r="D7" s="487"/>
      <c r="E7" s="487"/>
      <c r="F7" s="487" t="s">
        <v>0</v>
      </c>
      <c r="G7" s="1771">
        <f>"Permohonan Pembiayaan atas nama "&amp;N14</f>
      </c>
      <c r="H7" s="1771"/>
      <c r="I7" s="1771"/>
      <c r="J7" s="1771"/>
      <c r="K7" s="1771"/>
      <c r="L7" s="1771"/>
      <c r="M7" s="1771"/>
      <c r="N7" s="1771"/>
      <c r="O7" s="1771"/>
      <c r="P7" s="1771"/>
      <c r="Q7" s="1771"/>
      <c r="R7" s="1771"/>
      <c r="S7" s="1771"/>
      <c r="T7" s="1771"/>
      <c r="U7" s="1771"/>
      <c r="V7" s="1771"/>
      <c r="W7" s="1771"/>
      <c r="X7" s="1772"/>
      <c r="Y7" s="446"/>
      <c r="AA7" s="64">
        <v>50</v>
      </c>
      <c r="AB7" s="64" t="s">
        <v>655</v>
      </c>
      <c r="AC7" s="64" t="s">
        <v>731</v>
      </c>
      <c r="AD7" s="64" t="s">
        <v>732</v>
      </c>
      <c r="AE7" s="64" t="s">
        <v>733</v>
      </c>
      <c r="AF7" s="578" t="s">
        <v>916</v>
      </c>
      <c r="AG7" s="454" t="s">
        <v>779</v>
      </c>
      <c r="AH7" s="454" t="s">
        <v>780</v>
      </c>
      <c r="AI7" s="579" t="s">
        <v>910</v>
      </c>
      <c r="AJ7" s="454" t="s">
        <v>911</v>
      </c>
      <c r="AK7" s="454" t="s">
        <v>917</v>
      </c>
      <c r="AL7" s="454" t="s">
        <v>918</v>
      </c>
      <c r="AM7" s="454" t="s">
        <v>919</v>
      </c>
      <c r="AN7" s="454" t="s">
        <v>920</v>
      </c>
      <c r="AO7" s="580">
        <f t="shared" si="0"/>
      </c>
      <c r="AP7" s="454" t="s">
        <v>758</v>
      </c>
    </row>
    <row r="8" spans="1:42" s="350" customFormat="1" ht="8.25" customHeight="1">
      <c r="A8" s="498"/>
      <c r="B8" s="499"/>
      <c r="C8" s="499"/>
      <c r="D8" s="499"/>
      <c r="E8" s="499"/>
      <c r="F8" s="499"/>
      <c r="G8" s="499"/>
      <c r="H8" s="499"/>
      <c r="I8" s="499"/>
      <c r="J8" s="499"/>
      <c r="K8" s="499"/>
      <c r="L8" s="499"/>
      <c r="M8" s="499"/>
      <c r="N8" s="499"/>
      <c r="O8" s="499"/>
      <c r="P8" s="499"/>
      <c r="Q8" s="499"/>
      <c r="R8" s="499"/>
      <c r="S8" s="499"/>
      <c r="T8" s="453"/>
      <c r="U8" s="453"/>
      <c r="V8" s="453"/>
      <c r="W8" s="453"/>
      <c r="X8" s="453"/>
      <c r="Y8" s="446"/>
      <c r="AA8" s="64">
        <v>51</v>
      </c>
      <c r="AB8" s="64" t="s">
        <v>657</v>
      </c>
      <c r="AC8" s="64" t="s">
        <v>731</v>
      </c>
      <c r="AD8" s="64" t="s">
        <v>732</v>
      </c>
      <c r="AE8" s="64" t="s">
        <v>733</v>
      </c>
      <c r="AF8" s="578" t="s">
        <v>916</v>
      </c>
      <c r="AG8" s="454" t="s">
        <v>779</v>
      </c>
      <c r="AH8" s="454" t="s">
        <v>780</v>
      </c>
      <c r="AI8" s="579" t="s">
        <v>910</v>
      </c>
      <c r="AJ8" s="454" t="s">
        <v>911</v>
      </c>
      <c r="AK8" s="454" t="s">
        <v>917</v>
      </c>
      <c r="AL8" s="454" t="s">
        <v>918</v>
      </c>
      <c r="AM8" s="454" t="s">
        <v>919</v>
      </c>
      <c r="AN8" s="454" t="s">
        <v>920</v>
      </c>
      <c r="AO8" s="580">
        <f t="shared" si="0"/>
      </c>
      <c r="AP8" s="454" t="s">
        <v>758</v>
      </c>
    </row>
    <row r="9" spans="1:42" s="350" customFormat="1" ht="15.6">
      <c r="A9" s="498"/>
      <c r="B9" s="500" t="s">
        <v>1195</v>
      </c>
      <c r="C9" s="447"/>
      <c r="D9" s="447"/>
      <c r="E9" s="447"/>
      <c r="F9" s="447"/>
      <c r="G9" s="447"/>
      <c r="H9" s="447"/>
      <c r="I9" s="447"/>
      <c r="J9" s="447"/>
      <c r="K9" s="447"/>
      <c r="L9" s="447"/>
      <c r="M9" s="447"/>
      <c r="N9" s="447"/>
      <c r="O9" s="447"/>
      <c r="P9" s="447"/>
      <c r="Q9" s="447"/>
      <c r="R9" s="447"/>
      <c r="S9" s="501"/>
      <c r="T9" s="453"/>
      <c r="U9" s="453"/>
      <c r="V9" s="453"/>
      <c r="W9" s="453"/>
      <c r="X9" s="453"/>
      <c r="Y9" s="446"/>
      <c r="AA9" s="64">
        <v>70</v>
      </c>
      <c r="AB9" s="64" t="s">
        <v>659</v>
      </c>
      <c r="AC9" s="350" t="s">
        <v>761</v>
      </c>
      <c r="AD9" s="64" t="s">
        <v>898</v>
      </c>
      <c r="AE9" s="64" t="s">
        <v>6</v>
      </c>
      <c r="AF9" s="578" t="s">
        <v>924</v>
      </c>
      <c r="AG9" s="454" t="s">
        <v>925</v>
      </c>
      <c r="AH9" s="579" t="s">
        <v>926</v>
      </c>
      <c r="AI9" s="579" t="s">
        <v>910</v>
      </c>
      <c r="AJ9" s="454" t="s">
        <v>911</v>
      </c>
      <c r="AK9" s="579" t="s">
        <v>980</v>
      </c>
      <c r="AL9" s="454" t="s">
        <v>681</v>
      </c>
      <c r="AM9" s="579" t="s">
        <v>983</v>
      </c>
      <c r="AN9" s="579" t="s">
        <v>981</v>
      </c>
      <c r="AO9" s="580">
        <f>$J$76-$J$77</f>
      </c>
      <c r="AP9" s="454" t="s">
        <v>982</v>
      </c>
    </row>
    <row r="10" spans="1:42" s="350" customFormat="1" ht="15.6">
      <c r="A10" s="498"/>
      <c r="B10" s="447">
        <f>"Kami sampaikan Memorandum Usulan Pembiayaan atas nama "&amp;N14&amp;" dengan hal-hal sebagai berikut:"</f>
      </c>
      <c r="C10" s="447"/>
      <c r="D10" s="447"/>
      <c r="E10" s="447"/>
      <c r="F10" s="447"/>
      <c r="G10" s="447"/>
      <c r="H10" s="447"/>
      <c r="I10" s="447"/>
      <c r="J10" s="447"/>
      <c r="K10" s="447"/>
      <c r="L10" s="447"/>
      <c r="M10" s="447"/>
      <c r="N10" s="447"/>
      <c r="O10" s="447"/>
      <c r="P10" s="447"/>
      <c r="Q10" s="447"/>
      <c r="R10" s="447"/>
      <c r="S10" s="501"/>
      <c r="T10" s="453"/>
      <c r="U10" s="453"/>
      <c r="V10" s="453"/>
      <c r="W10" s="453"/>
      <c r="X10" s="453"/>
      <c r="Y10" s="446"/>
      <c r="AA10" s="64">
        <v>60</v>
      </c>
      <c r="AB10" s="64" t="s">
        <v>658</v>
      </c>
      <c r="AC10" s="64" t="s">
        <v>761</v>
      </c>
      <c r="AD10" s="64" t="s">
        <v>898</v>
      </c>
      <c r="AE10" s="64" t="s">
        <v>6</v>
      </c>
      <c r="AF10" s="578" t="s">
        <v>924</v>
      </c>
      <c r="AG10" s="454" t="s">
        <v>925</v>
      </c>
      <c r="AH10" s="579" t="s">
        <v>926</v>
      </c>
      <c r="AI10" s="579" t="s">
        <v>910</v>
      </c>
      <c r="AJ10" s="454" t="s">
        <v>911</v>
      </c>
      <c r="AK10" s="579" t="s">
        <v>980</v>
      </c>
      <c r="AL10" s="454" t="s">
        <v>681</v>
      </c>
      <c r="AM10" s="579" t="s">
        <v>983</v>
      </c>
      <c r="AN10" s="579" t="s">
        <v>981</v>
      </c>
      <c r="AO10" s="580">
        <f>$J$76-$J$77</f>
      </c>
      <c r="AP10" s="454" t="s">
        <v>982</v>
      </c>
    </row>
    <row r="11" spans="1:42" s="350" customFormat="1" ht="6" customHeight="1">
      <c r="A11" s="502"/>
      <c r="B11" s="503"/>
      <c r="C11" s="503"/>
      <c r="D11" s="503"/>
      <c r="E11" s="503"/>
      <c r="F11" s="503"/>
      <c r="G11" s="503"/>
      <c r="H11" s="503"/>
      <c r="I11" s="503"/>
      <c r="J11" s="503"/>
      <c r="K11" s="503"/>
      <c r="L11" s="503"/>
      <c r="M11" s="503"/>
      <c r="N11" s="503"/>
      <c r="O11" s="503"/>
      <c r="P11" s="503"/>
      <c r="Q11" s="503"/>
      <c r="R11" s="503"/>
      <c r="S11" s="503"/>
      <c r="T11" s="448"/>
      <c r="U11" s="448"/>
      <c r="V11" s="448"/>
      <c r="W11" s="448"/>
      <c r="X11" s="448"/>
      <c r="Y11" s="504"/>
      <c r="AA11" s="64">
        <v>65</v>
      </c>
      <c r="AB11" s="578" t="s">
        <v>978</v>
      </c>
      <c r="AC11" s="64" t="s">
        <v>897</v>
      </c>
      <c r="AD11" s="578" t="s">
        <v>927</v>
      </c>
      <c r="AE11" s="578" t="s">
        <v>733</v>
      </c>
      <c r="AF11" s="578" t="s">
        <v>921</v>
      </c>
      <c r="AG11" s="454" t="s">
        <v>922</v>
      </c>
      <c r="AH11" s="454" t="s">
        <v>928</v>
      </c>
      <c r="AI11" s="454" t="s">
        <v>929</v>
      </c>
      <c r="AJ11" s="454" t="s">
        <v>923</v>
      </c>
      <c r="AK11" s="454" t="s">
        <v>917</v>
      </c>
      <c r="AL11" s="454" t="s">
        <v>918</v>
      </c>
      <c r="AM11" s="454" t="s">
        <v>930</v>
      </c>
      <c r="AN11" s="454" t="s">
        <v>920</v>
      </c>
      <c r="AO11" s="580">
        <f>J76-J79</f>
      </c>
      <c r="AP11" s="454" t="s">
        <v>758</v>
      </c>
    </row>
    <row r="12" spans="1:42" s="350" customFormat="1" ht="18">
      <c r="A12" s="1703" t="s">
        <v>129</v>
      </c>
      <c r="B12" s="1704"/>
      <c r="C12" s="1704"/>
      <c r="D12" s="1704"/>
      <c r="E12" s="1704"/>
      <c r="F12" s="1704"/>
      <c r="G12" s="1704"/>
      <c r="H12" s="1704"/>
      <c r="I12" s="1704"/>
      <c r="J12" s="1704"/>
      <c r="K12" s="1704"/>
      <c r="L12" s="1704"/>
      <c r="M12" s="1704"/>
      <c r="N12" s="1704"/>
      <c r="O12" s="1704"/>
      <c r="P12" s="1704"/>
      <c r="Q12" s="1704"/>
      <c r="R12" s="1704"/>
      <c r="S12" s="1704"/>
      <c r="T12" s="1704"/>
      <c r="U12" s="1704"/>
      <c r="V12" s="1704"/>
      <c r="W12" s="1704"/>
      <c r="X12" s="1704"/>
      <c r="Y12" s="1705"/>
      <c r="AA12" s="64">
        <v>52</v>
      </c>
      <c r="AB12" s="578" t="s">
        <v>979</v>
      </c>
      <c r="AC12" s="64" t="s">
        <v>731</v>
      </c>
      <c r="AD12" s="64" t="s">
        <v>732</v>
      </c>
      <c r="AE12" s="64" t="s">
        <v>733</v>
      </c>
      <c r="AF12" s="578" t="s">
        <v>921</v>
      </c>
      <c r="AG12" s="454" t="s">
        <v>922</v>
      </c>
      <c r="AH12" s="579" t="s">
        <v>910</v>
      </c>
      <c r="AI12" s="579" t="s">
        <v>910</v>
      </c>
      <c r="AJ12" s="454" t="s">
        <v>923</v>
      </c>
      <c r="AK12" s="454" t="s">
        <v>917</v>
      </c>
      <c r="AL12" s="454" t="s">
        <v>918</v>
      </c>
      <c r="AM12" s="454" t="s">
        <v>919</v>
      </c>
      <c r="AN12" s="454" t="s">
        <v>920</v>
      </c>
      <c r="AO12" s="580">
        <f>J77</f>
      </c>
      <c r="AP12" s="454" t="s">
        <v>758</v>
      </c>
    </row>
    <row r="13" spans="1:42" s="350" customFormat="1" ht="6" customHeight="1">
      <c r="A13" s="498"/>
      <c r="B13" s="453"/>
      <c r="C13" s="453"/>
      <c r="D13" s="453"/>
      <c r="E13" s="453"/>
      <c r="F13" s="453"/>
      <c r="G13" s="453"/>
      <c r="H13" s="453"/>
      <c r="I13" s="453"/>
      <c r="J13" s="453"/>
      <c r="K13" s="453"/>
      <c r="L13" s="453"/>
      <c r="M13" s="453"/>
      <c r="N13" s="448"/>
      <c r="O13" s="448"/>
      <c r="P13" s="448"/>
      <c r="Q13" s="448"/>
      <c r="R13" s="448"/>
      <c r="S13" s="448"/>
      <c r="T13" s="448"/>
      <c r="U13" s="448"/>
      <c r="V13" s="448"/>
      <c r="W13" s="448"/>
      <c r="X13" s="453"/>
      <c r="Y13" s="446"/>
      <c r="AA13" s="64">
        <v>40</v>
      </c>
      <c r="AB13" s="578" t="s">
        <v>977</v>
      </c>
      <c r="AC13" s="64" t="s">
        <v>761</v>
      </c>
      <c r="AD13" s="579" t="s">
        <v>910</v>
      </c>
      <c r="AE13" s="579" t="s">
        <v>910</v>
      </c>
      <c r="AF13" s="579" t="s">
        <v>910</v>
      </c>
      <c r="AG13" s="579" t="s">
        <v>910</v>
      </c>
      <c r="AH13" s="579" t="s">
        <v>910</v>
      </c>
      <c r="AI13" s="579" t="s">
        <v>910</v>
      </c>
      <c r="AJ13" s="454" t="s">
        <v>911</v>
      </c>
      <c r="AK13" s="581" t="s">
        <v>8</v>
      </c>
      <c r="AL13" s="581" t="s">
        <v>8</v>
      </c>
      <c r="AM13" s="579" t="s">
        <v>915</v>
      </c>
      <c r="AN13" s="579" t="s">
        <v>914</v>
      </c>
      <c r="AO13" s="580">
        <f>J76</f>
      </c>
      <c r="AP13" s="454" t="s">
        <v>758</v>
      </c>
    </row>
    <row r="14" spans="1:42" s="350" customFormat="1" ht="15.6">
      <c r="A14" s="968">
        <v>1</v>
      </c>
      <c r="B14" s="969" t="s">
        <v>128</v>
      </c>
      <c r="C14" s="511"/>
      <c r="D14" s="511"/>
      <c r="E14" s="511"/>
      <c r="F14" s="511"/>
      <c r="G14" s="511"/>
      <c r="H14" s="511"/>
      <c r="I14" s="511"/>
      <c r="J14" s="511"/>
      <c r="K14" s="970"/>
      <c r="L14" s="505" t="s">
        <v>0</v>
      </c>
      <c r="M14" s="497"/>
      <c r="N14" s="1762">
        <f>'Informasi Pokok'!D12</f>
      </c>
      <c r="O14" s="1763"/>
      <c r="P14" s="1763"/>
      <c r="Q14" s="1763"/>
      <c r="R14" s="1764"/>
      <c r="S14" s="1764"/>
      <c r="T14" s="1764"/>
      <c r="U14" s="1764"/>
      <c r="V14" s="1764"/>
      <c r="W14" s="1765"/>
      <c r="X14" s="236"/>
      <c r="Y14" s="242"/>
    </row>
    <row r="15" spans="1:42" s="350" customFormat="1" ht="15.6">
      <c r="A15" s="971">
        <v>2</v>
      </c>
      <c r="B15" s="506" t="s">
        <v>662</v>
      </c>
      <c r="C15" s="236"/>
      <c r="D15" s="236"/>
      <c r="E15" s="236"/>
      <c r="F15" s="236"/>
      <c r="G15" s="236"/>
      <c r="H15" s="236"/>
      <c r="I15" s="236"/>
      <c r="J15" s="236"/>
      <c r="K15" s="972"/>
      <c r="L15" s="505" t="s">
        <v>0</v>
      </c>
      <c r="M15" s="497"/>
      <c r="N15" s="1759">
        <f>'Informasi Pokok'!D67</f>
      </c>
      <c r="O15" s="1760"/>
      <c r="P15" s="1760"/>
      <c r="Q15" s="1761"/>
      <c r="R15" s="236"/>
      <c r="S15" s="236"/>
      <c r="T15" s="236"/>
      <c r="U15" s="236"/>
      <c r="V15" s="236"/>
      <c r="W15" s="236"/>
      <c r="X15" s="236"/>
      <c r="Y15" s="242"/>
      <c r="AA15" s="64"/>
      <c r="AB15" s="64"/>
      <c r="AC15" s="64"/>
      <c r="AD15" s="64"/>
      <c r="AE15" s="579"/>
      <c r="AF15" s="579"/>
      <c r="AG15" s="579"/>
      <c r="AH15" s="579"/>
      <c r="AI15" s="579"/>
      <c r="AJ15" s="454"/>
      <c r="AK15" s="581"/>
      <c r="AL15" s="581"/>
      <c r="AM15" s="579"/>
      <c r="AN15" s="579"/>
      <c r="AO15" s="580"/>
    </row>
    <row r="16" spans="1:42" s="350" customFormat="1" ht="15.6">
      <c r="A16" s="971">
        <v>3</v>
      </c>
      <c r="B16" s="506" t="s">
        <v>149</v>
      </c>
      <c r="C16" s="236"/>
      <c r="D16" s="236"/>
      <c r="E16" s="236"/>
      <c r="F16" s="236"/>
      <c r="G16" s="236"/>
      <c r="H16" s="236"/>
      <c r="I16" s="236"/>
      <c r="J16" s="236"/>
      <c r="K16" s="972"/>
      <c r="L16" s="505" t="s">
        <v>0</v>
      </c>
      <c r="N16" s="1759">
        <f>'Informasi Pokok'!D69</f>
      </c>
      <c r="O16" s="1760"/>
      <c r="P16" s="1760"/>
      <c r="Q16" s="1761"/>
      <c r="R16" s="236"/>
      <c r="S16" s="236"/>
      <c r="T16" s="236"/>
      <c r="U16" s="236"/>
      <c r="V16" s="236"/>
      <c r="W16" s="236"/>
      <c r="X16" s="236"/>
      <c r="Y16" s="242"/>
    </row>
    <row r="17" spans="1:42" s="350" customFormat="1" ht="15.6">
      <c r="A17" s="971">
        <v>4</v>
      </c>
      <c r="B17" s="506" t="s">
        <v>1096</v>
      </c>
      <c r="C17" s="236"/>
      <c r="D17" s="236"/>
      <c r="E17" s="236"/>
      <c r="F17" s="236"/>
      <c r="G17" s="236"/>
      <c r="H17" s="236"/>
      <c r="I17" s="236"/>
      <c r="J17" s="236"/>
      <c r="K17" s="972"/>
      <c r="L17" s="505" t="s">
        <v>0</v>
      </c>
      <c r="M17" s="497"/>
      <c r="N17" s="1756">
        <f>'Informasi Pokok'!D64</f>
      </c>
      <c r="O17" s="1757"/>
      <c r="P17" s="1757"/>
      <c r="Q17" s="1758"/>
      <c r="R17" s="449"/>
      <c r="S17" s="236"/>
      <c r="T17" s="236"/>
      <c r="U17" s="236"/>
      <c r="V17" s="236"/>
      <c r="W17" s="236"/>
      <c r="X17" s="236"/>
      <c r="Y17" s="242"/>
    </row>
    <row r="18" spans="1:42" s="350" customFormat="1" ht="15.6">
      <c r="A18" s="971">
        <v>5</v>
      </c>
      <c r="B18" s="506" t="s">
        <v>681</v>
      </c>
      <c r="C18" s="236"/>
      <c r="D18" s="236"/>
      <c r="E18" s="236"/>
      <c r="F18" s="236"/>
      <c r="G18" s="236"/>
      <c r="H18" s="236"/>
      <c r="I18" s="236"/>
      <c r="J18" s="236"/>
      <c r="K18" s="972"/>
      <c r="L18" s="505" t="s">
        <v>0</v>
      </c>
      <c r="M18" s="497"/>
      <c r="N18" s="1718">
        <f>'Informasi Pokok'!D66</f>
      </c>
      <c r="O18" s="1719"/>
      <c r="P18" s="1719"/>
      <c r="Q18" s="1720"/>
      <c r="R18" s="613">
        <f>'Informasi Pokok'!E66</f>
      </c>
      <c r="S18" s="236"/>
      <c r="T18" s="236"/>
      <c r="U18" s="236"/>
      <c r="V18" s="236"/>
      <c r="W18" s="236"/>
      <c r="X18" s="236"/>
      <c r="Y18" s="242"/>
    </row>
    <row r="19" spans="1:42" s="350" customFormat="1" ht="15.6">
      <c r="A19" s="971">
        <v>6</v>
      </c>
      <c r="B19" s="506" t="s">
        <v>3</v>
      </c>
      <c r="C19" s="236"/>
      <c r="D19" s="236"/>
      <c r="E19" s="236"/>
      <c r="F19" s="236"/>
      <c r="G19" s="236"/>
      <c r="H19" s="236"/>
      <c r="I19" s="236"/>
      <c r="J19" s="236"/>
      <c r="K19" s="972"/>
      <c r="L19" s="505" t="s">
        <v>0</v>
      </c>
      <c r="M19" s="497"/>
      <c r="N19" s="1721">
        <f>'Informasi Pokok'!D65</f>
      </c>
      <c r="O19" s="1722"/>
      <c r="P19" s="1722"/>
      <c r="Q19" s="1723"/>
      <c r="R19" s="449" t="s">
        <v>4</v>
      </c>
      <c r="S19" s="236"/>
      <c r="T19" s="236"/>
      <c r="U19" s="236"/>
      <c r="V19" s="236"/>
      <c r="W19" s="236"/>
      <c r="X19" s="236"/>
      <c r="Y19" s="242"/>
      <c r="AA19" s="64"/>
      <c r="AB19" s="64">
        <f>'Informasi Pokok'!D67</f>
      </c>
      <c r="AC19" s="64">
        <f>VLOOKUP($AB$19,$AB$3:$AO$15,2,0)</f>
      </c>
      <c r="AD19" s="64">
        <f>VLOOKUP($AB$19,$AB$3:$AO$15,3,0)</f>
      </c>
      <c r="AE19" s="64">
        <f>VLOOKUP($AB$19,$AB$3:$AO$15,4,0)</f>
      </c>
      <c r="AF19" s="64">
        <f>VLOOKUP($AB$19,$AB$3:$AO$15,5,0)</f>
      </c>
      <c r="AG19" s="64">
        <f>VLOOKUP($AB$19,$AB$3:$AO$15,6,0)</f>
      </c>
      <c r="AH19" s="64">
        <f>VLOOKUP($AB$19,$AB$3:$AO$15,7,0)</f>
      </c>
      <c r="AI19" s="64">
        <f>VLOOKUP($AB$19,$AB$3:$AO$15,8,0)</f>
      </c>
      <c r="AJ19" s="64">
        <f>VLOOKUP($AB$19,$AB$3:$AO$15,9,0)</f>
      </c>
      <c r="AK19" s="64">
        <f>VLOOKUP($AB$19,$AB$3:$AO$15,10,0)</f>
      </c>
      <c r="AL19" s="64">
        <f>VLOOKUP($AB$19,$AB$3:$AO$15,11,0)</f>
      </c>
      <c r="AM19" s="64">
        <f>VLOOKUP($AB$19,$AB$3:$AO$15,12,0)</f>
      </c>
      <c r="AN19" s="64">
        <f>VLOOKUP($AB$19,$AB$3:$AO$15,13,0)</f>
      </c>
      <c r="AO19" s="606">
        <f>VLOOKUP($AB$19,$AB$3:$AO$15,14,0)</f>
      </c>
      <c r="AP19" s="606">
        <f>VLOOKUP($AB$19,$AB$3:$AP$13,15,0)</f>
      </c>
    </row>
    <row r="20" spans="1:42" s="350" customFormat="1" ht="15.6">
      <c r="A20" s="973">
        <v>7</v>
      </c>
      <c r="B20" s="974" t="s">
        <v>631</v>
      </c>
      <c r="C20" s="975"/>
      <c r="D20" s="975"/>
      <c r="E20" s="975"/>
      <c r="F20" s="975"/>
      <c r="G20" s="975"/>
      <c r="H20" s="975"/>
      <c r="I20" s="975"/>
      <c r="J20" s="975"/>
      <c r="K20" s="976"/>
      <c r="L20" s="505" t="s">
        <v>0</v>
      </c>
      <c r="M20" s="497"/>
      <c r="N20" s="1724">
        <f>IF(R18="Flat",AB20,AC20)</f>
      </c>
      <c r="O20" s="1725"/>
      <c r="P20" s="1725"/>
      <c r="Q20" s="1726"/>
      <c r="R20" s="236"/>
      <c r="S20" s="236"/>
      <c r="T20" s="236"/>
      <c r="U20" s="236"/>
      <c r="V20" s="236"/>
      <c r="W20" s="236"/>
      <c r="X20" s="236"/>
      <c r="Y20" s="242"/>
      <c r="AB20" s="614">
        <f>(N17*N18*N19+N17)/N19</f>
      </c>
      <c r="AC20" s="615">
        <f>PMT(N18,N19,-N17)</f>
      </c>
    </row>
    <row r="21" spans="1:42" s="350" customFormat="1" ht="6.75" customHeight="1">
      <c r="A21" s="451"/>
      <c r="B21" s="506"/>
      <c r="C21" s="236"/>
      <c r="D21" s="236"/>
      <c r="E21" s="236"/>
      <c r="F21" s="236"/>
      <c r="G21" s="236"/>
      <c r="H21" s="236"/>
      <c r="I21" s="236"/>
      <c r="J21" s="236"/>
      <c r="K21" s="236"/>
      <c r="L21" s="497"/>
      <c r="M21" s="497"/>
      <c r="N21" s="507"/>
      <c r="O21" s="507"/>
      <c r="P21" s="507"/>
      <c r="Q21" s="507"/>
      <c r="R21" s="449"/>
      <c r="S21" s="236"/>
      <c r="T21" s="236"/>
      <c r="U21" s="236"/>
      <c r="V21" s="236"/>
      <c r="W21" s="236"/>
      <c r="X21" s="236"/>
      <c r="Y21" s="242"/>
      <c r="AB21" s="508"/>
    </row>
    <row r="22" spans="1:42" s="350" customFormat="1" ht="3" customHeight="1">
      <c r="A22" s="521"/>
      <c r="B22" s="447"/>
      <c r="C22" s="522"/>
      <c r="D22" s="452"/>
      <c r="E22" s="447"/>
      <c r="F22" s="447"/>
      <c r="G22" s="522"/>
      <c r="H22" s="236"/>
      <c r="I22" s="524"/>
      <c r="J22" s="524"/>
      <c r="K22" s="524"/>
      <c r="L22" s="524"/>
      <c r="M22" s="524"/>
      <c r="N22" s="524"/>
      <c r="O22" s="530"/>
      <c r="P22" s="530"/>
      <c r="Q22" s="525"/>
      <c r="R22" s="531"/>
      <c r="S22" s="531"/>
      <c r="T22" s="526"/>
      <c r="U22" s="526"/>
      <c r="V22" s="526"/>
      <c r="W22" s="526"/>
      <c r="X22" s="526"/>
      <c r="Y22" s="518"/>
    </row>
    <row r="23" spans="1:42" s="350" customFormat="1" ht="3" customHeight="1">
      <c r="A23" s="521"/>
      <c r="B23" s="532"/>
      <c r="C23" s="532"/>
      <c r="D23" s="236"/>
      <c r="E23" s="236"/>
      <c r="F23" s="236"/>
      <c r="G23" s="236"/>
      <c r="H23" s="236"/>
      <c r="I23" s="236"/>
      <c r="J23" s="1776"/>
      <c r="K23" s="1776"/>
      <c r="L23" s="1776"/>
      <c r="M23" s="1776"/>
      <c r="N23" s="1776"/>
      <c r="O23" s="1776"/>
      <c r="P23" s="1776"/>
      <c r="Q23" s="1776"/>
      <c r="R23" s="1776"/>
      <c r="S23" s="1776"/>
      <c r="T23" s="517"/>
      <c r="U23" s="517"/>
      <c r="V23" s="517"/>
      <c r="W23" s="517"/>
      <c r="X23" s="517"/>
      <c r="Y23" s="518"/>
    </row>
    <row r="24" spans="1:42" s="350" customFormat="1" ht="18">
      <c r="A24" s="1703" t="s">
        <v>68</v>
      </c>
      <c r="B24" s="1704"/>
      <c r="C24" s="1704"/>
      <c r="D24" s="1704"/>
      <c r="E24" s="1704"/>
      <c r="F24" s="1704"/>
      <c r="G24" s="1704"/>
      <c r="H24" s="1704"/>
      <c r="I24" s="1704"/>
      <c r="J24" s="1704"/>
      <c r="K24" s="1704"/>
      <c r="L24" s="1704"/>
      <c r="M24" s="1704"/>
      <c r="N24" s="1704"/>
      <c r="O24" s="1704"/>
      <c r="P24" s="1704"/>
      <c r="Q24" s="1704"/>
      <c r="R24" s="1704"/>
      <c r="S24" s="1704"/>
      <c r="T24" s="1704"/>
      <c r="U24" s="1704"/>
      <c r="V24" s="1704"/>
      <c r="W24" s="1704"/>
      <c r="X24" s="1704"/>
      <c r="Y24" s="1705"/>
    </row>
    <row r="25" spans="1:42" s="350" customFormat="1" ht="6" customHeight="1">
      <c r="A25" s="498"/>
      <c r="B25" s="453"/>
      <c r="C25" s="453"/>
      <c r="D25" s="453"/>
      <c r="E25" s="453"/>
      <c r="F25" s="453"/>
      <c r="G25" s="453"/>
      <c r="H25" s="453"/>
      <c r="I25" s="453"/>
      <c r="J25" s="453"/>
      <c r="K25" s="453"/>
      <c r="L25" s="453"/>
      <c r="M25" s="453"/>
      <c r="N25" s="448"/>
      <c r="O25" s="448"/>
      <c r="P25" s="448"/>
      <c r="Q25" s="448"/>
      <c r="R25" s="453"/>
      <c r="S25" s="453"/>
      <c r="T25" s="453"/>
      <c r="U25" s="453"/>
      <c r="V25" s="453"/>
      <c r="W25" s="453"/>
      <c r="X25" s="453"/>
      <c r="Y25" s="446"/>
    </row>
    <row r="26" spans="1:42" s="350" customFormat="1">
      <c r="A26" s="451">
        <v>1</v>
      </c>
      <c r="B26" s="449" t="s">
        <v>132</v>
      </c>
      <c r="C26" s="236"/>
      <c r="D26" s="236"/>
      <c r="E26" s="236"/>
      <c r="F26" s="236"/>
      <c r="G26" s="236"/>
      <c r="H26" s="236"/>
      <c r="I26" s="236"/>
      <c r="J26" s="236"/>
      <c r="K26" s="236"/>
      <c r="L26" s="497" t="s">
        <v>0</v>
      </c>
      <c r="M26" s="449" t="s">
        <v>63</v>
      </c>
      <c r="N26" s="1465">
        <f>'Aspek Keuangan'!L102</f>
      </c>
      <c r="O26" s="1466"/>
      <c r="P26" s="1466"/>
      <c r="Q26" s="1467"/>
      <c r="R26" s="236"/>
      <c r="S26" s="236"/>
      <c r="T26" s="236"/>
      <c r="U26" s="236"/>
      <c r="V26" s="236"/>
      <c r="W26" s="236"/>
      <c r="X26" s="236"/>
      <c r="Y26" s="242"/>
      <c r="AA26" s="533">
        <v>1</v>
      </c>
      <c r="AB26" s="534" t="s">
        <v>879</v>
      </c>
      <c r="AC26" s="535" t="s">
        <v>880</v>
      </c>
      <c r="AD26" s="535"/>
      <c r="AE26" s="535"/>
    </row>
    <row r="27" spans="1:42" s="350" customFormat="1">
      <c r="A27" s="451">
        <v>2</v>
      </c>
      <c r="B27" s="449" t="s">
        <v>632</v>
      </c>
      <c r="C27" s="236"/>
      <c r="D27" s="236"/>
      <c r="E27" s="236"/>
      <c r="F27" s="236"/>
      <c r="G27" s="236"/>
      <c r="H27" s="236"/>
      <c r="I27" s="236"/>
      <c r="J27" s="236"/>
      <c r="K27" s="236"/>
      <c r="L27" s="497" t="s">
        <v>0</v>
      </c>
      <c r="M27" s="449" t="s">
        <v>63</v>
      </c>
      <c r="N27" s="1778">
        <f>'Aspek Keuangan'!P102</f>
      </c>
      <c r="O27" s="1778"/>
      <c r="P27" s="1778"/>
      <c r="Q27" s="1778"/>
      <c r="R27" s="236"/>
      <c r="S27" s="236"/>
      <c r="T27" s="236"/>
      <c r="U27" s="236"/>
      <c r="V27" s="236"/>
      <c r="W27" s="236"/>
      <c r="X27" s="236"/>
      <c r="Y27" s="242"/>
      <c r="AA27" s="533">
        <v>0.7</v>
      </c>
      <c r="AB27" s="536" t="s">
        <v>890</v>
      </c>
      <c r="AC27" s="536" t="s">
        <v>891</v>
      </c>
      <c r="AD27" s="536" t="s">
        <v>881</v>
      </c>
      <c r="AE27" s="536" t="s">
        <v>882</v>
      </c>
    </row>
    <row r="28" spans="1:42" s="350" customFormat="1">
      <c r="A28" s="451">
        <v>3</v>
      </c>
      <c r="B28" s="449" t="s">
        <v>9</v>
      </c>
      <c r="C28" s="236"/>
      <c r="D28" s="236"/>
      <c r="E28" s="236"/>
      <c r="F28" s="236"/>
      <c r="G28" s="236"/>
      <c r="H28" s="236"/>
      <c r="I28" s="236"/>
      <c r="J28" s="236"/>
      <c r="K28" s="236"/>
      <c r="L28" s="497" t="s">
        <v>0</v>
      </c>
      <c r="M28" s="449" t="s">
        <v>63</v>
      </c>
      <c r="N28" s="1778">
        <f>N26-N27</f>
      </c>
      <c r="O28" s="1778"/>
      <c r="P28" s="1778"/>
      <c r="Q28" s="1778"/>
      <c r="R28" s="236"/>
      <c r="S28" s="236"/>
      <c r="T28" s="236"/>
      <c r="U28" s="236"/>
      <c r="V28" s="236"/>
      <c r="W28" s="236"/>
      <c r="X28" s="236"/>
      <c r="Y28" s="242"/>
      <c r="AA28" s="533">
        <v>0.75</v>
      </c>
      <c r="AB28" s="536" t="s">
        <v>886</v>
      </c>
      <c r="AC28" s="536" t="s">
        <v>887</v>
      </c>
      <c r="AD28" s="536" t="s">
        <v>888</v>
      </c>
      <c r="AE28" s="536" t="s">
        <v>889</v>
      </c>
    </row>
    <row r="29" spans="1:42" s="350" customFormat="1">
      <c r="A29" s="451">
        <v>4</v>
      </c>
      <c r="B29" s="449" t="s">
        <v>46</v>
      </c>
      <c r="C29" s="236"/>
      <c r="D29" s="236"/>
      <c r="E29" s="236"/>
      <c r="F29" s="236"/>
      <c r="G29" s="236"/>
      <c r="H29" s="236"/>
      <c r="I29" s="236"/>
      <c r="J29" s="236"/>
      <c r="K29" s="236"/>
      <c r="L29" s="453"/>
      <c r="M29" s="236"/>
      <c r="N29" s="236"/>
      <c r="O29" s="236"/>
      <c r="P29" s="236"/>
      <c r="Q29" s="236"/>
      <c r="R29" s="236"/>
      <c r="S29" s="236"/>
      <c r="T29" s="236"/>
      <c r="U29" s="236"/>
      <c r="V29" s="236"/>
      <c r="W29" s="236"/>
      <c r="X29" s="236"/>
      <c r="Y29" s="242"/>
      <c r="AA29" s="533">
        <v>0.8</v>
      </c>
      <c r="AB29" s="536" t="s">
        <v>722</v>
      </c>
      <c r="AC29" s="536" t="s">
        <v>883</v>
      </c>
      <c r="AD29" s="536" t="s">
        <v>884</v>
      </c>
      <c r="AE29" s="536" t="s">
        <v>885</v>
      </c>
    </row>
    <row r="30" spans="1:42" s="350" customFormat="1">
      <c r="A30" s="451"/>
      <c r="B30" s="568" t="s">
        <v>8</v>
      </c>
      <c r="C30" s="449" t="s">
        <v>69</v>
      </c>
      <c r="D30" s="236"/>
      <c r="E30" s="236"/>
      <c r="F30" s="236"/>
      <c r="G30" s="236"/>
      <c r="H30" s="236"/>
      <c r="I30" s="236"/>
      <c r="J30" s="236"/>
      <c r="K30" s="236"/>
      <c r="L30" s="497" t="s">
        <v>0</v>
      </c>
      <c r="M30" s="449" t="s">
        <v>63</v>
      </c>
      <c r="N30" s="1778">
        <f>'Aspek Keuangan'!M119</f>
      </c>
      <c r="O30" s="1778"/>
      <c r="P30" s="1778"/>
      <c r="Q30" s="1778"/>
      <c r="R30" s="236"/>
      <c r="S30" s="236"/>
      <c r="T30" s="236"/>
      <c r="U30" s="236"/>
      <c r="V30" s="236"/>
      <c r="W30" s="236"/>
      <c r="X30" s="236"/>
      <c r="Y30" s="242"/>
      <c r="AA30" s="537">
        <f>N39</f>
      </c>
      <c r="AB30" s="538">
        <f>AA26/AA30</f>
      </c>
      <c r="AC30" s="535"/>
      <c r="AD30" s="535"/>
      <c r="AE30" s="535"/>
    </row>
    <row r="31" spans="1:42" s="350" customFormat="1">
      <c r="A31" s="451"/>
      <c r="B31" s="568" t="s">
        <v>8</v>
      </c>
      <c r="C31" s="449" t="s">
        <v>1095</v>
      </c>
      <c r="D31" s="236"/>
      <c r="E31" s="236"/>
      <c r="F31" s="236"/>
      <c r="G31" s="236"/>
      <c r="H31" s="236"/>
      <c r="I31" s="236"/>
      <c r="J31" s="236"/>
      <c r="K31" s="236"/>
      <c r="L31" s="497" t="s">
        <v>0</v>
      </c>
      <c r="M31" s="449" t="s">
        <v>63</v>
      </c>
      <c r="N31" s="1778">
        <f>'Aspek Keuangan'!M129</f>
      </c>
      <c r="O31" s="1778"/>
      <c r="P31" s="1778"/>
      <c r="Q31" s="1778"/>
      <c r="R31" s="236"/>
      <c r="S31" s="236"/>
      <c r="T31" s="236"/>
      <c r="U31" s="236"/>
      <c r="V31" s="236"/>
      <c r="W31" s="236"/>
      <c r="X31" s="236"/>
      <c r="Y31" s="242"/>
    </row>
    <row r="32" spans="1:42" s="350" customFormat="1">
      <c r="A32" s="451"/>
      <c r="B32" s="568" t="s">
        <v>8</v>
      </c>
      <c r="C32" s="449" t="s">
        <v>70</v>
      </c>
      <c r="D32" s="236"/>
      <c r="E32" s="236"/>
      <c r="F32" s="236"/>
      <c r="G32" s="236"/>
      <c r="H32" s="236"/>
      <c r="I32" s="236"/>
      <c r="J32" s="236"/>
      <c r="K32" s="236"/>
      <c r="L32" s="497" t="s">
        <v>0</v>
      </c>
      <c r="M32" s="449" t="s">
        <v>63</v>
      </c>
      <c r="N32" s="1778">
        <f>'Aspek Keuangan'!M140</f>
      </c>
      <c r="O32" s="1778"/>
      <c r="P32" s="1778"/>
      <c r="Q32" s="1778"/>
      <c r="R32" s="236"/>
      <c r="S32" s="236"/>
      <c r="T32" s="236"/>
      <c r="U32" s="236"/>
      <c r="V32" s="236"/>
      <c r="W32" s="236"/>
      <c r="X32" s="236"/>
      <c r="Y32" s="242"/>
      <c r="AA32" s="539">
        <f>B105</f>
      </c>
      <c r="AB32" s="350">
        <f>VLOOKUP(AA30,AA26:AE29,3,0)</f>
      </c>
    </row>
    <row r="33" spans="1:31" s="350" customFormat="1">
      <c r="A33" s="451">
        <v>5</v>
      </c>
      <c r="B33" s="977" t="s">
        <v>134</v>
      </c>
      <c r="C33" s="449"/>
      <c r="D33" s="236"/>
      <c r="E33" s="236"/>
      <c r="F33" s="236"/>
      <c r="G33" s="236"/>
      <c r="H33" s="236"/>
      <c r="I33" s="236"/>
      <c r="J33" s="236"/>
      <c r="K33" s="236"/>
      <c r="L33" s="497" t="s">
        <v>0</v>
      </c>
      <c r="M33" s="449" t="s">
        <v>63</v>
      </c>
      <c r="N33" s="1778">
        <f>N28-N30-N31-N32</f>
      </c>
      <c r="O33" s="1778"/>
      <c r="P33" s="1778"/>
      <c r="Q33" s="1778"/>
      <c r="R33" s="236"/>
      <c r="S33" s="236"/>
      <c r="T33" s="236"/>
      <c r="U33" s="236"/>
      <c r="V33" s="236"/>
      <c r="W33" s="236"/>
      <c r="X33" s="236"/>
      <c r="Y33" s="242"/>
      <c r="AE33" s="268" t="s">
        <v>722</v>
      </c>
    </row>
    <row r="34" spans="1:31" s="350" customFormat="1">
      <c r="A34" s="451">
        <v>6</v>
      </c>
      <c r="B34" s="978" t="s">
        <v>20</v>
      </c>
      <c r="C34" s="236"/>
      <c r="D34" s="236"/>
      <c r="E34" s="236"/>
      <c r="F34" s="236"/>
      <c r="G34" s="236"/>
      <c r="H34" s="236"/>
      <c r="I34" s="236"/>
      <c r="J34" s="236"/>
      <c r="K34" s="236"/>
      <c r="L34" s="497" t="s">
        <v>0</v>
      </c>
      <c r="M34" s="449" t="s">
        <v>63</v>
      </c>
      <c r="N34" s="1789">
        <f>N33*5%</f>
      </c>
      <c r="O34" s="1790"/>
      <c r="P34" s="1790"/>
      <c r="Q34" s="1790"/>
      <c r="R34" s="236"/>
      <c r="S34" s="236"/>
      <c r="T34" s="236"/>
      <c r="U34" s="236"/>
      <c r="V34" s="236"/>
      <c r="W34" s="236"/>
      <c r="X34" s="236"/>
      <c r="Y34" s="242"/>
      <c r="AA34" s="540">
        <v>0.8</v>
      </c>
      <c r="AB34" s="349">
        <f>IF($AA$61&lt;2.5,"RPC &lt;2.50",IF(AND($AA$61&gt;=2.5,$AA$61&lt;=4),"RPC 2.50 sd. 4",IF(AND($AA$61&gt;4,$AA$61&lt;=6),"RPC &gt;4 sd. 6",IF($AA$61&gt;6,"RPC &gt;6"))))</f>
      </c>
      <c r="AC34" s="349">
        <f>IF($AA$32&lt;1.25,AB29,IF(AND($AA$32&gt;=1.25,$AA$32&lt;=3),AC29,IF(AND($AA$32&gt;3,$AA$32&lt;=5),AD29,IF($AA$32&gt;5,AE29))))</f>
      </c>
      <c r="AE34" s="268" t="s">
        <v>723</v>
      </c>
    </row>
    <row r="35" spans="1:31" s="350" customFormat="1">
      <c r="A35" s="451">
        <v>7</v>
      </c>
      <c r="B35" s="978" t="s">
        <v>133</v>
      </c>
      <c r="C35" s="236"/>
      <c r="D35" s="236"/>
      <c r="E35" s="236"/>
      <c r="F35" s="236"/>
      <c r="G35" s="236"/>
      <c r="H35" s="236"/>
      <c r="I35" s="236"/>
      <c r="J35" s="236"/>
      <c r="K35" s="236"/>
      <c r="L35" s="497" t="s">
        <v>0</v>
      </c>
      <c r="M35" s="449" t="s">
        <v>63</v>
      </c>
      <c r="N35" s="1789">
        <f>N33-N34</f>
      </c>
      <c r="O35" s="1790"/>
      <c r="P35" s="1790"/>
      <c r="Q35" s="1790"/>
      <c r="R35" s="236"/>
      <c r="S35" s="236"/>
      <c r="T35" s="236"/>
      <c r="U35" s="236"/>
      <c r="V35" s="236"/>
      <c r="W35" s="236"/>
      <c r="X35" s="236"/>
      <c r="Y35" s="242"/>
      <c r="AA35" s="540">
        <v>0.75</v>
      </c>
      <c r="AB35" s="349">
        <f>IF($AA$61&lt;2.86,"RPC &lt;2.86",IF(AND($AA$61&gt;=2.86,$AA$61&lt;=4.25),"RPC 2.86 sd. 4.25",IF(AND($AA$61&gt;4.25,$AA$61&lt;=6.5),"RPC &gt;4.25 sd. 6.50",IF($AA$61&gt;6.5,"RPC &gt;6.50"))))</f>
      </c>
      <c r="AC35" s="349">
        <f>IF($AA$32&lt;1.33,AB28,IF(AND($AA$32&gt;=1.33,$AA$32&lt;=3.25),AC28,IF(AND($AA$32&gt;3.25,$AA$32&lt;=6.25),AD28,IF($AA$32&gt;6.25,AE28))))</f>
      </c>
      <c r="AE35" s="268" t="s">
        <v>686</v>
      </c>
    </row>
    <row r="36">
      <c r="A36" s="213">
        <v>8</v>
      </c>
      <c r="B36" s="171" t="s">
        <v>1116</v>
      </c>
      <c r="C36" s="151"/>
      <c r="D36" s="151"/>
      <c r="E36" s="151"/>
      <c r="F36" s="151"/>
      <c r="G36" s="151"/>
      <c r="H36" s="151"/>
      <c r="I36" s="151"/>
      <c r="J36" s="151"/>
      <c r="K36" s="151"/>
      <c r="L36" s="210" t="s">
        <v>0</v>
      </c>
      <c r="M36" s="172"/>
      <c r="N36" s="1804"/>
      <c r="O36" s="1569"/>
      <c r="P36" s="1569"/>
      <c r="Q36" s="1569"/>
      <c r="R36" s="151"/>
      <c r="S36" s="151"/>
      <c r="T36" s="151"/>
      <c r="U36" s="151"/>
      <c r="V36" s="151"/>
      <c r="W36" s="151"/>
      <c r="X36" s="151"/>
      <c r="Y36" s="212"/>
      <c r="AA36" s="665">
        <v>0.7</v>
      </c>
      <c r="AB36" s="666">
        <f>IF($AA$61&lt;3.33,"RPC &lt;3.33",IF(AND($AA$61&gt;=3.33,$AA$61&lt;=4.5),"RPC 3.33 sd. 4.50",IF(AND($AA$61&gt;4.5,$AA$61&lt;=6.5),"RPC &gt;4 sd. 6.50",IF($AA$61&gt;6.5,"RPC &gt;6.50"))))</f>
      </c>
      <c r="AC36" s="666">
        <f>IF($AA$32&lt;1.43,AB27,IF(AND($AA$32&gt;=1.43,$AA$32&lt;=4.5),AC27,IF(AND($AA$32&gt;4.5,$AA$32&lt;=6.5),AD27,IF($AA$32&gt;6.5,AE27))))</f>
      </c>
      <c r="AE36" s="150" t="s">
        <v>530</v>
      </c>
    </row>
    <row r="37" spans="1:31" s="350" customFormat="1">
      <c r="A37" s="451">
        <v>9</v>
      </c>
      <c r="B37" s="1786" t="s">
        <v>135</v>
      </c>
      <c r="C37" s="1786"/>
      <c r="D37" s="1786"/>
      <c r="E37" s="1786"/>
      <c r="F37" s="1786"/>
      <c r="G37" s="1786"/>
      <c r="H37" s="1786"/>
      <c r="I37" s="1786"/>
      <c r="J37" s="1786"/>
      <c r="K37" s="1786"/>
      <c r="L37" s="497" t="s">
        <v>0</v>
      </c>
      <c r="M37" s="449" t="s">
        <v>63</v>
      </c>
      <c r="N37" s="1778">
        <f>N35*N36</f>
      </c>
      <c r="O37" s="1778"/>
      <c r="P37" s="1778"/>
      <c r="Q37" s="1778"/>
      <c r="R37" s="236"/>
      <c r="S37" s="236"/>
      <c r="T37" s="236"/>
      <c r="U37" s="236"/>
      <c r="V37" s="236"/>
      <c r="W37" s="236"/>
      <c r="X37" s="236"/>
      <c r="Y37" s="242"/>
    </row>
    <row r="38" spans="1:31" s="350" customFormat="1">
      <c r="A38" s="451">
        <v>10</v>
      </c>
      <c r="B38" s="978" t="s">
        <v>1119</v>
      </c>
      <c r="C38" s="236"/>
      <c r="D38" s="236"/>
      <c r="E38" s="236"/>
      <c r="F38" s="236"/>
      <c r="G38" s="236"/>
      <c r="H38" s="236"/>
      <c r="I38" s="236"/>
      <c r="J38" s="236"/>
      <c r="K38" s="236"/>
      <c r="L38" s="497" t="s">
        <v>0</v>
      </c>
      <c r="M38" s="449" t="s">
        <v>63</v>
      </c>
      <c r="N38" s="1789">
        <f>'Aspek Keuangan'!T152-'Aspek Keuangan'!T147</f>
      </c>
      <c r="O38" s="1790"/>
      <c r="P38" s="1790"/>
      <c r="Q38" s="1790"/>
      <c r="R38" s="236"/>
      <c r="S38" s="1803"/>
      <c r="T38" s="1803"/>
      <c r="U38" s="1803"/>
      <c r="V38" s="1803"/>
      <c r="W38" s="236"/>
      <c r="X38" s="236"/>
      <c r="Y38" s="242"/>
      <c r="AA38" s="350">
        <f>VLOOKUP(AA30,AA34:AC36,3,0)</f>
      </c>
      <c r="AB38" s="350">
        <f>VLOOKUP($AA$30,$AA$27:$AE$29,2,0)</f>
      </c>
      <c r="AC38" s="350">
        <v>1</v>
      </c>
    </row>
    <row r="39" spans="1:31" s="350" customFormat="1">
      <c r="A39" s="451">
        <v>11</v>
      </c>
      <c r="B39" s="979" t="s">
        <v>1117</v>
      </c>
      <c r="C39" s="980"/>
      <c r="D39" s="980"/>
      <c r="E39" s="980"/>
      <c r="F39" s="980"/>
      <c r="G39" s="980"/>
      <c r="H39" s="980"/>
      <c r="I39" s="980"/>
      <c r="J39" s="980"/>
      <c r="K39" s="980"/>
      <c r="L39" s="497" t="s">
        <v>0</v>
      </c>
      <c r="M39" s="449" t="s">
        <v>63</v>
      </c>
      <c r="N39" s="1789">
        <f>'Aspek Keuangan'!N61+'Aspek Keuangan'!N72</f>
      </c>
      <c r="O39" s="1790"/>
      <c r="P39" s="1790"/>
      <c r="Q39" s="1790"/>
      <c r="R39" s="541"/>
      <c r="S39" s="542"/>
      <c r="T39" s="1788"/>
      <c r="U39" s="1788"/>
      <c r="V39" s="1788"/>
      <c r="W39" s="1788"/>
      <c r="X39" s="236"/>
      <c r="Y39" s="242"/>
      <c r="AB39" s="350">
        <f>VLOOKUP($AA$30,$AA$27:$AE$29,3,0)</f>
      </c>
      <c r="AC39" s="350">
        <v>5</v>
      </c>
    </row>
    <row r="40" spans="1:31" s="350" customFormat="1" ht="3" customHeight="1">
      <c r="A40" s="451"/>
      <c r="B40" s="979"/>
      <c r="C40" s="980"/>
      <c r="D40" s="980"/>
      <c r="E40" s="980"/>
      <c r="F40" s="980"/>
      <c r="G40" s="980"/>
      <c r="H40" s="980"/>
      <c r="I40" s="980"/>
      <c r="J40" s="980"/>
      <c r="K40" s="980"/>
      <c r="L40" s="497"/>
      <c r="M40" s="236"/>
      <c r="N40" s="667"/>
      <c r="O40" s="668"/>
      <c r="P40" s="668"/>
      <c r="Q40" s="668"/>
      <c r="R40" s="542"/>
      <c r="S40" s="542"/>
      <c r="T40" s="497"/>
      <c r="U40" s="497"/>
      <c r="V40" s="497"/>
      <c r="W40" s="497"/>
      <c r="X40" s="236"/>
      <c r="Y40" s="242"/>
    </row>
    <row r="41" spans="1:31" s="350" customFormat="1">
      <c r="A41" s="451">
        <v>12</v>
      </c>
      <c r="B41" s="1786" t="s">
        <v>1118</v>
      </c>
      <c r="C41" s="1786"/>
      <c r="D41" s="1786"/>
      <c r="E41" s="1786"/>
      <c r="F41" s="1786"/>
      <c r="G41" s="1786"/>
      <c r="H41" s="1786"/>
      <c r="I41" s="1786"/>
      <c r="J41" s="1786"/>
      <c r="K41" s="1786"/>
      <c r="L41" s="497" t="s">
        <v>0</v>
      </c>
      <c r="M41" s="449" t="s">
        <v>63</v>
      </c>
      <c r="N41" s="1789">
        <f>(N37+N38)-N39</f>
      </c>
      <c r="O41" s="1790"/>
      <c r="P41" s="1790"/>
      <c r="Q41" s="1790"/>
      <c r="R41" s="541"/>
      <c r="S41" s="542"/>
      <c r="T41" s="1669"/>
      <c r="U41" s="1669"/>
      <c r="V41" s="1669"/>
      <c r="W41" s="1669"/>
      <c r="X41" s="236"/>
      <c r="Y41" s="242"/>
      <c r="AB41" s="350">
        <f>VLOOKUP($AA$30,$AA$27:$AE$29,4,0)</f>
      </c>
      <c r="AC41" s="350">
        <v>7</v>
      </c>
    </row>
    <row r="42" spans="1:31" s="350" customFormat="1" ht="28.5" customHeight="1">
      <c r="A42" s="451">
        <v>13</v>
      </c>
      <c r="B42" s="1786" t="s">
        <v>775</v>
      </c>
      <c r="C42" s="1786"/>
      <c r="D42" s="1786"/>
      <c r="E42" s="1786"/>
      <c r="F42" s="1786"/>
      <c r="G42" s="1786"/>
      <c r="H42" s="1786"/>
      <c r="I42" s="1786"/>
      <c r="J42" s="1786"/>
      <c r="K42" s="1786"/>
      <c r="L42" s="453" t="s">
        <v>0</v>
      </c>
      <c r="M42" s="449" t="s">
        <v>63</v>
      </c>
      <c r="N42" s="1778">
        <f>(N41*J81)/(1+(J81*J82))</f>
      </c>
      <c r="O42" s="1778"/>
      <c r="P42" s="1778"/>
      <c r="Q42" s="1778"/>
      <c r="R42" s="236"/>
      <c r="S42" s="236"/>
      <c r="T42" s="236"/>
      <c r="U42" s="236"/>
      <c r="V42" s="236"/>
      <c r="W42" s="236"/>
      <c r="X42" s="236"/>
      <c r="Y42" s="242"/>
      <c r="AB42" s="350">
        <f>VLOOKUP($AA$30,$AA$27:$AE$29,5,0)</f>
      </c>
      <c r="AC42" s="350">
        <v>10</v>
      </c>
    </row>
    <row r="43" spans="1:31" s="350" customFormat="1">
      <c r="A43" s="451">
        <v>14</v>
      </c>
      <c r="B43" s="1786" t="s">
        <v>136</v>
      </c>
      <c r="C43" s="1786"/>
      <c r="D43" s="1786"/>
      <c r="E43" s="1786"/>
      <c r="F43" s="1786"/>
      <c r="G43" s="1786"/>
      <c r="H43" s="1786"/>
      <c r="I43" s="1786"/>
      <c r="J43" s="1786"/>
      <c r="K43" s="1786"/>
      <c r="L43" s="453"/>
      <c r="M43" s="454"/>
      <c r="N43" s="1792"/>
      <c r="O43" s="1793"/>
      <c r="P43" s="1793"/>
      <c r="Q43" s="1794"/>
      <c r="R43" s="236"/>
      <c r="S43" s="236"/>
      <c r="T43" s="236"/>
      <c r="U43" s="236"/>
      <c r="V43" s="236"/>
      <c r="W43" s="236"/>
      <c r="X43" s="236"/>
      <c r="Y43" s="242"/>
    </row>
    <row r="44" spans="1:31" s="350" customFormat="1" ht="6" customHeight="1">
      <c r="A44" s="451"/>
      <c r="B44" s="543"/>
      <c r="C44" s="543"/>
      <c r="D44" s="543"/>
      <c r="E44" s="543"/>
      <c r="F44" s="543"/>
      <c r="G44" s="543"/>
      <c r="H44" s="543"/>
      <c r="I44" s="543"/>
      <c r="J44" s="543"/>
      <c r="K44" s="543"/>
      <c r="L44" s="453"/>
      <c r="M44" s="449"/>
      <c r="N44" s="544"/>
      <c r="O44" s="544"/>
      <c r="P44" s="544"/>
      <c r="Q44" s="544"/>
      <c r="R44" s="236"/>
      <c r="S44" s="236"/>
      <c r="T44" s="236"/>
      <c r="U44" s="236"/>
      <c r="V44" s="236"/>
      <c r="W44" s="236"/>
      <c r="X44" s="236"/>
      <c r="Y44" s="242"/>
    </row>
    <row r="45" spans="1:31" s="350" customFormat="1">
      <c r="A45" s="451"/>
      <c r="B45" s="1799" t="s">
        <v>181</v>
      </c>
      <c r="C45" s="1800"/>
      <c r="D45" s="1800"/>
      <c r="E45" s="1800"/>
      <c r="F45" s="1800"/>
      <c r="G45" s="1800"/>
      <c r="H45" s="1801"/>
      <c r="I45" s="545" t="s">
        <v>0</v>
      </c>
      <c r="J45" s="1716">
        <f>'Aspek Keuangan'!R37*30/'Aspek Keuangan'!L102</f>
      </c>
      <c r="K45" s="1716"/>
      <c r="L45" s="546" t="s">
        <v>14</v>
      </c>
      <c r="M45" s="449"/>
      <c r="N45" s="544"/>
      <c r="O45" s="544"/>
      <c r="P45" s="544"/>
      <c r="Q45" s="544"/>
      <c r="R45" s="236"/>
      <c r="S45" s="236"/>
      <c r="T45" s="236"/>
      <c r="U45" s="236"/>
      <c r="V45" s="236"/>
      <c r="W45" s="236"/>
      <c r="X45" s="236"/>
      <c r="Y45" s="242"/>
      <c r="AD45" s="350">
        <f>VLOOKUP(AA38,AB38:AC42,2,0)</f>
      </c>
    </row>
    <row r="46" spans="1:31" s="350" customFormat="1">
      <c r="A46" s="451"/>
      <c r="B46" s="1799" t="s">
        <v>29</v>
      </c>
      <c r="C46" s="1800"/>
      <c r="D46" s="1800"/>
      <c r="E46" s="1800"/>
      <c r="F46" s="1800"/>
      <c r="G46" s="1800"/>
      <c r="H46" s="1801"/>
      <c r="I46" s="545" t="s">
        <v>0</v>
      </c>
      <c r="J46" s="1716">
        <f>'Aspek Keuangan'!O24*30/'Aspek Keuangan'!L102</f>
      </c>
      <c r="K46" s="1716"/>
      <c r="L46" s="546" t="s">
        <v>14</v>
      </c>
      <c r="M46" s="449"/>
      <c r="N46" s="544"/>
      <c r="O46" s="544"/>
      <c r="P46" s="544"/>
      <c r="Q46" s="547"/>
      <c r="R46" s="236"/>
      <c r="S46" s="236"/>
      <c r="T46" s="236"/>
      <c r="U46" s="236"/>
      <c r="V46" s="236"/>
      <c r="W46" s="236"/>
      <c r="X46" s="236"/>
      <c r="Y46" s="242"/>
      <c r="AA46" s="548"/>
      <c r="AB46" s="508"/>
    </row>
    <row r="47" spans="1:31" s="350" customFormat="1">
      <c r="A47" s="451"/>
      <c r="B47" s="1799" t="s">
        <v>405</v>
      </c>
      <c r="C47" s="1800"/>
      <c r="D47" s="1800"/>
      <c r="E47" s="1800"/>
      <c r="F47" s="1800"/>
      <c r="G47" s="1800"/>
      <c r="H47" s="1801"/>
      <c r="I47" s="545" t="s">
        <v>0</v>
      </c>
      <c r="J47" s="1716">
        <f>'Aspek Keuangan'!O48*30/'Aspek Keuangan'!L102</f>
      </c>
      <c r="K47" s="1716"/>
      <c r="L47" s="546" t="s">
        <v>14</v>
      </c>
      <c r="M47" s="449"/>
      <c r="N47" s="544"/>
      <c r="O47" s="544"/>
      <c r="P47" s="544"/>
      <c r="Q47" s="544"/>
      <c r="R47" s="236"/>
      <c r="S47" s="236"/>
      <c r="T47" s="236"/>
      <c r="U47" s="236"/>
      <c r="V47" s="236"/>
      <c r="W47" s="236"/>
      <c r="X47" s="236"/>
      <c r="Y47" s="242"/>
      <c r="AA47" s="548"/>
    </row>
    <row r="48" spans="1:31" s="350" customFormat="1" ht="15" customHeight="1">
      <c r="A48" s="451"/>
      <c r="B48" s="1797" t="s">
        <v>404</v>
      </c>
      <c r="C48" s="1797"/>
      <c r="D48" s="1797"/>
      <c r="E48" s="1797"/>
      <c r="F48" s="1797"/>
      <c r="G48" s="1797"/>
      <c r="H48" s="1797"/>
      <c r="I48" s="549" t="s">
        <v>0</v>
      </c>
      <c r="J48" s="1795">
        <f>J45+J46-J47</f>
      </c>
      <c r="K48" s="1796"/>
      <c r="L48" s="546" t="s">
        <v>14</v>
      </c>
      <c r="M48" s="449"/>
      <c r="N48" s="544"/>
      <c r="O48" s="544"/>
      <c r="P48" s="544"/>
      <c r="Q48" s="544"/>
      <c r="R48" s="236"/>
      <c r="S48" s="236"/>
      <c r="T48" s="236"/>
      <c r="U48" s="236"/>
      <c r="V48" s="236"/>
      <c r="W48" s="236"/>
      <c r="X48" s="236"/>
      <c r="Y48" s="242"/>
      <c r="AA48" s="550"/>
    </row>
    <row r="49" spans="1:25" s="350" customFormat="1">
      <c r="A49" s="451"/>
      <c r="B49" s="1798" t="s">
        <v>630</v>
      </c>
      <c r="C49" s="1798"/>
      <c r="D49" s="1798"/>
      <c r="E49" s="1798"/>
      <c r="F49" s="1798"/>
      <c r="G49" s="1798"/>
      <c r="H49" s="1798"/>
      <c r="I49" s="545" t="s">
        <v>0</v>
      </c>
      <c r="J49" s="1717">
        <f>('Aspek Keuangan'!O102)*('Usulan Pembiayaan'!N26*'Usulan Pembiayaan'!J48)/30</f>
      </c>
      <c r="K49" s="1717"/>
      <c r="L49" s="1717"/>
      <c r="M49" s="449"/>
      <c r="N49" s="544"/>
      <c r="O49" s="544"/>
      <c r="P49" s="544"/>
      <c r="Q49" s="544"/>
      <c r="R49" s="236"/>
      <c r="S49" s="236"/>
      <c r="T49" s="236"/>
      <c r="U49" s="236"/>
      <c r="V49" s="236"/>
      <c r="W49" s="236"/>
      <c r="X49" s="236"/>
      <c r="Y49" s="242"/>
    </row>
    <row r="50" spans="1:25" s="350" customFormat="1" ht="3.75" customHeight="1">
      <c r="A50" s="451"/>
      <c r="B50" s="543"/>
      <c r="C50" s="543"/>
      <c r="D50" s="543"/>
      <c r="E50" s="543"/>
      <c r="F50" s="543"/>
      <c r="G50" s="543"/>
      <c r="H50" s="543"/>
      <c r="I50" s="551"/>
      <c r="J50" s="552"/>
      <c r="K50" s="552"/>
      <c r="L50" s="552"/>
      <c r="M50" s="449"/>
      <c r="N50" s="544"/>
      <c r="O50" s="544"/>
      <c r="P50" s="544"/>
      <c r="Q50" s="544"/>
      <c r="R50" s="236"/>
      <c r="S50" s="236"/>
      <c r="T50" s="236"/>
      <c r="U50" s="236"/>
      <c r="V50" s="236"/>
      <c r="W50" s="236"/>
      <c r="X50" s="236"/>
      <c r="Y50" s="242"/>
    </row>
    <row r="51" spans="1:25" s="350" customFormat="1" ht="11.25" customHeight="1">
      <c r="A51" s="451"/>
      <c r="B51" s="650" t="s">
        <v>762</v>
      </c>
      <c r="C51" s="236"/>
      <c r="D51" s="236"/>
      <c r="E51" s="236"/>
      <c r="F51" s="236"/>
      <c r="G51" s="236"/>
      <c r="H51" s="236"/>
      <c r="I51" s="236"/>
      <c r="J51" s="236"/>
      <c r="K51" s="236"/>
      <c r="L51" s="453"/>
      <c r="M51" s="236"/>
      <c r="N51" s="236"/>
      <c r="O51" s="236"/>
      <c r="P51" s="236"/>
      <c r="Q51" s="236"/>
      <c r="R51" s="236"/>
      <c r="S51" s="236"/>
      <c r="T51" s="236"/>
      <c r="U51" s="236"/>
      <c r="V51" s="236"/>
      <c r="W51" s="236"/>
      <c r="X51" s="236"/>
      <c r="Y51" s="242"/>
    </row>
    <row r="52" spans="1:25" s="350" customFormat="1" ht="18">
      <c r="A52" s="1703" t="s">
        <v>702</v>
      </c>
      <c r="B52" s="1704"/>
      <c r="C52" s="1704"/>
      <c r="D52" s="1704"/>
      <c r="E52" s="1704"/>
      <c r="F52" s="1704"/>
      <c r="G52" s="1704"/>
      <c r="H52" s="1704"/>
      <c r="I52" s="1704"/>
      <c r="J52" s="1704"/>
      <c r="K52" s="1704"/>
      <c r="L52" s="1704"/>
      <c r="M52" s="1704"/>
      <c r="N52" s="1704"/>
      <c r="O52" s="1704"/>
      <c r="P52" s="1704"/>
      <c r="Q52" s="1704"/>
      <c r="R52" s="1704"/>
      <c r="S52" s="1704"/>
      <c r="T52" s="1704"/>
      <c r="U52" s="1704"/>
      <c r="V52" s="1704"/>
      <c r="W52" s="1704"/>
      <c r="X52" s="1704"/>
      <c r="Y52" s="1705"/>
    </row>
    <row r="53" spans="1:25" s="350" customFormat="1" ht="3" customHeight="1">
      <c r="A53" s="509"/>
      <c r="B53" s="510"/>
      <c r="C53" s="510"/>
      <c r="D53" s="511"/>
      <c r="E53" s="511"/>
      <c r="F53" s="511"/>
      <c r="G53" s="511"/>
      <c r="H53" s="511"/>
      <c r="I53" s="511"/>
      <c r="J53" s="511"/>
      <c r="K53" s="512"/>
      <c r="L53" s="513"/>
      <c r="M53" s="1791"/>
      <c r="N53" s="1791"/>
      <c r="O53" s="1791"/>
      <c r="P53" s="1791"/>
      <c r="Q53" s="1791"/>
      <c r="R53" s="514"/>
      <c r="S53" s="515"/>
      <c r="T53" s="516"/>
      <c r="U53" s="516"/>
      <c r="V53" s="516"/>
      <c r="W53" s="517"/>
      <c r="X53" s="517"/>
      <c r="Y53" s="518"/>
    </row>
    <row r="54" spans="1:25" s="350" customFormat="1" ht="15.75" customHeight="1">
      <c r="A54" s="519" t="s">
        <v>684</v>
      </c>
      <c r="B54" s="520"/>
      <c r="C54" s="520"/>
      <c r="D54" s="520"/>
      <c r="E54" s="520"/>
      <c r="F54" s="520"/>
      <c r="G54" s="520"/>
      <c r="H54" s="520"/>
      <c r="I54" s="1802"/>
      <c r="J54" s="1802"/>
      <c r="K54" s="1802"/>
      <c r="L54" s="1802"/>
      <c r="M54" s="1802"/>
      <c r="N54" s="1802"/>
      <c r="O54" s="1802"/>
      <c r="P54" s="1802"/>
      <c r="Q54" s="1802"/>
      <c r="R54" s="1802"/>
      <c r="S54" s="1802"/>
      <c r="T54" s="517"/>
      <c r="U54" s="517"/>
      <c r="V54" s="517"/>
      <c r="W54" s="517"/>
      <c r="X54" s="517"/>
      <c r="Y54" s="518"/>
    </row>
    <row r="55" spans="1:25" s="350" customFormat="1" ht="15.75" customHeight="1">
      <c r="A55" s="521"/>
      <c r="C55" s="522"/>
      <c r="D55" s="523"/>
      <c r="E55" s="452"/>
      <c r="F55" s="523"/>
      <c r="G55" s="523"/>
      <c r="H55" s="236"/>
      <c r="I55" s="1710">
        <f>AC19</f>
      </c>
      <c r="J55" s="1710"/>
      <c r="K55" s="1710"/>
      <c r="L55" s="1710"/>
      <c r="M55" s="1710"/>
      <c r="N55" s="1710"/>
      <c r="O55" s="1710"/>
      <c r="P55" s="981" t="s">
        <v>0</v>
      </c>
      <c r="Q55" s="1728">
        <f>(Q57/(100%+(J81*J82)))</f>
      </c>
      <c r="R55" s="1728"/>
      <c r="S55" s="1728"/>
      <c r="T55" s="447"/>
      <c r="U55" s="517"/>
      <c r="V55" s="517"/>
      <c r="W55" s="517"/>
      <c r="X55" s="517"/>
      <c r="Y55" s="518"/>
    </row>
    <row r="56" spans="1:25" s="350" customFormat="1" ht="15.75" customHeight="1">
      <c r="A56" s="521"/>
      <c r="B56" s="447"/>
      <c r="C56" s="447"/>
      <c r="D56" s="452"/>
      <c r="E56" s="522"/>
      <c r="F56" s="447"/>
      <c r="G56" s="522"/>
      <c r="H56" s="236"/>
      <c r="I56" s="1706">
        <f>AD19</f>
      </c>
      <c r="J56" s="1706"/>
      <c r="K56" s="1706"/>
      <c r="L56" s="1706"/>
      <c r="M56" s="1706"/>
      <c r="N56" s="1706"/>
      <c r="O56" s="1706"/>
      <c r="P56" s="982" t="s">
        <v>0</v>
      </c>
      <c r="Q56" s="1713">
        <f>Q57-Q55</f>
      </c>
      <c r="R56" s="1713"/>
      <c r="S56" s="1713"/>
      <c r="T56" s="1714"/>
      <c r="U56" s="1714"/>
      <c r="V56" s="517"/>
      <c r="W56" s="517"/>
      <c r="X56" s="517"/>
      <c r="Y56" s="518"/>
    </row>
    <row r="57" spans="1:25" s="350" customFormat="1" ht="15.75" customHeight="1">
      <c r="A57" s="521"/>
      <c r="B57" s="447"/>
      <c r="C57" s="522"/>
      <c r="D57" s="452"/>
      <c r="E57" s="447"/>
      <c r="F57" s="447"/>
      <c r="G57" s="522"/>
      <c r="H57" s="236"/>
      <c r="I57" s="1706">
        <f>AE19</f>
      </c>
      <c r="J57" s="1706"/>
      <c r="K57" s="1706"/>
      <c r="L57" s="1706"/>
      <c r="M57" s="1706"/>
      <c r="N57" s="1706"/>
      <c r="O57" s="1706"/>
      <c r="P57" s="982" t="s">
        <v>0</v>
      </c>
      <c r="Q57" s="1709">
        <f>J81*N41</f>
      </c>
      <c r="R57" s="1709"/>
      <c r="S57" s="1709"/>
      <c r="T57" s="1714"/>
      <c r="U57" s="1714"/>
      <c r="V57" s="517"/>
      <c r="W57" s="517"/>
      <c r="X57" s="517"/>
      <c r="Y57" s="518"/>
    </row>
    <row r="58" spans="1:25" s="350" customFormat="1" ht="15.6">
      <c r="A58" s="521"/>
      <c r="B58" s="447"/>
      <c r="C58" s="522"/>
      <c r="D58" s="452"/>
      <c r="E58" s="447"/>
      <c r="F58" s="447"/>
      <c r="G58" s="522"/>
      <c r="H58" s="236"/>
      <c r="I58" s="1777" t="s">
        <v>682</v>
      </c>
      <c r="J58" s="1777"/>
      <c r="K58" s="1777"/>
      <c r="L58" s="1777"/>
      <c r="M58" s="1777"/>
      <c r="N58" s="1777"/>
      <c r="O58" s="1777"/>
      <c r="P58" s="983" t="s">
        <v>0</v>
      </c>
      <c r="Q58" s="1780">
        <f>Q57/J81</f>
      </c>
      <c r="R58" s="1780"/>
      <c r="S58" s="1780"/>
      <c r="T58" s="526"/>
      <c r="U58" s="526"/>
      <c r="V58" s="517"/>
      <c r="W58" s="517"/>
      <c r="X58" s="517"/>
      <c r="Y58" s="518"/>
    </row>
    <row r="59" spans="1:25" s="350" customFormat="1" ht="4.5" customHeight="1">
      <c r="A59" s="521"/>
      <c r="B59" s="447"/>
      <c r="C59" s="522"/>
      <c r="D59" s="452"/>
      <c r="E59" s="447"/>
      <c r="F59" s="447"/>
      <c r="G59" s="522"/>
      <c r="H59" s="236"/>
      <c r="I59" s="1727"/>
      <c r="J59" s="1727"/>
      <c r="K59" s="1727"/>
      <c r="L59" s="1727"/>
      <c r="M59" s="1727"/>
      <c r="N59" s="524"/>
      <c r="O59" s="1707"/>
      <c r="P59" s="1707"/>
      <c r="Q59" s="525"/>
      <c r="R59" s="1708"/>
      <c r="S59" s="1708"/>
      <c r="T59" s="1711"/>
      <c r="U59" s="1711"/>
      <c r="V59" s="1711"/>
      <c r="W59" s="1711"/>
      <c r="X59" s="1711"/>
      <c r="Y59" s="518"/>
    </row>
    <row r="60" spans="1:25" s="350" customFormat="1" ht="15.6">
      <c r="A60" s="519" t="s">
        <v>685</v>
      </c>
      <c r="B60" s="447"/>
      <c r="C60" s="522"/>
      <c r="D60" s="452"/>
      <c r="E60" s="447"/>
      <c r="F60" s="447"/>
      <c r="G60" s="522"/>
      <c r="H60" s="236"/>
      <c r="I60" s="527"/>
      <c r="J60" s="524"/>
      <c r="K60" s="524"/>
      <c r="L60" s="524"/>
      <c r="M60" s="524"/>
      <c r="N60" s="524"/>
      <c r="O60" s="524"/>
      <c r="P60" s="528"/>
      <c r="Q60" s="529"/>
      <c r="R60" s="529"/>
      <c r="S60" s="529"/>
      <c r="T60" s="526"/>
      <c r="U60" s="526"/>
      <c r="V60" s="517"/>
      <c r="W60" s="517"/>
      <c r="X60" s="517"/>
      <c r="Y60" s="518"/>
    </row>
    <row r="61" spans="1:25" s="350" customFormat="1" ht="15.75" customHeight="1">
      <c r="A61" s="521"/>
      <c r="B61" s="447"/>
      <c r="C61" s="522"/>
      <c r="D61" s="452"/>
      <c r="E61" s="447"/>
      <c r="F61" s="447"/>
      <c r="G61" s="522"/>
      <c r="H61" s="236"/>
      <c r="I61" s="1710">
        <f>AC19</f>
      </c>
      <c r="J61" s="1710"/>
      <c r="K61" s="1710"/>
      <c r="L61" s="1710"/>
      <c r="M61" s="1710"/>
      <c r="N61" s="1710"/>
      <c r="O61" s="1710"/>
      <c r="P61" s="981" t="s">
        <v>0</v>
      </c>
      <c r="Q61" s="1712">
        <f>N17</f>
      </c>
      <c r="R61" s="1712"/>
      <c r="S61" s="1712"/>
      <c r="T61" s="1787"/>
      <c r="U61" s="1787"/>
      <c r="V61" s="1787"/>
      <c r="W61" s="1787"/>
      <c r="X61" s="1787"/>
      <c r="Y61" s="518"/>
    </row>
    <row r="62" spans="1:25" s="350" customFormat="1" ht="15.75" customHeight="1">
      <c r="A62" s="521"/>
      <c r="B62" s="447"/>
      <c r="C62" s="522"/>
      <c r="D62" s="452"/>
      <c r="E62" s="447"/>
      <c r="F62" s="447"/>
      <c r="G62" s="522"/>
      <c r="H62" s="236"/>
      <c r="I62" s="1706">
        <f>AD19</f>
      </c>
      <c r="J62" s="1706"/>
      <c r="K62" s="1706"/>
      <c r="L62" s="1706"/>
      <c r="M62" s="1706"/>
      <c r="N62" s="1706"/>
      <c r="O62" s="1706"/>
      <c r="P62" s="982" t="s">
        <v>0</v>
      </c>
      <c r="Q62" s="1713">
        <f>Q61*N18*N19</f>
      </c>
      <c r="R62" s="1713"/>
      <c r="S62" s="1713"/>
      <c r="T62" s="1711"/>
      <c r="U62" s="1711"/>
      <c r="V62" s="517"/>
      <c r="W62" s="517"/>
      <c r="X62" s="517"/>
      <c r="Y62" s="518"/>
    </row>
    <row r="63" spans="1:25" s="350" customFormat="1" ht="15.75" customHeight="1">
      <c r="A63" s="521"/>
      <c r="B63" s="447"/>
      <c r="C63" s="522"/>
      <c r="D63" s="452"/>
      <c r="E63" s="447"/>
      <c r="F63" s="447"/>
      <c r="G63" s="522"/>
      <c r="H63" s="236"/>
      <c r="I63" s="1706">
        <f>AE19</f>
      </c>
      <c r="J63" s="1706"/>
      <c r="K63" s="1706"/>
      <c r="L63" s="1706"/>
      <c r="M63" s="1706"/>
      <c r="N63" s="1706"/>
      <c r="O63" s="1706"/>
      <c r="P63" s="982" t="s">
        <v>0</v>
      </c>
      <c r="Q63" s="1709">
        <f>SUM(Q61:S62)</f>
      </c>
      <c r="R63" s="1709"/>
      <c r="S63" s="1709"/>
      <c r="T63" s="1711"/>
      <c r="U63" s="1711"/>
      <c r="V63" s="517"/>
      <c r="W63" s="517"/>
      <c r="X63" s="517"/>
      <c r="Y63" s="518"/>
    </row>
    <row r="64" spans="1:25" s="350" customFormat="1" ht="15.6">
      <c r="A64" s="521"/>
      <c r="B64" s="447"/>
      <c r="C64" s="522"/>
      <c r="D64" s="452"/>
      <c r="E64" s="447"/>
      <c r="F64" s="447"/>
      <c r="G64" s="522"/>
      <c r="H64" s="236"/>
      <c r="I64" s="1706" t="s">
        <v>683</v>
      </c>
      <c r="J64" s="1706"/>
      <c r="K64" s="1706"/>
      <c r="L64" s="1706"/>
      <c r="M64" s="1706"/>
      <c r="N64" s="1706"/>
      <c r="O64" s="1706"/>
      <c r="P64" s="982" t="s">
        <v>0</v>
      </c>
      <c r="Q64" s="1709">
        <f>Q63/N19</f>
      </c>
      <c r="R64" s="1709"/>
      <c r="S64" s="1709"/>
      <c r="T64" s="526"/>
      <c r="U64" s="526"/>
      <c r="V64" s="517"/>
      <c r="W64" s="517"/>
      <c r="X64" s="517"/>
      <c r="Y64" s="518"/>
    </row>
    <row r="65" spans="1:36" s="350" customFormat="1" ht="15.6">
      <c r="A65" s="521"/>
      <c r="B65" s="447"/>
      <c r="C65" s="522"/>
      <c r="D65" s="452"/>
      <c r="E65" s="447"/>
      <c r="F65" s="447"/>
      <c r="G65" s="522"/>
      <c r="H65" s="236"/>
      <c r="I65" s="1777" t="s">
        <v>705</v>
      </c>
      <c r="J65" s="1777"/>
      <c r="K65" s="1777"/>
      <c r="L65" s="1777"/>
      <c r="M65" s="1777"/>
      <c r="N65" s="759"/>
      <c r="O65" s="760"/>
      <c r="P65" s="983" t="s">
        <v>0</v>
      </c>
      <c r="Q65" s="1780">
        <f>N41-Q64</f>
      </c>
      <c r="R65" s="1780"/>
      <c r="S65" s="1780"/>
      <c r="T65" s="1711"/>
      <c r="U65" s="1711"/>
      <c r="V65" s="1711"/>
      <c r="W65" s="1711"/>
      <c r="X65" s="1711"/>
      <c r="Y65" s="518"/>
    </row>
    <row r="66" spans="1:36" s="350" customFormat="1" ht="15.6">
      <c r="A66" s="532"/>
      <c r="B66" s="447"/>
      <c r="C66" s="522"/>
      <c r="D66" s="452"/>
      <c r="E66" s="447"/>
      <c r="F66" s="447"/>
      <c r="G66" s="522"/>
      <c r="H66" s="236"/>
      <c r="I66" s="759"/>
      <c r="J66" s="759"/>
      <c r="K66" s="759"/>
      <c r="L66" s="759"/>
      <c r="M66" s="759"/>
      <c r="N66" s="759"/>
      <c r="O66" s="760"/>
      <c r="P66" s="673"/>
      <c r="Q66" s="761"/>
      <c r="R66" s="761"/>
      <c r="S66" s="761"/>
      <c r="T66" s="526"/>
      <c r="U66" s="526"/>
      <c r="V66" s="526"/>
      <c r="W66" s="526"/>
      <c r="X66" s="526"/>
      <c r="Y66" s="517"/>
      <c r="Z66" s="762"/>
    </row>
    <row r="67" spans="1:36" s="350" customFormat="1" ht="18">
      <c r="A67" s="1784" t="s">
        <v>644</v>
      </c>
      <c r="B67" s="1704"/>
      <c r="C67" s="1704"/>
      <c r="D67" s="1704"/>
      <c r="E67" s="1704"/>
      <c r="F67" s="1704"/>
      <c r="G67" s="1704"/>
      <c r="H67" s="1704"/>
      <c r="I67" s="1704"/>
      <c r="J67" s="1704"/>
      <c r="K67" s="1704"/>
      <c r="L67" s="1704"/>
      <c r="M67" s="1704"/>
      <c r="N67" s="1704"/>
      <c r="O67" s="1704"/>
      <c r="P67" s="1704"/>
      <c r="Q67" s="1704"/>
      <c r="R67" s="1704"/>
      <c r="S67" s="1704"/>
      <c r="T67" s="1704"/>
      <c r="U67" s="1704"/>
      <c r="V67" s="1704"/>
      <c r="W67" s="1704"/>
      <c r="X67" s="1704"/>
      <c r="Y67" s="1785"/>
    </row>
    <row r="68" spans="1:36" s="350" customFormat="1" ht="6" customHeight="1">
      <c r="A68" s="651"/>
      <c r="B68" s="652"/>
      <c r="C68" s="652"/>
      <c r="D68" s="652"/>
      <c r="E68" s="652"/>
      <c r="F68" s="652"/>
      <c r="G68" s="652"/>
      <c r="H68" s="652"/>
      <c r="I68" s="652"/>
      <c r="J68" s="652"/>
      <c r="K68" s="652"/>
      <c r="L68" s="652"/>
      <c r="M68" s="511"/>
      <c r="N68" s="497"/>
      <c r="O68" s="453"/>
      <c r="P68" s="453"/>
      <c r="Q68" s="453"/>
      <c r="R68" s="453"/>
      <c r="S68" s="453"/>
      <c r="T68" s="453"/>
      <c r="U68" s="453"/>
      <c r="V68" s="652"/>
      <c r="W68" s="652"/>
      <c r="X68" s="652"/>
      <c r="Y68" s="653"/>
    </row>
    <row r="69" spans="1:36" s="350" customFormat="1" ht="15" customHeight="1">
      <c r="A69" s="498"/>
      <c r="B69" s="989" t="s">
        <v>776</v>
      </c>
      <c r="C69" s="111"/>
      <c r="D69" s="111"/>
      <c r="E69" s="111"/>
      <c r="F69" s="111"/>
      <c r="G69" s="111"/>
      <c r="H69" s="111"/>
      <c r="I69" s="567" t="s">
        <v>0</v>
      </c>
      <c r="J69" s="984" t="s">
        <v>63</v>
      </c>
      <c r="K69" s="1779">
        <f>N42</f>
      </c>
      <c r="L69" s="1779"/>
      <c r="M69" s="463"/>
      <c r="N69" s="463"/>
      <c r="O69" s="453"/>
      <c r="P69" s="568"/>
      <c r="Q69" s="453"/>
      <c r="R69" s="453"/>
      <c r="S69" s="453"/>
      <c r="T69" s="453"/>
      <c r="U69" s="453"/>
      <c r="V69" s="453"/>
      <c r="W69" s="453"/>
      <c r="X69" s="453"/>
      <c r="Y69" s="446"/>
    </row>
    <row r="70" spans="1:36" s="350" customFormat="1" ht="2.25" customHeight="1">
      <c r="A70" s="498"/>
      <c r="B70" s="144"/>
      <c r="C70" s="144"/>
      <c r="D70" s="144"/>
      <c r="E70" s="144"/>
      <c r="F70" s="144"/>
      <c r="G70" s="144"/>
      <c r="H70" s="144"/>
      <c r="I70" s="569"/>
      <c r="J70" s="985"/>
      <c r="K70" s="986"/>
      <c r="L70" s="986"/>
      <c r="M70" s="463"/>
      <c r="N70" s="463"/>
      <c r="O70" s="453"/>
      <c r="P70" s="453"/>
      <c r="Q70" s="453"/>
      <c r="R70" s="453"/>
      <c r="S70" s="453"/>
      <c r="T70" s="453"/>
      <c r="U70" s="453"/>
      <c r="V70" s="453"/>
      <c r="W70" s="453"/>
      <c r="X70" s="453"/>
      <c r="Y70" s="446"/>
    </row>
    <row r="71" spans="1:36" s="350" customFormat="1" ht="15" customHeight="1">
      <c r="A71" s="498"/>
      <c r="B71" s="989" t="s">
        <v>777</v>
      </c>
      <c r="C71" s="111"/>
      <c r="D71" s="111"/>
      <c r="E71" s="111"/>
      <c r="F71" s="111"/>
      <c r="G71" s="111"/>
      <c r="H71" s="111"/>
      <c r="I71" s="567" t="s">
        <v>0</v>
      </c>
      <c r="J71" s="984" t="s">
        <v>63</v>
      </c>
      <c r="K71" s="1779">
        <f>J49</f>
      </c>
      <c r="L71" s="1779"/>
      <c r="M71" s="463"/>
      <c r="N71" s="463"/>
      <c r="O71" s="453"/>
      <c r="P71" s="453"/>
      <c r="Q71" s="1809" t="s">
        <v>749</v>
      </c>
      <c r="R71" s="1809"/>
      <c r="S71" s="1809"/>
      <c r="T71" s="1809"/>
      <c r="U71" s="1809"/>
      <c r="V71" s="1809"/>
      <c r="W71" s="1809"/>
      <c r="X71" s="1809"/>
      <c r="Y71" s="446"/>
    </row>
    <row r="72" spans="1:36" s="350" customFormat="1" ht="15" customHeight="1">
      <c r="A72" s="498"/>
      <c r="B72" s="990" t="s">
        <v>602</v>
      </c>
      <c r="C72" s="991"/>
      <c r="D72" s="991"/>
      <c r="E72" s="991"/>
      <c r="F72" s="991"/>
      <c r="G72" s="991"/>
      <c r="H72" s="991"/>
      <c r="I72" s="571" t="s">
        <v>0</v>
      </c>
      <c r="J72" s="987" t="s">
        <v>63</v>
      </c>
      <c r="K72" s="1783">
        <f ca="1">'Aspek Keuangan'!M83</f>
      </c>
      <c r="L72" s="1783"/>
      <c r="M72" s="463"/>
      <c r="N72" s="463"/>
      <c r="O72" s="453"/>
      <c r="P72" s="453"/>
      <c r="Q72" s="1807">
        <f>N38/J87</f>
      </c>
      <c r="R72" s="1809">
        <f>IF(Q72&gt;=AB30,"Memadai","Tidak Memadai")</f>
      </c>
      <c r="S72" s="1809"/>
      <c r="T72" s="1809"/>
      <c r="U72" s="1809"/>
      <c r="V72" s="1809"/>
      <c r="W72" s="1809"/>
      <c r="X72" s="1809"/>
      <c r="Y72" s="446"/>
    </row>
    <row r="73" spans="1:36" s="350" customFormat="1">
      <c r="A73" s="498"/>
      <c r="B73" s="990" t="s">
        <v>907</v>
      </c>
      <c r="C73" s="991"/>
      <c r="D73" s="991"/>
      <c r="E73" s="991"/>
      <c r="F73" s="991"/>
      <c r="G73" s="991"/>
      <c r="H73" s="991"/>
      <c r="I73" s="571" t="s">
        <v>0</v>
      </c>
      <c r="J73" s="987" t="s">
        <v>63</v>
      </c>
      <c r="K73" s="1683">
        <f ca="1">K71+K72</f>
      </c>
      <c r="L73" s="1683"/>
      <c r="M73" s="463"/>
      <c r="N73" s="463"/>
      <c r="O73" s="453"/>
      <c r="P73" s="453"/>
      <c r="Q73" s="1807"/>
      <c r="R73" s="1809"/>
      <c r="S73" s="1809"/>
      <c r="T73" s="1809"/>
      <c r="U73" s="1809"/>
      <c r="V73" s="1809"/>
      <c r="W73" s="1809"/>
      <c r="X73" s="1809"/>
      <c r="Y73" s="446"/>
    </row>
    <row r="74" spans="1:36" s="350" customFormat="1" ht="15.75" customHeight="1">
      <c r="A74" s="498"/>
      <c r="B74" s="117" t="s">
        <v>908</v>
      </c>
      <c r="C74" s="11"/>
      <c r="D74" s="11"/>
      <c r="E74" s="11"/>
      <c r="F74" s="11"/>
      <c r="G74" s="11"/>
      <c r="H74" s="11"/>
      <c r="I74" s="569" t="s">
        <v>0</v>
      </c>
      <c r="J74" s="988" t="s">
        <v>63</v>
      </c>
      <c r="K74" s="1808">
        <f>'Aspek Keuangan'!G14+'Aspek Keuangan'!O24+'Aspek Keuangan'!R37</f>
      </c>
      <c r="L74" s="1808"/>
      <c r="M74" s="463"/>
      <c r="N74" s="463"/>
      <c r="O74" s="453"/>
      <c r="P74" s="453"/>
      <c r="Q74" s="572"/>
      <c r="R74" s="570"/>
      <c r="S74" s="570"/>
      <c r="T74" s="570"/>
      <c r="U74" s="570"/>
      <c r="V74" s="570"/>
      <c r="W74" s="570"/>
      <c r="X74" s="570"/>
      <c r="Y74" s="446"/>
    </row>
    <row r="75" spans="1:36" s="350" customFormat="1" ht="15.6">
      <c r="A75" s="498"/>
      <c r="B75" s="11"/>
      <c r="C75" s="11"/>
      <c r="D75" s="11"/>
      <c r="E75" s="11"/>
      <c r="F75" s="11"/>
      <c r="G75" s="11"/>
      <c r="H75" s="11"/>
      <c r="I75" s="109"/>
      <c r="J75" s="11"/>
      <c r="K75" s="11"/>
      <c r="L75" s="11"/>
      <c r="M75" s="11"/>
      <c r="N75" s="654"/>
      <c r="O75" s="236"/>
      <c r="P75" s="655"/>
      <c r="Q75" s="236"/>
      <c r="R75" s="236"/>
      <c r="S75" s="236"/>
      <c r="T75" s="236"/>
      <c r="U75" s="236"/>
      <c r="V75" s="236"/>
      <c r="W75" s="236"/>
      <c r="X75" s="236"/>
      <c r="Y75" s="446"/>
    </row>
    <row r="76" ht="18">
      <c r="A76" s="496"/>
      <c r="B76" s="1687">
        <f>$AF$19</f>
      </c>
      <c r="C76" s="1687"/>
      <c r="D76" s="1687"/>
      <c r="E76" s="1687"/>
      <c r="F76" s="1687"/>
      <c r="G76" s="1687"/>
      <c r="H76" s="1687"/>
      <c r="I76" s="1018" t="s">
        <v>0</v>
      </c>
      <c r="J76" s="1715"/>
      <c r="K76" s="1715"/>
      <c r="L76" s="1715"/>
      <c r="M76" s="214"/>
      <c r="O76" s="151"/>
      <c r="P76" s="258"/>
      <c r="Q76" s="151"/>
      <c r="R76" s="151"/>
      <c r="S76" s="151"/>
      <c r="T76" s="151"/>
      <c r="U76" s="151"/>
      <c r="V76" s="151"/>
      <c r="W76" s="151"/>
      <c r="X76" s="151"/>
      <c r="Y76" s="444"/>
      <c r="AA76" s="350"/>
      <c r="AB76" s="350"/>
      <c r="AC76" s="454" t="s">
        <v>963</v>
      </c>
      <c r="AD76" s="350"/>
      <c r="AE76" s="350"/>
      <c r="AF76" s="350"/>
      <c r="AG76" s="350"/>
      <c r="AH76" s="350"/>
      <c r="AI76" s="350"/>
      <c r="AJ76" s="350"/>
    </row>
    <row r="77" ht="27" customHeight="1">
      <c r="A77" s="496"/>
      <c r="B77" s="1687">
        <f>$AG$19</f>
      </c>
      <c r="C77" s="1687"/>
      <c r="D77" s="1687"/>
      <c r="E77" s="1687"/>
      <c r="F77" s="1687"/>
      <c r="G77" s="1687"/>
      <c r="H77" s="1687"/>
      <c r="I77" s="1018" t="s">
        <v>0</v>
      </c>
      <c r="J77" s="1715"/>
      <c r="K77" s="1715"/>
      <c r="L77" s="1715"/>
      <c r="M77" s="1810">
        <f>IF(AB19="Murabahah",AB77,"")</f>
      </c>
      <c r="N77" s="1810"/>
      <c r="O77" s="1810"/>
      <c r="P77" s="1810"/>
      <c r="Q77" s="1810"/>
      <c r="R77" s="1810"/>
      <c r="S77" s="1810"/>
      <c r="T77" s="1810"/>
      <c r="U77" s="1810"/>
      <c r="V77" s="1810"/>
      <c r="W77" s="1810"/>
      <c r="X77" s="1810"/>
      <c r="Y77" s="1811"/>
      <c r="AA77" s="350">
        <v>1</v>
      </c>
      <c r="AB77" s="350">
        <f>IF(J77&gt;0,AC77,"")</f>
      </c>
      <c r="AC77" s="350">
        <f>IF(AB19="Murabahah",AC76,"")</f>
      </c>
      <c r="AD77" s="350"/>
      <c r="AE77" s="350"/>
      <c r="AF77" s="350"/>
      <c r="AG77" s="350"/>
      <c r="AH77" s="350"/>
      <c r="AI77" s="350"/>
      <c r="AJ77" s="350"/>
    </row>
    <row r="78" ht="17.25" customHeight="1">
      <c r="A78" s="496"/>
      <c r="B78" s="1687">
        <f>$AH$19</f>
      </c>
      <c r="C78" s="1687"/>
      <c r="D78" s="1687"/>
      <c r="E78" s="1687"/>
      <c r="F78" s="1687"/>
      <c r="G78" s="1687"/>
      <c r="H78" s="1687"/>
      <c r="I78" s="1018" t="s">
        <v>0</v>
      </c>
      <c r="J78" s="1715"/>
      <c r="K78" s="1715"/>
      <c r="L78" s="1715"/>
      <c r="M78" s="214"/>
      <c r="N78" s="214"/>
      <c r="O78" s="151"/>
      <c r="P78" s="258"/>
      <c r="Q78" s="257"/>
      <c r="R78" s="257"/>
      <c r="S78" s="257"/>
      <c r="T78" s="257"/>
      <c r="U78" s="257"/>
      <c r="V78" s="257"/>
      <c r="W78" s="257"/>
      <c r="X78" s="257"/>
      <c r="Y78" s="444"/>
      <c r="AA78" s="350">
        <v>2</v>
      </c>
      <c r="AB78" s="350"/>
      <c r="AC78" s="350"/>
      <c r="AD78" s="350"/>
      <c r="AE78" s="350"/>
      <c r="AF78" s="350"/>
      <c r="AG78" s="350"/>
      <c r="AH78" s="350"/>
      <c r="AI78" s="350"/>
      <c r="AJ78" s="350"/>
    </row>
    <row r="79" ht="17.25" customHeight="1">
      <c r="A79" s="496"/>
      <c r="B79" s="1687">
        <f>$AI$19</f>
      </c>
      <c r="C79" s="1687"/>
      <c r="D79" s="1687"/>
      <c r="E79" s="1687"/>
      <c r="F79" s="1687"/>
      <c r="G79" s="1687"/>
      <c r="H79" s="1687"/>
      <c r="I79" s="1018" t="s">
        <v>0</v>
      </c>
      <c r="J79" s="1715"/>
      <c r="K79" s="1715"/>
      <c r="L79" s="1715"/>
      <c r="M79" s="214"/>
      <c r="N79" s="214"/>
      <c r="O79" s="151"/>
      <c r="P79" s="258"/>
      <c r="Q79" s="257"/>
      <c r="R79" s="257"/>
      <c r="S79" s="257"/>
      <c r="T79" s="257"/>
      <c r="U79" s="257"/>
      <c r="V79" s="257"/>
      <c r="W79" s="257"/>
      <c r="X79" s="257"/>
      <c r="Y79" s="444"/>
    </row>
    <row r="80" spans="1:36" s="350" customFormat="1" ht="19.5" customHeight="1">
      <c r="A80" s="498"/>
      <c r="B80" s="1678">
        <f>$AJ$19</f>
      </c>
      <c r="C80" s="1678"/>
      <c r="D80" s="1678"/>
      <c r="E80" s="1678"/>
      <c r="F80" s="1678"/>
      <c r="G80" s="1678"/>
      <c r="H80" s="1678"/>
      <c r="I80" s="1019" t="s">
        <v>0</v>
      </c>
      <c r="J80" s="1676">
        <f>AO19</f>
      </c>
      <c r="K80" s="1676"/>
      <c r="L80" s="1676"/>
      <c r="M80" s="656"/>
      <c r="N80" s="656"/>
      <c r="O80" s="236"/>
      <c r="P80" s="657"/>
      <c r="Q80" s="236"/>
      <c r="R80" s="236"/>
      <c r="S80" s="236"/>
      <c r="T80" s="236"/>
      <c r="U80" s="236"/>
      <c r="V80" s="236"/>
      <c r="W80" s="236"/>
      <c r="X80" s="236"/>
      <c r="Y80" s="446"/>
    </row>
    <row r="81" ht="17.25" customHeight="1">
      <c r="A81" s="496"/>
      <c r="B81" s="1687" t="s">
        <v>3</v>
      </c>
      <c r="C81" s="1687"/>
      <c r="D81" s="1687"/>
      <c r="E81" s="1687"/>
      <c r="F81" s="1687"/>
      <c r="G81" s="1687"/>
      <c r="H81" s="1687"/>
      <c r="I81" s="1018" t="s">
        <v>0</v>
      </c>
      <c r="J81" s="1209"/>
      <c r="K81" s="1209"/>
      <c r="L81" s="1209"/>
      <c r="M81" s="172" t="s">
        <v>4</v>
      </c>
      <c r="N81" s="151"/>
      <c r="O81" s="411"/>
      <c r="P81" s="411"/>
      <c r="Q81" s="151"/>
      <c r="R81" s="151"/>
      <c r="S81" s="151"/>
      <c r="T81" s="151"/>
      <c r="U81" s="151"/>
      <c r="V81" s="151"/>
      <c r="W81" s="151"/>
      <c r="X81" s="151"/>
      <c r="Y81" s="444"/>
    </row>
    <row r="82" ht="17.25" customHeight="1">
      <c r="A82" s="496"/>
      <c r="B82" s="1687">
        <f>AL19</f>
      </c>
      <c r="C82" s="1687"/>
      <c r="D82" s="1687"/>
      <c r="E82" s="1687"/>
      <c r="F82" s="1687"/>
      <c r="G82" s="1687"/>
      <c r="H82" s="1687"/>
      <c r="I82" s="1020" t="s">
        <v>0</v>
      </c>
      <c r="J82" s="1745"/>
      <c r="K82" s="1745"/>
      <c r="L82" s="1745"/>
      <c r="M82" s="1812"/>
      <c r="N82" s="1812"/>
      <c r="O82" s="418"/>
      <c r="P82" s="435"/>
      <c r="Q82" s="437"/>
      <c r="R82" s="437"/>
      <c r="S82" s="436">
        <f>"Setara Margin "&amp;Jadang!R16&amp;" Perbulan:"</f>
      </c>
      <c r="T82" s="1781">
        <f>IF(Jadang!R16="Efektif",Jadang!Q28,Jadang!P28)</f>
      </c>
      <c r="U82" s="1782"/>
      <c r="V82" s="418"/>
      <c r="W82" s="418"/>
      <c r="X82" s="418"/>
      <c r="Y82" s="444"/>
    </row>
    <row r="83" spans="1:33" s="350" customFormat="1" ht="18" customHeight="1">
      <c r="A83" s="498"/>
      <c r="B83" s="1678">
        <f>AD19</f>
      </c>
      <c r="C83" s="1678"/>
      <c r="D83" s="1678"/>
      <c r="E83" s="1678"/>
      <c r="F83" s="1678"/>
      <c r="G83" s="1678"/>
      <c r="H83" s="1678"/>
      <c r="I83" s="1019" t="s">
        <v>0</v>
      </c>
      <c r="J83" s="1676">
        <f>IF(M82="Flat",Jadang!W129,Jadang!AA129)</f>
      </c>
      <c r="K83" s="1676"/>
      <c r="L83" s="1676"/>
      <c r="M83" s="656"/>
      <c r="N83" s="656"/>
      <c r="O83" s="453"/>
      <c r="P83" s="658"/>
      <c r="Q83" s="476"/>
      <c r="R83" s="659"/>
      <c r="S83" s="660" t="s">
        <v>863</v>
      </c>
      <c r="T83" s="1805">
        <f>IF(Jadang!R16="Efektif",Jadang!R28,Jadang!O28)</f>
      </c>
      <c r="U83" s="1806"/>
      <c r="V83" s="453"/>
      <c r="W83" s="453"/>
      <c r="X83" s="453"/>
      <c r="Y83" s="446"/>
    </row>
    <row r="84" spans="1:33" s="350" customFormat="1" ht="17.25" customHeight="1">
      <c r="A84" s="498"/>
      <c r="B84" s="1678">
        <f>AE19</f>
      </c>
      <c r="C84" s="1678"/>
      <c r="D84" s="1678"/>
      <c r="E84" s="1678"/>
      <c r="F84" s="1678"/>
      <c r="G84" s="1678"/>
      <c r="H84" s="1678"/>
      <c r="I84" s="1019" t="s">
        <v>0</v>
      </c>
      <c r="J84" s="1676">
        <f>J80+J83</f>
      </c>
      <c r="K84" s="1676"/>
      <c r="L84" s="1676"/>
      <c r="M84" s="656"/>
      <c r="N84" s="656"/>
      <c r="O84" s="453"/>
      <c r="P84" s="453"/>
      <c r="Q84" s="453"/>
      <c r="R84" s="453"/>
      <c r="S84" s="453"/>
      <c r="T84" s="453"/>
      <c r="U84" s="453"/>
      <c r="V84" s="453"/>
      <c r="W84" s="453"/>
      <c r="X84" s="453"/>
      <c r="Y84" s="446"/>
      <c r="AC84" s="350">
        <v>1.75</v>
      </c>
      <c r="AD84" s="350">
        <v>2</v>
      </c>
    </row>
    <row r="85" spans="1:33" s="350" customFormat="1" ht="17.25" customHeight="1">
      <c r="A85" s="498"/>
      <c r="B85" s="1678">
        <f>AK19</f>
      </c>
      <c r="C85" s="1678"/>
      <c r="D85" s="1678"/>
      <c r="E85" s="1678"/>
      <c r="F85" s="1678"/>
      <c r="G85" s="1678"/>
      <c r="H85" s="1678"/>
      <c r="I85" s="1019" t="s">
        <v>0</v>
      </c>
      <c r="J85" s="1676">
        <f>Jadang!E8</f>
      </c>
      <c r="K85" s="1676"/>
      <c r="L85" s="1676"/>
      <c r="M85" s="656"/>
      <c r="N85" s="656"/>
      <c r="O85" s="453"/>
      <c r="P85" s="453"/>
      <c r="Q85" s="453"/>
      <c r="R85" s="453"/>
      <c r="S85" s="453"/>
      <c r="T85" s="453"/>
      <c r="U85" s="453"/>
      <c r="V85" s="453"/>
      <c r="W85" s="453"/>
      <c r="X85" s="453"/>
      <c r="Y85" s="446"/>
      <c r="AA85" s="508">
        <f>N35+N38</f>
      </c>
      <c r="AB85" s="454" t="s">
        <v>879</v>
      </c>
      <c r="AC85" s="454" t="s">
        <v>880</v>
      </c>
      <c r="AD85" s="454" t="s">
        <v>1115</v>
      </c>
    </row>
    <row r="86" spans="1:33" s="350" customFormat="1" ht="17.25" customHeight="1">
      <c r="A86" s="498"/>
      <c r="B86" s="1678">
        <f>AM19</f>
      </c>
      <c r="C86" s="1678"/>
      <c r="D86" s="1678"/>
      <c r="E86" s="1678"/>
      <c r="F86" s="1678"/>
      <c r="G86" s="1678"/>
      <c r="H86" s="1678"/>
      <c r="I86" s="1019" t="s">
        <v>0</v>
      </c>
      <c r="J86" s="1676">
        <f>Jadang!D8</f>
      </c>
      <c r="K86" s="1676"/>
      <c r="L86" s="1676"/>
      <c r="M86" s="656"/>
      <c r="N86" s="656"/>
      <c r="O86" s="453"/>
      <c r="P86" s="453"/>
      <c r="Q86" s="453"/>
      <c r="R86" s="453"/>
      <c r="S86" s="453"/>
      <c r="T86" s="453"/>
      <c r="U86" s="453"/>
      <c r="V86" s="453"/>
      <c r="W86" s="453"/>
      <c r="X86" s="453"/>
      <c r="Y86" s="446"/>
      <c r="AA86" s="508">
        <f>N37+N38</f>
      </c>
      <c r="AB86" s="664">
        <f>AA87</f>
      </c>
      <c r="AC86" s="664">
        <f>AB86+AC84</f>
      </c>
      <c r="AD86" s="664">
        <f>AC86+AD84</f>
      </c>
    </row>
    <row r="87" spans="1:33" s="350" customFormat="1" ht="18" customHeight="1">
      <c r="A87" s="498"/>
      <c r="B87" s="1678">
        <f>AN19</f>
      </c>
      <c r="C87" s="1678"/>
      <c r="D87" s="1678"/>
      <c r="E87" s="1678"/>
      <c r="F87" s="1678"/>
      <c r="G87" s="1678"/>
      <c r="H87" s="1678"/>
      <c r="I87" s="1019" t="s">
        <v>0</v>
      </c>
      <c r="J87" s="1676">
        <f>J84/J81</f>
      </c>
      <c r="K87" s="1676"/>
      <c r="L87" s="1676"/>
      <c r="M87" s="656"/>
      <c r="N87" s="656"/>
      <c r="O87" s="453"/>
      <c r="P87" s="453"/>
      <c r="Q87" s="453"/>
      <c r="R87" s="453"/>
      <c r="S87" s="453"/>
      <c r="T87" s="453"/>
      <c r="U87" s="453"/>
      <c r="V87" s="453"/>
      <c r="W87" s="453"/>
      <c r="X87" s="453"/>
      <c r="Y87" s="446"/>
      <c r="AA87" s="663">
        <f>AA85/AA86</f>
      </c>
      <c r="AB87" s="350">
        <f>"RPC "&amp;"&lt;"&amp;AB86</f>
      </c>
      <c r="AC87" s="350">
        <f>"RPC "&amp;AB86&amp;" sd. "&amp;AC86</f>
      </c>
      <c r="AD87" s="350">
        <f>"RPC&gt;"&amp;AC86&amp;" sd. "&amp;AD86</f>
      </c>
      <c r="AE87" s="350">
        <f>"RPC&gt;"&amp;AD86</f>
      </c>
    </row>
    <row r="88" spans="1:33" s="350" customFormat="1" ht="18" customHeight="1">
      <c r="A88" s="498"/>
      <c r="B88" s="1677">
        <f>AP19</f>
      </c>
      <c r="C88" s="1678"/>
      <c r="D88" s="1678"/>
      <c r="E88" s="1678"/>
      <c r="F88" s="1678"/>
      <c r="G88" s="1678"/>
      <c r="H88" s="1678"/>
      <c r="I88" s="1019" t="s">
        <v>0</v>
      </c>
      <c r="J88" s="1676">
        <f>N41-J87</f>
      </c>
      <c r="K88" s="1676"/>
      <c r="L88" s="1676"/>
      <c r="M88" s="656"/>
      <c r="N88" s="656"/>
      <c r="O88" s="453"/>
      <c r="P88" s="453"/>
      <c r="Q88" s="453"/>
      <c r="R88" s="453"/>
      <c r="S88" s="453"/>
      <c r="T88" s="453"/>
      <c r="U88" s="453"/>
      <c r="V88" s="453"/>
      <c r="W88" s="453"/>
      <c r="X88" s="453"/>
      <c r="Y88" s="446"/>
      <c r="AA88" s="662">
        <f>(N35+N38)/(N39+J87)</f>
      </c>
      <c r="AB88" s="350">
        <v>0</v>
      </c>
      <c r="AC88" s="350">
        <v>5</v>
      </c>
      <c r="AD88" s="350">
        <v>7</v>
      </c>
      <c r="AE88" s="350">
        <v>10</v>
      </c>
    </row>
    <row r="89" spans="1:33" s="350" customFormat="1" ht="18" customHeight="1">
      <c r="A89" s="498"/>
      <c r="B89" s="1677" t="s">
        <v>1196</v>
      </c>
      <c r="C89" s="1678"/>
      <c r="D89" s="1678"/>
      <c r="E89" s="1678"/>
      <c r="F89" s="1678"/>
      <c r="G89" s="1678"/>
      <c r="H89" s="1678"/>
      <c r="I89" s="1019" t="s">
        <v>0</v>
      </c>
      <c r="J89" s="1676">
        <f t="shared" ref="J89:J92" si="1">N42-J88</f>
      </c>
      <c r="K89" s="1676"/>
      <c r="L89" s="1676"/>
      <c r="M89" s="656"/>
      <c r="N89" s="656"/>
      <c r="O89" s="453"/>
      <c r="P89" s="453"/>
      <c r="Q89" s="453"/>
      <c r="R89" s="453"/>
      <c r="S89" s="453"/>
      <c r="T89" s="453"/>
      <c r="U89" s="453"/>
      <c r="V89" s="453"/>
      <c r="W89" s="453"/>
      <c r="X89" s="453"/>
      <c r="Y89" s="446"/>
      <c r="AA89" s="662"/>
    </row>
    <row r="90" spans="1:33" s="350" customFormat="1" ht="18" customHeight="1">
      <c r="A90" s="498"/>
      <c r="B90" s="1677" t="s">
        <v>1198</v>
      </c>
      <c r="C90" s="1678"/>
      <c r="D90" s="1678"/>
      <c r="E90" s="1678"/>
      <c r="F90" s="1678"/>
      <c r="G90" s="1678"/>
      <c r="H90" s="1678"/>
      <c r="I90" s="1019" t="s">
        <v>0</v>
      </c>
      <c r="J90" s="1676">
        <f t="shared" si="1"/>
      </c>
      <c r="K90" s="1676"/>
      <c r="L90" s="1676"/>
      <c r="M90" s="656"/>
      <c r="N90" s="656"/>
      <c r="O90" s="453"/>
      <c r="P90" s="453"/>
      <c r="Q90" s="453"/>
      <c r="R90" s="453"/>
      <c r="S90" s="453"/>
      <c r="T90" s="453"/>
      <c r="U90" s="453"/>
      <c r="V90" s="453"/>
      <c r="W90" s="453"/>
      <c r="X90" s="453"/>
      <c r="Y90" s="446"/>
      <c r="AA90" s="662"/>
    </row>
    <row r="91" spans="1:33" s="350" customFormat="1" ht="18" customHeight="1">
      <c r="A91" s="498"/>
      <c r="B91" s="1677" t="s">
        <v>1197</v>
      </c>
      <c r="C91" s="1678"/>
      <c r="D91" s="1678"/>
      <c r="E91" s="1678"/>
      <c r="F91" s="1678"/>
      <c r="G91" s="1678"/>
      <c r="H91" s="1678"/>
      <c r="I91" s="1019" t="s">
        <v>0</v>
      </c>
      <c r="J91" s="1676">
        <f t="shared" si="1"/>
      </c>
      <c r="K91" s="1676"/>
      <c r="L91" s="1676"/>
      <c r="M91" s="656"/>
      <c r="N91" s="656"/>
      <c r="O91" s="453"/>
      <c r="P91" s="453"/>
      <c r="Q91" s="453"/>
      <c r="R91" s="453"/>
      <c r="S91" s="453"/>
      <c r="T91" s="453"/>
      <c r="U91" s="453"/>
      <c r="V91" s="453"/>
      <c r="W91" s="453"/>
      <c r="X91" s="453"/>
      <c r="Y91" s="446"/>
      <c r="AA91" s="662"/>
    </row>
    <row r="92" spans="1:33" s="350" customFormat="1" ht="18" customHeight="1">
      <c r="A92" s="498"/>
      <c r="B92" s="1677" t="s">
        <v>1199</v>
      </c>
      <c r="C92" s="1678"/>
      <c r="D92" s="1678"/>
      <c r="E92" s="1678"/>
      <c r="F92" s="1678"/>
      <c r="G92" s="1678"/>
      <c r="H92" s="1678"/>
      <c r="I92" s="1019" t="s">
        <v>0</v>
      </c>
      <c r="J92" s="1676">
        <f t="shared" si="1"/>
      </c>
      <c r="K92" s="1676"/>
      <c r="L92" s="1676"/>
      <c r="M92" s="656"/>
      <c r="N92" s="656"/>
      <c r="O92" s="453"/>
      <c r="P92" s="453"/>
      <c r="Q92" s="453"/>
      <c r="R92" s="453"/>
      <c r="S92" s="453"/>
      <c r="T92" s="453"/>
      <c r="U92" s="453"/>
      <c r="V92" s="453"/>
      <c r="W92" s="453"/>
      <c r="X92" s="453"/>
      <c r="Y92" s="446"/>
      <c r="AA92" s="662"/>
    </row>
    <row r="93" spans="1:33" s="350" customFormat="1" ht="18" customHeight="1">
      <c r="A93" s="498"/>
      <c r="B93" s="1014"/>
      <c r="C93" s="1015"/>
      <c r="D93" s="1015"/>
      <c r="E93" s="1015"/>
      <c r="F93" s="1015"/>
      <c r="G93" s="1015"/>
      <c r="H93" s="1015"/>
      <c r="I93" s="1016"/>
      <c r="J93" s="1017"/>
      <c r="K93" s="1017"/>
      <c r="L93" s="1017"/>
      <c r="M93" s="656"/>
      <c r="N93" s="656"/>
      <c r="O93" s="453"/>
      <c r="P93" s="453"/>
      <c r="Q93" s="453"/>
      <c r="R93" s="453"/>
      <c r="S93" s="453"/>
      <c r="T93" s="453"/>
      <c r="U93" s="453"/>
      <c r="V93" s="453"/>
      <c r="W93" s="453"/>
      <c r="X93" s="453"/>
      <c r="Y93" s="446"/>
      <c r="AB93" s="350">
        <f>IF(AA88&lt;AB86,AB87,0)</f>
      </c>
      <c r="AC93" s="350">
        <f>IF(AND(AA88&gt;=AB86,AA88&lt;=AC86),AC87,0)</f>
      </c>
      <c r="AD93" s="350">
        <f>IF(AND(AA88&gt;AC86,AA88&lt;=AD86),AD87,0)</f>
      </c>
      <c r="AE93" s="350">
        <f>IF(AA88&gt;AD86,AE87,0)</f>
      </c>
    </row>
    <row r="94" spans="1:33" s="350" customFormat="1" ht="18">
      <c r="A94" s="1703" t="s">
        <v>613</v>
      </c>
      <c r="B94" s="1704"/>
      <c r="C94" s="1704"/>
      <c r="D94" s="1704"/>
      <c r="E94" s="1704"/>
      <c r="F94" s="1704"/>
      <c r="G94" s="1704"/>
      <c r="H94" s="1704"/>
      <c r="I94" s="1704"/>
      <c r="J94" s="1704"/>
      <c r="K94" s="1704"/>
      <c r="L94" s="1704"/>
      <c r="M94" s="1704"/>
      <c r="N94" s="1704"/>
      <c r="O94" s="1704"/>
      <c r="P94" s="1704"/>
      <c r="Q94" s="1704"/>
      <c r="R94" s="1704"/>
      <c r="S94" s="1704"/>
      <c r="T94" s="1704"/>
      <c r="U94" s="1704"/>
      <c r="V94" s="1704"/>
      <c r="W94" s="1704"/>
      <c r="X94" s="1704"/>
      <c r="Y94" s="1705"/>
      <c r="AB94" s="350">
        <f>IF(AB93=0,0,1)</f>
      </c>
      <c r="AC94" s="350">
        <f>IF(AC93=0,0,1)</f>
      </c>
      <c r="AD94" s="350">
        <f>IF(AD93=0,0,1)</f>
      </c>
      <c r="AE94" s="350">
        <f>IF(AE93=0,0,1)</f>
      </c>
    </row>
    <row r="95" spans="1:33" s="350" customFormat="1" ht="6.75" customHeight="1" thickBot="1">
      <c r="A95" s="451"/>
      <c r="B95" s="543"/>
      <c r="C95" s="543"/>
      <c r="D95" s="543"/>
      <c r="E95" s="543"/>
      <c r="F95" s="543"/>
      <c r="G95" s="543"/>
      <c r="H95" s="543"/>
      <c r="I95" s="551"/>
      <c r="J95" s="552"/>
      <c r="K95" s="552"/>
      <c r="L95" s="552"/>
      <c r="M95" s="449"/>
      <c r="N95" s="544"/>
      <c r="O95" s="544"/>
      <c r="P95" s="544"/>
      <c r="Q95" s="544"/>
      <c r="R95" s="236"/>
      <c r="S95" s="236"/>
      <c r="T95" s="236"/>
      <c r="U95" s="236"/>
      <c r="V95" s="236"/>
      <c r="W95" s="236"/>
      <c r="X95" s="236"/>
      <c r="Y95" s="242"/>
      <c r="AF95" s="350">
        <f>IF(AB94=0,0,AB88)</f>
      </c>
    </row>
    <row r="96" spans="1:33" s="350" customFormat="1" ht="15" thickBot="1">
      <c r="A96" s="1688" t="s">
        <v>757</v>
      </c>
      <c r="B96" s="1689"/>
      <c r="C96" s="1689"/>
      <c r="D96" s="1689"/>
      <c r="E96" s="1689"/>
      <c r="F96" s="1689"/>
      <c r="G96" s="1689"/>
      <c r="H96" s="1689"/>
      <c r="I96" s="1690" t="s">
        <v>0</v>
      </c>
      <c r="J96" s="1691">
        <f>'Aspek Non Keuangan'!I97/J80</f>
      </c>
      <c r="K96" s="1692"/>
      <c r="L96" s="552"/>
      <c r="M96" s="449"/>
      <c r="N96" s="544"/>
      <c r="O96" s="544"/>
      <c r="P96" s="544"/>
      <c r="Q96" s="544"/>
      <c r="R96" s="236"/>
      <c r="S96" s="268"/>
      <c r="T96" s="236"/>
      <c r="U96" s="236"/>
      <c r="V96" s="236"/>
      <c r="W96" s="236"/>
      <c r="X96" s="236"/>
      <c r="Y96" s="242"/>
      <c r="Z96" s="455"/>
      <c r="AC96" s="349"/>
      <c r="AF96" s="350">
        <f>IF(AC94=0,0,AC88)</f>
      </c>
      <c r="AG96" s="553"/>
    </row>
    <row r="97" spans="1:33" s="350" customFormat="1" ht="15" thickBot="1">
      <c r="A97" s="1688"/>
      <c r="B97" s="1689"/>
      <c r="C97" s="1689"/>
      <c r="D97" s="1689"/>
      <c r="E97" s="1689"/>
      <c r="F97" s="1689"/>
      <c r="G97" s="1689"/>
      <c r="H97" s="1689"/>
      <c r="I97" s="1690"/>
      <c r="J97" s="833">
        <f>"Persentase Agunan "&amp;Parameter!T140</f>
      </c>
      <c r="K97" s="831"/>
      <c r="L97" s="831"/>
      <c r="M97" s="831"/>
      <c r="N97" s="831"/>
      <c r="O97" s="831"/>
      <c r="P97" s="831"/>
      <c r="Q97" s="832"/>
      <c r="R97" s="236"/>
      <c r="S97" s="268"/>
      <c r="T97" s="236"/>
      <c r="U97" s="236"/>
      <c r="V97" s="236"/>
      <c r="W97" s="236"/>
      <c r="X97" s="236"/>
      <c r="Y97" s="242"/>
      <c r="Z97" s="455"/>
      <c r="AF97" s="350">
        <f>IF(AD94=0,0,AD88)</f>
      </c>
      <c r="AG97" s="553"/>
    </row>
    <row r="98" spans="1:33" s="350" customFormat="1" ht="6" customHeight="1">
      <c r="A98" s="456"/>
      <c r="B98" s="554"/>
      <c r="C98" s="554"/>
      <c r="D98" s="554"/>
      <c r="E98" s="554"/>
      <c r="F98" s="554"/>
      <c r="G98" s="554"/>
      <c r="H98" s="554"/>
      <c r="I98" s="555"/>
      <c r="J98" s="554"/>
      <c r="K98" s="554"/>
      <c r="L98" s="554"/>
      <c r="M98" s="554"/>
      <c r="N98" s="554"/>
      <c r="O98" s="554"/>
      <c r="P98" s="554"/>
      <c r="Q98" s="554"/>
      <c r="R98" s="236"/>
      <c r="S98" s="268"/>
      <c r="T98" s="236"/>
      <c r="U98" s="236"/>
      <c r="V98" s="236"/>
      <c r="W98" s="236"/>
      <c r="X98" s="236"/>
      <c r="Y98" s="242"/>
      <c r="Z98" s="268"/>
      <c r="AF98" s="350">
        <f>IF(AE94=0,0,AE88)</f>
      </c>
    </row>
    <row r="99" spans="1:33" s="350" customFormat="1" ht="18">
      <c r="A99" s="1703" t="s">
        <v>748</v>
      </c>
      <c r="B99" s="1704"/>
      <c r="C99" s="1704"/>
      <c r="D99" s="1704"/>
      <c r="E99" s="1704"/>
      <c r="F99" s="1704"/>
      <c r="G99" s="1704"/>
      <c r="H99" s="1704"/>
      <c r="I99" s="1704"/>
      <c r="J99" s="1704"/>
      <c r="K99" s="1704"/>
      <c r="L99" s="1704"/>
      <c r="M99" s="1704"/>
      <c r="N99" s="1704"/>
      <c r="O99" s="1704"/>
      <c r="P99" s="1704"/>
      <c r="Q99" s="1704"/>
      <c r="R99" s="1704"/>
      <c r="S99" s="1704"/>
      <c r="T99" s="1704"/>
      <c r="U99" s="1704"/>
      <c r="V99" s="1704"/>
      <c r="W99" s="1704"/>
      <c r="X99" s="1704"/>
      <c r="Y99" s="1705"/>
    </row>
    <row r="100" spans="1:33" s="350" customFormat="1" ht="6" customHeight="1" thickBot="1">
      <c r="A100" s="498"/>
      <c r="B100" s="497"/>
      <c r="C100" s="453"/>
      <c r="D100" s="453"/>
      <c r="E100" s="453"/>
      <c r="F100" s="453"/>
      <c r="G100" s="453"/>
      <c r="H100" s="497"/>
      <c r="I100" s="449"/>
      <c r="J100" s="556"/>
      <c r="K100" s="453"/>
      <c r="L100" s="453"/>
      <c r="M100" s="453"/>
      <c r="N100" s="557"/>
      <c r="O100" s="453"/>
      <c r="P100" s="453"/>
      <c r="Q100" s="453"/>
      <c r="R100" s="453"/>
      <c r="S100" s="453"/>
      <c r="T100" s="453"/>
      <c r="U100" s="453"/>
      <c r="V100" s="453"/>
      <c r="W100" s="453"/>
      <c r="X100" s="453"/>
      <c r="Y100" s="446"/>
    </row>
    <row r="101" spans="1:33" s="350" customFormat="1" ht="15.75" customHeight="1" thickBot="1">
      <c r="A101" s="498"/>
      <c r="B101" s="1681" t="s">
        <v>584</v>
      </c>
      <c r="C101" s="1686"/>
      <c r="D101" s="1686"/>
      <c r="E101" s="1681" t="s">
        <v>585</v>
      </c>
      <c r="F101" s="1686"/>
      <c r="G101" s="1681" t="s">
        <v>586</v>
      </c>
      <c r="H101" s="1682"/>
      <c r="I101" s="558"/>
      <c r="J101" s="1693">
        <f>IFERROR(VLOOKUP(E102,Rating!E4:I23,5,0),"Unrated")</f>
      </c>
      <c r="K101" s="1694"/>
      <c r="L101" s="1694"/>
      <c r="M101" s="1694"/>
      <c r="N101" s="1694"/>
      <c r="O101" s="1694"/>
      <c r="P101" s="1694"/>
      <c r="Q101" s="1694"/>
      <c r="R101" s="1694"/>
      <c r="S101" s="1694"/>
      <c r="T101" s="1694"/>
      <c r="U101" s="1694"/>
      <c r="V101" s="1694"/>
      <c r="W101" s="1694"/>
      <c r="X101" s="1694"/>
      <c r="Y101" s="1695"/>
    </row>
    <row r="102" spans="1:33" s="350" customFormat="1" ht="15" thickBot="1">
      <c r="A102" s="498"/>
      <c r="B102" s="1750">
        <f>Parameter!U156</f>
      </c>
      <c r="C102" s="1751"/>
      <c r="D102" s="1752"/>
      <c r="E102" s="1684">
        <f>IFERROR(VLOOKUP(ROUND(B102,0),Rating!$D$26:$F$126,2,0),"Unrated")</f>
      </c>
      <c r="F102" s="1685"/>
      <c r="G102" s="1684">
        <f>IF(B102="unrated","input Error",IF(B102&gt;=70,"Layak","Tidak Layak"))</f>
      </c>
      <c r="H102" s="1746"/>
      <c r="I102" s="449"/>
      <c r="J102" s="1696"/>
      <c r="K102" s="1697"/>
      <c r="L102" s="1697"/>
      <c r="M102" s="1697"/>
      <c r="N102" s="1697"/>
      <c r="O102" s="1697"/>
      <c r="P102" s="1697"/>
      <c r="Q102" s="1697"/>
      <c r="R102" s="1697"/>
      <c r="S102" s="1697"/>
      <c r="T102" s="1697"/>
      <c r="U102" s="1697"/>
      <c r="V102" s="1697"/>
      <c r="W102" s="1697"/>
      <c r="X102" s="1697"/>
      <c r="Y102" s="1698"/>
    </row>
    <row r="103" spans="1:33" s="350" customFormat="1" ht="15" customHeight="1">
      <c r="A103" s="559"/>
      <c r="B103" s="560"/>
      <c r="C103" s="560"/>
      <c r="D103" s="560"/>
      <c r="E103" s="560"/>
      <c r="F103" s="560"/>
      <c r="G103" s="560"/>
      <c r="H103" s="560"/>
      <c r="I103" s="449"/>
      <c r="J103" s="1696"/>
      <c r="K103" s="1697"/>
      <c r="L103" s="1697"/>
      <c r="M103" s="1697"/>
      <c r="N103" s="1697"/>
      <c r="O103" s="1697"/>
      <c r="P103" s="1697"/>
      <c r="Q103" s="1697"/>
      <c r="R103" s="1697"/>
      <c r="S103" s="1697"/>
      <c r="T103" s="1697"/>
      <c r="U103" s="1697"/>
      <c r="V103" s="1697"/>
      <c r="W103" s="1697"/>
      <c r="X103" s="1697"/>
      <c r="Y103" s="1698"/>
    </row>
    <row r="104" spans="1:33" s="350" customFormat="1" ht="16.5" customHeight="1">
      <c r="A104" s="498"/>
      <c r="B104" s="1702" t="s">
        <v>749</v>
      </c>
      <c r="C104" s="1702"/>
      <c r="D104" s="1702"/>
      <c r="E104" s="1702"/>
      <c r="F104" s="1702"/>
      <c r="G104" s="1702"/>
      <c r="H104" s="1702"/>
      <c r="I104" s="449"/>
      <c r="J104" s="1696"/>
      <c r="K104" s="1697"/>
      <c r="L104" s="1697"/>
      <c r="M104" s="1697"/>
      <c r="N104" s="1697"/>
      <c r="O104" s="1697"/>
      <c r="P104" s="1697"/>
      <c r="Q104" s="1697"/>
      <c r="R104" s="1697"/>
      <c r="S104" s="1697"/>
      <c r="T104" s="1697"/>
      <c r="U104" s="1697"/>
      <c r="V104" s="1697"/>
      <c r="W104" s="1697"/>
      <c r="X104" s="1697"/>
      <c r="Y104" s="1698"/>
    </row>
    <row r="105" spans="1:33" s="350" customFormat="1" ht="27" customHeight="1">
      <c r="A105" s="498"/>
      <c r="B105" s="1679">
        <f>AA88</f>
      </c>
      <c r="C105" s="1679"/>
      <c r="D105" s="1679"/>
      <c r="E105" s="1680">
        <f>IF(B105&gt;=AA87,"Memadai","Tidak Memadai")</f>
      </c>
      <c r="F105" s="1680"/>
      <c r="G105" s="1680"/>
      <c r="H105" s="1680"/>
      <c r="I105" s="449"/>
      <c r="J105" s="1696"/>
      <c r="K105" s="1697"/>
      <c r="L105" s="1697"/>
      <c r="M105" s="1697"/>
      <c r="N105" s="1697"/>
      <c r="O105" s="1697"/>
      <c r="P105" s="1697"/>
      <c r="Q105" s="1697"/>
      <c r="R105" s="1697"/>
      <c r="S105" s="1697"/>
      <c r="T105" s="1697"/>
      <c r="U105" s="1697"/>
      <c r="V105" s="1697"/>
      <c r="W105" s="1697"/>
      <c r="X105" s="1697"/>
      <c r="Y105" s="1698"/>
      <c r="AA105" s="561">
        <f>IF(B105&gt;=AB30,"Memadai","Tidak Memadai")</f>
      </c>
      <c r="AB105" s="562">
        <f>IF(AA105="Memadai",1,2)</f>
      </c>
      <c r="AC105" s="563">
        <f>MAX(AB105:AB106)</f>
      </c>
      <c r="AD105" s="564">
        <f>IF(AC105=1,"Memadai","Tidak Memadai")</f>
      </c>
      <c r="AE105" s="457"/>
    </row>
    <row r="106" spans="1:33" s="350" customFormat="1" ht="21" customHeight="1" thickBot="1">
      <c r="A106" s="559"/>
      <c r="B106" s="565"/>
      <c r="C106" s="565"/>
      <c r="D106" s="565"/>
      <c r="E106" s="565"/>
      <c r="F106" s="565"/>
      <c r="G106" s="565"/>
      <c r="H106" s="542"/>
      <c r="I106" s="449"/>
      <c r="J106" s="1699"/>
      <c r="K106" s="1700"/>
      <c r="L106" s="1700"/>
      <c r="M106" s="1700"/>
      <c r="N106" s="1700"/>
      <c r="O106" s="1700"/>
      <c r="P106" s="1700"/>
      <c r="Q106" s="1700"/>
      <c r="R106" s="1700"/>
      <c r="S106" s="1700"/>
      <c r="T106" s="1700"/>
      <c r="U106" s="1700"/>
      <c r="V106" s="1700"/>
      <c r="W106" s="1700"/>
      <c r="X106" s="1700"/>
      <c r="Y106" s="1701"/>
      <c r="AA106" s="454">
        <f>IF(K76&lt;=K74,"Memadai","Tidak Memadai")</f>
      </c>
      <c r="AB106" s="562">
        <f>IF(AA106="Memadai",1,2)</f>
      </c>
      <c r="AC106" s="457"/>
      <c r="AD106" s="457"/>
      <c r="AE106" s="457"/>
    </row>
    <row r="107" ht="15" customHeight="1">
      <c r="A107" s="213"/>
      <c r="B107" s="409"/>
      <c r="C107" s="410"/>
      <c r="D107" s="410"/>
      <c r="E107" s="410"/>
      <c r="F107" s="410"/>
      <c r="G107" s="410"/>
      <c r="H107" s="151"/>
      <c r="I107" s="151"/>
      <c r="J107" s="151"/>
      <c r="K107" s="151"/>
      <c r="L107" s="418"/>
      <c r="M107" s="151"/>
      <c r="N107" s="151"/>
      <c r="O107" s="151"/>
      <c r="P107" s="151"/>
      <c r="Q107" s="151"/>
      <c r="R107" s="151"/>
      <c r="S107" s="151"/>
      <c r="T107" s="151"/>
      <c r="U107" s="151"/>
      <c r="V107" s="151"/>
      <c r="W107" s="151"/>
      <c r="X107" s="151"/>
      <c r="Y107" s="212"/>
    </row>
    <row r="108" spans="1:33" ht="84.75" customHeight="1">
      <c r="A108" s="213"/>
      <c r="B108" s="1747"/>
      <c r="C108" s="1748"/>
      <c r="D108" s="1748"/>
      <c r="E108" s="1748"/>
      <c r="F108" s="1748"/>
      <c r="G108" s="1748"/>
      <c r="H108" s="1748"/>
      <c r="I108" s="1748"/>
      <c r="J108" s="1748"/>
      <c r="K108" s="1748"/>
      <c r="L108" s="1748"/>
      <c r="M108" s="1748"/>
      <c r="N108" s="1748"/>
      <c r="O108" s="1748"/>
      <c r="P108" s="1748"/>
      <c r="Q108" s="1748"/>
      <c r="R108" s="1748"/>
      <c r="S108" s="1748"/>
      <c r="T108" s="1748"/>
      <c r="U108" s="1748"/>
      <c r="V108" s="1748"/>
      <c r="W108" s="1748"/>
      <c r="X108" s="1749"/>
      <c r="Y108" s="212"/>
    </row>
    <row r="109" ht="9" customHeight="1">
      <c r="A109" s="496"/>
      <c r="B109" s="215"/>
      <c r="C109" s="215"/>
      <c r="D109" s="215"/>
      <c r="E109" s="215"/>
      <c r="F109" s="215"/>
      <c r="G109" s="215"/>
      <c r="H109" s="215"/>
      <c r="I109" s="216"/>
      <c r="J109" s="141"/>
      <c r="K109" s="141"/>
      <c r="L109" s="141"/>
      <c r="M109" s="141"/>
      <c r="N109" s="141"/>
      <c r="O109" s="418"/>
      <c r="P109" s="418"/>
      <c r="Q109" s="418"/>
      <c r="R109" s="418"/>
      <c r="S109" s="418"/>
      <c r="T109" s="418"/>
      <c r="U109" s="418"/>
      <c r="V109" s="418"/>
      <c r="W109" s="418"/>
      <c r="X109" s="418"/>
      <c r="Y109" s="444"/>
    </row>
    <row r="110" spans="1:33" ht="15.6">
      <c r="A110" s="1741" t="s">
        <v>703</v>
      </c>
      <c r="B110" s="1742"/>
      <c r="C110" s="1742"/>
      <c r="D110" s="1742"/>
      <c r="E110" s="1742"/>
      <c r="F110" s="1742"/>
      <c r="G110" s="1742"/>
      <c r="H110" s="1742"/>
      <c r="I110" s="1742"/>
      <c r="J110" s="1742"/>
      <c r="K110" s="1742"/>
      <c r="L110" s="1742"/>
      <c r="M110" s="1742"/>
      <c r="N110" s="1742"/>
      <c r="O110" s="1742"/>
      <c r="P110" s="1742"/>
      <c r="Q110" s="1742"/>
      <c r="R110" s="1742"/>
      <c r="S110" s="1742"/>
      <c r="T110" s="1742"/>
      <c r="U110" s="1742"/>
      <c r="V110" s="1742"/>
      <c r="W110" s="1742"/>
      <c r="X110" s="1742"/>
      <c r="Y110" s="1743"/>
    </row>
    <row r="111" spans="1:33" ht="9" customHeight="1">
      <c r="A111" s="213"/>
      <c r="B111" s="151"/>
      <c r="C111" s="151"/>
      <c r="D111" s="151"/>
      <c r="E111" s="151"/>
      <c r="F111" s="151"/>
      <c r="G111" s="151"/>
      <c r="H111" s="151"/>
      <c r="I111" s="151"/>
      <c r="J111" s="151"/>
      <c r="K111" s="151"/>
      <c r="L111" s="418"/>
      <c r="M111" s="151"/>
      <c r="N111" s="151"/>
      <c r="O111" s="151"/>
      <c r="P111" s="151"/>
      <c r="Q111" s="151"/>
      <c r="R111" s="151"/>
      <c r="S111" s="151"/>
      <c r="T111" s="151"/>
      <c r="U111" s="151"/>
      <c r="V111" s="151"/>
      <c r="W111" s="151"/>
      <c r="X111" s="151"/>
      <c r="Y111" s="212"/>
    </row>
    <row r="112" spans="1:33" s="151" customFormat="1">
      <c r="A112" s="213"/>
      <c r="L112" s="418"/>
      <c r="Q112" s="1553" t="s">
        <v>693</v>
      </c>
      <c r="R112" s="1554"/>
      <c r="S112" s="1554"/>
      <c r="T112" s="1554"/>
      <c r="U112" s="1555"/>
      <c r="Y112" s="212"/>
    </row>
    <row r="113" spans="1:25" s="151" customFormat="1">
      <c r="A113" s="213"/>
      <c r="L113" s="418"/>
      <c r="Q113" s="217"/>
      <c r="U113" s="611"/>
      <c r="Y113" s="212"/>
    </row>
    <row r="114" spans="1:25" s="151" customFormat="1" ht="21.75" customHeight="1">
      <c r="A114" s="213"/>
      <c r="L114" s="418"/>
      <c r="Q114" s="217"/>
      <c r="U114" s="611"/>
      <c r="Y114" s="212"/>
    </row>
    <row r="115" spans="1:25" s="151" customFormat="1">
      <c r="A115" s="213"/>
      <c r="L115" s="418"/>
      <c r="Q115" s="217"/>
      <c r="U115" s="611"/>
      <c r="Y115" s="212"/>
    </row>
    <row r="116" spans="1:25" s="151" customFormat="1">
      <c r="A116" s="213"/>
      <c r="L116" s="418"/>
      <c r="Q116" s="1622">
        <f>'Informasi Pokok'!D6</f>
      </c>
      <c r="R116" s="1623"/>
      <c r="S116" s="1623"/>
      <c r="T116" s="1623"/>
      <c r="U116" s="1624"/>
      <c r="Y116" s="212"/>
    </row>
    <row r="117" spans="1:25" s="151" customFormat="1">
      <c r="A117" s="213"/>
      <c r="L117" s="418"/>
      <c r="Q117" s="1230" t="s">
        <v>635</v>
      </c>
      <c r="R117" s="1231"/>
      <c r="S117" s="1231"/>
      <c r="T117" s="1231"/>
      <c r="U117" s="1232"/>
      <c r="Y117" s="212"/>
    </row>
    <row r="118" spans="1:25" s="151" customFormat="1" ht="9.75" customHeight="1" thickBot="1">
      <c r="A118" s="213"/>
      <c r="L118" s="418"/>
      <c r="Y118" s="212"/>
    </row>
    <row r="119" spans="1:25" s="151" customFormat="1" ht="5.25" customHeight="1" thickBot="1">
      <c r="A119" s="213"/>
      <c r="B119" s="218"/>
      <c r="C119" s="219"/>
      <c r="D119" s="219"/>
      <c r="E119" s="219"/>
      <c r="F119" s="219"/>
      <c r="G119" s="219"/>
      <c r="H119" s="219"/>
      <c r="I119" s="220"/>
      <c r="J119" s="219"/>
      <c r="K119" s="219"/>
      <c r="L119" s="221"/>
      <c r="M119" s="219"/>
      <c r="N119" s="219"/>
      <c r="O119" s="219"/>
      <c r="P119" s="219"/>
      <c r="Q119" s="219"/>
      <c r="R119" s="219"/>
      <c r="S119" s="219"/>
      <c r="T119" s="219"/>
      <c r="U119" s="219"/>
      <c r="V119" s="219"/>
      <c r="W119" s="219"/>
      <c r="X119" s="219"/>
      <c r="Y119" s="222"/>
    </row>
    <row r="120" spans="1:25" s="151" customFormat="1" ht="15" thickBot="1">
      <c r="A120" s="213"/>
      <c r="B120" s="1732">
        <f>'Aspek Non Keuangan'!H135</f>
      </c>
      <c r="C120" s="1672"/>
      <c r="D120" s="1672"/>
      <c r="E120" s="1672"/>
      <c r="F120" s="1672"/>
      <c r="G120" s="1672"/>
      <c r="H120" s="1744"/>
      <c r="I120" s="217"/>
      <c r="J120" s="223"/>
      <c r="K120" s="1732" t="s">
        <v>407</v>
      </c>
      <c r="L120" s="1212"/>
      <c r="M120" s="1212"/>
      <c r="O120" s="223"/>
      <c r="Q120" s="1212" t="s">
        <v>408</v>
      </c>
      <c r="R120" s="1672"/>
      <c r="S120" s="1672"/>
      <c r="T120" s="1672"/>
      <c r="U120" s="1672"/>
      <c r="V120" s="1672"/>
      <c r="W120" s="1672"/>
      <c r="Y120" s="212"/>
    </row>
    <row r="121" spans="1:25" s="151" customFormat="1" ht="2.25" customHeight="1">
      <c r="A121" s="213"/>
      <c r="B121" s="224"/>
      <c r="I121" s="225"/>
      <c r="J121" s="226"/>
      <c r="K121" s="226"/>
      <c r="L121" s="767"/>
      <c r="M121" s="226"/>
      <c r="N121" s="226"/>
      <c r="O121" s="226"/>
      <c r="P121" s="226"/>
      <c r="Q121" s="226"/>
      <c r="R121" s="226"/>
      <c r="S121" s="226"/>
      <c r="T121" s="226"/>
      <c r="U121" s="226"/>
      <c r="V121" s="226"/>
      <c r="W121" s="226"/>
      <c r="X121" s="226"/>
      <c r="Y121" s="227"/>
    </row>
    <row r="122" spans="1:25" s="151" customFormat="1">
      <c r="A122" s="213"/>
      <c r="B122" s="224"/>
      <c r="I122" s="1734"/>
      <c r="J122" s="1735"/>
      <c r="K122" s="1735"/>
      <c r="L122" s="1735"/>
      <c r="M122" s="1735"/>
      <c r="N122" s="1735"/>
      <c r="O122" s="1735"/>
      <c r="P122" s="1735"/>
      <c r="Q122" s="1735"/>
      <c r="R122" s="1735"/>
      <c r="S122" s="1735"/>
      <c r="T122" s="1735"/>
      <c r="U122" s="1735"/>
      <c r="V122" s="1735"/>
      <c r="W122" s="1735"/>
      <c r="X122" s="1735"/>
      <c r="Y122" s="1736"/>
    </row>
    <row r="123" spans="1:25" s="151" customFormat="1">
      <c r="A123" s="213"/>
      <c r="B123" s="224"/>
      <c r="I123" s="1737"/>
      <c r="J123" s="1672"/>
      <c r="K123" s="1672"/>
      <c r="L123" s="1672"/>
      <c r="M123" s="1672"/>
      <c r="N123" s="1672"/>
      <c r="O123" s="1672"/>
      <c r="P123" s="1672"/>
      <c r="Q123" s="1672"/>
      <c r="R123" s="1672"/>
      <c r="S123" s="1672"/>
      <c r="T123" s="1672"/>
      <c r="U123" s="1672"/>
      <c r="V123" s="1672"/>
      <c r="W123" s="1672"/>
      <c r="X123" s="1672"/>
      <c r="Y123" s="1673"/>
    </row>
    <row r="124" spans="1:25" s="151" customFormat="1">
      <c r="A124" s="213"/>
      <c r="B124" s="224"/>
      <c r="I124" s="1737"/>
      <c r="J124" s="1672"/>
      <c r="K124" s="1672"/>
      <c r="L124" s="1672"/>
      <c r="M124" s="1672"/>
      <c r="N124" s="1672"/>
      <c r="O124" s="1672"/>
      <c r="P124" s="1672"/>
      <c r="Q124" s="1672"/>
      <c r="R124" s="1672"/>
      <c r="S124" s="1672"/>
      <c r="T124" s="1672"/>
      <c r="U124" s="1672"/>
      <c r="V124" s="1672"/>
      <c r="W124" s="1672"/>
      <c r="X124" s="1672"/>
      <c r="Y124" s="1673"/>
    </row>
    <row r="125" spans="1:25" s="151" customFormat="1">
      <c r="A125" s="213"/>
      <c r="B125" s="224"/>
      <c r="I125" s="1737"/>
      <c r="J125" s="1672"/>
      <c r="K125" s="1672"/>
      <c r="L125" s="1672"/>
      <c r="M125" s="1672"/>
      <c r="N125" s="1672"/>
      <c r="O125" s="1672"/>
      <c r="P125" s="1672"/>
      <c r="Q125" s="1672"/>
      <c r="R125" s="1672"/>
      <c r="S125" s="1672"/>
      <c r="T125" s="1672"/>
      <c r="U125" s="1672"/>
      <c r="V125" s="1672"/>
      <c r="W125" s="1672"/>
      <c r="X125" s="1672"/>
      <c r="Y125" s="1673"/>
    </row>
    <row r="126" spans="1:25" s="151" customFormat="1">
      <c r="A126" s="213"/>
      <c r="B126" s="224"/>
      <c r="I126" s="1737"/>
      <c r="J126" s="1672"/>
      <c r="K126" s="1672"/>
      <c r="L126" s="1672"/>
      <c r="M126" s="1672"/>
      <c r="N126" s="1672"/>
      <c r="O126" s="1672"/>
      <c r="P126" s="1672"/>
      <c r="Q126" s="1672"/>
      <c r="R126" s="1672"/>
      <c r="S126" s="1672"/>
      <c r="T126" s="1672"/>
      <c r="U126" s="1672"/>
      <c r="V126" s="1672"/>
      <c r="W126" s="1672"/>
      <c r="X126" s="1672"/>
      <c r="Y126" s="1673"/>
    </row>
    <row r="127" spans="1:25" s="151" customFormat="1" ht="15" thickBot="1">
      <c r="A127" s="213"/>
      <c r="B127" s="1729" t="s">
        <v>410</v>
      </c>
      <c r="C127" s="1730"/>
      <c r="D127" s="1730"/>
      <c r="E127" s="1730"/>
      <c r="F127" s="1730"/>
      <c r="G127" s="1730"/>
      <c r="H127" s="1731"/>
      <c r="I127" s="1738"/>
      <c r="J127" s="1739"/>
      <c r="K127" s="1739"/>
      <c r="L127" s="1739"/>
      <c r="M127" s="1739"/>
      <c r="N127" s="1739"/>
      <c r="O127" s="1739"/>
      <c r="P127" s="1739"/>
      <c r="Q127" s="1739"/>
      <c r="R127" s="1739"/>
      <c r="S127" s="1739"/>
      <c r="T127" s="1739"/>
      <c r="U127" s="1739"/>
      <c r="V127" s="1739"/>
      <c r="W127" s="1739"/>
      <c r="X127" s="1739"/>
      <c r="Y127" s="1740"/>
    </row>
    <row r="128" spans="1:25" s="151" customFormat="1" ht="5.25" customHeight="1" thickBot="1">
      <c r="A128" s="213"/>
      <c r="B128" s="496"/>
      <c r="C128" s="418"/>
      <c r="D128" s="418"/>
      <c r="E128" s="418"/>
      <c r="F128" s="418"/>
      <c r="G128" s="418"/>
      <c r="H128" s="418"/>
      <c r="I128" s="228"/>
      <c r="J128" s="155"/>
      <c r="K128" s="155"/>
      <c r="L128" s="766"/>
      <c r="M128" s="155"/>
      <c r="N128" s="155"/>
      <c r="O128" s="155"/>
      <c r="P128" s="155"/>
      <c r="Q128" s="155"/>
      <c r="R128" s="155"/>
      <c r="S128" s="155"/>
      <c r="T128" s="155"/>
      <c r="U128" s="155"/>
      <c r="V128" s="155"/>
      <c r="W128" s="155"/>
      <c r="X128" s="155"/>
      <c r="Y128" s="229"/>
    </row>
    <row r="129" spans="1:27" s="151" customFormat="1" ht="15" thickBot="1">
      <c r="A129" s="213"/>
      <c r="B129" s="1732">
        <f>'Aspek Non Keuangan'!H143</f>
      </c>
      <c r="C129" s="1672"/>
      <c r="D129" s="1672"/>
      <c r="E129" s="1672"/>
      <c r="F129" s="1672"/>
      <c r="G129" s="1672"/>
      <c r="H129" s="1672"/>
      <c r="I129" s="217"/>
      <c r="J129" s="223"/>
      <c r="K129" s="1732" t="s">
        <v>406</v>
      </c>
      <c r="L129" s="1212"/>
      <c r="M129" s="1212"/>
      <c r="O129" s="223"/>
      <c r="Q129" s="1225" t="s">
        <v>409</v>
      </c>
      <c r="R129" s="1733"/>
      <c r="S129" s="1733"/>
      <c r="T129" s="1733"/>
      <c r="U129" s="1733"/>
      <c r="V129" s="1733"/>
      <c r="W129" s="1733"/>
      <c r="Y129" s="212"/>
    </row>
    <row r="130" spans="1:27" s="151" customFormat="1" ht="6.75" customHeight="1">
      <c r="A130" s="213"/>
      <c r="B130" s="224"/>
      <c r="I130" s="225"/>
      <c r="J130" s="226"/>
      <c r="K130" s="226"/>
      <c r="L130" s="767"/>
      <c r="M130" s="226"/>
      <c r="N130" s="226"/>
      <c r="O130" s="226"/>
      <c r="P130" s="226"/>
      <c r="Q130" s="226"/>
      <c r="R130" s="226"/>
      <c r="S130" s="226"/>
      <c r="T130" s="226"/>
      <c r="U130" s="226"/>
      <c r="V130" s="226"/>
      <c r="W130" s="226"/>
      <c r="X130" s="226"/>
      <c r="Y130" s="227"/>
    </row>
    <row r="131" spans="1:27" s="151" customFormat="1">
      <c r="A131" s="213"/>
      <c r="B131" s="224"/>
      <c r="I131" s="217"/>
      <c r="L131" s="418"/>
      <c r="Y131" s="212"/>
    </row>
    <row r="132" spans="1:27">
      <c r="A132" s="213"/>
      <c r="B132" s="224"/>
      <c r="C132" s="151"/>
      <c r="D132" s="151"/>
      <c r="E132" s="151"/>
      <c r="F132" s="151"/>
      <c r="G132" s="151"/>
      <c r="H132" s="151"/>
      <c r="I132" s="217"/>
      <c r="J132" s="151"/>
      <c r="K132" s="151"/>
      <c r="L132" s="418"/>
      <c r="M132" s="151"/>
      <c r="N132" s="151"/>
      <c r="O132" s="151"/>
      <c r="P132" s="151"/>
      <c r="Q132" s="151"/>
      <c r="R132" s="151"/>
      <c r="S132" s="151"/>
      <c r="T132" s="151"/>
      <c r="U132" s="151"/>
      <c r="V132" s="151"/>
      <c r="W132" s="151"/>
      <c r="X132" s="151"/>
      <c r="Y132" s="212"/>
    </row>
    <row r="133" spans="1:27">
      <c r="A133" s="213"/>
      <c r="B133" s="224"/>
      <c r="C133" s="151"/>
      <c r="D133" s="151"/>
      <c r="E133" s="151"/>
      <c r="F133" s="151"/>
      <c r="G133" s="151"/>
      <c r="H133" s="151"/>
      <c r="I133" s="217"/>
      <c r="J133" s="151"/>
      <c r="K133" s="151"/>
      <c r="L133" s="418"/>
      <c r="M133" s="151"/>
      <c r="N133" s="151"/>
      <c r="O133" s="151"/>
      <c r="P133" s="151"/>
      <c r="Q133" s="151"/>
      <c r="R133" s="151"/>
      <c r="S133" s="151"/>
      <c r="T133" s="151"/>
      <c r="U133" s="151"/>
      <c r="V133" s="151"/>
      <c r="W133" s="151"/>
      <c r="X133" s="151"/>
      <c r="Y133" s="212"/>
    </row>
    <row r="134" spans="1:27">
      <c r="A134" s="213"/>
      <c r="B134" s="224"/>
      <c r="C134" s="151"/>
      <c r="D134" s="151"/>
      <c r="E134" s="151"/>
      <c r="F134" s="151"/>
      <c r="G134" s="151"/>
      <c r="H134" s="151"/>
      <c r="I134" s="217"/>
      <c r="J134" s="151"/>
      <c r="K134" s="151"/>
      <c r="L134" s="418"/>
      <c r="M134" s="151"/>
      <c r="N134" s="151"/>
      <c r="O134" s="151"/>
      <c r="P134" s="151"/>
      <c r="Q134" s="151"/>
      <c r="R134" s="151"/>
      <c r="S134" s="151"/>
      <c r="T134" s="151"/>
      <c r="U134" s="151"/>
      <c r="V134" s="151"/>
      <c r="W134" s="151"/>
      <c r="X134" s="151"/>
      <c r="Y134" s="212"/>
    </row>
    <row r="135" spans="1:27">
      <c r="A135" s="213"/>
      <c r="B135" s="224"/>
      <c r="C135" s="151"/>
      <c r="D135" s="151"/>
      <c r="E135" s="151"/>
      <c r="F135" s="151"/>
      <c r="G135" s="151"/>
      <c r="H135" s="151"/>
      <c r="I135" s="217"/>
      <c r="J135" s="151"/>
      <c r="K135" s="151"/>
      <c r="L135" s="418"/>
      <c r="M135" s="151"/>
      <c r="N135" s="151"/>
      <c r="O135" s="151"/>
      <c r="P135" s="151"/>
      <c r="Q135" s="151"/>
      <c r="R135" s="151"/>
      <c r="S135" s="151"/>
      <c r="T135" s="151"/>
      <c r="U135" s="151"/>
      <c r="V135" s="151"/>
      <c r="W135" s="151"/>
      <c r="X135" s="151"/>
      <c r="Y135" s="212"/>
    </row>
    <row r="136" ht="15" thickBot="1">
      <c r="A136" s="213"/>
      <c r="B136" s="1729"/>
      <c r="C136" s="1730"/>
      <c r="D136" s="1730"/>
      <c r="E136" s="1730"/>
      <c r="F136" s="1730"/>
      <c r="G136" s="1730"/>
      <c r="H136" s="1731"/>
      <c r="I136" s="230"/>
      <c r="J136" s="231"/>
      <c r="K136" s="231"/>
      <c r="L136" s="495"/>
      <c r="M136" s="231"/>
      <c r="N136" s="231"/>
      <c r="O136" s="231"/>
      <c r="P136" s="231"/>
      <c r="Q136" s="231"/>
      <c r="R136" s="231"/>
      <c r="S136" s="231"/>
      <c r="T136" s="231"/>
      <c r="U136" s="231"/>
      <c r="V136" s="231"/>
      <c r="W136" s="231"/>
      <c r="X136" s="231"/>
      <c r="Y136" s="232"/>
    </row>
    <row r="137" spans="1:27" ht="15" thickBot="1">
      <c r="A137" s="233"/>
      <c r="B137" s="231"/>
      <c r="C137" s="231"/>
      <c r="D137" s="231"/>
      <c r="E137" s="231"/>
      <c r="F137" s="231"/>
      <c r="G137" s="231"/>
      <c r="H137" s="231"/>
      <c r="I137" s="231"/>
      <c r="J137" s="231"/>
      <c r="K137" s="231"/>
      <c r="L137" s="495"/>
      <c r="M137" s="231"/>
      <c r="N137" s="231"/>
      <c r="O137" s="231"/>
      <c r="P137" s="231"/>
      <c r="Q137" s="231"/>
      <c r="R137" s="231"/>
      <c r="S137" s="231"/>
      <c r="T137" s="231"/>
      <c r="U137" s="231"/>
      <c r="V137" s="231"/>
      <c r="W137" s="231"/>
      <c r="X137" s="231"/>
      <c r="Y137" s="232"/>
    </row>
    <row r="144" spans="1:27">
      <c r="AA144" s="235"/>
    </row>
    <row r="145" spans="27:27">
      <c r="AA145" s="235"/>
    </row>
  </sheetData>
  <mergeCells count="157">
    <mergeCell ref="J86:L86"/>
    <mergeCell ref="N42:Q42"/>
    <mergeCell ref="T83:U83"/>
    <mergeCell ref="Q64:S64"/>
    <mergeCell ref="B41:K41"/>
    <mergeCell ref="T62:U62"/>
    <mergeCell ref="Q72:Q73"/>
    <mergeCell ref="I57:O57"/>
    <mergeCell ref="N41:Q41"/>
    <mergeCell ref="J77:L77"/>
    <mergeCell ref="J78:L78"/>
    <mergeCell ref="J79:L79"/>
    <mergeCell ref="J80:L80"/>
    <mergeCell ref="J81:L81"/>
    <mergeCell ref="J83:L83"/>
    <mergeCell ref="K74:L74"/>
    <mergeCell ref="Q71:X71"/>
    <mergeCell ref="R72:X73"/>
    <mergeCell ref="M77:Y77"/>
    <mergeCell ref="M82:N82"/>
    <mergeCell ref="B42:K42"/>
    <mergeCell ref="B43:K43"/>
    <mergeCell ref="J48:K48"/>
    <mergeCell ref="B48:H48"/>
    <mergeCell ref="B49:H49"/>
    <mergeCell ref="B45:H45"/>
    <mergeCell ref="B46:H46"/>
    <mergeCell ref="B47:H47"/>
    <mergeCell ref="I54:S54"/>
    <mergeCell ref="J47:K47"/>
    <mergeCell ref="J46:K46"/>
    <mergeCell ref="T39:W39"/>
    <mergeCell ref="N38:Q38"/>
    <mergeCell ref="T59:X59"/>
    <mergeCell ref="M53:Q53"/>
    <mergeCell ref="N34:Q34"/>
    <mergeCell ref="N27:Q27"/>
    <mergeCell ref="Q65:S65"/>
    <mergeCell ref="N28:Q28"/>
    <mergeCell ref="N26:Q26"/>
    <mergeCell ref="N32:Q32"/>
    <mergeCell ref="N43:Q43"/>
    <mergeCell ref="S38:V38"/>
    <mergeCell ref="N39:Q39"/>
    <mergeCell ref="N31:Q31"/>
    <mergeCell ref="N35:Q35"/>
    <mergeCell ref="N33:Q33"/>
    <mergeCell ref="N36:Q36"/>
    <mergeCell ref="G102:H102"/>
    <mergeCell ref="B108:X108"/>
    <mergeCell ref="B102:D102"/>
    <mergeCell ref="A1:Y1"/>
    <mergeCell ref="A12:Y12"/>
    <mergeCell ref="N17:Q17"/>
    <mergeCell ref="N15:Q15"/>
    <mergeCell ref="N14:W14"/>
    <mergeCell ref="G3:X3"/>
    <mergeCell ref="G4:X4"/>
    <mergeCell ref="G5:X5"/>
    <mergeCell ref="G6:X6"/>
    <mergeCell ref="G7:X7"/>
    <mergeCell ref="N16:Q16"/>
    <mergeCell ref="A2:Y2"/>
    <mergeCell ref="J23:S23"/>
    <mergeCell ref="I65:M65"/>
    <mergeCell ref="N37:Q37"/>
    <mergeCell ref="A24:Y24"/>
    <mergeCell ref="N30:Q30"/>
    <mergeCell ref="K69:L69"/>
    <mergeCell ref="A94:Y94"/>
    <mergeCell ref="I58:O58"/>
    <mergeCell ref="Q58:S58"/>
    <mergeCell ref="B136:H136"/>
    <mergeCell ref="K129:M129"/>
    <mergeCell ref="Q129:W129"/>
    <mergeCell ref="B127:H127"/>
    <mergeCell ref="B129:H129"/>
    <mergeCell ref="I122:Y127"/>
    <mergeCell ref="A110:Y110"/>
    <mergeCell ref="K120:M120"/>
    <mergeCell ref="Q120:W120"/>
    <mergeCell ref="B120:H120"/>
    <mergeCell ref="Q117:U117"/>
    <mergeCell ref="Q112:U112"/>
    <mergeCell ref="Q116:U116"/>
    <mergeCell ref="J49:L49"/>
    <mergeCell ref="J87:L87"/>
    <mergeCell ref="B87:H87"/>
    <mergeCell ref="J84:L84"/>
    <mergeCell ref="J85:L85"/>
    <mergeCell ref="N18:Q18"/>
    <mergeCell ref="N19:Q19"/>
    <mergeCell ref="N20:Q20"/>
    <mergeCell ref="A52:Y52"/>
    <mergeCell ref="I55:O55"/>
    <mergeCell ref="I59:M59"/>
    <mergeCell ref="Q55:S55"/>
    <mergeCell ref="J82:L82"/>
    <mergeCell ref="T82:U82"/>
    <mergeCell ref="K71:L71"/>
    <mergeCell ref="K72:L72"/>
    <mergeCell ref="A67:Y67"/>
    <mergeCell ref="B79:H79"/>
    <mergeCell ref="B82:H82"/>
    <mergeCell ref="B81:H81"/>
    <mergeCell ref="B80:H80"/>
    <mergeCell ref="B37:K37"/>
    <mergeCell ref="Q56:S56"/>
    <mergeCell ref="T61:X61"/>
    <mergeCell ref="B89:H89"/>
    <mergeCell ref="J89:L89"/>
    <mergeCell ref="B90:H90"/>
    <mergeCell ref="J90:L90"/>
    <mergeCell ref="B91:H91"/>
    <mergeCell ref="B88:H88"/>
    <mergeCell ref="I56:O56"/>
    <mergeCell ref="T41:W41"/>
    <mergeCell ref="O59:P59"/>
    <mergeCell ref="R59:S59"/>
    <mergeCell ref="Q57:S57"/>
    <mergeCell ref="I61:O61"/>
    <mergeCell ref="I62:O62"/>
    <mergeCell ref="I63:O63"/>
    <mergeCell ref="T65:X65"/>
    <mergeCell ref="Q63:S63"/>
    <mergeCell ref="T63:U63"/>
    <mergeCell ref="I64:O64"/>
    <mergeCell ref="Q61:S61"/>
    <mergeCell ref="Q62:S62"/>
    <mergeCell ref="T56:U56"/>
    <mergeCell ref="T57:U57"/>
    <mergeCell ref="J76:L76"/>
    <mergeCell ref="J45:K45"/>
    <mergeCell ref="J91:L91"/>
    <mergeCell ref="B92:H92"/>
    <mergeCell ref="J92:L92"/>
    <mergeCell ref="B105:D105"/>
    <mergeCell ref="E105:H105"/>
    <mergeCell ref="G101:H101"/>
    <mergeCell ref="K73:L73"/>
    <mergeCell ref="E102:F102"/>
    <mergeCell ref="B101:D101"/>
    <mergeCell ref="B85:H85"/>
    <mergeCell ref="B86:H86"/>
    <mergeCell ref="B83:H83"/>
    <mergeCell ref="B78:H78"/>
    <mergeCell ref="B77:H77"/>
    <mergeCell ref="B76:H76"/>
    <mergeCell ref="A96:H97"/>
    <mergeCell ref="I96:I97"/>
    <mergeCell ref="J96:K96"/>
    <mergeCell ref="B84:H84"/>
    <mergeCell ref="E101:F101"/>
    <mergeCell ref="J101:Y106"/>
    <mergeCell ref="B104:H104"/>
    <mergeCell ref="A99:Y99"/>
    <mergeCell ref="J88:L88"/>
  </mergeCells>
  <conditionalFormatting sqref="E105:H105">
    <cfRule type="expression" dxfId="1" priority="1">
      <formula>$E$105="Tidak Memadai"</formula>
    </cfRule>
    <cfRule type="expression" dxfId="0" priority="2">
      <formula>$E$105="Memadai"</formula>
    </cfRule>
  </conditionalFormatting>
  <conditionalFormatting sqref="N75">
    <cfRule type="colorScale" priority="3">
      <colorScale>
        <cfvo type="min"/>
        <cfvo type="percentile" val="50"/>
        <cfvo type="max"/>
        <color rgb="FFF8696B"/>
        <color rgb="FFFFEB84"/>
        <color rgb="FF63BE7B"/>
      </colorScale>
    </cfRule>
  </conditionalFormatting>
  <dataValidations disablePrompts="1" count="1">
    <dataValidation type="list" allowBlank="1" showInputMessage="1" showErrorMessage="1" sqref="N36:Q36 N40:Q40">
      <formula1>$AA$27:$AA$29</formula1>
    </dataValidation>
  </dataValidations>
  <pageMargins left="0.7" right="0.7" top="0.5" bottom="0.49" header="0.3" footer="0.12"/>
  <pageSetup paperSize="10000" scale="78" fitToHeight="0" orientation="portrait" r:id="rId1"/>
  <rowBreaks count="1" manualBreakCount="1">
    <brk id="66" max="24" man="1"/>
  </rowBreaks>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Jadang!$P$4:$P$5</xm:f>
          </x14:formula1>
          <xm:sqref>M82:N82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C43"/>
  <sheetViews>
    <sheetView topLeftCell="J4" workbookViewId="0">
      <selection activeCell="Z21" sqref="Z21"/>
    </sheetView>
  </sheetViews>
  <sheetFormatPr defaultColWidth="8.88671875" defaultRowHeight="14.4"/>
  <cols>
    <col min="2" max="23" width="4.6640625" customWidth="1"/>
    <col min="25" max="25" width="28.33203125" bestFit="1" customWidth="1"/>
    <col min="26" max="26" width="24.44140625" bestFit="1" customWidth="1"/>
    <col min="28" max="28" width="28.33203125" bestFit="1" customWidth="1"/>
    <col min="29" max="29" width="21.6640625" customWidth="1"/>
  </cols>
  <sheetData>
    <row r="2" spans="2:29">
      <c r="B2" s="1813" t="s">
        <v>23</v>
      </c>
      <c r="C2" s="1814"/>
      <c r="D2" s="1814"/>
      <c r="E2" s="1814"/>
      <c r="F2" s="1814"/>
      <c r="G2" s="1814"/>
      <c r="H2" s="1814"/>
      <c r="I2" s="1814"/>
      <c r="J2" s="1814"/>
      <c r="K2" s="1814"/>
      <c r="L2" s="1814"/>
      <c r="M2" s="1814"/>
      <c r="N2" s="1814"/>
      <c r="O2" s="1814"/>
      <c r="P2" s="1814"/>
      <c r="Q2" s="1814"/>
      <c r="R2" s="1814"/>
      <c r="S2" s="1814"/>
      <c r="T2" s="1814"/>
      <c r="U2" s="1814"/>
      <c r="V2" s="1814"/>
      <c r="W2" s="1815"/>
    </row>
    <row r="3" spans="2:29">
      <c r="B3" s="1816"/>
      <c r="C3" s="1817"/>
      <c r="D3" s="1817"/>
      <c r="E3" s="1817"/>
      <c r="F3" s="1817"/>
      <c r="G3" s="1817"/>
      <c r="H3" s="1817"/>
      <c r="I3" s="1817"/>
      <c r="J3" s="1817"/>
      <c r="K3" s="1817"/>
      <c r="L3" s="1817"/>
      <c r="M3" s="1817"/>
      <c r="N3" s="1818"/>
      <c r="O3" s="1818"/>
      <c r="P3" s="1818"/>
      <c r="Q3" s="1818"/>
      <c r="R3" s="1818"/>
      <c r="S3" s="1817"/>
      <c r="T3" s="1817"/>
      <c r="U3" s="1817"/>
      <c r="V3" s="1817"/>
      <c r="W3" s="1819"/>
      <c r="Y3" s="1845" t="s">
        <v>178</v>
      </c>
      <c r="Z3" s="1846"/>
      <c r="AA3" s="19"/>
      <c r="AB3" s="1847" t="s">
        <v>179</v>
      </c>
      <c r="AC3" s="1847"/>
    </row>
    <row r="4" spans="2:29">
      <c r="B4" s="7" t="s">
        <v>24</v>
      </c>
      <c r="C4" s="1"/>
      <c r="D4" s="1"/>
      <c r="E4" s="1"/>
      <c r="F4" s="1"/>
      <c r="G4" s="1"/>
      <c r="H4" s="1" t="s">
        <v>0</v>
      </c>
      <c r="I4" s="44" t="s">
        <v>25</v>
      </c>
      <c r="J4" s="1820" t="s">
        <v>13</v>
      </c>
      <c r="K4" s="1820"/>
      <c r="L4" s="1820"/>
      <c r="M4" s="1821" t="s">
        <v>22</v>
      </c>
      <c r="N4" s="1823">
        <f>'Usulan Pembiayaan'!N26:Q26</f>
      </c>
      <c r="O4" s="1823"/>
      <c r="P4" s="1823"/>
      <c r="Q4" s="1823"/>
      <c r="R4" s="1823"/>
      <c r="S4" s="1821" t="s">
        <v>22</v>
      </c>
      <c r="T4" s="1824">
        <f>N4/N5</f>
      </c>
      <c r="U4" s="1824"/>
      <c r="V4" s="1826" t="s">
        <v>26</v>
      </c>
      <c r="W4" s="1827"/>
      <c r="Y4" s="45" t="s">
        <v>180</v>
      </c>
      <c r="Z4" s="46">
        <f>+N17+N11</f>
      </c>
      <c r="AA4" s="19"/>
      <c r="AB4" s="45" t="s">
        <v>181</v>
      </c>
      <c r="AC4" s="47">
        <f>+N17*30/N4</f>
      </c>
    </row>
    <row r="5" spans="2:29">
      <c r="B5" s="10"/>
      <c r="C5" s="3"/>
      <c r="D5" s="3"/>
      <c r="E5" s="3"/>
      <c r="F5" s="3"/>
      <c r="G5" s="3"/>
      <c r="H5" s="3"/>
      <c r="I5" s="3"/>
      <c r="J5" s="1830" t="s">
        <v>27</v>
      </c>
      <c r="K5" s="1830"/>
      <c r="L5" s="1830"/>
      <c r="M5" s="1822"/>
      <c r="N5" s="1831">
        <f>'Aspek Keuangan'!G14</f>
      </c>
      <c r="O5" s="1831"/>
      <c r="P5" s="1831"/>
      <c r="Q5" s="1831"/>
      <c r="R5" s="1831"/>
      <c r="S5" s="1822"/>
      <c r="T5" s="1825"/>
      <c r="U5" s="1825"/>
      <c r="V5" s="1828"/>
      <c r="W5" s="1829"/>
      <c r="Y5" s="45" t="s">
        <v>182</v>
      </c>
      <c r="Z5" s="46">
        <f>'Aspek Keuangan'!O48</f>
      </c>
      <c r="AA5" s="19"/>
      <c r="AB5" s="45" t="s">
        <v>29</v>
      </c>
      <c r="AC5" s="47">
        <f>+N11*30/N4</f>
      </c>
    </row>
    <row r="6" spans="2:29">
      <c r="B6" s="10"/>
      <c r="C6" s="3"/>
      <c r="D6" s="3"/>
      <c r="E6" s="3"/>
      <c r="F6" s="3"/>
      <c r="G6" s="3"/>
      <c r="H6" s="3"/>
      <c r="I6" s="3"/>
      <c r="J6" s="3"/>
      <c r="K6" s="3"/>
      <c r="L6" s="3"/>
      <c r="M6" s="3"/>
      <c r="N6" s="3"/>
      <c r="O6" s="3"/>
      <c r="P6" s="3"/>
      <c r="Q6" s="3"/>
      <c r="R6" s="3"/>
      <c r="S6" s="3"/>
      <c r="T6" s="3"/>
      <c r="U6" s="3"/>
      <c r="V6" s="3"/>
      <c r="W6" s="4"/>
      <c r="Y6" s="45" t="s">
        <v>183</v>
      </c>
      <c r="Z6" s="46">
        <f>+Z4-Z5</f>
      </c>
      <c r="AA6" s="19"/>
      <c r="AB6" s="45" t="s">
        <v>184</v>
      </c>
      <c r="AC6" s="47">
        <f>('Aspek Keuangan'!O48+200000000)*30/N4</f>
      </c>
    </row>
    <row r="7" spans="2:29">
      <c r="B7" s="10"/>
      <c r="C7" s="3"/>
      <c r="D7" s="3"/>
      <c r="E7" s="3"/>
      <c r="F7" s="3"/>
      <c r="G7" s="3"/>
      <c r="H7" s="3"/>
      <c r="I7" s="1788" t="s">
        <v>25</v>
      </c>
      <c r="J7" s="1822" t="s">
        <v>28</v>
      </c>
      <c r="K7" s="1822"/>
      <c r="L7" s="1822" t="s">
        <v>22</v>
      </c>
      <c r="M7" s="1832">
        <v>30</v>
      </c>
      <c r="N7" s="1832"/>
      <c r="O7" s="1822" t="s">
        <v>22</v>
      </c>
      <c r="P7" s="1822">
        <f>M7/M8</f>
      </c>
      <c r="Q7" s="1822"/>
      <c r="R7" s="1828" t="s">
        <v>14</v>
      </c>
      <c r="S7" s="1828"/>
      <c r="T7" s="3"/>
      <c r="U7" s="3"/>
      <c r="V7" s="3"/>
      <c r="W7" s="4"/>
      <c r="Y7" s="45" t="s">
        <v>185</v>
      </c>
      <c r="Z7" s="46">
        <f>'Aspek Keuangan'!O102*Z6</f>
      </c>
      <c r="AA7" s="19"/>
      <c r="AB7" s="45" t="s">
        <v>186</v>
      </c>
      <c r="AC7" s="48">
        <f>+(AC4+AC5)-AC6</f>
      </c>
    </row>
    <row r="8" spans="2:29">
      <c r="B8" s="10"/>
      <c r="C8" s="3"/>
      <c r="D8" s="3"/>
      <c r="E8" s="3"/>
      <c r="F8" s="3"/>
      <c r="G8" s="3"/>
      <c r="H8" s="3"/>
      <c r="I8" s="1788"/>
      <c r="J8" s="1822"/>
      <c r="K8" s="1822"/>
      <c r="L8" s="1822"/>
      <c r="M8" s="1833">
        <f>T4</f>
      </c>
      <c r="N8" s="1833"/>
      <c r="O8" s="1822"/>
      <c r="P8" s="1822"/>
      <c r="Q8" s="1822"/>
      <c r="R8" s="1828"/>
      <c r="S8" s="1828"/>
      <c r="T8" s="3"/>
      <c r="U8" s="3"/>
      <c r="V8" s="3"/>
      <c r="W8" s="4"/>
      <c r="Y8" s="49" t="s">
        <v>187</v>
      </c>
      <c r="Z8" s="50">
        <f>+Z6-Z7</f>
      </c>
      <c r="AA8" s="19"/>
      <c r="AB8" s="49" t="s">
        <v>187</v>
      </c>
      <c r="AC8" s="51">
        <f>((1-(100%-85%))*((N4*AC7)/30))</f>
      </c>
    </row>
    <row r="9" spans="2:29">
      <c r="B9" s="9"/>
      <c r="C9" s="5"/>
      <c r="D9" s="5"/>
      <c r="E9" s="5"/>
      <c r="F9" s="5"/>
      <c r="G9" s="5"/>
      <c r="H9" s="5"/>
      <c r="I9" s="5"/>
      <c r="J9" s="5"/>
      <c r="K9" s="5"/>
      <c r="L9" s="5"/>
      <c r="M9" s="5"/>
      <c r="N9" s="5"/>
      <c r="O9" s="5"/>
      <c r="P9" s="5"/>
      <c r="Q9" s="5"/>
      <c r="R9" s="5"/>
      <c r="S9" s="5"/>
      <c r="T9" s="5"/>
      <c r="U9" s="5"/>
      <c r="V9" s="5"/>
      <c r="W9" s="6"/>
      <c r="Y9" s="52">
        <v>1.1000000000000001</v>
      </c>
      <c r="Z9" s="32">
        <f>Z8*Y9</f>
      </c>
      <c r="AC9" s="30">
        <f>S34-AC8</f>
      </c>
    </row>
    <row r="10" spans="2:29">
      <c r="B10" s="7" t="s">
        <v>29</v>
      </c>
      <c r="C10" s="1"/>
      <c r="D10" s="1"/>
      <c r="E10" s="1"/>
      <c r="F10" s="1"/>
      <c r="G10" s="1"/>
      <c r="H10" s="1" t="s">
        <v>0</v>
      </c>
      <c r="I10" s="44" t="s">
        <v>25</v>
      </c>
      <c r="J10" s="1820" t="s">
        <v>13</v>
      </c>
      <c r="K10" s="1820"/>
      <c r="L10" s="1820"/>
      <c r="M10" s="1821" t="s">
        <v>22</v>
      </c>
      <c r="N10" s="1834">
        <f>N4</f>
      </c>
      <c r="O10" s="1834"/>
      <c r="P10" s="1834"/>
      <c r="Q10" s="1834"/>
      <c r="R10" s="1834"/>
      <c r="S10" s="1821" t="s">
        <v>22</v>
      </c>
      <c r="T10" s="1835">
        <f>N10/N11</f>
      </c>
      <c r="U10" s="1835"/>
      <c r="V10" s="1826" t="s">
        <v>26</v>
      </c>
      <c r="W10" s="1827"/>
      <c r="AC10" s="97">
        <f>AC9/S34</f>
      </c>
    </row>
    <row r="11" spans="2:29">
      <c r="B11" s="10"/>
      <c r="C11" s="3"/>
      <c r="D11" s="3"/>
      <c r="E11" s="3"/>
      <c r="F11" s="3"/>
      <c r="G11" s="3"/>
      <c r="H11" s="3"/>
      <c r="I11" s="3"/>
      <c r="J11" s="1830" t="s">
        <v>16</v>
      </c>
      <c r="K11" s="1830"/>
      <c r="L11" s="1830"/>
      <c r="M11" s="1822"/>
      <c r="N11" s="1837">
        <f>'Aspek Keuangan'!O24</f>
      </c>
      <c r="O11" s="1837"/>
      <c r="P11" s="1837"/>
      <c r="Q11" s="1837"/>
      <c r="R11" s="1837"/>
      <c r="S11" s="1822"/>
      <c r="T11" s="1836"/>
      <c r="U11" s="1836"/>
      <c r="V11" s="1828"/>
      <c r="W11" s="1829"/>
    </row>
    <row r="12" spans="2:29">
      <c r="B12" s="10"/>
      <c r="C12" s="3"/>
      <c r="D12" s="3"/>
      <c r="E12" s="3"/>
      <c r="F12" s="3"/>
      <c r="G12" s="3"/>
      <c r="H12" s="3"/>
      <c r="I12" s="3"/>
      <c r="J12" s="3"/>
      <c r="K12" s="3"/>
      <c r="L12" s="3"/>
      <c r="M12" s="3"/>
      <c r="N12" s="3"/>
      <c r="O12" s="3"/>
      <c r="P12" s="3"/>
      <c r="Q12" s="3"/>
      <c r="R12" s="3"/>
      <c r="S12" s="3"/>
      <c r="T12" s="3"/>
      <c r="U12" s="3"/>
      <c r="V12" s="3"/>
      <c r="W12" s="4"/>
    </row>
    <row r="13" spans="2:29">
      <c r="B13" s="10"/>
      <c r="C13" s="3"/>
      <c r="D13" s="3"/>
      <c r="E13" s="3"/>
      <c r="F13" s="3"/>
      <c r="G13" s="3"/>
      <c r="H13" s="3"/>
      <c r="I13" s="1788" t="s">
        <v>25</v>
      </c>
      <c r="J13" s="1822" t="s">
        <v>28</v>
      </c>
      <c r="K13" s="1822"/>
      <c r="L13" s="1822" t="s">
        <v>22</v>
      </c>
      <c r="M13" s="1832">
        <v>30</v>
      </c>
      <c r="N13" s="1832"/>
      <c r="O13" s="1822" t="s">
        <v>22</v>
      </c>
      <c r="P13" s="1836">
        <f>M13/M14</f>
      </c>
      <c r="Q13" s="1836"/>
      <c r="R13" s="1828" t="s">
        <v>14</v>
      </c>
      <c r="S13" s="1828"/>
      <c r="T13" s="3"/>
      <c r="U13" s="3"/>
      <c r="V13" s="3"/>
      <c r="W13" s="4"/>
    </row>
    <row r="14" spans="2:29">
      <c r="B14" s="10"/>
      <c r="C14" s="3"/>
      <c r="D14" s="3"/>
      <c r="E14" s="3"/>
      <c r="F14" s="3"/>
      <c r="G14" s="3"/>
      <c r="H14" s="3"/>
      <c r="I14" s="1788"/>
      <c r="J14" s="1822"/>
      <c r="K14" s="1822"/>
      <c r="L14" s="1822"/>
      <c r="M14" s="1833">
        <f>T10</f>
      </c>
      <c r="N14" s="1833"/>
      <c r="O14" s="1822"/>
      <c r="P14" s="1836"/>
      <c r="Q14" s="1836"/>
      <c r="R14" s="1828"/>
      <c r="S14" s="1828"/>
      <c r="T14" s="3"/>
      <c r="U14" s="3"/>
      <c r="V14" s="3"/>
      <c r="W14" s="4"/>
      <c r="Y14" s="32">
        <f>N4*85%</f>
      </c>
    </row>
    <row r="15" spans="2:29">
      <c r="B15" s="9"/>
      <c r="C15" s="5"/>
      <c r="D15" s="5"/>
      <c r="E15" s="5"/>
      <c r="F15" s="5"/>
      <c r="G15" s="5"/>
      <c r="H15" s="5"/>
      <c r="I15" s="5"/>
      <c r="J15" s="5"/>
      <c r="K15" s="5"/>
      <c r="L15" s="5"/>
      <c r="M15" s="5"/>
      <c r="N15" s="5"/>
      <c r="O15" s="5"/>
      <c r="P15" s="5"/>
      <c r="Q15" s="5"/>
      <c r="R15" s="5"/>
      <c r="S15" s="5"/>
      <c r="T15" s="5"/>
      <c r="U15" s="5"/>
      <c r="V15" s="5"/>
      <c r="W15" s="6"/>
    </row>
    <row r="16" spans="2:29">
      <c r="B16" s="7" t="s">
        <v>30</v>
      </c>
      <c r="C16" s="1"/>
      <c r="D16" s="1"/>
      <c r="E16" s="1"/>
      <c r="F16" s="1"/>
      <c r="G16" s="1"/>
      <c r="H16" s="1" t="s">
        <v>0</v>
      </c>
      <c r="I16" s="44" t="s">
        <v>25</v>
      </c>
      <c r="J16" s="1820" t="s">
        <v>31</v>
      </c>
      <c r="K16" s="1820"/>
      <c r="L16" s="1820"/>
      <c r="M16" s="1821" t="s">
        <v>22</v>
      </c>
      <c r="N16" s="1834">
        <f>Y14</f>
      </c>
      <c r="O16" s="1834"/>
      <c r="P16" s="1834"/>
      <c r="Q16" s="1834"/>
      <c r="R16" s="1834"/>
      <c r="S16" s="1821" t="s">
        <v>22</v>
      </c>
      <c r="T16" s="1835">
        <f>N16/N17</f>
      </c>
      <c r="U16" s="1835"/>
      <c r="V16" s="1826" t="s">
        <v>26</v>
      </c>
      <c r="W16" s="1827"/>
    </row>
    <row r="17" spans="2:23">
      <c r="B17" s="10"/>
      <c r="C17" s="3"/>
      <c r="D17" s="3"/>
      <c r="E17" s="3"/>
      <c r="F17" s="3"/>
      <c r="G17" s="3"/>
      <c r="H17" s="3"/>
      <c r="I17" s="3"/>
      <c r="J17" s="1830" t="s">
        <v>17</v>
      </c>
      <c r="K17" s="1830"/>
      <c r="L17" s="1830"/>
      <c r="M17" s="1822"/>
      <c r="N17" s="1837">
        <f>'Aspek Keuangan'!R37</f>
      </c>
      <c r="O17" s="1837"/>
      <c r="P17" s="1837"/>
      <c r="Q17" s="1837"/>
      <c r="R17" s="1837"/>
      <c r="S17" s="1822"/>
      <c r="T17" s="1836"/>
      <c r="U17" s="1836"/>
      <c r="V17" s="1828"/>
      <c r="W17" s="1829"/>
    </row>
    <row r="18" spans="2:23">
      <c r="B18" s="10"/>
      <c r="C18" s="3"/>
      <c r="D18" s="3"/>
      <c r="E18" s="3"/>
      <c r="F18" s="3"/>
      <c r="G18" s="3"/>
      <c r="H18" s="3"/>
      <c r="I18" s="3"/>
      <c r="J18" s="3"/>
      <c r="K18" s="3"/>
      <c r="L18" s="3"/>
      <c r="M18" s="3"/>
      <c r="N18" s="3"/>
      <c r="O18" s="3"/>
      <c r="P18" s="3"/>
      <c r="Q18" s="3"/>
      <c r="R18" s="3"/>
      <c r="S18" s="3"/>
      <c r="T18" s="3"/>
      <c r="U18" s="3"/>
      <c r="V18" s="3"/>
      <c r="W18" s="4"/>
    </row>
    <row r="19" spans="2:23">
      <c r="B19" s="10"/>
      <c r="C19" s="3"/>
      <c r="D19" s="3"/>
      <c r="E19" s="3"/>
      <c r="F19" s="3"/>
      <c r="G19" s="3"/>
      <c r="H19" s="3"/>
      <c r="I19" s="1788" t="s">
        <v>25</v>
      </c>
      <c r="J19" s="1822" t="s">
        <v>28</v>
      </c>
      <c r="K19" s="1822"/>
      <c r="L19" s="1822" t="s">
        <v>22</v>
      </c>
      <c r="M19" s="1832">
        <v>30</v>
      </c>
      <c r="N19" s="1832"/>
      <c r="O19" s="1822" t="s">
        <v>22</v>
      </c>
      <c r="P19" s="1836">
        <f>M19/M20</f>
      </c>
      <c r="Q19" s="1836"/>
      <c r="R19" s="1828" t="s">
        <v>14</v>
      </c>
      <c r="S19" s="1828"/>
      <c r="T19" s="3"/>
      <c r="U19" s="3"/>
      <c r="V19" s="3"/>
      <c r="W19" s="4"/>
    </row>
    <row r="20" spans="2:23">
      <c r="B20" s="10"/>
      <c r="C20" s="3"/>
      <c r="D20" s="3"/>
      <c r="E20" s="3"/>
      <c r="F20" s="3"/>
      <c r="G20" s="3"/>
      <c r="H20" s="3"/>
      <c r="I20" s="1788"/>
      <c r="J20" s="1822"/>
      <c r="K20" s="1822"/>
      <c r="L20" s="1822"/>
      <c r="M20" s="1833">
        <f>T16</f>
      </c>
      <c r="N20" s="1833"/>
      <c r="O20" s="1822"/>
      <c r="P20" s="1836"/>
      <c r="Q20" s="1836"/>
      <c r="R20" s="1828"/>
      <c r="S20" s="1828"/>
      <c r="T20" s="3"/>
      <c r="U20" s="3"/>
      <c r="V20" s="3"/>
      <c r="W20" s="4"/>
    </row>
    <row r="21" spans="2:23">
      <c r="B21" s="9"/>
      <c r="C21" s="5"/>
      <c r="D21" s="5"/>
      <c r="E21" s="5"/>
      <c r="F21" s="5"/>
      <c r="G21" s="5"/>
      <c r="H21" s="5"/>
      <c r="I21" s="5"/>
      <c r="J21" s="5"/>
      <c r="K21" s="5"/>
      <c r="L21" s="5"/>
      <c r="M21" s="5"/>
      <c r="N21" s="5"/>
      <c r="O21" s="5"/>
      <c r="P21" s="5"/>
      <c r="Q21" s="5"/>
      <c r="R21" s="5"/>
      <c r="S21" s="5"/>
      <c r="T21" s="5"/>
      <c r="U21" s="5"/>
      <c r="V21" s="5"/>
      <c r="W21" s="6"/>
    </row>
    <row r="22" spans="2:23">
      <c r="B22" s="7"/>
      <c r="C22" s="1"/>
      <c r="D22" s="1"/>
      <c r="E22" s="1"/>
      <c r="F22" s="1"/>
      <c r="G22" s="1"/>
      <c r="H22" s="1"/>
      <c r="I22" s="1"/>
      <c r="J22" s="1"/>
      <c r="K22" s="1"/>
      <c r="L22" s="1"/>
      <c r="M22" s="1"/>
      <c r="N22" s="1"/>
      <c r="O22" s="1"/>
      <c r="P22" s="1"/>
      <c r="Q22" s="1"/>
      <c r="R22" s="1"/>
      <c r="S22" s="1"/>
      <c r="T22" s="1"/>
      <c r="U22" s="1"/>
      <c r="V22" s="1"/>
      <c r="W22" s="2"/>
    </row>
    <row r="23" spans="2:23">
      <c r="B23" s="10" t="s">
        <v>32</v>
      </c>
      <c r="C23" s="3"/>
      <c r="D23" s="3"/>
      <c r="E23" s="3"/>
      <c r="F23" s="3"/>
      <c r="G23" s="29" t="s">
        <v>0</v>
      </c>
      <c r="H23" s="1840">
        <f>P7</f>
      </c>
      <c r="I23" s="1840"/>
      <c r="J23" s="1822" t="s">
        <v>33</v>
      </c>
      <c r="K23" s="1841">
        <f>N4</f>
      </c>
      <c r="L23" s="1841"/>
      <c r="M23" s="1841"/>
      <c r="N23" s="1841"/>
      <c r="O23" s="1822" t="s">
        <v>33</v>
      </c>
      <c r="P23" s="1842">
        <v>1</v>
      </c>
      <c r="Q23" s="1842"/>
      <c r="R23" s="1822" t="s">
        <v>22</v>
      </c>
      <c r="S23" s="1838">
        <f>(H23*K23/H24)*P23</f>
      </c>
      <c r="T23" s="1838"/>
      <c r="U23" s="1838"/>
      <c r="V23" s="1838"/>
      <c r="W23" s="4"/>
    </row>
    <row r="24" spans="2:23">
      <c r="B24" s="10"/>
      <c r="C24" s="3"/>
      <c r="D24" s="3"/>
      <c r="E24" s="3"/>
      <c r="F24" s="3"/>
      <c r="G24" s="29"/>
      <c r="H24" s="1839">
        <v>30</v>
      </c>
      <c r="I24" s="1839"/>
      <c r="J24" s="1822"/>
      <c r="K24" s="1841"/>
      <c r="L24" s="1841"/>
      <c r="M24" s="1841"/>
      <c r="N24" s="1841"/>
      <c r="O24" s="1822"/>
      <c r="P24" s="1842"/>
      <c r="Q24" s="1842"/>
      <c r="R24" s="1822"/>
      <c r="S24" s="1838"/>
      <c r="T24" s="1838"/>
      <c r="U24" s="1838"/>
      <c r="V24" s="1838"/>
      <c r="W24" s="4"/>
    </row>
    <row r="25" spans="2:23">
      <c r="B25" s="10"/>
      <c r="C25" s="3"/>
      <c r="D25" s="3"/>
      <c r="E25" s="3"/>
      <c r="F25" s="3"/>
      <c r="G25" s="29"/>
      <c r="H25" s="3"/>
      <c r="I25" s="3"/>
      <c r="J25" s="3"/>
      <c r="K25" s="3"/>
      <c r="L25" s="3"/>
      <c r="M25" s="3"/>
      <c r="N25" s="3"/>
      <c r="O25" s="3"/>
      <c r="P25" s="3"/>
      <c r="Q25" s="3"/>
      <c r="R25" s="3"/>
      <c r="S25" s="13"/>
      <c r="T25" s="13"/>
      <c r="U25" s="13"/>
      <c r="V25" s="13"/>
      <c r="W25" s="4"/>
    </row>
    <row r="26" spans="2:23">
      <c r="B26" s="10" t="s">
        <v>34</v>
      </c>
      <c r="C26" s="3"/>
      <c r="D26" s="3"/>
      <c r="E26" s="3"/>
      <c r="F26" s="3"/>
      <c r="G26" s="29" t="s">
        <v>0</v>
      </c>
      <c r="H26" s="1840">
        <f>P13</f>
      </c>
      <c r="I26" s="1840"/>
      <c r="J26" s="1822" t="s">
        <v>33</v>
      </c>
      <c r="K26" s="1841">
        <f>N10</f>
      </c>
      <c r="L26" s="1841"/>
      <c r="M26" s="1841"/>
      <c r="N26" s="1841"/>
      <c r="O26" s="1822" t="s">
        <v>33</v>
      </c>
      <c r="P26" s="1842">
        <v>1.2</v>
      </c>
      <c r="Q26" s="1842"/>
      <c r="R26" s="1822" t="s">
        <v>22</v>
      </c>
      <c r="S26" s="1838">
        <f>(K26*H26/H27)*P26</f>
      </c>
      <c r="T26" s="1838"/>
      <c r="U26" s="1838"/>
      <c r="V26" s="1838"/>
      <c r="W26" s="4"/>
    </row>
    <row r="27" spans="2:23">
      <c r="B27" s="10"/>
      <c r="C27" s="3"/>
      <c r="D27" s="3"/>
      <c r="E27" s="3"/>
      <c r="F27" s="3"/>
      <c r="G27" s="29"/>
      <c r="H27" s="1839">
        <v>30</v>
      </c>
      <c r="I27" s="1839"/>
      <c r="J27" s="1822"/>
      <c r="K27" s="1841"/>
      <c r="L27" s="1841"/>
      <c r="M27" s="1841"/>
      <c r="N27" s="1841"/>
      <c r="O27" s="1822"/>
      <c r="P27" s="1842"/>
      <c r="Q27" s="1842"/>
      <c r="R27" s="1822"/>
      <c r="S27" s="1838"/>
      <c r="T27" s="1838"/>
      <c r="U27" s="1838"/>
      <c r="V27" s="1838"/>
      <c r="W27" s="4"/>
    </row>
    <row r="28" spans="2:23">
      <c r="B28" s="10"/>
      <c r="C28" s="3"/>
      <c r="D28" s="3"/>
      <c r="E28" s="3"/>
      <c r="F28" s="3"/>
      <c r="G28" s="29"/>
      <c r="H28" s="3"/>
      <c r="I28" s="3"/>
      <c r="J28" s="3"/>
      <c r="K28" s="3"/>
      <c r="L28" s="3"/>
      <c r="M28" s="3"/>
      <c r="N28" s="3"/>
      <c r="O28" s="3"/>
      <c r="P28" s="3"/>
      <c r="Q28" s="3"/>
      <c r="R28" s="3"/>
      <c r="S28" s="13"/>
      <c r="T28" s="13"/>
      <c r="U28" s="13"/>
      <c r="V28" s="13"/>
      <c r="W28" s="4"/>
    </row>
    <row r="29" spans="2:23">
      <c r="B29" s="10" t="s">
        <v>35</v>
      </c>
      <c r="C29" s="3"/>
      <c r="D29" s="3"/>
      <c r="E29" s="3"/>
      <c r="F29" s="3"/>
      <c r="G29" s="29" t="s">
        <v>0</v>
      </c>
      <c r="H29" s="1840">
        <f>P19</f>
      </c>
      <c r="I29" s="1840"/>
      <c r="J29" s="1822" t="s">
        <v>33</v>
      </c>
      <c r="K29" s="1841">
        <f>N16</f>
      </c>
      <c r="L29" s="1841"/>
      <c r="M29" s="1841"/>
      <c r="N29" s="1841"/>
      <c r="O29" s="1822" t="s">
        <v>33</v>
      </c>
      <c r="P29" s="1842">
        <v>1.2</v>
      </c>
      <c r="Q29" s="1842"/>
      <c r="R29" s="1822" t="s">
        <v>22</v>
      </c>
      <c r="S29" s="1838">
        <f>(K29*H29/H30)*P29</f>
      </c>
      <c r="T29" s="1838"/>
      <c r="U29" s="1838"/>
      <c r="V29" s="1838"/>
      <c r="W29" s="4"/>
    </row>
    <row r="30" spans="2:23">
      <c r="B30" s="10"/>
      <c r="C30" s="3"/>
      <c r="D30" s="3"/>
      <c r="E30" s="3"/>
      <c r="F30" s="3"/>
      <c r="G30" s="3"/>
      <c r="H30" s="1839">
        <v>30</v>
      </c>
      <c r="I30" s="1839"/>
      <c r="J30" s="1822"/>
      <c r="K30" s="1841"/>
      <c r="L30" s="1841"/>
      <c r="M30" s="1841"/>
      <c r="N30" s="1841"/>
      <c r="O30" s="1822"/>
      <c r="P30" s="1842"/>
      <c r="Q30" s="1842"/>
      <c r="R30" s="1822"/>
      <c r="S30" s="1838"/>
      <c r="T30" s="1838"/>
      <c r="U30" s="1838"/>
      <c r="V30" s="1838"/>
      <c r="W30" s="1843"/>
    </row>
    <row r="31" spans="2:23">
      <c r="B31" s="10"/>
      <c r="C31" s="3"/>
      <c r="D31" s="3"/>
      <c r="E31" s="3"/>
      <c r="F31" s="3"/>
      <c r="G31" s="3"/>
      <c r="H31" s="3"/>
      <c r="I31" s="3"/>
      <c r="J31" s="3"/>
      <c r="K31" s="3"/>
      <c r="L31" s="3"/>
      <c r="M31" s="3"/>
      <c r="N31" s="3"/>
      <c r="O31" s="3"/>
      <c r="P31" s="3"/>
      <c r="Q31" s="3"/>
      <c r="R31" s="3"/>
      <c r="S31" s="3"/>
      <c r="T31" s="3"/>
      <c r="U31" s="3"/>
      <c r="V31" s="3"/>
      <c r="W31" s="1843"/>
    </row>
    <row r="32" spans="2:23">
      <c r="B32" s="10" t="s">
        <v>36</v>
      </c>
      <c r="C32" s="3"/>
      <c r="D32" s="3"/>
      <c r="E32" s="3"/>
      <c r="F32" s="3"/>
      <c r="G32" s="3"/>
      <c r="H32" s="3"/>
      <c r="I32" s="3"/>
      <c r="J32" s="3"/>
      <c r="K32" s="3"/>
      <c r="L32" s="3"/>
      <c r="M32" s="3"/>
      <c r="N32" s="3"/>
      <c r="O32" s="3"/>
      <c r="P32" s="3"/>
      <c r="Q32" s="3"/>
      <c r="R32" s="3"/>
      <c r="S32" s="1848">
        <f>S23+S26+S29</f>
      </c>
      <c r="T32" s="1848"/>
      <c r="U32" s="1848"/>
      <c r="V32" s="1848"/>
      <c r="W32" s="4"/>
    </row>
    <row r="33" spans="2:23">
      <c r="B33" s="10"/>
      <c r="C33" s="3"/>
      <c r="D33" s="3"/>
      <c r="E33" s="3"/>
      <c r="F33" s="3"/>
      <c r="G33" s="3"/>
      <c r="H33" s="3"/>
      <c r="I33" s="3"/>
      <c r="J33" s="3"/>
      <c r="K33" s="3"/>
      <c r="L33" s="3"/>
      <c r="M33" s="3"/>
      <c r="N33" s="3"/>
      <c r="O33" s="3"/>
      <c r="P33" s="3"/>
      <c r="Q33" s="3"/>
      <c r="R33" s="3"/>
      <c r="S33" s="3"/>
      <c r="T33" s="3"/>
      <c r="U33" s="3"/>
      <c r="V33" s="3"/>
      <c r="W33" s="4"/>
    </row>
    <row r="34" spans="2:23">
      <c r="B34" s="10" t="s">
        <v>37</v>
      </c>
      <c r="C34" s="3"/>
      <c r="D34" s="3"/>
      <c r="E34" s="3"/>
      <c r="F34" s="3"/>
      <c r="G34" s="3"/>
      <c r="H34" s="3"/>
      <c r="I34" s="3"/>
      <c r="J34" s="3"/>
      <c r="K34" s="3"/>
      <c r="L34" s="3"/>
      <c r="M34" s="3"/>
      <c r="N34" s="3"/>
      <c r="O34" s="3"/>
      <c r="P34" s="3"/>
      <c r="Q34" s="3"/>
      <c r="R34" s="3"/>
      <c r="S34" s="1850">
        <f>N17+N11+N5</f>
      </c>
      <c r="T34" s="1850"/>
      <c r="U34" s="1850"/>
      <c r="V34" s="1850"/>
      <c r="W34" s="1843" t="s">
        <v>21</v>
      </c>
    </row>
    <row r="35" spans="2:23">
      <c r="B35" s="10"/>
      <c r="C35" s="3"/>
      <c r="D35" s="3"/>
      <c r="E35" s="3"/>
      <c r="F35" s="3"/>
      <c r="G35" s="3"/>
      <c r="H35" s="3"/>
      <c r="I35" s="3"/>
      <c r="J35" s="3"/>
      <c r="K35" s="3"/>
      <c r="L35" s="3"/>
      <c r="M35" s="3"/>
      <c r="N35" s="3"/>
      <c r="O35" s="3"/>
      <c r="P35" s="3"/>
      <c r="Q35" s="3"/>
      <c r="R35" s="3"/>
      <c r="S35" s="1853">
        <f>S32-S34</f>
      </c>
      <c r="T35" s="1853"/>
      <c r="U35" s="1853"/>
      <c r="V35" s="1853"/>
      <c r="W35" s="1843"/>
    </row>
    <row r="36" spans="2:23">
      <c r="B36" s="14" t="s">
        <v>38</v>
      </c>
      <c r="C36" s="8"/>
      <c r="D36" s="8"/>
      <c r="E36" s="8"/>
      <c r="F36" s="8"/>
      <c r="G36" s="8"/>
      <c r="H36" s="8"/>
      <c r="I36" s="8"/>
      <c r="J36" s="8"/>
      <c r="K36" s="8"/>
      <c r="L36" s="8"/>
      <c r="M36" s="8"/>
      <c r="N36" s="8"/>
      <c r="O36" s="8"/>
      <c r="P36" s="8"/>
      <c r="Q36" s="8"/>
      <c r="R36" s="8"/>
      <c r="S36" s="1854"/>
      <c r="T36" s="1854"/>
      <c r="U36" s="1854"/>
      <c r="V36" s="1854"/>
      <c r="W36" s="15"/>
    </row>
    <row r="37" spans="2:23">
      <c r="B37" s="10"/>
      <c r="C37" s="3"/>
      <c r="D37" s="3"/>
      <c r="E37" s="3"/>
      <c r="F37" s="3"/>
      <c r="G37" s="3"/>
      <c r="H37" s="3"/>
      <c r="I37" s="3"/>
      <c r="J37" s="3"/>
      <c r="K37" s="3"/>
      <c r="L37" s="3"/>
      <c r="M37" s="3"/>
      <c r="N37" s="3"/>
      <c r="O37" s="3"/>
      <c r="P37" s="3"/>
      <c r="Q37" s="3"/>
      <c r="R37" s="3"/>
      <c r="S37" s="3"/>
      <c r="T37" s="3"/>
      <c r="U37" s="3"/>
      <c r="V37" s="3"/>
      <c r="W37" s="4"/>
    </row>
    <row r="38" spans="2:23">
      <c r="B38" s="10" t="s">
        <v>18</v>
      </c>
      <c r="C38" s="3"/>
      <c r="D38" s="3"/>
      <c r="E38" s="3"/>
      <c r="F38" s="3"/>
      <c r="G38" s="3"/>
      <c r="H38" s="1848"/>
      <c r="I38" s="1848"/>
      <c r="J38" s="1848"/>
      <c r="K38" s="1848"/>
      <c r="L38" s="3"/>
      <c r="M38" s="3"/>
      <c r="N38" s="3"/>
      <c r="O38" s="3"/>
      <c r="P38" s="3"/>
      <c r="Q38" s="3"/>
      <c r="R38" s="3"/>
      <c r="S38" s="1849"/>
      <c r="T38" s="1849"/>
      <c r="U38" s="1849"/>
      <c r="V38" s="1849"/>
      <c r="W38" s="4"/>
    </row>
    <row r="39" spans="2:23">
      <c r="B39" s="10"/>
      <c r="C39" s="3"/>
      <c r="D39" s="3"/>
      <c r="E39" s="3"/>
      <c r="F39" s="3"/>
      <c r="G39" s="3"/>
      <c r="H39" s="3"/>
      <c r="I39" s="3"/>
      <c r="J39" s="3"/>
      <c r="K39" s="3"/>
      <c r="L39" s="3"/>
      <c r="M39" s="3"/>
      <c r="N39" s="3"/>
      <c r="O39" s="3"/>
      <c r="P39" s="3"/>
      <c r="Q39" s="3"/>
      <c r="R39" s="3"/>
      <c r="S39" s="3"/>
      <c r="T39" s="3"/>
      <c r="U39" s="3"/>
      <c r="V39" s="3"/>
      <c r="W39" s="4"/>
    </row>
    <row r="40" spans="2:23">
      <c r="B40" s="10" t="s">
        <v>39</v>
      </c>
      <c r="C40" s="3"/>
      <c r="D40" s="3"/>
      <c r="E40" s="3"/>
      <c r="F40" s="3"/>
      <c r="G40" s="3"/>
      <c r="H40" s="1850"/>
      <c r="I40" s="1850"/>
      <c r="J40" s="1850"/>
      <c r="K40" s="1850"/>
      <c r="L40" s="1851" t="s">
        <v>40</v>
      </c>
      <c r="M40" s="3"/>
      <c r="N40" s="3"/>
      <c r="O40" s="3"/>
      <c r="P40" s="3"/>
      <c r="Q40" s="3"/>
      <c r="R40" s="3"/>
      <c r="S40" s="3"/>
      <c r="T40" s="3"/>
      <c r="U40" s="3"/>
      <c r="V40" s="3"/>
      <c r="W40" s="4"/>
    </row>
    <row r="41" spans="2:23">
      <c r="B41" s="10"/>
      <c r="C41" s="3"/>
      <c r="D41" s="3"/>
      <c r="E41" s="3"/>
      <c r="F41" s="3"/>
      <c r="G41" s="3"/>
      <c r="H41" s="1852"/>
      <c r="I41" s="1852"/>
      <c r="J41" s="1852"/>
      <c r="K41" s="1852"/>
      <c r="L41" s="1851"/>
      <c r="M41" s="3"/>
      <c r="N41" s="3"/>
      <c r="O41" s="3"/>
      <c r="P41" s="3"/>
      <c r="Q41" s="3"/>
      <c r="R41" s="3"/>
      <c r="S41" s="1844">
        <f>H38+H40</f>
      </c>
      <c r="T41" s="1844"/>
      <c r="U41" s="1844"/>
      <c r="V41" s="1844"/>
      <c r="W41" s="1843" t="s">
        <v>40</v>
      </c>
    </row>
    <row r="42" spans="2:23">
      <c r="B42" s="10"/>
      <c r="C42" s="3"/>
      <c r="D42" s="3"/>
      <c r="E42" s="3"/>
      <c r="F42" s="3"/>
      <c r="G42" s="3"/>
      <c r="H42" s="3"/>
      <c r="I42" s="3"/>
      <c r="J42" s="3"/>
      <c r="K42" s="3"/>
      <c r="L42" s="3"/>
      <c r="M42" s="3"/>
      <c r="N42" s="3"/>
      <c r="O42" s="3"/>
      <c r="P42" s="3"/>
      <c r="Q42" s="3"/>
      <c r="R42" s="3"/>
      <c r="S42" s="3"/>
      <c r="T42" s="3"/>
      <c r="U42" s="3"/>
      <c r="V42" s="3"/>
      <c r="W42" s="1843"/>
    </row>
    <row r="43" spans="2:23">
      <c r="B43" s="12" t="s">
        <v>41</v>
      </c>
      <c r="C43" s="16"/>
      <c r="D43" s="16"/>
      <c r="E43" s="16"/>
      <c r="F43" s="16"/>
      <c r="G43" s="16"/>
      <c r="H43" s="16"/>
      <c r="I43" s="16"/>
      <c r="J43" s="16"/>
      <c r="K43" s="16"/>
      <c r="L43" s="16"/>
      <c r="M43" s="16"/>
      <c r="N43" s="16"/>
      <c r="O43" s="16"/>
      <c r="P43" s="16"/>
      <c r="Q43" s="16"/>
      <c r="R43" s="16"/>
      <c r="S43" s="1844">
        <f>S35+S41</f>
      </c>
      <c r="T43" s="1844"/>
      <c r="U43" s="1844"/>
      <c r="V43" s="1844"/>
      <c r="W43" s="17"/>
    </row>
  </sheetData>
  <mergeCells count="89">
    <mergeCell ref="W41:W42"/>
    <mergeCell ref="S43:V43"/>
    <mergeCell ref="Y3:Z3"/>
    <mergeCell ref="AB3:AC3"/>
    <mergeCell ref="H38:K38"/>
    <mergeCell ref="S38:V38"/>
    <mergeCell ref="H40:K40"/>
    <mergeCell ref="L40:L41"/>
    <mergeCell ref="H41:K41"/>
    <mergeCell ref="S41:V41"/>
    <mergeCell ref="W30:W31"/>
    <mergeCell ref="S32:V32"/>
    <mergeCell ref="S34:V34"/>
    <mergeCell ref="W34:W35"/>
    <mergeCell ref="S35:V35"/>
    <mergeCell ref="S36:V36"/>
    <mergeCell ref="R29:R30"/>
    <mergeCell ref="S29:V30"/>
    <mergeCell ref="H30:I30"/>
    <mergeCell ref="H26:I26"/>
    <mergeCell ref="J26:J27"/>
    <mergeCell ref="K26:N27"/>
    <mergeCell ref="O26:O27"/>
    <mergeCell ref="P26:Q27"/>
    <mergeCell ref="R26:R27"/>
    <mergeCell ref="H29:I29"/>
    <mergeCell ref="J29:J30"/>
    <mergeCell ref="K29:N30"/>
    <mergeCell ref="O29:O30"/>
    <mergeCell ref="P29:Q30"/>
    <mergeCell ref="R23:R24"/>
    <mergeCell ref="S23:V24"/>
    <mergeCell ref="H24:I24"/>
    <mergeCell ref="S26:V27"/>
    <mergeCell ref="H27:I27"/>
    <mergeCell ref="H23:I23"/>
    <mergeCell ref="J23:J24"/>
    <mergeCell ref="K23:N24"/>
    <mergeCell ref="O23:O24"/>
    <mergeCell ref="P23:Q24"/>
    <mergeCell ref="V16:W17"/>
    <mergeCell ref="J17:L17"/>
    <mergeCell ref="N17:R17"/>
    <mergeCell ref="I19:I20"/>
    <mergeCell ref="J19:K20"/>
    <mergeCell ref="L19:L20"/>
    <mergeCell ref="M19:N19"/>
    <mergeCell ref="O19:O20"/>
    <mergeCell ref="P19:Q20"/>
    <mergeCell ref="R19:S20"/>
    <mergeCell ref="M20:N20"/>
    <mergeCell ref="J16:L16"/>
    <mergeCell ref="M16:M17"/>
    <mergeCell ref="N16:R16"/>
    <mergeCell ref="S16:S17"/>
    <mergeCell ref="T16:U17"/>
    <mergeCell ref="T10:U11"/>
    <mergeCell ref="V10:W11"/>
    <mergeCell ref="J11:L11"/>
    <mergeCell ref="N11:R11"/>
    <mergeCell ref="I13:I14"/>
    <mergeCell ref="J13:K14"/>
    <mergeCell ref="L13:L14"/>
    <mergeCell ref="M13:N13"/>
    <mergeCell ref="O13:O14"/>
    <mergeCell ref="P13:Q14"/>
    <mergeCell ref="R13:S14"/>
    <mergeCell ref="M14:N14"/>
    <mergeCell ref="R7:S8"/>
    <mergeCell ref="M8:N8"/>
    <mergeCell ref="J10:L10"/>
    <mergeCell ref="M10:M11"/>
    <mergeCell ref="N10:R10"/>
    <mergeCell ref="S10:S11"/>
    <mergeCell ref="P7:Q8"/>
    <mergeCell ref="I7:I8"/>
    <mergeCell ref="J7:K8"/>
    <mergeCell ref="L7:L8"/>
    <mergeCell ref="M7:N7"/>
    <mergeCell ref="O7:O8"/>
    <mergeCell ref="B2:W3"/>
    <mergeCell ref="J4:L4"/>
    <mergeCell ref="M4:M5"/>
    <mergeCell ref="N4:R4"/>
    <mergeCell ref="S4:S5"/>
    <mergeCell ref="T4:U5"/>
    <mergeCell ref="V4:W5"/>
    <mergeCell ref="J5:L5"/>
    <mergeCell ref="N5:R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1"/>
  <sheetViews>
    <sheetView topLeftCell="A7" workbookViewId="0">
      <selection activeCell="AB20" sqref="AB20"/>
    </sheetView>
  </sheetViews>
  <sheetFormatPr defaultColWidth="8.88671875" defaultRowHeight="14.4"/>
  <cols>
    <col min="1" max="12" width="3.44140625" customWidth="1"/>
    <col min="13" max="13" width="13" customWidth="1"/>
    <col min="14" max="17" width="3.44140625" customWidth="1"/>
    <col min="18" max="18" width="5" customWidth="1"/>
    <col min="19" max="26" width="3.44140625" customWidth="1"/>
  </cols>
  <sheetData>
    <row r="1" spans="1:26">
      <c r="A1" s="1884" t="s">
        <v>138</v>
      </c>
      <c r="B1" s="1885"/>
      <c r="C1" s="1885"/>
      <c r="D1" s="1885"/>
      <c r="E1" s="1885"/>
      <c r="F1" s="1885"/>
      <c r="G1" s="1885"/>
      <c r="H1" s="1885"/>
      <c r="I1" s="1885"/>
      <c r="J1" s="1885"/>
      <c r="K1" s="1885"/>
      <c r="L1" s="1885"/>
      <c r="M1" s="1885"/>
      <c r="N1" s="1885"/>
      <c r="O1" s="1885"/>
      <c r="P1" s="1885"/>
      <c r="Q1" s="1885"/>
      <c r="R1" s="1885"/>
      <c r="S1" s="1885"/>
      <c r="T1" s="1885"/>
      <c r="U1" s="1885"/>
      <c r="V1" s="1885"/>
      <c r="W1" s="1885"/>
      <c r="X1" s="1885"/>
      <c r="Y1" s="1885"/>
      <c r="Z1" s="1886"/>
    </row>
    <row r="2" spans="1:26">
      <c r="A2" s="1887" t="s">
        <v>139</v>
      </c>
      <c r="B2" s="1888"/>
      <c r="C2" s="1888"/>
      <c r="D2" s="1888"/>
      <c r="E2" s="1888"/>
      <c r="F2" s="1888"/>
      <c r="G2" s="1888"/>
      <c r="H2" s="1888"/>
      <c r="I2" s="1888"/>
      <c r="J2" s="1888"/>
      <c r="K2" s="1888"/>
      <c r="L2" s="1888"/>
      <c r="M2" s="1888"/>
      <c r="N2" s="1888"/>
      <c r="O2" s="1888"/>
      <c r="P2" s="1888"/>
      <c r="Q2" s="1888"/>
      <c r="R2" s="1888"/>
      <c r="S2" s="1888"/>
      <c r="T2" s="1888"/>
      <c r="U2" s="1888"/>
      <c r="V2" s="1888"/>
      <c r="W2" s="1888"/>
      <c r="X2" s="1888"/>
      <c r="Y2" s="1888"/>
      <c r="Z2" s="1889"/>
    </row>
    <row r="3" spans="1:26">
      <c r="R3" s="1890" t="s">
        <v>152</v>
      </c>
      <c r="S3" s="1890"/>
      <c r="T3" s="1890"/>
      <c r="U3" s="1891">
        <f ca="1">TODAY()</f>
      </c>
      <c r="V3" s="1862"/>
      <c r="W3" s="1862"/>
      <c r="X3" s="1862"/>
      <c r="Y3" s="1862"/>
      <c r="Z3" s="1862"/>
    </row>
    <row r="4" spans="1:26">
      <c r="A4" s="22" t="s">
        <v>140</v>
      </c>
      <c r="B4" s="34" t="s">
        <v>141</v>
      </c>
      <c r="S4" s="1865"/>
      <c r="T4" s="1865"/>
      <c r="U4" s="1865"/>
      <c r="V4" s="1865"/>
      <c r="W4" s="1865"/>
      <c r="X4" s="1865"/>
      <c r="Y4" s="1865"/>
      <c r="Z4" s="1865"/>
    </row>
    <row r="5" spans="1:26">
      <c r="B5" s="35" t="s">
        <v>8</v>
      </c>
      <c r="C5" s="20" t="s">
        <v>142</v>
      </c>
      <c r="I5" s="38" t="s">
        <v>0</v>
      </c>
      <c r="J5" s="1892">
        <f>'Informasi Pokok'!D12</f>
      </c>
      <c r="K5" s="1893"/>
      <c r="L5" s="1893"/>
      <c r="M5" s="1893"/>
      <c r="N5" s="1893"/>
      <c r="O5" s="1893"/>
      <c r="P5" s="1893"/>
      <c r="Q5" s="1893"/>
      <c r="R5" s="1893"/>
      <c r="S5" s="1893"/>
      <c r="T5" s="1893"/>
      <c r="U5" s="1893"/>
      <c r="V5" s="1893"/>
      <c r="W5" s="1893"/>
      <c r="X5" s="1893"/>
      <c r="Y5" s="1893"/>
      <c r="Z5" s="1893"/>
    </row>
    <row r="6" spans="1:26">
      <c r="B6" s="35" t="s">
        <v>8</v>
      </c>
      <c r="C6" s="20" t="s">
        <v>143</v>
      </c>
      <c r="I6" s="38" t="s">
        <v>0</v>
      </c>
      <c r="J6" s="1892">
        <f>'Informasi Pokok'!D16</f>
      </c>
      <c r="K6" s="1893"/>
      <c r="L6" s="1893"/>
      <c r="M6" s="1893"/>
      <c r="N6" s="1893"/>
      <c r="O6" s="1893"/>
      <c r="P6" s="1893"/>
      <c r="Q6" s="1893"/>
      <c r="R6" s="1893"/>
      <c r="S6" s="1893"/>
      <c r="T6" s="1893"/>
      <c r="U6" s="1893"/>
      <c r="V6" s="1893"/>
      <c r="W6" s="1893"/>
      <c r="X6" s="1893"/>
      <c r="Y6" s="1893"/>
      <c r="Z6" s="1893"/>
    </row>
    <row r="7" spans="1:26">
      <c r="B7" s="35" t="s">
        <v>8</v>
      </c>
      <c r="C7" s="20" t="s">
        <v>144</v>
      </c>
      <c r="I7" s="38" t="s">
        <v>0</v>
      </c>
      <c r="J7" s="1894" t="s">
        <v>164</v>
      </c>
      <c r="K7" s="1893"/>
      <c r="L7" s="1893"/>
      <c r="M7" s="1893"/>
      <c r="N7" s="1893"/>
      <c r="O7" s="1893"/>
      <c r="P7" s="1893"/>
      <c r="Q7" s="1893"/>
      <c r="R7" s="1893"/>
      <c r="S7" s="1893"/>
      <c r="T7" s="1893"/>
      <c r="U7" s="1893"/>
      <c r="V7" s="1893"/>
      <c r="W7" s="1893"/>
      <c r="X7" s="1893"/>
      <c r="Y7" s="1893"/>
      <c r="Z7" s="1893"/>
    </row>
    <row r="9" spans="1:26">
      <c r="A9" s="22" t="s">
        <v>145</v>
      </c>
      <c r="B9" s="34" t="s">
        <v>146</v>
      </c>
    </row>
    <row r="10" spans="1:26">
      <c r="B10" s="35" t="s">
        <v>8</v>
      </c>
      <c r="C10" s="36">
        <f>'Usulan Pembiayaan'!B15</f>
      </c>
      <c r="I10" s="38" t="s">
        <v>0</v>
      </c>
      <c r="J10" s="1873">
        <f>'Usulan Pembiayaan'!N15</f>
      </c>
      <c r="K10" s="1873"/>
      <c r="L10" s="1873"/>
      <c r="M10" s="1873"/>
      <c r="O10" s="35" t="s">
        <v>8</v>
      </c>
      <c r="P10" s="20" t="s">
        <v>147</v>
      </c>
      <c r="U10" s="38" t="s">
        <v>0</v>
      </c>
      <c r="V10" s="1883">
        <v>875</v>
      </c>
      <c r="W10" s="1873"/>
    </row>
    <row r="11" spans="1:26">
      <c r="B11" s="35" t="s">
        <v>8</v>
      </c>
      <c r="C11" s="36">
        <f>'Usulan Pembiayaan'!#REF!</f>
      </c>
      <c r="I11" s="38" t="s">
        <v>0</v>
      </c>
      <c r="J11" s="1873">
        <f>'Usulan Pembiayaan'!#REF!</f>
      </c>
      <c r="K11" s="1873"/>
      <c r="L11" s="1873"/>
      <c r="M11" s="1873"/>
      <c r="O11" s="35" t="s">
        <v>8</v>
      </c>
      <c r="P11" s="20" t="s">
        <v>148</v>
      </c>
      <c r="U11" s="38" t="s">
        <v>0</v>
      </c>
      <c r="V11" s="1873">
        <v>3</v>
      </c>
      <c r="W11" s="1873"/>
    </row>
    <row r="12" spans="1:26">
      <c r="B12" s="35" t="s">
        <v>8</v>
      </c>
      <c r="C12" s="36">
        <f>'Usulan Pembiayaan'!#REF!</f>
      </c>
      <c r="I12" s="38" t="s">
        <v>0</v>
      </c>
      <c r="J12" s="1874">
        <f>'Usulan Pembiayaan'!#REF!</f>
      </c>
      <c r="K12" s="1873"/>
      <c r="L12" s="1873"/>
      <c r="M12" s="1873"/>
      <c r="O12" s="35" t="s">
        <v>8</v>
      </c>
      <c r="P12" s="20" t="s">
        <v>149</v>
      </c>
      <c r="U12" s="38" t="s">
        <v>0</v>
      </c>
      <c r="V12" s="1873">
        <v>10</v>
      </c>
      <c r="W12" s="1873"/>
    </row>
    <row r="13" spans="1:26">
      <c r="B13" s="35" t="s">
        <v>8</v>
      </c>
      <c r="C13" s="37">
        <f>'Usulan Pembiayaan'!#REF!</f>
      </c>
      <c r="I13" s="38" t="s">
        <v>0</v>
      </c>
      <c r="J13" s="1873">
        <f>'Usulan Pembiayaan'!#REF!</f>
      </c>
      <c r="K13" s="1873"/>
      <c r="L13" s="1873"/>
      <c r="M13" s="1873"/>
      <c r="O13" s="35" t="s">
        <v>8</v>
      </c>
      <c r="P13" s="20" t="s">
        <v>150</v>
      </c>
      <c r="U13" s="38" t="s">
        <v>0</v>
      </c>
      <c r="V13" s="1873">
        <v>1007</v>
      </c>
      <c r="W13" s="1873"/>
    </row>
    <row r="14" spans="1:26">
      <c r="B14" s="35" t="s">
        <v>8</v>
      </c>
      <c r="C14" s="37">
        <f>'Usulan Pembiayaan'!#REF!</f>
      </c>
      <c r="I14" s="38" t="s">
        <v>0</v>
      </c>
      <c r="J14" s="1882">
        <f>'Usulan Pembiayaan'!#REF!</f>
      </c>
      <c r="K14" s="1873"/>
      <c r="L14" s="1873"/>
      <c r="M14" s="1873"/>
      <c r="O14" s="35" t="s">
        <v>8</v>
      </c>
      <c r="P14" s="20" t="s">
        <v>151</v>
      </c>
      <c r="U14" s="38" t="s">
        <v>0</v>
      </c>
      <c r="V14" s="1883" t="s">
        <v>172</v>
      </c>
      <c r="W14" s="1873"/>
    </row>
    <row r="15" spans="1:26">
      <c r="B15" s="35" t="s">
        <v>8</v>
      </c>
      <c r="C15" s="37">
        <f>'Usulan Pembiayaan'!#REF!</f>
      </c>
      <c r="I15" s="38" t="s">
        <v>0</v>
      </c>
      <c r="J15" s="1874">
        <f>'Usulan Pembiayaan'!#REF!</f>
      </c>
      <c r="K15" s="1873"/>
      <c r="L15" s="1873"/>
      <c r="M15" s="1873"/>
      <c r="O15" s="35"/>
    </row>
    <row r="17" spans="1:26">
      <c r="A17" s="22" t="s">
        <v>153</v>
      </c>
      <c r="B17" s="34" t="s">
        <v>154</v>
      </c>
    </row>
    <row r="18" spans="1:26">
      <c r="B18" s="27" t="s">
        <v>10</v>
      </c>
      <c r="C18" s="1877" t="s">
        <v>62</v>
      </c>
      <c r="D18" s="1877"/>
      <c r="E18" s="1877"/>
      <c r="F18" s="1877"/>
      <c r="G18" s="1877"/>
      <c r="H18" s="1877"/>
      <c r="I18" s="1877"/>
      <c r="J18" s="1877"/>
      <c r="K18" s="1877" t="s">
        <v>64</v>
      </c>
      <c r="L18" s="1877"/>
      <c r="M18" s="1877"/>
      <c r="N18" s="1877" t="s">
        <v>65</v>
      </c>
      <c r="O18" s="1877"/>
      <c r="P18" s="1877"/>
      <c r="Q18" s="1877"/>
      <c r="R18" s="26" t="s">
        <v>12</v>
      </c>
      <c r="S18" s="1877" t="s">
        <v>67</v>
      </c>
      <c r="T18" s="1877"/>
      <c r="U18" s="1877"/>
      <c r="V18" s="1877"/>
      <c r="W18" s="1877" t="s">
        <v>66</v>
      </c>
      <c r="X18" s="1877"/>
      <c r="Y18" s="1877"/>
      <c r="Z18" s="1879"/>
    </row>
    <row r="19" spans="1:26" ht="92.25" customHeight="1">
      <c r="B19" s="24">
        <v>1</v>
      </c>
      <c r="C19" s="1871" t="s">
        <v>160</v>
      </c>
      <c r="D19" s="1872"/>
      <c r="E19" s="1872"/>
      <c r="F19" s="1872"/>
      <c r="G19" s="1872"/>
      <c r="H19" s="1872"/>
      <c r="I19" s="1872"/>
      <c r="J19" s="1872"/>
      <c r="K19" s="1873">
        <f>'Aspek Non Keuangan'!#REF!</f>
      </c>
      <c r="L19" s="1873"/>
      <c r="M19" s="1873"/>
      <c r="N19" s="1874">
        <f>'Aspek Non Keuangan'!#REF!</f>
      </c>
      <c r="O19" s="1873"/>
      <c r="P19" s="1873"/>
      <c r="Q19" s="1873"/>
      <c r="R19" s="31">
        <v>0.8</v>
      </c>
      <c r="S19" s="1874">
        <f>'Aspek Non Keuangan'!#REF!</f>
      </c>
      <c r="T19" s="1873"/>
      <c r="U19" s="1873"/>
      <c r="V19" s="1873"/>
      <c r="W19" s="1874">
        <f>'Aspek Non Keuangan'!#REF!</f>
      </c>
      <c r="X19" s="1873"/>
      <c r="Y19" s="1873"/>
      <c r="Z19" s="1875"/>
    </row>
    <row r="20" spans="1:26" ht="114.75" customHeight="1">
      <c r="B20" s="24">
        <v>2</v>
      </c>
      <c r="C20" s="1880" t="s">
        <v>161</v>
      </c>
      <c r="D20" s="1881"/>
      <c r="E20" s="1881"/>
      <c r="F20" s="1881"/>
      <c r="G20" s="1881"/>
      <c r="H20" s="1881"/>
      <c r="I20" s="1881"/>
      <c r="J20" s="1881"/>
      <c r="K20" s="1873">
        <f>'Aspek Non Keuangan'!#REF!</f>
      </c>
      <c r="L20" s="1873"/>
      <c r="M20" s="1873"/>
      <c r="N20" s="1874">
        <f>'Aspek Non Keuangan'!#REF!</f>
      </c>
      <c r="O20" s="1873"/>
      <c r="P20" s="1873"/>
      <c r="Q20" s="1873"/>
      <c r="R20" s="31">
        <v>0.6</v>
      </c>
      <c r="S20" s="1874">
        <f>'Aspek Non Keuangan'!#REF!</f>
      </c>
      <c r="T20" s="1873"/>
      <c r="U20" s="1873"/>
      <c r="V20" s="1873"/>
      <c r="W20" s="1874">
        <f>'Aspek Non Keuangan'!#REF!</f>
      </c>
      <c r="X20" s="1873"/>
      <c r="Y20" s="1873"/>
      <c r="Z20" s="1875"/>
    </row>
    <row r="21" spans="1:26" ht="109.5" customHeight="1">
      <c r="B21" s="24">
        <v>3</v>
      </c>
      <c r="C21" s="1871" t="s">
        <v>162</v>
      </c>
      <c r="D21" s="1872"/>
      <c r="E21" s="1872"/>
      <c r="F21" s="1872"/>
      <c r="G21" s="1872"/>
      <c r="H21" s="1872"/>
      <c r="I21" s="1872"/>
      <c r="J21" s="1872"/>
      <c r="K21" s="1873">
        <f>'Aspek Non Keuangan'!#REF!</f>
      </c>
      <c r="L21" s="1873"/>
      <c r="M21" s="1873"/>
      <c r="N21" s="1874">
        <f>'Aspek Non Keuangan'!#REF!</f>
      </c>
      <c r="O21" s="1873"/>
      <c r="P21" s="1873"/>
      <c r="Q21" s="1873"/>
      <c r="R21" s="31">
        <v>0.6</v>
      </c>
      <c r="S21" s="1874">
        <f>'Aspek Non Keuangan'!#REF!</f>
      </c>
      <c r="T21" s="1873"/>
      <c r="U21" s="1873"/>
      <c r="V21" s="1873"/>
      <c r="W21" s="1874">
        <f>'Aspek Non Keuangan'!#REF!</f>
      </c>
      <c r="X21" s="1873"/>
      <c r="Y21" s="1873"/>
      <c r="Z21" s="1875"/>
    </row>
    <row r="22" spans="1:26">
      <c r="B22" s="1876" t="s">
        <v>6</v>
      </c>
      <c r="C22" s="1877"/>
      <c r="D22" s="1877"/>
      <c r="E22" s="1877"/>
      <c r="F22" s="1877"/>
      <c r="G22" s="1877"/>
      <c r="H22" s="1877"/>
      <c r="I22" s="1877"/>
      <c r="J22" s="1877"/>
      <c r="K22" s="1877"/>
      <c r="L22" s="1877"/>
      <c r="M22" s="1877"/>
      <c r="N22" s="1878">
        <f>SUM(N19:Q21)</f>
      </c>
      <c r="O22" s="1877"/>
      <c r="P22" s="1877"/>
      <c r="Q22" s="1877"/>
      <c r="R22" s="21"/>
      <c r="S22" s="1878">
        <f>SUM(S19:V21)</f>
      </c>
      <c r="T22" s="1877"/>
      <c r="U22" s="1877"/>
      <c r="V22" s="1877"/>
      <c r="W22" s="1878">
        <f>SUM(W19:Z21)</f>
      </c>
      <c r="X22" s="1877"/>
      <c r="Y22" s="1877"/>
      <c r="Z22" s="1879"/>
    </row>
    <row r="23" spans="1:26">
      <c r="B23" s="22" t="s">
        <v>48</v>
      </c>
    </row>
    <row r="24" spans="1:26">
      <c r="B24" s="1870" t="s">
        <v>155</v>
      </c>
      <c r="C24" s="1870"/>
      <c r="D24" s="1870"/>
      <c r="E24" s="1870"/>
      <c r="F24" s="1870"/>
      <c r="G24" s="1870"/>
      <c r="H24" s="1870"/>
      <c r="I24" s="1870"/>
      <c r="J24" s="1870"/>
      <c r="K24" s="1870"/>
      <c r="L24" s="1870"/>
      <c r="M24" s="1870"/>
      <c r="N24" s="1870"/>
      <c r="O24" s="1870"/>
      <c r="P24" s="1870"/>
      <c r="Q24" s="1870"/>
      <c r="R24" s="1870"/>
      <c r="S24" s="1870"/>
      <c r="T24" s="1870"/>
      <c r="U24" s="1870"/>
      <c r="V24" s="1870"/>
      <c r="W24" s="1870"/>
      <c r="X24" s="1870"/>
      <c r="Y24" s="1870"/>
      <c r="Z24" s="1870"/>
    </row>
    <row r="25" spans="1:26">
      <c r="B25" s="1870"/>
      <c r="C25" s="1870"/>
      <c r="D25" s="1870"/>
      <c r="E25" s="1870"/>
      <c r="F25" s="1870"/>
      <c r="G25" s="1870"/>
      <c r="H25" s="1870"/>
      <c r="I25" s="1870"/>
      <c r="J25" s="1870"/>
      <c r="K25" s="1870"/>
      <c r="L25" s="1870"/>
      <c r="M25" s="1870"/>
      <c r="N25" s="1870"/>
      <c r="O25" s="1870"/>
      <c r="P25" s="1870"/>
      <c r="Q25" s="1870"/>
      <c r="R25" s="1870"/>
      <c r="S25" s="1870"/>
      <c r="T25" s="1870"/>
      <c r="U25" s="1870"/>
      <c r="V25" s="1870"/>
      <c r="W25" s="1870"/>
      <c r="X25" s="1870"/>
      <c r="Y25" s="1870"/>
      <c r="Z25" s="1870"/>
    </row>
    <row r="27" spans="1:26">
      <c r="A27" s="22" t="s">
        <v>156</v>
      </c>
      <c r="B27" s="34" t="s">
        <v>157</v>
      </c>
    </row>
    <row r="28" spans="1:26">
      <c r="B28" s="42" t="s">
        <v>8</v>
      </c>
      <c r="C28" s="20" t="s">
        <v>158</v>
      </c>
      <c r="L28" s="38" t="s">
        <v>0</v>
      </c>
      <c r="M28" t="s">
        <v>175</v>
      </c>
    </row>
    <row r="29" spans="1:26">
      <c r="B29" s="42" t="s">
        <v>8</v>
      </c>
      <c r="C29" s="20" t="s">
        <v>159</v>
      </c>
      <c r="L29" s="38" t="s">
        <v>0</v>
      </c>
      <c r="M29" t="s">
        <v>176</v>
      </c>
    </row>
    <row r="30" spans="1:26">
      <c r="B30" s="42" t="s">
        <v>8</v>
      </c>
      <c r="C30" t="s">
        <v>174</v>
      </c>
      <c r="L30" s="28" t="s">
        <v>0</v>
      </c>
      <c r="M30" t="s">
        <v>177</v>
      </c>
    </row>
    <row r="31" spans="1:26">
      <c r="B31" s="35"/>
    </row>
    <row r="32" spans="1:26">
      <c r="A32" s="20" t="s">
        <v>171</v>
      </c>
      <c r="B32" s="22"/>
      <c r="C32" s="22"/>
      <c r="D32" s="22"/>
      <c r="E32" s="22"/>
      <c r="F32" s="22"/>
      <c r="G32" s="22"/>
      <c r="H32" s="22"/>
      <c r="I32" s="22"/>
      <c r="J32" s="22"/>
      <c r="K32" s="22"/>
    </row>
    <row r="33" spans="1:30">
      <c r="A33" s="22"/>
      <c r="B33" s="22"/>
      <c r="C33" s="22"/>
      <c r="D33" s="22"/>
      <c r="E33" s="22"/>
      <c r="F33" s="22"/>
      <c r="G33" s="22"/>
      <c r="H33" s="22"/>
      <c r="I33" s="22"/>
      <c r="J33" s="22"/>
      <c r="K33" s="22"/>
    </row>
    <row r="34" spans="1:30">
      <c r="A34" s="1858" t="s">
        <v>165</v>
      </c>
      <c r="B34" s="1859"/>
      <c r="C34" s="1859"/>
      <c r="D34" s="1859"/>
      <c r="E34" s="1859"/>
      <c r="F34" s="1859"/>
      <c r="G34" s="1859"/>
      <c r="H34" s="1859"/>
      <c r="I34" s="1859"/>
      <c r="J34" s="1859"/>
      <c r="K34" s="1860"/>
      <c r="L34" s="1861"/>
      <c r="M34" s="1862"/>
      <c r="N34" s="1862"/>
      <c r="O34" s="1862"/>
      <c r="P34" s="1862"/>
      <c r="Q34" s="1862"/>
      <c r="R34" s="1862"/>
      <c r="S34" s="1862"/>
      <c r="T34" s="1862"/>
      <c r="U34" s="1862"/>
      <c r="V34" s="1862"/>
      <c r="W34" s="1862"/>
      <c r="X34" s="1862"/>
      <c r="Y34" s="1862"/>
      <c r="Z34" s="1863"/>
    </row>
    <row r="35" spans="1:30">
      <c r="A35" s="1867" t="s">
        <v>166</v>
      </c>
      <c r="B35" s="1868"/>
      <c r="C35" s="1868"/>
      <c r="D35" s="1868"/>
      <c r="E35" s="1868"/>
      <c r="F35" s="1868"/>
      <c r="G35" s="1868"/>
      <c r="H35" s="1868"/>
      <c r="I35" s="1868"/>
      <c r="J35" s="1868"/>
      <c r="K35" s="1869"/>
      <c r="L35" s="1864"/>
      <c r="M35" s="1865"/>
      <c r="N35" s="1865"/>
      <c r="O35" s="1865"/>
      <c r="P35" s="1865"/>
      <c r="Q35" s="1865"/>
      <c r="R35" s="1865"/>
      <c r="S35" s="1865"/>
      <c r="T35" s="1865"/>
      <c r="U35" s="1865"/>
      <c r="V35" s="1865"/>
      <c r="W35" s="1865"/>
      <c r="X35" s="1865"/>
      <c r="Y35" s="1865"/>
      <c r="Z35" s="1866"/>
    </row>
    <row r="36" spans="1:30">
      <c r="A36" s="40"/>
      <c r="B36" s="22"/>
      <c r="C36" s="22"/>
      <c r="D36" s="22"/>
      <c r="E36" s="22"/>
      <c r="F36" s="22"/>
      <c r="G36" s="22"/>
      <c r="H36" s="22"/>
      <c r="I36" s="22"/>
      <c r="J36" s="22"/>
      <c r="K36" s="41"/>
      <c r="L36" s="1864"/>
      <c r="M36" s="1865"/>
      <c r="N36" s="1865"/>
      <c r="O36" s="1865"/>
      <c r="P36" s="1865"/>
      <c r="Q36" s="1865"/>
      <c r="R36" s="1865"/>
      <c r="S36" s="1865"/>
      <c r="T36" s="1865"/>
      <c r="U36" s="1865"/>
      <c r="V36" s="1865"/>
      <c r="W36" s="1865"/>
      <c r="X36" s="1865"/>
      <c r="Y36" s="1865"/>
      <c r="Z36" s="1866"/>
    </row>
    <row r="37" spans="1:30">
      <c r="A37" s="40"/>
      <c r="B37" s="22"/>
      <c r="C37" s="22"/>
      <c r="D37" s="22"/>
      <c r="E37" s="22"/>
      <c r="F37" s="22"/>
      <c r="G37" s="22"/>
      <c r="H37" s="22"/>
      <c r="I37" s="22"/>
      <c r="J37" s="22"/>
      <c r="K37" s="41"/>
      <c r="L37" s="1864"/>
      <c r="M37" s="1865"/>
      <c r="N37" s="1865"/>
      <c r="O37" s="1865"/>
      <c r="P37" s="1865"/>
      <c r="Q37" s="1865"/>
      <c r="R37" s="1865"/>
      <c r="S37" s="1865"/>
      <c r="T37" s="1865"/>
      <c r="U37" s="1865"/>
      <c r="V37" s="1865"/>
      <c r="W37" s="1865"/>
      <c r="X37" s="1865"/>
      <c r="Y37" s="1865"/>
      <c r="Z37" s="1866"/>
    </row>
    <row r="38" spans="1:30">
      <c r="A38" s="40"/>
      <c r="B38" s="22"/>
      <c r="C38" s="22"/>
      <c r="D38" s="22"/>
      <c r="E38" s="22"/>
      <c r="F38" s="22"/>
      <c r="G38" s="22"/>
      <c r="H38" s="22"/>
      <c r="I38" s="22"/>
      <c r="J38" s="22"/>
      <c r="K38" s="41"/>
      <c r="L38" s="1864"/>
      <c r="M38" s="1865"/>
      <c r="N38" s="1865"/>
      <c r="O38" s="1865"/>
      <c r="P38" s="1865"/>
      <c r="Q38" s="1865"/>
      <c r="R38" s="1865"/>
      <c r="S38" s="1865"/>
      <c r="T38" s="1865"/>
      <c r="U38" s="1865"/>
      <c r="V38" s="1865"/>
      <c r="W38" s="1865"/>
      <c r="X38" s="1865"/>
      <c r="Y38" s="1865"/>
      <c r="Z38" s="1866"/>
    </row>
    <row r="39" spans="1:30">
      <c r="A39" s="1855" t="s">
        <v>163</v>
      </c>
      <c r="B39" s="1856"/>
      <c r="C39" s="1856"/>
      <c r="D39" s="1856"/>
      <c r="E39" s="1856"/>
      <c r="F39" s="1856"/>
      <c r="G39" s="1856"/>
      <c r="H39" s="1856"/>
      <c r="I39" s="1856"/>
      <c r="J39" s="1856"/>
      <c r="K39" s="1857"/>
      <c r="L39" s="39"/>
      <c r="M39" s="23"/>
      <c r="N39" s="23"/>
      <c r="O39" s="23"/>
      <c r="P39" s="23"/>
      <c r="Q39" s="23"/>
      <c r="R39" s="23"/>
      <c r="S39" s="23"/>
      <c r="T39" s="23"/>
      <c r="U39" s="23"/>
      <c r="V39" s="23"/>
      <c r="W39" s="23"/>
      <c r="X39" s="23"/>
      <c r="Y39" s="23"/>
      <c r="Z39" s="33"/>
      <c r="AC39">
        <v>3241250</v>
      </c>
    </row>
    <row r="40" spans="1:30">
      <c r="A40" s="1858" t="s">
        <v>165</v>
      </c>
      <c r="B40" s="1859"/>
      <c r="C40" s="1859"/>
      <c r="D40" s="1859"/>
      <c r="E40" s="1859"/>
      <c r="F40" s="1859"/>
      <c r="G40" s="1859"/>
      <c r="H40" s="1859"/>
      <c r="I40" s="1859"/>
      <c r="J40" s="1859"/>
      <c r="K40" s="1860"/>
      <c r="L40" s="1861"/>
      <c r="M40" s="1862"/>
      <c r="N40" s="1862"/>
      <c r="O40" s="1862"/>
      <c r="P40" s="1862"/>
      <c r="Q40" s="1862"/>
      <c r="R40" s="1862"/>
      <c r="S40" s="1862"/>
      <c r="T40" s="1862"/>
      <c r="U40" s="1862"/>
      <c r="V40" s="1862"/>
      <c r="W40" s="1862"/>
      <c r="X40" s="1862"/>
      <c r="Y40" s="1862"/>
      <c r="Z40" s="1863"/>
      <c r="AC40">
        <v>874500</v>
      </c>
    </row>
    <row r="41" spans="1:30">
      <c r="A41" s="1867" t="s">
        <v>167</v>
      </c>
      <c r="B41" s="1868"/>
      <c r="C41" s="1868"/>
      <c r="D41" s="1868"/>
      <c r="E41" s="1868"/>
      <c r="F41" s="1868"/>
      <c r="G41" s="1868"/>
      <c r="H41" s="1868"/>
      <c r="I41" s="1868"/>
      <c r="J41" s="1868"/>
      <c r="K41" s="1869"/>
      <c r="L41" s="1864"/>
      <c r="M41" s="1865"/>
      <c r="N41" s="1865"/>
      <c r="O41" s="1865"/>
      <c r="P41" s="1865"/>
      <c r="Q41" s="1865"/>
      <c r="R41" s="1865"/>
      <c r="S41" s="1865"/>
      <c r="T41" s="1865"/>
      <c r="U41" s="1865"/>
      <c r="V41" s="1865"/>
      <c r="W41" s="1865"/>
      <c r="X41" s="1865"/>
      <c r="Y41" s="1865"/>
      <c r="Z41" s="1866"/>
      <c r="AC41">
        <f>+AC39-AC40</f>
      </c>
    </row>
    <row r="42" spans="1:30">
      <c r="A42" s="40"/>
      <c r="B42" s="22"/>
      <c r="C42" s="22"/>
      <c r="D42" s="22"/>
      <c r="E42" s="22"/>
      <c r="F42" s="22"/>
      <c r="G42" s="22"/>
      <c r="H42" s="22"/>
      <c r="I42" s="22"/>
      <c r="J42" s="22"/>
      <c r="K42" s="41"/>
      <c r="L42" s="1864"/>
      <c r="M42" s="1865"/>
      <c r="N42" s="1865"/>
      <c r="O42" s="1865"/>
      <c r="P42" s="1865"/>
      <c r="Q42" s="1865"/>
      <c r="R42" s="1865"/>
      <c r="S42" s="1865"/>
      <c r="T42" s="1865"/>
      <c r="U42" s="1865"/>
      <c r="V42" s="1865"/>
      <c r="W42" s="1865"/>
      <c r="X42" s="1865"/>
      <c r="Y42" s="1865"/>
      <c r="Z42" s="1866"/>
      <c r="AC42">
        <v>955556</v>
      </c>
      <c r="AD42" s="43">
        <f>+AC41/AC42</f>
      </c>
    </row>
    <row r="43" spans="1:30">
      <c r="A43" s="40"/>
      <c r="B43" s="22"/>
      <c r="C43" s="22"/>
      <c r="D43" s="22"/>
      <c r="E43" s="22"/>
      <c r="F43" s="22"/>
      <c r="G43" s="22"/>
      <c r="H43" s="22"/>
      <c r="I43" s="22"/>
      <c r="J43" s="22"/>
      <c r="K43" s="41"/>
      <c r="L43" s="1864"/>
      <c r="M43" s="1865"/>
      <c r="N43" s="1865"/>
      <c r="O43" s="1865"/>
      <c r="P43" s="1865"/>
      <c r="Q43" s="1865"/>
      <c r="R43" s="1865"/>
      <c r="S43" s="1865"/>
      <c r="T43" s="1865"/>
      <c r="U43" s="1865"/>
      <c r="V43" s="1865"/>
      <c r="W43" s="1865"/>
      <c r="X43" s="1865"/>
      <c r="Y43" s="1865"/>
      <c r="Z43" s="1866"/>
      <c r="AC43">
        <f>+AC41-AC42</f>
      </c>
    </row>
    <row r="44" spans="1:30">
      <c r="A44" s="40"/>
      <c r="B44" s="22"/>
      <c r="C44" s="22"/>
      <c r="D44" s="22"/>
      <c r="E44" s="22"/>
      <c r="F44" s="22"/>
      <c r="G44" s="22"/>
      <c r="H44" s="22"/>
      <c r="I44" s="22"/>
      <c r="J44" s="22"/>
      <c r="K44" s="41"/>
      <c r="L44" s="1864"/>
      <c r="M44" s="1865"/>
      <c r="N44" s="1865"/>
      <c r="O44" s="1865"/>
      <c r="P44" s="1865"/>
      <c r="Q44" s="1865"/>
      <c r="R44" s="1865"/>
      <c r="S44" s="1865"/>
      <c r="T44" s="1865"/>
      <c r="U44" s="1865"/>
      <c r="V44" s="1865"/>
      <c r="W44" s="1865"/>
      <c r="X44" s="1865"/>
      <c r="Y44" s="1865"/>
      <c r="Z44" s="1866"/>
    </row>
    <row r="45" spans="1:30">
      <c r="A45" s="1855" t="s">
        <v>168</v>
      </c>
      <c r="B45" s="1856"/>
      <c r="C45" s="1856"/>
      <c r="D45" s="1856"/>
      <c r="E45" s="1856"/>
      <c r="F45" s="1856"/>
      <c r="G45" s="1856"/>
      <c r="H45" s="1856"/>
      <c r="I45" s="1856"/>
      <c r="J45" s="1856"/>
      <c r="K45" s="1857"/>
      <c r="L45" s="39"/>
      <c r="M45" s="23"/>
      <c r="N45" s="23"/>
      <c r="O45" s="23"/>
      <c r="P45" s="23"/>
      <c r="Q45" s="23"/>
      <c r="R45" s="23"/>
      <c r="S45" s="23"/>
      <c r="T45" s="23"/>
      <c r="U45" s="23"/>
      <c r="V45" s="23"/>
      <c r="W45" s="23"/>
      <c r="X45" s="23"/>
      <c r="Y45" s="23"/>
      <c r="Z45" s="33"/>
    </row>
    <row r="46" spans="1:30">
      <c r="A46" s="1858" t="s">
        <v>173</v>
      </c>
      <c r="B46" s="1859"/>
      <c r="C46" s="1859"/>
      <c r="D46" s="1859"/>
      <c r="E46" s="1859"/>
      <c r="F46" s="1859"/>
      <c r="G46" s="1859"/>
      <c r="H46" s="1859"/>
      <c r="I46" s="1859"/>
      <c r="J46" s="1859"/>
      <c r="K46" s="1860"/>
      <c r="L46" s="1861"/>
      <c r="M46" s="1862"/>
      <c r="N46" s="1862"/>
      <c r="O46" s="1862"/>
      <c r="P46" s="1862"/>
      <c r="Q46" s="1862"/>
      <c r="R46" s="1862"/>
      <c r="S46" s="1862"/>
      <c r="T46" s="1862"/>
      <c r="U46" s="1862"/>
      <c r="V46" s="1862"/>
      <c r="W46" s="1862"/>
      <c r="X46" s="1862"/>
      <c r="Y46" s="1862"/>
      <c r="Z46" s="1863"/>
    </row>
    <row r="47" spans="1:30">
      <c r="A47" s="1867" t="s">
        <v>169</v>
      </c>
      <c r="B47" s="1868"/>
      <c r="C47" s="1868"/>
      <c r="D47" s="1868"/>
      <c r="E47" s="1868"/>
      <c r="F47" s="1868"/>
      <c r="G47" s="1868"/>
      <c r="H47" s="1868"/>
      <c r="I47" s="1868"/>
      <c r="J47" s="1868"/>
      <c r="K47" s="1869"/>
      <c r="L47" s="1864"/>
      <c r="M47" s="1865"/>
      <c r="N47" s="1865"/>
      <c r="O47" s="1865"/>
      <c r="P47" s="1865"/>
      <c r="Q47" s="1865"/>
      <c r="R47" s="1865"/>
      <c r="S47" s="1865"/>
      <c r="T47" s="1865"/>
      <c r="U47" s="1865"/>
      <c r="V47" s="1865"/>
      <c r="W47" s="1865"/>
      <c r="X47" s="1865"/>
      <c r="Y47" s="1865"/>
      <c r="Z47" s="1866"/>
    </row>
    <row r="48" spans="1:30">
      <c r="A48" s="40"/>
      <c r="B48" s="22"/>
      <c r="C48" s="22"/>
      <c r="D48" s="22"/>
      <c r="E48" s="22"/>
      <c r="F48" s="22"/>
      <c r="G48" s="22"/>
      <c r="H48" s="22"/>
      <c r="I48" s="22"/>
      <c r="J48" s="22"/>
      <c r="K48" s="41"/>
      <c r="L48" s="1864"/>
      <c r="M48" s="1865"/>
      <c r="N48" s="1865"/>
      <c r="O48" s="1865"/>
      <c r="P48" s="1865"/>
      <c r="Q48" s="1865"/>
      <c r="R48" s="1865"/>
      <c r="S48" s="1865"/>
      <c r="T48" s="1865"/>
      <c r="U48" s="1865"/>
      <c r="V48" s="1865"/>
      <c r="W48" s="1865"/>
      <c r="X48" s="1865"/>
      <c r="Y48" s="1865"/>
      <c r="Z48" s="1866"/>
    </row>
    <row r="49" spans="1:26">
      <c r="A49" s="40"/>
      <c r="B49" s="22"/>
      <c r="C49" s="22"/>
      <c r="D49" s="22"/>
      <c r="E49" s="22"/>
      <c r="F49" s="22"/>
      <c r="G49" s="22"/>
      <c r="H49" s="22"/>
      <c r="I49" s="22"/>
      <c r="J49" s="22"/>
      <c r="K49" s="41"/>
      <c r="L49" s="1864"/>
      <c r="M49" s="1865"/>
      <c r="N49" s="1865"/>
      <c r="O49" s="1865"/>
      <c r="P49" s="1865"/>
      <c r="Q49" s="1865"/>
      <c r="R49" s="1865"/>
      <c r="S49" s="1865"/>
      <c r="T49" s="1865"/>
      <c r="U49" s="1865"/>
      <c r="V49" s="1865"/>
      <c r="W49" s="1865"/>
      <c r="X49" s="1865"/>
      <c r="Y49" s="1865"/>
      <c r="Z49" s="1866"/>
    </row>
    <row r="50" spans="1:26">
      <c r="A50" s="40"/>
      <c r="B50" s="22"/>
      <c r="C50" s="22"/>
      <c r="D50" s="22"/>
      <c r="E50" s="22"/>
      <c r="F50" s="22"/>
      <c r="G50" s="22"/>
      <c r="H50" s="22"/>
      <c r="I50" s="22"/>
      <c r="J50" s="22"/>
      <c r="K50" s="41"/>
      <c r="L50" s="1864"/>
      <c r="M50" s="1865"/>
      <c r="N50" s="1865"/>
      <c r="O50" s="1865"/>
      <c r="P50" s="1865"/>
      <c r="Q50" s="1865"/>
      <c r="R50" s="1865"/>
      <c r="S50" s="1865"/>
      <c r="T50" s="1865"/>
      <c r="U50" s="1865"/>
      <c r="V50" s="1865"/>
      <c r="W50" s="1865"/>
      <c r="X50" s="1865"/>
      <c r="Y50" s="1865"/>
      <c r="Z50" s="1866"/>
    </row>
    <row r="51" spans="1:26">
      <c r="A51" s="1855" t="s">
        <v>170</v>
      </c>
      <c r="B51" s="1856"/>
      <c r="C51" s="1856"/>
      <c r="D51" s="1856"/>
      <c r="E51" s="1856"/>
      <c r="F51" s="1856"/>
      <c r="G51" s="1856"/>
      <c r="H51" s="1856"/>
      <c r="I51" s="1856"/>
      <c r="J51" s="1856"/>
      <c r="K51" s="1857"/>
      <c r="L51" s="39"/>
      <c r="M51" s="23"/>
      <c r="N51" s="23"/>
      <c r="O51" s="23"/>
      <c r="P51" s="23"/>
      <c r="Q51" s="23"/>
      <c r="R51" s="23"/>
      <c r="S51" s="23"/>
      <c r="T51" s="23"/>
      <c r="U51" s="23"/>
      <c r="V51" s="23"/>
      <c r="W51" s="23"/>
      <c r="X51" s="23"/>
      <c r="Y51" s="23"/>
      <c r="Z51" s="33"/>
    </row>
  </sheetData>
  <mergeCells count="56">
    <mergeCell ref="A1:Z1"/>
    <mergeCell ref="A2:Z2"/>
    <mergeCell ref="S4:Z4"/>
    <mergeCell ref="J10:M10"/>
    <mergeCell ref="J11:M11"/>
    <mergeCell ref="R3:T3"/>
    <mergeCell ref="U3:Z3"/>
    <mergeCell ref="J6:Z6"/>
    <mergeCell ref="J5:Z5"/>
    <mergeCell ref="J7:Z7"/>
    <mergeCell ref="C18:J18"/>
    <mergeCell ref="K18:M18"/>
    <mergeCell ref="N18:Q18"/>
    <mergeCell ref="S18:V18"/>
    <mergeCell ref="W18:Z18"/>
    <mergeCell ref="J12:M12"/>
    <mergeCell ref="J13:M13"/>
    <mergeCell ref="J14:M14"/>
    <mergeCell ref="J15:M15"/>
    <mergeCell ref="V10:W10"/>
    <mergeCell ref="V11:W11"/>
    <mergeCell ref="V12:W12"/>
    <mergeCell ref="V13:W13"/>
    <mergeCell ref="V14:W14"/>
    <mergeCell ref="C20:J20"/>
    <mergeCell ref="K20:M20"/>
    <mergeCell ref="N20:Q20"/>
    <mergeCell ref="S20:V20"/>
    <mergeCell ref="W20:Z20"/>
    <mergeCell ref="C19:J19"/>
    <mergeCell ref="K19:M19"/>
    <mergeCell ref="N19:Q19"/>
    <mergeCell ref="S19:V19"/>
    <mergeCell ref="W19:Z19"/>
    <mergeCell ref="B24:Z25"/>
    <mergeCell ref="C21:J21"/>
    <mergeCell ref="K21:M21"/>
    <mergeCell ref="N21:Q21"/>
    <mergeCell ref="S21:V21"/>
    <mergeCell ref="W21:Z21"/>
    <mergeCell ref="B22:M22"/>
    <mergeCell ref="N22:Q22"/>
    <mergeCell ref="S22:V22"/>
    <mergeCell ref="W22:Z22"/>
    <mergeCell ref="L34:Z38"/>
    <mergeCell ref="A34:K34"/>
    <mergeCell ref="A35:K35"/>
    <mergeCell ref="A39:K39"/>
    <mergeCell ref="A40:K40"/>
    <mergeCell ref="L40:Z44"/>
    <mergeCell ref="A41:K41"/>
    <mergeCell ref="A45:K45"/>
    <mergeCell ref="A46:K46"/>
    <mergeCell ref="L46:Z50"/>
    <mergeCell ref="A47:K47"/>
    <mergeCell ref="A51:K51"/>
  </mergeCells>
  <pageMargins left="0.70866141732283472" right="0.70866141732283472" top="0.74803149606299213" bottom="0.74803149606299213" header="0.31496062992125984" footer="0.31496062992125984"/>
  <pageSetup paperSize="5" scale="85"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0"/>
  <sheetViews>
    <sheetView topLeftCell="A85" zoomScale="120" zoomScaleNormal="120" workbookViewId="0">
      <selection activeCell="A62" sqref="A62:Y62"/>
    </sheetView>
  </sheetViews>
  <sheetFormatPr defaultColWidth="9.109375" defaultRowHeight="14.4"/>
  <cols>
    <col min="1" max="1" width="3.44140625" style="154" customWidth="1"/>
    <col min="2" max="2" width="3.44140625" style="241" customWidth="1"/>
    <col min="3" max="8" width="3.44140625" style="154" customWidth="1"/>
    <col min="9" max="9" width="4.6640625" style="154" customWidth="1"/>
    <col min="10" max="10" width="3.109375" style="154" customWidth="1"/>
    <col min="11" max="12" width="3.44140625" style="154" customWidth="1"/>
    <col min="13" max="13" width="3.88671875" style="154" customWidth="1"/>
    <col min="14" max="15" width="3.44140625" style="154" customWidth="1"/>
    <col min="16" max="16" width="5.44140625" style="154" customWidth="1"/>
    <col min="17" max="17" width="14.33203125" style="154" customWidth="1"/>
    <col min="18" max="18" width="5.44140625" style="154" customWidth="1"/>
    <col min="19" max="24" width="3.44140625" style="154" customWidth="1"/>
    <col min="25" max="25" width="7.88671875" style="154" customWidth="1"/>
    <col min="26" max="26" width="9.109375" style="154"/>
    <col min="27" max="28" width="10.6640625" style="154" bestFit="1" customWidth="1"/>
    <col min="29" max="29" width="9.109375" style="154"/>
    <col min="30" max="30" width="10.6640625" style="154" bestFit="1" customWidth="1"/>
    <col min="31" max="16384" width="9.109375" style="154"/>
  </cols>
  <sheetData>
    <row r="1" spans="1:32" s="350" customFormat="1" ht="2.25" customHeight="1">
      <c r="A1" s="1909"/>
      <c r="B1" s="1910"/>
      <c r="C1" s="1910"/>
      <c r="D1" s="1910"/>
      <c r="E1" s="1910"/>
      <c r="F1" s="1910"/>
      <c r="G1" s="1910"/>
      <c r="H1" s="1910"/>
      <c r="I1" s="1910"/>
      <c r="J1" s="1910"/>
      <c r="K1" s="1910"/>
      <c r="L1" s="1910"/>
      <c r="M1" s="1910"/>
      <c r="N1" s="1910"/>
      <c r="O1" s="1910"/>
      <c r="P1" s="1910"/>
      <c r="Q1" s="1910"/>
      <c r="R1" s="1910"/>
      <c r="S1" s="1910"/>
      <c r="T1" s="1910"/>
      <c r="U1" s="1910"/>
      <c r="V1" s="1910"/>
      <c r="W1" s="1910"/>
      <c r="X1" s="1910"/>
      <c r="Y1" s="1911"/>
    </row>
    <row r="2" spans="1:32" s="350" customFormat="1" ht="3.75" customHeight="1">
      <c r="A2" s="1924" t="s">
        <v>639</v>
      </c>
      <c r="B2" s="1925"/>
      <c r="C2" s="1925"/>
      <c r="D2" s="1925"/>
      <c r="E2" s="1925"/>
      <c r="F2" s="1925"/>
      <c r="G2" s="1925"/>
      <c r="H2" s="1925"/>
      <c r="I2" s="1925"/>
      <c r="J2" s="1925"/>
      <c r="K2" s="1925"/>
      <c r="L2" s="1925"/>
      <c r="M2" s="1925"/>
      <c r="N2" s="1925"/>
      <c r="O2" s="1925"/>
      <c r="P2" s="1925"/>
      <c r="Q2" s="1925"/>
      <c r="R2" s="1925"/>
      <c r="S2" s="1925"/>
      <c r="T2" s="1925"/>
      <c r="U2" s="1925"/>
      <c r="V2" s="1925"/>
      <c r="W2" s="1925"/>
      <c r="X2" s="1925"/>
      <c r="Y2" s="1926"/>
    </row>
    <row r="3" spans="1:32" s="236" customFormat="1" ht="2.25" customHeight="1">
      <c r="A3" s="1924"/>
      <c r="B3" s="1925"/>
      <c r="C3" s="1925"/>
      <c r="D3" s="1925"/>
      <c r="E3" s="1925"/>
      <c r="F3" s="1925"/>
      <c r="G3" s="1925"/>
      <c r="H3" s="1925"/>
      <c r="I3" s="1925"/>
      <c r="J3" s="1925"/>
      <c r="K3" s="1925"/>
      <c r="L3" s="1925"/>
      <c r="M3" s="1925"/>
      <c r="N3" s="1925"/>
      <c r="O3" s="1925"/>
      <c r="P3" s="1925"/>
      <c r="Q3" s="1925"/>
      <c r="R3" s="1925"/>
      <c r="S3" s="1925"/>
      <c r="T3" s="1925"/>
      <c r="U3" s="1925"/>
      <c r="V3" s="1925"/>
      <c r="W3" s="1925"/>
      <c r="X3" s="1925"/>
      <c r="Y3" s="1926"/>
    </row>
    <row r="4" spans="1:32" s="236" customFormat="1" ht="13.5" customHeight="1">
      <c r="A4" s="1924"/>
      <c r="B4" s="1925"/>
      <c r="C4" s="1925"/>
      <c r="D4" s="1925"/>
      <c r="E4" s="1925"/>
      <c r="F4" s="1925"/>
      <c r="G4" s="1925"/>
      <c r="H4" s="1925"/>
      <c r="I4" s="1925"/>
      <c r="J4" s="1925"/>
      <c r="K4" s="1925"/>
      <c r="L4" s="1925"/>
      <c r="M4" s="1925"/>
      <c r="N4" s="1925"/>
      <c r="O4" s="1925"/>
      <c r="P4" s="1925"/>
      <c r="Q4" s="1925"/>
      <c r="R4" s="1925"/>
      <c r="S4" s="1925"/>
      <c r="T4" s="1925"/>
      <c r="U4" s="1925"/>
      <c r="V4" s="1925"/>
      <c r="W4" s="1925"/>
      <c r="X4" s="1925"/>
      <c r="Y4" s="1926"/>
    </row>
    <row r="5" spans="1:32" s="350" customFormat="1" ht="3" customHeight="1">
      <c r="A5" s="1027"/>
      <c r="B5" s="1028"/>
      <c r="C5" s="1028"/>
      <c r="D5" s="1028"/>
      <c r="E5" s="1028"/>
      <c r="F5" s="1028"/>
      <c r="G5" s="1028"/>
      <c r="H5" s="1028"/>
      <c r="I5" s="1028"/>
      <c r="J5" s="1028"/>
      <c r="K5" s="1028"/>
      <c r="L5" s="1028"/>
      <c r="M5" s="1028"/>
      <c r="N5" s="1028"/>
      <c r="O5" s="1028"/>
      <c r="P5" s="1028"/>
      <c r="Q5" s="1028"/>
      <c r="R5" s="1028"/>
      <c r="S5" s="1028"/>
      <c r="T5" s="1028"/>
      <c r="U5" s="1028"/>
      <c r="V5" s="1028"/>
      <c r="W5" s="1028"/>
      <c r="X5" s="1028"/>
      <c r="Y5" s="1029"/>
    </row>
    <row r="6" spans="1:32" s="350" customFormat="1" ht="18">
      <c r="A6" s="1919" t="s">
        <v>129</v>
      </c>
      <c r="B6" s="1920"/>
      <c r="C6" s="1920"/>
      <c r="D6" s="1920"/>
      <c r="E6" s="1920"/>
      <c r="F6" s="1920"/>
      <c r="G6" s="1920"/>
      <c r="H6" s="1920"/>
      <c r="I6" s="1920"/>
      <c r="J6" s="1920"/>
      <c r="K6" s="1920"/>
      <c r="L6" s="1920"/>
      <c r="M6" s="1920"/>
      <c r="N6" s="1920"/>
      <c r="O6" s="1920"/>
      <c r="P6" s="1920"/>
      <c r="Q6" s="1920"/>
      <c r="R6" s="1920"/>
      <c r="S6" s="1920"/>
      <c r="T6" s="1920"/>
      <c r="U6" s="1920"/>
      <c r="V6" s="1920"/>
      <c r="W6" s="1920"/>
      <c r="X6" s="1920"/>
      <c r="Y6" s="1921"/>
    </row>
    <row r="7" spans="1:32" s="350" customFormat="1" ht="2.25" customHeight="1">
      <c r="A7" s="1912"/>
      <c r="B7" s="1913"/>
      <c r="C7" s="1913"/>
      <c r="D7" s="1913"/>
      <c r="E7" s="1913"/>
      <c r="F7" s="1913"/>
      <c r="G7" s="1913"/>
      <c r="H7" s="1913"/>
      <c r="I7" s="1913"/>
      <c r="J7" s="1913"/>
      <c r="K7" s="1913"/>
      <c r="L7" s="1913"/>
      <c r="M7" s="1913"/>
      <c r="N7" s="1913"/>
      <c r="O7" s="1913"/>
      <c r="P7" s="1913"/>
      <c r="Q7" s="1913"/>
      <c r="R7" s="1913"/>
      <c r="S7" s="1913"/>
      <c r="T7" s="1913"/>
      <c r="U7" s="1913"/>
      <c r="V7" s="1913"/>
      <c r="W7" s="1913"/>
      <c r="X7" s="1913"/>
      <c r="Y7" s="1914"/>
    </row>
    <row r="8" spans="1:32" s="350" customFormat="1" ht="15.6">
      <c r="A8" s="992">
        <v>1</v>
      </c>
      <c r="B8" s="993" t="s">
        <v>704</v>
      </c>
      <c r="C8" s="448"/>
      <c r="D8" s="448"/>
      <c r="E8" s="448"/>
      <c r="F8" s="448"/>
      <c r="G8" s="448"/>
      <c r="H8" s="448"/>
      <c r="I8" s="448"/>
      <c r="J8" s="448"/>
      <c r="K8" s="448"/>
      <c r="L8" s="474" t="s">
        <v>0</v>
      </c>
      <c r="M8" s="448"/>
      <c r="N8" s="1923">
        <f>'Informasi Pokok'!D5</f>
      </c>
      <c r="O8" s="1764"/>
      <c r="P8" s="1764"/>
      <c r="Q8" s="1764"/>
      <c r="R8" s="1764"/>
      <c r="S8" s="1764"/>
      <c r="T8" s="1764"/>
      <c r="U8" s="1764"/>
      <c r="V8" s="1764"/>
      <c r="W8" s="1764"/>
      <c r="X8" s="453"/>
      <c r="Y8" s="446"/>
    </row>
    <row r="9" spans="1:32" s="350" customFormat="1" ht="15.6">
      <c r="A9" s="994">
        <v>2</v>
      </c>
      <c r="B9" s="995" t="s">
        <v>700</v>
      </c>
      <c r="C9" s="476"/>
      <c r="D9" s="476"/>
      <c r="E9" s="476"/>
      <c r="F9" s="476"/>
      <c r="G9" s="476"/>
      <c r="H9" s="476"/>
      <c r="I9" s="476"/>
      <c r="J9" s="476"/>
      <c r="K9" s="476"/>
      <c r="L9" s="475" t="s">
        <v>0</v>
      </c>
      <c r="M9" s="476"/>
      <c r="N9" s="1915">
        <f>'Informasi Pokok'!D3</f>
      </c>
      <c r="O9" s="1922"/>
      <c r="P9" s="1922"/>
      <c r="Q9" s="1922"/>
      <c r="R9" s="1922"/>
      <c r="S9" s="1922"/>
      <c r="T9" s="1922"/>
      <c r="U9" s="1922"/>
      <c r="V9" s="1922"/>
      <c r="W9" s="1922"/>
      <c r="X9" s="453"/>
      <c r="Y9" s="446"/>
    </row>
    <row r="10" spans="1:32" s="350" customFormat="1" ht="15.6">
      <c r="A10" s="994">
        <v>3</v>
      </c>
      <c r="B10" s="996" t="s">
        <v>701</v>
      </c>
      <c r="C10" s="478"/>
      <c r="D10" s="478"/>
      <c r="E10" s="478"/>
      <c r="F10" s="478"/>
      <c r="G10" s="478"/>
      <c r="H10" s="478"/>
      <c r="I10" s="478"/>
      <c r="J10" s="478"/>
      <c r="K10" s="478"/>
      <c r="L10" s="475" t="s">
        <v>0</v>
      </c>
      <c r="M10" s="477"/>
      <c r="N10" s="1915">
        <f>'Informasi Pokok'!D6</f>
      </c>
      <c r="O10" s="1915"/>
      <c r="P10" s="1915"/>
      <c r="Q10" s="1915"/>
      <c r="R10" s="1915"/>
      <c r="S10" s="1915"/>
      <c r="T10" s="1915"/>
      <c r="U10" s="1915"/>
      <c r="V10" s="1915"/>
      <c r="W10" s="1915"/>
      <c r="X10" s="236"/>
      <c r="Y10" s="242"/>
    </row>
    <row r="11" spans="1:32" s="350" customFormat="1" ht="15.75" customHeight="1">
      <c r="A11" s="994">
        <v>4</v>
      </c>
      <c r="B11" s="996" t="s">
        <v>128</v>
      </c>
      <c r="C11" s="478"/>
      <c r="D11" s="478"/>
      <c r="E11" s="478"/>
      <c r="F11" s="478"/>
      <c r="G11" s="478"/>
      <c r="H11" s="478"/>
      <c r="I11" s="478"/>
      <c r="J11" s="478"/>
      <c r="K11" s="478"/>
      <c r="L11" s="475" t="s">
        <v>0</v>
      </c>
      <c r="M11" s="477"/>
      <c r="N11" s="1915">
        <f>'Informasi Pokok'!D12</f>
      </c>
      <c r="O11" s="1915"/>
      <c r="P11" s="1915"/>
      <c r="Q11" s="1915"/>
      <c r="R11" s="1915"/>
      <c r="S11" s="1915"/>
      <c r="T11" s="1915"/>
      <c r="U11" s="1915"/>
      <c r="V11" s="1915"/>
      <c r="W11" s="1915"/>
      <c r="X11" s="236"/>
      <c r="Y11" s="242"/>
    </row>
    <row r="12" spans="1:32" s="350" customFormat="1" ht="15.6">
      <c r="A12" s="994">
        <v>5</v>
      </c>
      <c r="B12" s="996" t="s">
        <v>662</v>
      </c>
      <c r="C12" s="478"/>
      <c r="D12" s="478"/>
      <c r="E12" s="478"/>
      <c r="F12" s="478"/>
      <c r="G12" s="478"/>
      <c r="H12" s="478"/>
      <c r="I12" s="478"/>
      <c r="J12" s="478"/>
      <c r="K12" s="478"/>
      <c r="L12" s="475" t="s">
        <v>0</v>
      </c>
      <c r="M12" s="477"/>
      <c r="N12" s="1918">
        <f>'Informasi Pokok'!D67</f>
      </c>
      <c r="O12" s="1918"/>
      <c r="P12" s="1918"/>
      <c r="Q12" s="1918"/>
      <c r="R12" s="1918"/>
      <c r="S12" s="1918"/>
      <c r="T12" s="1918"/>
      <c r="U12" s="1918"/>
      <c r="V12" s="1918"/>
      <c r="W12" s="1918"/>
      <c r="X12" s="236"/>
      <c r="Y12" s="242"/>
    </row>
    <row r="13" spans="1:32" s="350" customFormat="1" ht="15.6">
      <c r="A13" s="994">
        <v>6</v>
      </c>
      <c r="B13" s="996" t="s">
        <v>149</v>
      </c>
      <c r="C13" s="478"/>
      <c r="D13" s="478"/>
      <c r="E13" s="478"/>
      <c r="F13" s="478"/>
      <c r="G13" s="478"/>
      <c r="H13" s="478"/>
      <c r="I13" s="478"/>
      <c r="J13" s="478"/>
      <c r="K13" s="478"/>
      <c r="L13" s="475" t="s">
        <v>0</v>
      </c>
      <c r="M13" s="478"/>
      <c r="N13" s="1916">
        <f>'Informasi Pokok'!D69</f>
      </c>
      <c r="O13" s="1916"/>
      <c r="P13" s="1916"/>
      <c r="Q13" s="1916"/>
      <c r="R13" s="236"/>
      <c r="S13" s="236"/>
      <c r="T13" s="236"/>
      <c r="U13" s="236"/>
      <c r="V13" s="236"/>
      <c r="W13" s="236"/>
      <c r="X13" s="236"/>
      <c r="Y13" s="242"/>
      <c r="AF13" s="479"/>
    </row>
    <row r="14" spans="1:32" s="350" customFormat="1" ht="15.6">
      <c r="A14" s="994">
        <v>7</v>
      </c>
      <c r="B14" s="996" t="s">
        <v>119</v>
      </c>
      <c r="C14" s="478"/>
      <c r="D14" s="478"/>
      <c r="E14" s="478"/>
      <c r="F14" s="478"/>
      <c r="G14" s="478"/>
      <c r="H14" s="478"/>
      <c r="I14" s="478"/>
      <c r="J14" s="478"/>
      <c r="K14" s="478"/>
      <c r="L14" s="475" t="s">
        <v>0</v>
      </c>
      <c r="M14" s="477"/>
      <c r="N14" s="1917">
        <f>'Informasi Pokok'!D64</f>
      </c>
      <c r="O14" s="1917"/>
      <c r="P14" s="1917"/>
      <c r="Q14" s="1917"/>
      <c r="R14" s="449"/>
      <c r="S14" s="236"/>
      <c r="T14" s="236"/>
      <c r="U14" s="236"/>
      <c r="V14" s="236"/>
      <c r="W14" s="236"/>
      <c r="X14" s="236"/>
      <c r="Y14" s="242"/>
    </row>
    <row r="15" spans="1:32" s="350" customFormat="1" ht="15.6">
      <c r="A15" s="994">
        <v>8</v>
      </c>
      <c r="B15" s="996" t="s">
        <v>3</v>
      </c>
      <c r="C15" s="478"/>
      <c r="D15" s="478"/>
      <c r="E15" s="478"/>
      <c r="F15" s="478"/>
      <c r="G15" s="478"/>
      <c r="H15" s="478"/>
      <c r="I15" s="478"/>
      <c r="J15" s="478"/>
      <c r="K15" s="478"/>
      <c r="L15" s="475" t="s">
        <v>0</v>
      </c>
      <c r="M15" s="477"/>
      <c r="N15" s="1927">
        <f>'Usulan Pembiayaan'!N19&amp;" Bulan"</f>
      </c>
      <c r="O15" s="1927"/>
      <c r="P15" s="1927"/>
      <c r="Q15" s="1927"/>
      <c r="R15" s="449"/>
      <c r="S15" s="236"/>
      <c r="T15" s="236"/>
      <c r="U15" s="236"/>
      <c r="V15" s="236"/>
      <c r="W15" s="236"/>
      <c r="X15" s="236"/>
      <c r="Y15" s="242"/>
    </row>
    <row r="16" spans="1:32" s="350" customFormat="1" ht="15.6">
      <c r="A16" s="994">
        <v>9</v>
      </c>
      <c r="B16" s="996" t="s">
        <v>681</v>
      </c>
      <c r="C16" s="478"/>
      <c r="D16" s="478"/>
      <c r="E16" s="478"/>
      <c r="F16" s="478"/>
      <c r="G16" s="478"/>
      <c r="H16" s="478"/>
      <c r="I16" s="478"/>
      <c r="J16" s="478"/>
      <c r="K16" s="478"/>
      <c r="L16" s="475" t="s">
        <v>0</v>
      </c>
      <c r="M16" s="478"/>
      <c r="N16" s="1928">
        <f>'Usulan Pembiayaan'!N18</f>
      </c>
      <c r="O16" s="1928"/>
      <c r="P16" s="1928"/>
      <c r="Q16" s="1928"/>
      <c r="R16" s="450">
        <f>'Usulan Pembiayaan'!M82</f>
      </c>
      <c r="S16" s="236"/>
      <c r="T16" s="236"/>
      <c r="U16" s="236"/>
      <c r="V16" s="236"/>
      <c r="W16" s="236"/>
      <c r="X16" s="236"/>
      <c r="Y16" s="242"/>
      <c r="Z16" s="454"/>
    </row>
    <row r="17" spans="1:25" s="350" customFormat="1" ht="15.6">
      <c r="A17" s="994">
        <v>10</v>
      </c>
      <c r="B17" s="996" t="s">
        <v>131</v>
      </c>
      <c r="C17" s="478"/>
      <c r="D17" s="478"/>
      <c r="E17" s="478"/>
      <c r="F17" s="478"/>
      <c r="G17" s="478"/>
      <c r="H17" s="478"/>
      <c r="I17" s="478"/>
      <c r="J17" s="478"/>
      <c r="K17" s="478"/>
      <c r="L17" s="475" t="s">
        <v>0</v>
      </c>
      <c r="M17" s="477"/>
      <c r="N17" s="1917">
        <f>'Usulan Pembiayaan'!N20</f>
      </c>
      <c r="O17" s="1917"/>
      <c r="P17" s="1917"/>
      <c r="Q17" s="1917"/>
      <c r="R17" s="236"/>
      <c r="S17" s="236"/>
      <c r="T17" s="236"/>
      <c r="U17" s="236"/>
      <c r="V17" s="236"/>
      <c r="W17" s="236"/>
      <c r="X17" s="236"/>
      <c r="Y17" s="242"/>
    </row>
    <row r="18" spans="1:25" s="350" customFormat="1" ht="6" customHeight="1">
      <c r="A18" s="1929"/>
      <c r="B18" s="1930"/>
      <c r="C18" s="1930"/>
      <c r="D18" s="1930"/>
      <c r="E18" s="1930"/>
      <c r="F18" s="1930"/>
      <c r="G18" s="1930"/>
      <c r="H18" s="1930"/>
      <c r="I18" s="1930"/>
      <c r="J18" s="1930"/>
      <c r="K18" s="1930"/>
      <c r="L18" s="1930"/>
      <c r="M18" s="1930"/>
      <c r="N18" s="1930"/>
      <c r="O18" s="1930"/>
      <c r="P18" s="1930"/>
      <c r="Q18" s="1930"/>
      <c r="R18" s="1930"/>
      <c r="S18" s="1930"/>
      <c r="T18" s="1930"/>
      <c r="U18" s="1930"/>
      <c r="V18" s="1930"/>
      <c r="W18" s="1930"/>
      <c r="X18" s="1930"/>
      <c r="Y18" s="1931"/>
    </row>
    <row r="19" spans="1:25" s="350" customFormat="1" ht="18">
      <c r="A19" s="1919" t="s">
        <v>804</v>
      </c>
      <c r="B19" s="1920"/>
      <c r="C19" s="1920"/>
      <c r="D19" s="1920"/>
      <c r="E19" s="1920"/>
      <c r="F19" s="1920"/>
      <c r="G19" s="1920"/>
      <c r="H19" s="1920"/>
      <c r="I19" s="1920"/>
      <c r="J19" s="1920"/>
      <c r="K19" s="1920"/>
      <c r="L19" s="1920"/>
      <c r="M19" s="1920"/>
      <c r="N19" s="1920"/>
      <c r="O19" s="1920"/>
      <c r="P19" s="1920"/>
      <c r="Q19" s="1920"/>
      <c r="R19" s="1920"/>
      <c r="S19" s="1920"/>
      <c r="T19" s="1920"/>
      <c r="U19" s="1920"/>
      <c r="V19" s="1920"/>
      <c r="W19" s="1920"/>
      <c r="X19" s="1920"/>
      <c r="Y19" s="1921"/>
    </row>
    <row r="20" spans="1:25" s="350" customFormat="1" ht="15.6">
      <c r="A20" s="622" t="s">
        <v>556</v>
      </c>
      <c r="B20" s="623" t="s">
        <v>619</v>
      </c>
      <c r="C20" s="624"/>
      <c r="D20" s="624"/>
      <c r="E20" s="624"/>
      <c r="F20" s="236"/>
      <c r="G20" s="236"/>
      <c r="H20" s="236"/>
      <c r="I20" s="236"/>
      <c r="J20" s="236"/>
      <c r="K20" s="236"/>
      <c r="L20" s="236"/>
      <c r="M20" s="236"/>
      <c r="N20" s="236"/>
      <c r="O20" s="236"/>
      <c r="P20" s="236"/>
      <c r="Q20" s="236"/>
      <c r="R20" s="236"/>
      <c r="S20" s="236"/>
      <c r="T20" s="236"/>
      <c r="U20" s="236"/>
      <c r="V20" s="236"/>
      <c r="W20" s="236"/>
      <c r="X20" s="236"/>
      <c r="Y20" s="242"/>
    </row>
    <row r="21" spans="1:25" s="350" customFormat="1" ht="15.6">
      <c r="A21" s="622"/>
      <c r="B21" s="1901" t="s">
        <v>1089</v>
      </c>
      <c r="C21" s="1902"/>
      <c r="D21" s="1902"/>
      <c r="E21" s="1902"/>
      <c r="F21" s="1902"/>
      <c r="G21" s="1902"/>
      <c r="H21" s="1902"/>
      <c r="I21" s="1902"/>
      <c r="J21" s="1902"/>
      <c r="K21" s="1902"/>
      <c r="L21" s="1902"/>
      <c r="M21" s="1932">
        <f>'Informasi Pokok'!D11</f>
      </c>
      <c r="N21" s="1899"/>
      <c r="O21" s="1899"/>
      <c r="P21" s="1899"/>
      <c r="Q21" s="1899"/>
      <c r="R21" s="1899"/>
      <c r="S21" s="1899"/>
      <c r="T21" s="1899"/>
      <c r="U21" s="1899"/>
      <c r="V21" s="1899"/>
      <c r="W21" s="1899"/>
      <c r="X21" s="1899"/>
      <c r="Y21" s="1900"/>
    </row>
    <row r="22" spans="1:25" s="350" customFormat="1" ht="15.6">
      <c r="A22" s="622"/>
      <c r="B22" s="1901" t="s">
        <v>1090</v>
      </c>
      <c r="C22" s="1902"/>
      <c r="D22" s="1902"/>
      <c r="E22" s="1902"/>
      <c r="F22" s="1902"/>
      <c r="G22" s="1902"/>
      <c r="H22" s="1902"/>
      <c r="I22" s="1902"/>
      <c r="J22" s="1902"/>
      <c r="K22" s="1902"/>
      <c r="L22" s="1902"/>
      <c r="M22" s="1932">
        <f>'Informasi Pokok'!D13</f>
      </c>
      <c r="N22" s="1899"/>
      <c r="O22" s="1899"/>
      <c r="P22" s="1899"/>
      <c r="Q22" s="1899"/>
      <c r="R22" s="1899"/>
      <c r="S22" s="1899"/>
      <c r="T22" s="1899"/>
      <c r="U22" s="1899"/>
      <c r="V22" s="1899"/>
      <c r="W22" s="1899"/>
      <c r="X22" s="1899"/>
      <c r="Y22" s="1900"/>
    </row>
    <row r="23" spans="1:25" s="350" customFormat="1">
      <c r="A23" s="480"/>
      <c r="B23" s="1901" t="s">
        <v>1091</v>
      </c>
      <c r="C23" s="1902"/>
      <c r="D23" s="1902"/>
      <c r="E23" s="1902"/>
      <c r="F23" s="1902"/>
      <c r="G23" s="1902"/>
      <c r="H23" s="1902"/>
      <c r="I23" s="1902"/>
      <c r="J23" s="1902"/>
      <c r="K23" s="1902"/>
      <c r="L23" s="1902"/>
      <c r="M23" s="1932">
        <f>'Informasi Pokok'!I15</f>
      </c>
      <c r="N23" s="1899"/>
      <c r="O23" s="1899"/>
      <c r="P23" s="1899"/>
      <c r="Q23" s="1899"/>
      <c r="R23" s="1899"/>
      <c r="S23" s="1899"/>
      <c r="T23" s="1899"/>
      <c r="U23" s="1899"/>
      <c r="V23" s="1899"/>
      <c r="W23" s="1899"/>
      <c r="X23" s="1899"/>
      <c r="Y23" s="1900"/>
    </row>
    <row r="24" spans="1:25" s="350" customFormat="1">
      <c r="A24" s="480"/>
      <c r="B24" s="1901" t="s">
        <v>1092</v>
      </c>
      <c r="C24" s="1902"/>
      <c r="D24" s="1902"/>
      <c r="E24" s="1902"/>
      <c r="F24" s="1902"/>
      <c r="G24" s="1902"/>
      <c r="H24" s="1902"/>
      <c r="I24" s="1902"/>
      <c r="J24" s="1902"/>
      <c r="K24" s="1902"/>
      <c r="L24" s="1902"/>
      <c r="M24" s="1932">
        <f>'Informasi Pokok'!D22</f>
      </c>
      <c r="N24" s="1899"/>
      <c r="O24" s="1899"/>
      <c r="P24" s="1899"/>
      <c r="Q24" s="1899"/>
      <c r="R24" s="1899"/>
      <c r="S24" s="1899"/>
      <c r="T24" s="1899"/>
      <c r="U24" s="1899"/>
      <c r="V24" s="1899"/>
      <c r="W24" s="1899"/>
      <c r="X24" s="1899"/>
      <c r="Y24" s="1900"/>
    </row>
    <row r="25" spans="1:25" s="350" customFormat="1">
      <c r="A25" s="480"/>
      <c r="B25" s="1901" t="s">
        <v>1093</v>
      </c>
      <c r="C25" s="1902"/>
      <c r="D25" s="1902"/>
      <c r="E25" s="1902"/>
      <c r="F25" s="1902"/>
      <c r="G25" s="1902"/>
      <c r="H25" s="1902"/>
      <c r="I25" s="1902"/>
      <c r="J25" s="1902"/>
      <c r="K25" s="1902"/>
      <c r="L25" s="1902"/>
      <c r="M25" s="1932">
        <f>'Informasi Pokok'!D23</f>
        <v xml:space="preserve"> 1 - 2 Orang</v>
      </c>
      <c r="N25" s="1899"/>
      <c r="O25" s="1899"/>
      <c r="P25" s="1899"/>
      <c r="Q25" s="1899"/>
      <c r="R25" s="1899"/>
      <c r="S25" s="1899"/>
      <c r="T25" s="1899"/>
      <c r="U25" s="1899"/>
      <c r="V25" s="1899"/>
      <c r="W25" s="1899"/>
      <c r="X25" s="1899"/>
      <c r="Y25" s="1900"/>
    </row>
    <row r="26" spans="1:25" s="350" customFormat="1">
      <c r="A26" s="480"/>
      <c r="B26" s="1901" t="s">
        <v>1094</v>
      </c>
      <c r="C26" s="1902"/>
      <c r="D26" s="1902"/>
      <c r="E26" s="1902"/>
      <c r="F26" s="1902"/>
      <c r="G26" s="1902"/>
      <c r="H26" s="1902"/>
      <c r="I26" s="1902"/>
      <c r="J26" s="1902"/>
      <c r="K26" s="1902"/>
      <c r="L26" s="1902"/>
      <c r="M26" s="1932">
        <f>'Informasi Pokok'!D24</f>
      </c>
      <c r="N26" s="1899"/>
      <c r="O26" s="1899"/>
      <c r="P26" s="1899"/>
      <c r="Q26" s="1899"/>
      <c r="R26" s="1899"/>
      <c r="S26" s="1899"/>
      <c r="T26" s="1899"/>
      <c r="U26" s="1899"/>
      <c r="V26" s="1899"/>
      <c r="W26" s="1899"/>
      <c r="X26" s="1899"/>
      <c r="Y26" s="1900"/>
    </row>
    <row r="27" spans="1:25" s="350" customFormat="1" ht="15.6">
      <c r="A27" s="622" t="s">
        <v>571</v>
      </c>
      <c r="B27" s="623" t="s">
        <v>621</v>
      </c>
      <c r="C27" s="624"/>
      <c r="D27" s="624"/>
      <c r="E27" s="624"/>
      <c r="F27" s="624"/>
      <c r="G27" s="624"/>
      <c r="H27" s="624"/>
      <c r="I27" s="236"/>
      <c r="J27" s="236"/>
      <c r="K27" s="236"/>
      <c r="L27" s="236"/>
      <c r="M27" s="236"/>
      <c r="N27" s="236"/>
      <c r="O27" s="236"/>
      <c r="P27" s="236"/>
      <c r="Q27" s="236"/>
      <c r="R27" s="236"/>
      <c r="S27" s="236"/>
      <c r="T27" s="236"/>
      <c r="U27" s="236"/>
      <c r="V27" s="236"/>
      <c r="W27" s="236"/>
      <c r="X27" s="236"/>
      <c r="Y27" s="242"/>
    </row>
    <row r="28" spans="1:25" s="350" customFormat="1">
      <c r="A28" s="480"/>
      <c r="B28" s="1902" t="s">
        <v>614</v>
      </c>
      <c r="C28" s="1902"/>
      <c r="D28" s="1902"/>
      <c r="E28" s="1902"/>
      <c r="F28" s="1902"/>
      <c r="G28" s="1902"/>
      <c r="H28" s="1902"/>
      <c r="I28" s="1902"/>
      <c r="J28" s="1902"/>
      <c r="K28" s="1902"/>
      <c r="L28" s="1902"/>
      <c r="M28" s="1899">
        <f>'Informasi Pokok'!D36</f>
      </c>
      <c r="N28" s="1899"/>
      <c r="O28" s="1899"/>
      <c r="P28" s="1899"/>
      <c r="Q28" s="1899"/>
      <c r="R28" s="1899"/>
      <c r="S28" s="1899"/>
      <c r="T28" s="1899"/>
      <c r="U28" s="1899"/>
      <c r="V28" s="1899"/>
      <c r="W28" s="1899"/>
      <c r="X28" s="1899"/>
      <c r="Y28" s="1900"/>
    </row>
    <row r="29" spans="1:25" s="350" customFormat="1">
      <c r="A29" s="480"/>
      <c r="B29" s="1902" t="s">
        <v>615</v>
      </c>
      <c r="C29" s="1902"/>
      <c r="D29" s="1902"/>
      <c r="E29" s="1902"/>
      <c r="F29" s="1902"/>
      <c r="G29" s="1902"/>
      <c r="H29" s="1902"/>
      <c r="I29" s="1902"/>
      <c r="J29" s="1902"/>
      <c r="K29" s="1902"/>
      <c r="L29" s="1902"/>
      <c r="M29" s="1899">
        <f>'Informasi Pokok'!D37</f>
      </c>
      <c r="N29" s="1899"/>
      <c r="O29" s="1899"/>
      <c r="P29" s="1899"/>
      <c r="Q29" s="1899"/>
      <c r="R29" s="1899"/>
      <c r="S29" s="1899"/>
      <c r="T29" s="1899"/>
      <c r="U29" s="1899"/>
      <c r="V29" s="1899"/>
      <c r="W29" s="1899"/>
      <c r="X29" s="1899"/>
      <c r="Y29" s="1900"/>
    </row>
    <row r="30" spans="1:25" s="350" customFormat="1">
      <c r="A30" s="480"/>
      <c r="B30" s="1902" t="s">
        <v>616</v>
      </c>
      <c r="C30" s="1902"/>
      <c r="D30" s="1902"/>
      <c r="E30" s="1902"/>
      <c r="F30" s="1902"/>
      <c r="G30" s="1902"/>
      <c r="H30" s="1902"/>
      <c r="I30" s="1902"/>
      <c r="J30" s="1902"/>
      <c r="K30" s="1902"/>
      <c r="L30" s="1902"/>
      <c r="M30" s="1899">
        <f>'Informasi Pokok'!D38</f>
      </c>
      <c r="N30" s="1899"/>
      <c r="O30" s="1899"/>
      <c r="P30" s="1899"/>
      <c r="Q30" s="1899"/>
      <c r="R30" s="1899"/>
      <c r="S30" s="1899"/>
      <c r="T30" s="1899"/>
      <c r="U30" s="1899"/>
      <c r="V30" s="1899"/>
      <c r="W30" s="1899"/>
      <c r="X30" s="1899"/>
      <c r="Y30" s="1900"/>
    </row>
    <row r="31" spans="1:25" s="350" customFormat="1" ht="15.6">
      <c r="A31" s="622" t="s">
        <v>620</v>
      </c>
      <c r="B31" s="623" t="s">
        <v>622</v>
      </c>
      <c r="C31" s="624"/>
      <c r="D31" s="624"/>
      <c r="E31" s="624"/>
      <c r="F31" s="624"/>
      <c r="G31" s="236"/>
      <c r="H31" s="236"/>
      <c r="I31" s="236"/>
      <c r="J31" s="236"/>
      <c r="K31" s="236"/>
      <c r="L31" s="236"/>
      <c r="M31" s="236"/>
      <c r="N31" s="236"/>
      <c r="O31" s="236"/>
      <c r="P31" s="236"/>
      <c r="Q31" s="236"/>
      <c r="R31" s="236"/>
      <c r="S31" s="236"/>
      <c r="T31" s="236"/>
      <c r="U31" s="236"/>
      <c r="V31" s="236"/>
      <c r="W31" s="236"/>
      <c r="X31" s="236"/>
      <c r="Y31" s="242"/>
    </row>
    <row r="32" spans="1:25" s="350" customFormat="1" ht="15.6">
      <c r="A32" s="622"/>
      <c r="B32" s="1901" t="s">
        <v>1097</v>
      </c>
      <c r="C32" s="1902"/>
      <c r="D32" s="1902"/>
      <c r="E32" s="1902"/>
      <c r="F32" s="1902"/>
      <c r="G32" s="1902"/>
      <c r="H32" s="1902"/>
      <c r="I32" s="1902"/>
      <c r="J32" s="1902"/>
      <c r="K32" s="1902"/>
      <c r="L32" s="1902"/>
      <c r="M32" s="1899">
        <f>'Informasi Pokok'!D43</f>
      </c>
      <c r="N32" s="1899"/>
      <c r="O32" s="1899"/>
      <c r="P32" s="1899"/>
      <c r="Q32" s="1899"/>
      <c r="R32" s="1899"/>
      <c r="S32" s="1899"/>
      <c r="T32" s="1899"/>
      <c r="U32" s="1899"/>
      <c r="V32" s="1899"/>
      <c r="W32" s="1899"/>
      <c r="X32" s="1899"/>
      <c r="Y32" s="1900"/>
    </row>
    <row r="33" spans="1:25" s="350" customFormat="1">
      <c r="A33" s="480"/>
      <c r="B33" s="1901" t="s">
        <v>1098</v>
      </c>
      <c r="C33" s="1902"/>
      <c r="D33" s="1902"/>
      <c r="E33" s="1902"/>
      <c r="F33" s="1902"/>
      <c r="G33" s="1902"/>
      <c r="H33" s="1902"/>
      <c r="I33" s="1902"/>
      <c r="J33" s="1902"/>
      <c r="K33" s="1902"/>
      <c r="L33" s="1902"/>
      <c r="M33" s="1899">
        <f>'Informasi Pokok'!D44</f>
      </c>
      <c r="N33" s="1899"/>
      <c r="O33" s="1899"/>
      <c r="P33" s="1899"/>
      <c r="Q33" s="1899"/>
      <c r="R33" s="1899"/>
      <c r="S33" s="1899"/>
      <c r="T33" s="1899"/>
      <c r="U33" s="1899"/>
      <c r="V33" s="1899"/>
      <c r="W33" s="1899"/>
      <c r="X33" s="1899"/>
      <c r="Y33" s="1900"/>
    </row>
    <row r="34" spans="1:25" s="350" customFormat="1">
      <c r="A34" s="480"/>
      <c r="B34" s="1901" t="s">
        <v>1099</v>
      </c>
      <c r="C34" s="1902"/>
      <c r="D34" s="1902"/>
      <c r="E34" s="1902"/>
      <c r="F34" s="1902"/>
      <c r="G34" s="1902"/>
      <c r="H34" s="1902"/>
      <c r="I34" s="1902"/>
      <c r="J34" s="1902"/>
      <c r="K34" s="1902"/>
      <c r="L34" s="1902"/>
      <c r="M34" s="1899">
        <f>'Informasi Pokok'!D68</f>
      </c>
      <c r="N34" s="1899"/>
      <c r="O34" s="1899"/>
      <c r="P34" s="1899"/>
      <c r="Q34" s="1899"/>
      <c r="R34" s="1899"/>
      <c r="S34" s="1899"/>
      <c r="T34" s="1899"/>
      <c r="U34" s="1899"/>
      <c r="V34" s="1899"/>
      <c r="W34" s="1899"/>
      <c r="X34" s="1899"/>
      <c r="Y34" s="1900"/>
    </row>
    <row r="35" spans="1:25" s="350" customFormat="1">
      <c r="A35" s="480"/>
      <c r="B35" s="1901" t="s">
        <v>1100</v>
      </c>
      <c r="C35" s="1902"/>
      <c r="D35" s="1902"/>
      <c r="E35" s="1902"/>
      <c r="F35" s="1902"/>
      <c r="G35" s="1902"/>
      <c r="H35" s="1902"/>
      <c r="I35" s="1902"/>
      <c r="J35" s="1902"/>
      <c r="K35" s="1902"/>
      <c r="L35" s="1902"/>
      <c r="M35" s="1899">
        <f>'Informasi Pokok'!D70</f>
      </c>
      <c r="N35" s="1899"/>
      <c r="O35" s="1899"/>
      <c r="P35" s="1899"/>
      <c r="Q35" s="1899"/>
      <c r="R35" s="1899"/>
      <c r="S35" s="1899"/>
      <c r="T35" s="1899"/>
      <c r="U35" s="1899"/>
      <c r="V35" s="1899"/>
      <c r="W35" s="1899"/>
      <c r="X35" s="1899"/>
      <c r="Y35" s="1900"/>
    </row>
    <row r="36" spans="1:25" s="350" customFormat="1">
      <c r="A36" s="480"/>
      <c r="B36" s="1901" t="s">
        <v>1101</v>
      </c>
      <c r="C36" s="1902"/>
      <c r="D36" s="1902"/>
      <c r="E36" s="1902"/>
      <c r="F36" s="1902"/>
      <c r="G36" s="1902"/>
      <c r="H36" s="1902"/>
      <c r="I36" s="1902"/>
      <c r="J36" s="1902"/>
      <c r="K36" s="1902"/>
      <c r="L36" s="1902"/>
      <c r="M36" s="1899">
        <f>'Informasi Pokok'!D45</f>
      </c>
      <c r="N36" s="1899"/>
      <c r="O36" s="1899"/>
      <c r="P36" s="1899"/>
      <c r="Q36" s="1899"/>
      <c r="R36" s="1899"/>
      <c r="S36" s="1899"/>
      <c r="T36" s="1899"/>
      <c r="U36" s="1899"/>
      <c r="V36" s="1899"/>
      <c r="W36" s="1899"/>
      <c r="X36" s="1899"/>
      <c r="Y36" s="1900"/>
    </row>
    <row r="37" spans="1:25" s="350" customFormat="1">
      <c r="A37" s="480"/>
      <c r="B37" s="1901" t="s">
        <v>1102</v>
      </c>
      <c r="C37" s="1902"/>
      <c r="D37" s="1902"/>
      <c r="E37" s="1902"/>
      <c r="F37" s="1902"/>
      <c r="G37" s="1902"/>
      <c r="H37" s="1902"/>
      <c r="I37" s="1902"/>
      <c r="J37" s="1902"/>
      <c r="K37" s="1902"/>
      <c r="L37" s="1902"/>
      <c r="M37" s="1899">
        <f>'Informasi Pokok'!D47</f>
      </c>
      <c r="N37" s="1899"/>
      <c r="O37" s="1899"/>
      <c r="P37" s="1899"/>
      <c r="Q37" s="1899"/>
      <c r="R37" s="1899"/>
      <c r="S37" s="1899"/>
      <c r="T37" s="1899"/>
      <c r="U37" s="1899"/>
      <c r="V37" s="1899"/>
      <c r="W37" s="1899"/>
      <c r="X37" s="1899"/>
      <c r="Y37" s="1900"/>
    </row>
    <row r="38" spans="1:25" s="350" customFormat="1">
      <c r="A38" s="480"/>
      <c r="B38" s="1901" t="s">
        <v>1103</v>
      </c>
      <c r="C38" s="1902"/>
      <c r="D38" s="1902"/>
      <c r="E38" s="1902"/>
      <c r="F38" s="1902"/>
      <c r="G38" s="1902"/>
      <c r="H38" s="1902"/>
      <c r="I38" s="1902"/>
      <c r="J38" s="1902"/>
      <c r="K38" s="1902"/>
      <c r="L38" s="1902"/>
      <c r="M38" s="1899">
        <f>'Informasi Pokok'!D48</f>
      </c>
      <c r="N38" s="1899"/>
      <c r="O38" s="1899"/>
      <c r="P38" s="1899"/>
      <c r="Q38" s="1899"/>
      <c r="R38" s="1899"/>
      <c r="S38" s="1899"/>
      <c r="T38" s="1899"/>
      <c r="U38" s="1899"/>
      <c r="V38" s="1899"/>
      <c r="W38" s="1899"/>
      <c r="X38" s="1899"/>
      <c r="Y38" s="1900"/>
    </row>
    <row r="39" spans="1:25" s="350" customFormat="1">
      <c r="A39" s="480"/>
      <c r="B39" s="1901" t="s">
        <v>1104</v>
      </c>
      <c r="C39" s="1902"/>
      <c r="D39" s="1902"/>
      <c r="E39" s="1902"/>
      <c r="F39" s="1902"/>
      <c r="G39" s="1902"/>
      <c r="H39" s="1902"/>
      <c r="I39" s="1902"/>
      <c r="J39" s="1902"/>
      <c r="K39" s="1902"/>
      <c r="L39" s="1902"/>
      <c r="M39" s="1899">
        <f>'Informasi Pokok'!D49</f>
      </c>
      <c r="N39" s="1899"/>
      <c r="O39" s="1899"/>
      <c r="P39" s="1899"/>
      <c r="Q39" s="1899"/>
      <c r="R39" s="1899"/>
      <c r="S39" s="1899"/>
      <c r="T39" s="1899"/>
      <c r="U39" s="1899"/>
      <c r="V39" s="1899"/>
      <c r="W39" s="1899"/>
      <c r="X39" s="1899"/>
      <c r="Y39" s="1900"/>
    </row>
    <row r="40" spans="1:25" s="350" customFormat="1">
      <c r="A40" s="480"/>
      <c r="B40" s="1901" t="s">
        <v>1105</v>
      </c>
      <c r="C40" s="1902"/>
      <c r="D40" s="1902"/>
      <c r="E40" s="1902"/>
      <c r="F40" s="1902"/>
      <c r="G40" s="1902"/>
      <c r="H40" s="1902"/>
      <c r="I40" s="1902"/>
      <c r="J40" s="1902"/>
      <c r="K40" s="1902"/>
      <c r="L40" s="1902"/>
      <c r="M40" s="1899">
        <f>'Informasi Pokok'!D50</f>
      </c>
      <c r="N40" s="1899"/>
      <c r="O40" s="1899"/>
      <c r="P40" s="1899"/>
      <c r="Q40" s="1899"/>
      <c r="R40" s="1899"/>
      <c r="S40" s="1899"/>
      <c r="T40" s="1899"/>
      <c r="U40" s="1899"/>
      <c r="V40" s="1899"/>
      <c r="W40" s="1899"/>
      <c r="X40" s="1899"/>
      <c r="Y40" s="1900"/>
    </row>
    <row r="41" spans="1:25" s="350" customFormat="1" ht="41.25" customHeight="1">
      <c r="A41" s="480"/>
      <c r="B41" s="1901" t="s">
        <v>1106</v>
      </c>
      <c r="C41" s="1902"/>
      <c r="D41" s="1902"/>
      <c r="E41" s="1902"/>
      <c r="F41" s="1902"/>
      <c r="G41" s="1902"/>
      <c r="H41" s="1902"/>
      <c r="I41" s="1902"/>
      <c r="J41" s="1902"/>
      <c r="K41" s="1902"/>
      <c r="L41" s="1902"/>
      <c r="M41" s="1903">
        <f>'Informasi Pokok'!D51</f>
      </c>
      <c r="N41" s="1903"/>
      <c r="O41" s="1903"/>
      <c r="P41" s="1903"/>
      <c r="Q41" s="1903"/>
      <c r="R41" s="1903"/>
      <c r="S41" s="1903"/>
      <c r="T41" s="1903"/>
      <c r="U41" s="1903"/>
      <c r="V41" s="1903"/>
      <c r="W41" s="1903"/>
      <c r="X41" s="1903"/>
      <c r="Y41" s="1904"/>
    </row>
    <row r="42" spans="1:25" s="350" customFormat="1">
      <c r="A42" s="480"/>
      <c r="B42" s="1901" t="s">
        <v>1107</v>
      </c>
      <c r="C42" s="1902"/>
      <c r="D42" s="1902"/>
      <c r="E42" s="1902"/>
      <c r="F42" s="1902"/>
      <c r="G42" s="1902"/>
      <c r="H42" s="1902"/>
      <c r="I42" s="1902"/>
      <c r="J42" s="1902"/>
      <c r="K42" s="1902"/>
      <c r="L42" s="1902"/>
      <c r="M42" s="1899">
        <f>'Informasi Pokok'!D52</f>
      </c>
      <c r="N42" s="1899"/>
      <c r="O42" s="1899"/>
      <c r="P42" s="1899"/>
      <c r="Q42" s="1899"/>
      <c r="R42" s="1899"/>
      <c r="S42" s="1899"/>
      <c r="T42" s="1899"/>
      <c r="U42" s="1899"/>
      <c r="V42" s="1899"/>
      <c r="W42" s="1899"/>
      <c r="X42" s="1899"/>
      <c r="Y42" s="1900"/>
    </row>
    <row r="43" spans="1:25" s="350" customFormat="1" ht="15.6">
      <c r="A43" s="622" t="s">
        <v>580</v>
      </c>
      <c r="B43" s="623" t="s">
        <v>623</v>
      </c>
      <c r="C43" s="624"/>
      <c r="D43" s="624"/>
      <c r="E43" s="624"/>
      <c r="F43" s="624"/>
      <c r="G43" s="624"/>
      <c r="H43" s="624"/>
      <c r="I43" s="236"/>
      <c r="J43" s="236"/>
      <c r="K43" s="236"/>
      <c r="L43" s="236"/>
      <c r="M43" s="236"/>
      <c r="N43" s="236"/>
      <c r="O43" s="236"/>
      <c r="P43" s="236"/>
      <c r="Q43" s="236"/>
      <c r="R43" s="236"/>
      <c r="S43" s="236"/>
      <c r="T43" s="236"/>
      <c r="U43" s="236"/>
      <c r="V43" s="236"/>
      <c r="W43" s="236"/>
      <c r="X43" s="236"/>
      <c r="Y43" s="242"/>
    </row>
    <row r="44" spans="1:25" s="350" customFormat="1">
      <c r="A44" s="480"/>
      <c r="B44" s="1906" t="s">
        <v>759</v>
      </c>
      <c r="C44" s="1905"/>
      <c r="D44" s="1905"/>
      <c r="E44" s="1905"/>
      <c r="F44" s="1905"/>
      <c r="G44" s="1905"/>
      <c r="H44" s="1905"/>
      <c r="I44" s="1905"/>
      <c r="J44" s="1905"/>
      <c r="K44" s="1905"/>
      <c r="L44" s="1905"/>
      <c r="M44" s="1907">
        <f>'Informasi Pokok'!D56</f>
      </c>
      <c r="N44" s="1907"/>
      <c r="O44" s="1907"/>
      <c r="P44" s="1907"/>
      <c r="Q44" s="1907"/>
      <c r="R44" s="1907"/>
      <c r="S44" s="1907"/>
      <c r="T44" s="1907"/>
      <c r="U44" s="1907"/>
      <c r="V44" s="1907"/>
      <c r="W44" s="1907"/>
      <c r="X44" s="1907"/>
      <c r="Y44" s="1908"/>
    </row>
    <row r="45" spans="1:25" s="350" customFormat="1">
      <c r="A45" s="480"/>
      <c r="B45" s="1905" t="s">
        <v>617</v>
      </c>
      <c r="C45" s="1905"/>
      <c r="D45" s="1905"/>
      <c r="E45" s="1905"/>
      <c r="F45" s="1905"/>
      <c r="G45" s="1905"/>
      <c r="H45" s="1905"/>
      <c r="I45" s="1905"/>
      <c r="J45" s="1905"/>
      <c r="K45" s="1905"/>
      <c r="L45" s="1905"/>
      <c r="M45" s="1907">
        <f>'Aspek Keuangan'!W10</f>
      </c>
      <c r="N45" s="1907"/>
      <c r="O45" s="1907"/>
      <c r="P45" s="1907"/>
      <c r="Q45" s="1907"/>
      <c r="R45" s="1907"/>
      <c r="S45" s="1907"/>
      <c r="T45" s="1907"/>
      <c r="U45" s="1907"/>
      <c r="V45" s="1907"/>
      <c r="W45" s="1907"/>
      <c r="X45" s="1907"/>
      <c r="Y45" s="1908"/>
    </row>
    <row r="46" spans="1:25" s="350" customFormat="1">
      <c r="A46" s="480"/>
      <c r="B46" s="1905" t="s">
        <v>618</v>
      </c>
      <c r="C46" s="1905"/>
      <c r="D46" s="1905"/>
      <c r="E46" s="1905"/>
      <c r="F46" s="1905"/>
      <c r="G46" s="1905"/>
      <c r="H46" s="1905"/>
      <c r="I46" s="1905"/>
      <c r="J46" s="1905"/>
      <c r="K46" s="1905"/>
      <c r="L46" s="1905"/>
      <c r="M46" s="1907">
        <f>'Aspek Keuangan'!W8</f>
      </c>
      <c r="N46" s="1907"/>
      <c r="O46" s="1907"/>
      <c r="P46" s="1907"/>
      <c r="Q46" s="1907"/>
      <c r="R46" s="1907"/>
      <c r="S46" s="1907"/>
      <c r="T46" s="1907"/>
      <c r="U46" s="1907"/>
      <c r="V46" s="1907"/>
      <c r="W46" s="1907"/>
      <c r="X46" s="1907"/>
      <c r="Y46" s="1908"/>
    </row>
    <row r="47" spans="1:25" s="350" customFormat="1">
      <c r="A47" s="480"/>
      <c r="B47" s="1906" t="s">
        <v>642</v>
      </c>
      <c r="C47" s="1905"/>
      <c r="D47" s="1905"/>
      <c r="E47" s="1905"/>
      <c r="F47" s="1905"/>
      <c r="G47" s="1905"/>
      <c r="H47" s="1905"/>
      <c r="I47" s="1905"/>
      <c r="J47" s="1905"/>
      <c r="K47" s="1905"/>
      <c r="L47" s="1905"/>
      <c r="M47" s="1942">
        <f>'Informasi Pokok'!D57</f>
      </c>
      <c r="N47" s="1942"/>
      <c r="O47" s="1942"/>
      <c r="P47" s="1942"/>
      <c r="Q47" s="1942"/>
      <c r="R47" s="1942"/>
      <c r="S47" s="1942"/>
      <c r="T47" s="1942"/>
      <c r="U47" s="1942"/>
      <c r="V47" s="1942"/>
      <c r="W47" s="1942"/>
      <c r="X47" s="1942"/>
      <c r="Y47" s="1943"/>
    </row>
    <row r="48" spans="1:25" s="350" customFormat="1" ht="15.6">
      <c r="A48" s="622" t="s">
        <v>624</v>
      </c>
      <c r="B48" s="623" t="s">
        <v>625</v>
      </c>
      <c r="C48" s="624"/>
      <c r="D48" s="624"/>
      <c r="E48" s="624"/>
      <c r="F48" s="624"/>
      <c r="G48" s="624"/>
      <c r="H48" s="624"/>
      <c r="I48" s="624"/>
      <c r="J48" s="236"/>
      <c r="K48" s="236"/>
      <c r="L48" s="236"/>
      <c r="M48" s="236"/>
      <c r="N48" s="236"/>
      <c r="O48" s="236"/>
      <c r="P48" s="236"/>
      <c r="Q48" s="236"/>
      <c r="R48" s="236"/>
      <c r="S48" s="236"/>
      <c r="T48" s="236"/>
      <c r="U48" s="236"/>
      <c r="V48" s="236"/>
      <c r="W48" s="236"/>
      <c r="X48" s="236"/>
      <c r="Y48" s="242"/>
    </row>
    <row r="49" spans="1:28" s="350" customFormat="1">
      <c r="A49" s="480"/>
      <c r="B49" s="1905" t="s">
        <v>643</v>
      </c>
      <c r="C49" s="1905"/>
      <c r="D49" s="1905"/>
      <c r="E49" s="1905"/>
      <c r="F49" s="1905"/>
      <c r="G49" s="1905"/>
      <c r="H49" s="1905"/>
      <c r="I49" s="1905"/>
      <c r="J49" s="1905"/>
      <c r="K49" s="1905"/>
      <c r="L49" s="1905"/>
      <c r="M49" s="1907">
        <f>Parameter!T131</f>
      </c>
      <c r="N49" s="1907"/>
      <c r="O49" s="1907"/>
      <c r="P49" s="1907"/>
      <c r="Q49" s="1907"/>
      <c r="R49" s="1907"/>
      <c r="S49" s="1907"/>
      <c r="T49" s="1907"/>
      <c r="U49" s="1907"/>
      <c r="V49" s="1907"/>
      <c r="W49" s="1907"/>
      <c r="X49" s="1907"/>
      <c r="Y49" s="1908"/>
    </row>
    <row r="50" spans="1:28" s="350" customFormat="1">
      <c r="A50" s="480"/>
      <c r="B50" s="1906" t="s">
        <v>627</v>
      </c>
      <c r="C50" s="1906"/>
      <c r="D50" s="1906"/>
      <c r="E50" s="1906"/>
      <c r="F50" s="1906"/>
      <c r="G50" s="1906"/>
      <c r="H50" s="1906"/>
      <c r="I50" s="1906"/>
      <c r="J50" s="1906"/>
      <c r="K50" s="1906"/>
      <c r="L50" s="1906"/>
      <c r="M50" s="1907">
        <f>TEXT('Usulan Pembiayaan'!B105,"##.###")&amp;" ("&amp;'Usulan Pembiayaan'!E105&amp;")"</f>
      </c>
      <c r="N50" s="1907"/>
      <c r="O50" s="1907"/>
      <c r="P50" s="1907"/>
      <c r="Q50" s="1907"/>
      <c r="R50" s="1907"/>
      <c r="S50" s="1907"/>
      <c r="T50" s="1907"/>
      <c r="U50" s="1907"/>
      <c r="V50" s="1907"/>
      <c r="W50" s="1907"/>
      <c r="X50" s="1907"/>
      <c r="Y50" s="1908"/>
    </row>
    <row r="51" spans="1:28" s="350" customFormat="1">
      <c r="A51" s="480"/>
      <c r="B51" s="1906" t="s">
        <v>802</v>
      </c>
      <c r="C51" s="1906"/>
      <c r="D51" s="1906"/>
      <c r="E51" s="1906"/>
      <c r="F51" s="1906"/>
      <c r="G51" s="1906"/>
      <c r="H51" s="1906"/>
      <c r="I51" s="1906"/>
      <c r="J51" s="1906"/>
      <c r="K51" s="1906"/>
      <c r="L51" s="1906"/>
      <c r="M51" s="997">
        <f>'Informasi Pokok'!D62</f>
      </c>
      <c r="N51" s="998"/>
      <c r="O51" s="998"/>
      <c r="P51" s="998"/>
      <c r="Q51" s="998"/>
      <c r="R51" s="998"/>
      <c r="S51" s="998"/>
      <c r="T51" s="998"/>
      <c r="U51" s="998"/>
      <c r="V51" s="998"/>
      <c r="W51" s="998"/>
      <c r="X51" s="998"/>
      <c r="Y51" s="999"/>
    </row>
    <row r="52" spans="1:28" s="350" customFormat="1" ht="15.6">
      <c r="A52" s="622" t="s">
        <v>626</v>
      </c>
      <c r="B52" s="623" t="s">
        <v>613</v>
      </c>
      <c r="C52" s="624"/>
      <c r="D52" s="624"/>
      <c r="E52" s="236"/>
      <c r="F52" s="236"/>
      <c r="G52" s="236"/>
      <c r="H52" s="236"/>
      <c r="I52" s="236"/>
      <c r="J52" s="236"/>
      <c r="K52" s="236"/>
      <c r="L52" s="236"/>
      <c r="M52" s="236"/>
      <c r="N52" s="236"/>
      <c r="O52" s="236"/>
      <c r="P52" s="236"/>
      <c r="Q52" s="236"/>
      <c r="R52" s="236"/>
      <c r="S52" s="236"/>
      <c r="T52" s="236"/>
      <c r="U52" s="236"/>
      <c r="V52" s="236"/>
      <c r="W52" s="236"/>
      <c r="X52" s="236"/>
      <c r="Y52" s="242"/>
    </row>
    <row r="53" spans="1:28" s="350" customFormat="1">
      <c r="A53" s="480"/>
      <c r="B53" s="1906" t="s">
        <v>1108</v>
      </c>
      <c r="C53" s="1905"/>
      <c r="D53" s="1905"/>
      <c r="E53" s="1905"/>
      <c r="F53" s="1905"/>
      <c r="G53" s="1905"/>
      <c r="H53" s="1905"/>
      <c r="I53" s="1905"/>
      <c r="J53" s="1905"/>
      <c r="K53" s="1905"/>
      <c r="L53" s="1905"/>
      <c r="M53" s="1907">
        <f>Parameter!T140</f>
      </c>
      <c r="N53" s="1907"/>
      <c r="O53" s="1907"/>
      <c r="P53" s="1907"/>
      <c r="Q53" s="1907"/>
      <c r="R53" s="1907"/>
      <c r="S53" s="1907"/>
      <c r="T53" s="1907"/>
      <c r="U53" s="1907"/>
      <c r="V53" s="1907"/>
      <c r="W53" s="1907"/>
      <c r="X53" s="1907"/>
      <c r="Y53" s="1908"/>
    </row>
    <row r="54" spans="1:28" s="350" customFormat="1">
      <c r="A54" s="480"/>
      <c r="B54" s="1906" t="s">
        <v>1113</v>
      </c>
      <c r="C54" s="1905"/>
      <c r="D54" s="1905"/>
      <c r="E54" s="1905"/>
      <c r="F54" s="1905"/>
      <c r="G54" s="1905"/>
      <c r="H54" s="1905"/>
      <c r="I54" s="1905"/>
      <c r="J54" s="1905"/>
      <c r="K54" s="1905"/>
      <c r="L54" s="1905"/>
      <c r="M54" s="1907">
        <f>'Aspek Non Keuangan'!M111</f>
      </c>
      <c r="N54" s="1907"/>
      <c r="O54" s="1907"/>
      <c r="P54" s="1907"/>
      <c r="Q54" s="1907"/>
      <c r="R54" s="1907"/>
      <c r="S54" s="1907"/>
      <c r="T54" s="1907"/>
      <c r="U54" s="1907"/>
      <c r="V54" s="1907"/>
      <c r="W54" s="1907"/>
      <c r="X54" s="1907"/>
      <c r="Y54" s="1908"/>
      <c r="AB54" s="268"/>
    </row>
    <row r="55" spans="1:28" s="350" customFormat="1" ht="15.6">
      <c r="A55" s="622" t="s">
        <v>744</v>
      </c>
      <c r="B55" s="623" t="s">
        <v>745</v>
      </c>
      <c r="C55" s="624"/>
      <c r="D55" s="624"/>
      <c r="E55" s="236"/>
      <c r="F55" s="236"/>
      <c r="G55" s="236"/>
      <c r="H55" s="236"/>
      <c r="I55" s="236"/>
      <c r="J55" s="236"/>
      <c r="K55" s="236"/>
      <c r="L55" s="236"/>
      <c r="M55" s="236"/>
      <c r="N55" s="236"/>
      <c r="O55" s="236"/>
      <c r="P55" s="236"/>
      <c r="Q55" s="236"/>
      <c r="R55" s="236"/>
      <c r="S55" s="236"/>
      <c r="T55" s="236"/>
      <c r="U55" s="236"/>
      <c r="V55" s="236"/>
      <c r="W55" s="236"/>
      <c r="X55" s="236"/>
      <c r="Y55" s="242"/>
      <c r="AB55" s="268"/>
    </row>
    <row r="56" spans="1:28" s="350" customFormat="1">
      <c r="A56" s="480"/>
      <c r="B56" s="1906" t="s">
        <v>746</v>
      </c>
      <c r="C56" s="1905"/>
      <c r="D56" s="1905"/>
      <c r="E56" s="1905"/>
      <c r="F56" s="1905"/>
      <c r="G56" s="1905"/>
      <c r="H56" s="1905"/>
      <c r="I56" s="1905"/>
      <c r="J56" s="1905"/>
      <c r="K56" s="1905"/>
      <c r="L56" s="1905"/>
      <c r="M56" s="1907">
        <f>'Aspek Non Keuangan'!G117</f>
      </c>
      <c r="N56" s="1907"/>
      <c r="O56" s="1907"/>
      <c r="P56" s="1907"/>
      <c r="Q56" s="1907"/>
      <c r="R56" s="1907"/>
      <c r="S56" s="1907"/>
      <c r="T56" s="1907"/>
      <c r="U56" s="1907"/>
      <c r="V56" s="1907"/>
      <c r="W56" s="1907"/>
      <c r="X56" s="1907"/>
      <c r="Y56" s="1908"/>
      <c r="AB56" s="268"/>
    </row>
    <row r="57" spans="1:28" s="350" customFormat="1">
      <c r="A57" s="480"/>
      <c r="B57" s="1906" t="s">
        <v>747</v>
      </c>
      <c r="C57" s="1905"/>
      <c r="D57" s="1905"/>
      <c r="E57" s="1905"/>
      <c r="F57" s="1905"/>
      <c r="G57" s="1905"/>
      <c r="H57" s="1905"/>
      <c r="I57" s="1905"/>
      <c r="J57" s="1905"/>
      <c r="K57" s="1905"/>
      <c r="L57" s="1905"/>
      <c r="M57" s="1907">
        <f>'Aspek Non Keuangan'!G122&amp;" "&amp;'Aspek Non Keuangan'!M122</f>
      </c>
      <c r="N57" s="1907"/>
      <c r="O57" s="1907"/>
      <c r="P57" s="1907"/>
      <c r="Q57" s="1907"/>
      <c r="R57" s="1907"/>
      <c r="S57" s="1907"/>
      <c r="T57" s="1907"/>
      <c r="U57" s="1907"/>
      <c r="V57" s="1907"/>
      <c r="W57" s="1907"/>
      <c r="X57" s="1907"/>
      <c r="Y57" s="1908"/>
      <c r="AB57" s="268"/>
    </row>
    <row r="58" spans="1:28" s="350" customFormat="1" ht="15.6">
      <c r="A58" s="625" t="s">
        <v>787</v>
      </c>
      <c r="B58" s="623" t="s">
        <v>803</v>
      </c>
      <c r="C58" s="624"/>
      <c r="D58" s="624"/>
      <c r="E58" s="624"/>
      <c r="F58" s="236"/>
      <c r="G58" s="236"/>
      <c r="H58" s="236"/>
      <c r="I58" s="236"/>
      <c r="J58" s="236"/>
      <c r="K58" s="236"/>
      <c r="L58" s="236"/>
      <c r="M58" s="236"/>
      <c r="N58" s="236"/>
      <c r="O58" s="236"/>
      <c r="P58" s="236"/>
      <c r="Q58" s="236"/>
      <c r="R58" s="236"/>
      <c r="S58" s="236"/>
      <c r="T58" s="236"/>
      <c r="U58" s="236"/>
      <c r="V58" s="236"/>
      <c r="W58" s="236"/>
      <c r="X58" s="236"/>
      <c r="Y58" s="242"/>
    </row>
    <row r="59" spans="1:28" s="350" customFormat="1" ht="21">
      <c r="A59" s="480"/>
      <c r="B59" s="1895" t="s">
        <v>876</v>
      </c>
      <c r="C59" s="1896"/>
      <c r="D59" s="1896"/>
      <c r="E59" s="1896"/>
      <c r="F59" s="1896"/>
      <c r="G59" s="1896"/>
      <c r="H59" s="1896"/>
      <c r="I59" s="1896"/>
      <c r="J59" s="1896"/>
      <c r="K59" s="1896"/>
      <c r="L59" s="1896"/>
      <c r="M59" s="1897">
        <f>Parameter!T117</f>
      </c>
      <c r="N59" s="1897"/>
      <c r="O59" s="1897"/>
      <c r="P59" s="1897"/>
      <c r="Q59" s="1897"/>
      <c r="R59" s="1897"/>
      <c r="S59" s="1897"/>
      <c r="T59" s="1897"/>
      <c r="U59" s="1897"/>
      <c r="V59" s="1897"/>
      <c r="W59" s="1897"/>
      <c r="X59" s="1897"/>
      <c r="Y59" s="1898"/>
    </row>
    <row r="60" spans="1:28" s="350" customFormat="1" ht="7.95" customHeight="1">
      <c r="A60" s="451"/>
      <c r="B60" s="453"/>
      <c r="C60" s="453"/>
      <c r="D60" s="453"/>
      <c r="E60" s="453"/>
      <c r="F60" s="453"/>
      <c r="G60" s="453"/>
      <c r="H60" s="453"/>
      <c r="I60" s="453"/>
      <c r="J60" s="453"/>
      <c r="K60" s="453"/>
      <c r="L60" s="453"/>
      <c r="M60" s="453"/>
      <c r="N60" s="453"/>
      <c r="O60" s="453"/>
      <c r="P60" s="453"/>
      <c r="Q60" s="453"/>
      <c r="R60" s="453"/>
      <c r="S60" s="453"/>
      <c r="T60" s="453"/>
      <c r="U60" s="453"/>
      <c r="V60" s="453"/>
      <c r="W60" s="453"/>
      <c r="X60" s="453"/>
      <c r="Y60" s="446"/>
    </row>
    <row r="61" spans="1:28" s="350" customFormat="1" ht="162" customHeight="1">
      <c r="A61" s="451"/>
      <c r="B61" s="453"/>
      <c r="C61" s="453"/>
      <c r="D61" s="453"/>
      <c r="E61" s="453"/>
      <c r="F61" s="453"/>
      <c r="G61" s="453"/>
      <c r="H61" s="453"/>
      <c r="I61" s="453"/>
      <c r="J61" s="453"/>
      <c r="K61" s="453"/>
      <c r="L61" s="453"/>
      <c r="M61" s="453"/>
      <c r="N61" s="453"/>
      <c r="O61" s="453"/>
      <c r="P61" s="453"/>
      <c r="Q61" s="453"/>
      <c r="R61" s="453"/>
      <c r="S61" s="453"/>
      <c r="T61" s="453"/>
      <c r="U61" s="453"/>
      <c r="V61" s="453"/>
      <c r="W61" s="453"/>
      <c r="X61" s="453"/>
      <c r="Y61" s="446"/>
    </row>
    <row r="62" spans="1:28" s="350" customFormat="1" ht="18">
      <c r="A62" s="1919" t="s">
        <v>760</v>
      </c>
      <c r="B62" s="1920"/>
      <c r="C62" s="1920"/>
      <c r="D62" s="1920"/>
      <c r="E62" s="1920"/>
      <c r="F62" s="1920"/>
      <c r="G62" s="1920"/>
      <c r="H62" s="1920"/>
      <c r="I62" s="1920"/>
      <c r="J62" s="1920"/>
      <c r="K62" s="1920"/>
      <c r="L62" s="1920"/>
      <c r="M62" s="1920"/>
      <c r="N62" s="1920"/>
      <c r="O62" s="1920"/>
      <c r="P62" s="1920"/>
      <c r="Q62" s="1920"/>
      <c r="R62" s="1920"/>
      <c r="S62" s="1920"/>
      <c r="T62" s="1920"/>
      <c r="U62" s="1920"/>
      <c r="V62" s="1920"/>
      <c r="W62" s="1920"/>
      <c r="X62" s="1920"/>
      <c r="Y62" s="1921"/>
    </row>
    <row r="63" spans="1:28" s="350" customFormat="1" ht="3.75" customHeight="1">
      <c r="A63" s="481"/>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42"/>
    </row>
    <row r="64" spans="1:28" s="350" customFormat="1" ht="3.75" customHeight="1">
      <c r="A64" s="482"/>
      <c r="B64" s="483"/>
      <c r="C64" s="484"/>
      <c r="D64" s="484"/>
      <c r="E64" s="484"/>
      <c r="F64" s="484"/>
      <c r="G64" s="484"/>
      <c r="H64" s="484"/>
      <c r="I64" s="484"/>
      <c r="J64" s="484"/>
      <c r="K64" s="484"/>
      <c r="L64" s="484"/>
      <c r="M64" s="484"/>
      <c r="N64" s="484"/>
      <c r="O64" s="484"/>
      <c r="P64" s="484"/>
      <c r="Q64" s="484"/>
      <c r="R64" s="484"/>
      <c r="S64" s="484"/>
      <c r="T64" s="484"/>
      <c r="U64" s="484"/>
      <c r="V64" s="484"/>
      <c r="W64" s="484"/>
      <c r="X64" s="484"/>
      <c r="Y64" s="485"/>
    </row>
    <row r="65" spans="1:30" s="350" customFormat="1" ht="15.6">
      <c r="A65" s="486"/>
      <c r="B65" s="1000" t="s">
        <v>392</v>
      </c>
      <c r="C65" s="1939" t="s">
        <v>662</v>
      </c>
      <c r="D65" s="1939"/>
      <c r="E65" s="1939"/>
      <c r="F65" s="1939"/>
      <c r="G65" s="1939"/>
      <c r="H65" s="1939"/>
      <c r="I65" s="1939"/>
      <c r="J65" s="487" t="s">
        <v>0</v>
      </c>
      <c r="K65" s="1004">
        <f>N12</f>
      </c>
      <c r="L65" s="1005"/>
      <c r="M65" s="1006"/>
      <c r="N65" s="1005"/>
      <c r="O65" s="1005"/>
      <c r="P65" s="1007"/>
      <c r="Q65" s="447"/>
      <c r="R65" s="447"/>
      <c r="S65" s="447"/>
      <c r="T65" s="447"/>
      <c r="U65" s="447"/>
      <c r="V65" s="447"/>
      <c r="W65" s="447"/>
      <c r="X65" s="447"/>
      <c r="Y65" s="488"/>
    </row>
    <row r="66" spans="1:30" s="350" customFormat="1" ht="15.6">
      <c r="A66" s="486"/>
      <c r="B66" s="1000" t="s">
        <v>394</v>
      </c>
      <c r="C66" s="1939" t="s">
        <v>149</v>
      </c>
      <c r="D66" s="1939"/>
      <c r="E66" s="1939"/>
      <c r="F66" s="1939"/>
      <c r="G66" s="1939"/>
      <c r="H66" s="1939"/>
      <c r="I66" s="1939"/>
      <c r="J66" s="487" t="s">
        <v>0</v>
      </c>
      <c r="K66" s="1008">
        <f>N13</f>
      </c>
      <c r="L66" s="1005"/>
      <c r="M66" s="1005"/>
      <c r="N66" s="1005"/>
      <c r="O66" s="1005"/>
      <c r="P66" s="1007"/>
      <c r="Q66" s="447"/>
      <c r="R66" s="447"/>
      <c r="S66" s="447"/>
      <c r="T66" s="447"/>
      <c r="U66" s="447"/>
      <c r="V66" s="447"/>
      <c r="W66" s="447"/>
      <c r="X66" s="447"/>
      <c r="Y66" s="488"/>
    </row>
    <row r="67" spans="1:30" s="350" customFormat="1" ht="15.6">
      <c r="A67" s="486"/>
      <c r="B67" s="1000" t="s">
        <v>396</v>
      </c>
      <c r="C67" s="1939" t="s">
        <v>640</v>
      </c>
      <c r="D67" s="1939"/>
      <c r="E67" s="1939"/>
      <c r="F67" s="1939"/>
      <c r="G67" s="1939"/>
      <c r="H67" s="1939"/>
      <c r="I67" s="1939"/>
      <c r="J67" s="487" t="s">
        <v>0</v>
      </c>
      <c r="K67" s="1945">
        <f>'Usulan Pembiayaan'!J81</f>
      </c>
      <c r="L67" s="1945"/>
      <c r="M67" s="967" t="s">
        <v>4</v>
      </c>
      <c r="N67" s="1005"/>
      <c r="O67" s="1005"/>
      <c r="P67" s="1007"/>
      <c r="Q67" s="447"/>
      <c r="R67" s="447"/>
      <c r="S67" s="447"/>
      <c r="T67" s="447"/>
      <c r="U67" s="447"/>
      <c r="V67" s="447"/>
      <c r="W67" s="447"/>
      <c r="X67" s="447"/>
      <c r="Y67" s="488"/>
    </row>
    <row r="68" spans="1:30" s="350" customFormat="1" ht="15.6">
      <c r="A68" s="486"/>
      <c r="B68" s="1000" t="s">
        <v>688</v>
      </c>
      <c r="C68" s="1939">
        <f>'Usulan Pembiayaan'!B82</f>
      </c>
      <c r="D68" s="1939"/>
      <c r="E68" s="1939"/>
      <c r="F68" s="1939"/>
      <c r="G68" s="1939"/>
      <c r="H68" s="1939"/>
      <c r="I68" s="1939"/>
      <c r="J68" s="487" t="s">
        <v>0</v>
      </c>
      <c r="K68" s="1946">
        <f>'Usulan Pembiayaan'!J82</f>
      </c>
      <c r="L68" s="1946"/>
      <c r="M68" s="1946"/>
      <c r="N68" s="1946"/>
      <c r="O68" s="1946"/>
      <c r="P68" s="1947"/>
      <c r="Q68" s="489">
        <f>'Usulan Pembiayaan'!M82</f>
      </c>
      <c r="R68" s="447"/>
      <c r="S68" s="447"/>
      <c r="T68" s="447"/>
      <c r="U68" s="447"/>
      <c r="V68" s="447"/>
      <c r="W68" s="447"/>
      <c r="X68" s="447"/>
      <c r="Y68" s="488"/>
    </row>
    <row r="69" spans="1:30" s="350" customFormat="1" ht="15.6">
      <c r="A69" s="486"/>
      <c r="B69" s="1000" t="s">
        <v>689</v>
      </c>
      <c r="C69" s="1001">
        <f>'Usulan Pembiayaan'!B76</f>
      </c>
      <c r="D69" s="1001"/>
      <c r="E69" s="1001"/>
      <c r="F69" s="1001"/>
      <c r="G69" s="1001"/>
      <c r="H69" s="1001"/>
      <c r="I69" s="1001"/>
      <c r="J69" s="487" t="s">
        <v>0</v>
      </c>
      <c r="K69" s="1933">
        <f>'Usulan Pembiayaan'!J76</f>
      </c>
      <c r="L69" s="1933"/>
      <c r="M69" s="1933"/>
      <c r="N69" s="1933"/>
      <c r="O69" s="1933"/>
      <c r="P69" s="1934"/>
      <c r="Q69" s="489"/>
      <c r="R69" s="447"/>
      <c r="S69" s="447"/>
      <c r="T69" s="447"/>
      <c r="U69" s="447"/>
      <c r="V69" s="447"/>
      <c r="W69" s="447"/>
      <c r="X69" s="447"/>
      <c r="Y69" s="488"/>
    </row>
    <row r="70" spans="1:30" s="350" customFormat="1" ht="26.25" customHeight="1">
      <c r="A70" s="486"/>
      <c r="B70" s="1000" t="s">
        <v>690</v>
      </c>
      <c r="C70" s="1001">
        <f>'Usulan Pembiayaan'!B77</f>
      </c>
      <c r="D70" s="1001"/>
      <c r="E70" s="1001"/>
      <c r="F70" s="1001"/>
      <c r="G70" s="1001"/>
      <c r="H70" s="1001"/>
      <c r="I70" s="1001"/>
      <c r="J70" s="487" t="s">
        <v>0</v>
      </c>
      <c r="K70" s="1933">
        <f>'Usulan Pembiayaan'!J77</f>
      </c>
      <c r="L70" s="1933"/>
      <c r="M70" s="1933"/>
      <c r="N70" s="1933"/>
      <c r="O70" s="1933"/>
      <c r="P70" s="1934"/>
      <c r="Q70" s="1941">
        <f>'Usulan Pembiayaan'!M77</f>
      </c>
      <c r="R70" s="1810"/>
      <c r="S70" s="1810"/>
      <c r="T70" s="1810"/>
      <c r="U70" s="1810"/>
      <c r="V70" s="1810"/>
      <c r="W70" s="1810"/>
      <c r="X70" s="1810"/>
      <c r="Y70" s="1811"/>
      <c r="Z70" s="490"/>
      <c r="AA70" s="491"/>
      <c r="AB70" s="491"/>
      <c r="AC70" s="491"/>
      <c r="AD70" s="236"/>
    </row>
    <row r="71" spans="1:30" s="350" customFormat="1" ht="15.6">
      <c r="A71" s="486"/>
      <c r="B71" s="1000" t="s">
        <v>691</v>
      </c>
      <c r="C71" s="1001">
        <f>'Usulan Pembiayaan'!B78</f>
      </c>
      <c r="D71" s="1001"/>
      <c r="E71" s="1001"/>
      <c r="F71" s="1001"/>
      <c r="G71" s="1001"/>
      <c r="H71" s="1001"/>
      <c r="I71" s="1001"/>
      <c r="J71" s="487" t="s">
        <v>0</v>
      </c>
      <c r="K71" s="1933">
        <f>'Usulan Pembiayaan'!J78</f>
      </c>
      <c r="L71" s="1933"/>
      <c r="M71" s="1933"/>
      <c r="N71" s="1933"/>
      <c r="O71" s="1933"/>
      <c r="P71" s="1934"/>
      <c r="Q71" s="489"/>
      <c r="R71" s="447"/>
      <c r="S71" s="447"/>
      <c r="T71" s="447"/>
      <c r="U71" s="447"/>
      <c r="V71" s="447"/>
      <c r="W71" s="447"/>
      <c r="X71" s="447"/>
      <c r="Y71" s="488"/>
    </row>
    <row r="72" spans="1:30" s="350" customFormat="1" ht="15.6">
      <c r="A72" s="486"/>
      <c r="B72" s="1000" t="s">
        <v>692</v>
      </c>
      <c r="C72" s="1001">
        <f>'Usulan Pembiayaan'!B79</f>
      </c>
      <c r="D72" s="1001"/>
      <c r="E72" s="1001"/>
      <c r="F72" s="1001"/>
      <c r="G72" s="1001"/>
      <c r="H72" s="1001"/>
      <c r="I72" s="1001"/>
      <c r="J72" s="487" t="s">
        <v>0</v>
      </c>
      <c r="K72" s="1933">
        <f>'Usulan Pembiayaan'!J79</f>
      </c>
      <c r="L72" s="1933"/>
      <c r="M72" s="1933"/>
      <c r="N72" s="1933"/>
      <c r="O72" s="1933"/>
      <c r="P72" s="1934"/>
      <c r="Q72" s="452"/>
      <c r="R72" s="452"/>
      <c r="S72" s="452"/>
      <c r="T72" s="452"/>
      <c r="U72" s="452"/>
      <c r="V72" s="452"/>
      <c r="W72" s="452"/>
      <c r="X72" s="452"/>
      <c r="Y72" s="492"/>
    </row>
    <row r="73" spans="1:30" s="350" customFormat="1" ht="15.6">
      <c r="A73" s="486"/>
      <c r="B73" s="1000" t="s">
        <v>781</v>
      </c>
      <c r="C73" s="1001">
        <f>'Usulan Pembiayaan'!B80</f>
      </c>
      <c r="D73" s="1002"/>
      <c r="E73" s="1002"/>
      <c r="F73" s="1002"/>
      <c r="G73" s="1002"/>
      <c r="H73" s="1002"/>
      <c r="I73" s="1002"/>
      <c r="J73" s="487" t="s">
        <v>0</v>
      </c>
      <c r="K73" s="1933">
        <f>'Usulan Pembiayaan'!J80</f>
      </c>
      <c r="L73" s="1933"/>
      <c r="M73" s="1933"/>
      <c r="N73" s="1933"/>
      <c r="O73" s="1933"/>
      <c r="P73" s="1934"/>
      <c r="Q73" s="576"/>
      <c r="R73" s="576"/>
      <c r="S73" s="576"/>
      <c r="T73" s="576"/>
      <c r="U73" s="452"/>
      <c r="V73" s="452"/>
      <c r="W73" s="452"/>
      <c r="X73" s="452"/>
      <c r="Y73" s="492"/>
    </row>
    <row r="74" spans="1:30" s="350" customFormat="1" ht="15.6">
      <c r="A74" s="486"/>
      <c r="B74" s="1000" t="s">
        <v>782</v>
      </c>
      <c r="C74" s="1001">
        <f>'Usulan Pembiayaan'!B83</f>
      </c>
      <c r="D74" s="1002"/>
      <c r="E74" s="1002"/>
      <c r="F74" s="1002"/>
      <c r="G74" s="1002"/>
      <c r="H74" s="1002"/>
      <c r="I74" s="1002"/>
      <c r="J74" s="487" t="s">
        <v>0</v>
      </c>
      <c r="K74" s="1933">
        <f>'Usulan Pembiayaan'!J83</f>
      </c>
      <c r="L74" s="1933"/>
      <c r="M74" s="1933"/>
      <c r="N74" s="1933"/>
      <c r="O74" s="1933"/>
      <c r="P74" s="1934"/>
      <c r="Q74" s="576"/>
      <c r="R74" s="576"/>
      <c r="S74" s="576"/>
      <c r="T74" s="576"/>
      <c r="U74" s="452"/>
      <c r="V74" s="452"/>
      <c r="W74" s="452"/>
      <c r="X74" s="452"/>
      <c r="Y74" s="492"/>
    </row>
    <row r="75" spans="1:30" s="350" customFormat="1" ht="15.6">
      <c r="A75" s="486"/>
      <c r="B75" s="1000" t="s">
        <v>783</v>
      </c>
      <c r="C75" s="1001">
        <f>'Usulan Pembiayaan'!B84</f>
      </c>
      <c r="D75" s="1002"/>
      <c r="E75" s="1002"/>
      <c r="F75" s="1002"/>
      <c r="G75" s="1002"/>
      <c r="H75" s="1002"/>
      <c r="I75" s="1002"/>
      <c r="J75" s="487" t="s">
        <v>0</v>
      </c>
      <c r="K75" s="1933">
        <f>'Usulan Pembiayaan'!J84</f>
      </c>
      <c r="L75" s="1933"/>
      <c r="M75" s="1933"/>
      <c r="N75" s="1933"/>
      <c r="O75" s="1933"/>
      <c r="P75" s="1934"/>
      <c r="Q75" s="576"/>
      <c r="R75" s="576"/>
      <c r="S75" s="576"/>
      <c r="T75" s="576"/>
      <c r="U75" s="452"/>
      <c r="V75" s="452"/>
      <c r="W75" s="452"/>
      <c r="X75" s="452"/>
      <c r="Y75" s="492"/>
    </row>
    <row r="76" spans="1:30" s="350" customFormat="1" ht="15.6">
      <c r="A76" s="486"/>
      <c r="B76" s="1000" t="s">
        <v>931</v>
      </c>
      <c r="C76" s="1001">
        <f>'Usulan Pembiayaan'!B85</f>
      </c>
      <c r="D76" s="1002"/>
      <c r="E76" s="1002"/>
      <c r="F76" s="1002"/>
      <c r="G76" s="1002"/>
      <c r="H76" s="1002"/>
      <c r="I76" s="1002"/>
      <c r="J76" s="487" t="s">
        <v>0</v>
      </c>
      <c r="K76" s="1933">
        <f>'Usulan Pembiayaan'!J85</f>
      </c>
      <c r="L76" s="1933"/>
      <c r="M76" s="1933"/>
      <c r="N76" s="1933"/>
      <c r="O76" s="1933"/>
      <c r="P76" s="1934"/>
      <c r="Q76" s="576"/>
      <c r="R76" s="576"/>
      <c r="S76" s="576"/>
      <c r="T76" s="576"/>
      <c r="U76" s="452"/>
      <c r="V76" s="452"/>
      <c r="W76" s="452"/>
      <c r="X76" s="452"/>
      <c r="Y76" s="492"/>
    </row>
    <row r="77" spans="1:30" s="350" customFormat="1" ht="15.75" customHeight="1">
      <c r="A77" s="486"/>
      <c r="B77" s="1000" t="s">
        <v>932</v>
      </c>
      <c r="C77" s="1001">
        <f>'Usulan Pembiayaan'!B86</f>
      </c>
      <c r="D77" s="1003"/>
      <c r="E77" s="1003"/>
      <c r="F77" s="1003"/>
      <c r="G77" s="1003"/>
      <c r="H77" s="1003"/>
      <c r="I77" s="1003"/>
      <c r="J77" s="487" t="s">
        <v>0</v>
      </c>
      <c r="K77" s="1933">
        <f>'Usulan Pembiayaan'!J86</f>
      </c>
      <c r="L77" s="1933"/>
      <c r="M77" s="1933"/>
      <c r="N77" s="1933"/>
      <c r="O77" s="1933"/>
      <c r="P77" s="1934"/>
      <c r="Q77" s="576"/>
      <c r="R77" s="452"/>
      <c r="S77" s="1940"/>
      <c r="T77" s="1940"/>
      <c r="U77" s="577"/>
      <c r="V77" s="452"/>
      <c r="W77" s="452"/>
      <c r="X77" s="452"/>
      <c r="Y77" s="492"/>
    </row>
    <row r="78" spans="1:30" s="350" customFormat="1" ht="15.75" customHeight="1">
      <c r="A78" s="486"/>
      <c r="B78" s="1000" t="s">
        <v>933</v>
      </c>
      <c r="C78" s="1001">
        <f>'Usulan Pembiayaan'!B87</f>
      </c>
      <c r="D78" s="1003"/>
      <c r="E78" s="1003"/>
      <c r="F78" s="1003"/>
      <c r="G78" s="1003"/>
      <c r="H78" s="1003"/>
      <c r="I78" s="1003"/>
      <c r="J78" s="487" t="s">
        <v>0</v>
      </c>
      <c r="K78" s="1933">
        <f>'Usulan Pembiayaan'!J87</f>
      </c>
      <c r="L78" s="1933"/>
      <c r="M78" s="1933"/>
      <c r="N78" s="1933"/>
      <c r="O78" s="1933"/>
      <c r="P78" s="1934"/>
      <c r="Q78" s="576"/>
      <c r="R78" s="452"/>
      <c r="S78" s="493"/>
      <c r="T78" s="493"/>
      <c r="U78" s="577"/>
      <c r="V78" s="452"/>
      <c r="W78" s="452"/>
      <c r="X78" s="452"/>
      <c r="Y78" s="492"/>
    </row>
    <row r="79" spans="1:30" s="350" customFormat="1" ht="15.75" customHeight="1">
      <c r="A79" s="486"/>
      <c r="B79" s="1000" t="s">
        <v>1200</v>
      </c>
      <c r="C79" s="1001">
        <f>'Usulan Pembiayaan'!B88</f>
      </c>
      <c r="D79" s="1002"/>
      <c r="E79" s="1002"/>
      <c r="F79" s="1002"/>
      <c r="G79" s="1002"/>
      <c r="H79" s="1002"/>
      <c r="I79" s="1002"/>
      <c r="J79" s="487" t="s">
        <v>0</v>
      </c>
      <c r="K79" s="1933">
        <f>'Usulan Pembiayaan'!J88</f>
      </c>
      <c r="L79" s="1933"/>
      <c r="M79" s="1933"/>
      <c r="N79" s="1933"/>
      <c r="O79" s="1933"/>
      <c r="P79" s="1934"/>
      <c r="Q79" s="576"/>
      <c r="R79" s="452"/>
      <c r="S79" s="493"/>
      <c r="T79" s="493"/>
      <c r="U79" s="577"/>
      <c r="V79" s="452"/>
      <c r="W79" s="452"/>
      <c r="X79" s="452"/>
      <c r="Y79" s="492"/>
    </row>
    <row r="80" spans="1:30" s="350" customFormat="1" ht="15.75" customHeight="1">
      <c r="A80" s="486"/>
      <c r="B80" s="1000" t="s">
        <v>1201</v>
      </c>
      <c r="C80" s="1001">
        <f>'Usulan Pembiayaan'!B89</f>
      </c>
      <c r="D80" s="1003"/>
      <c r="E80" s="1003"/>
      <c r="F80" s="1003"/>
      <c r="G80" s="1003"/>
      <c r="H80" s="1003"/>
      <c r="I80" s="1003"/>
      <c r="J80" s="487" t="s">
        <v>0</v>
      </c>
      <c r="K80" s="1933">
        <f>'Usulan Pembiayaan'!J93</f>
      </c>
      <c r="L80" s="1933"/>
      <c r="M80" s="1933"/>
      <c r="N80" s="1933"/>
      <c r="O80" s="1933"/>
      <c r="P80" s="1934"/>
      <c r="Q80" s="576"/>
      <c r="R80" s="452"/>
      <c r="S80" s="493"/>
      <c r="T80" s="493"/>
      <c r="U80" s="577"/>
      <c r="V80" s="452"/>
      <c r="W80" s="452"/>
      <c r="X80" s="452"/>
      <c r="Y80" s="492"/>
    </row>
    <row r="81" spans="1:25" s="350" customFormat="1" ht="15.75" customHeight="1">
      <c r="A81" s="486"/>
      <c r="B81" s="1000" t="s">
        <v>1202</v>
      </c>
      <c r="C81" s="1001">
        <f>'Usulan Pembiayaan'!B90</f>
      </c>
      <c r="D81" s="1003"/>
      <c r="E81" s="1003"/>
      <c r="F81" s="1003"/>
      <c r="G81" s="1003"/>
      <c r="H81" s="1003"/>
      <c r="I81" s="1003"/>
      <c r="J81" s="487" t="s">
        <v>0</v>
      </c>
      <c r="K81" s="1933">
        <f>'Usulan Pembiayaan'!J94</f>
      </c>
      <c r="L81" s="1933"/>
      <c r="M81" s="1933"/>
      <c r="N81" s="1933"/>
      <c r="O81" s="1933"/>
      <c r="P81" s="1934"/>
      <c r="Q81" s="576"/>
      <c r="R81" s="452"/>
      <c r="S81" s="493"/>
      <c r="T81" s="493"/>
      <c r="U81" s="577"/>
      <c r="V81" s="452"/>
      <c r="W81" s="452"/>
      <c r="X81" s="452"/>
      <c r="Y81" s="492"/>
    </row>
    <row r="82" spans="1:25" s="350" customFormat="1" ht="15.75" customHeight="1">
      <c r="A82" s="486"/>
      <c r="B82" s="1000" t="s">
        <v>1203</v>
      </c>
      <c r="C82" s="1001">
        <f>'Usulan Pembiayaan'!B91</f>
      </c>
      <c r="D82" s="1003"/>
      <c r="E82" s="1003"/>
      <c r="F82" s="1003"/>
      <c r="G82" s="1003"/>
      <c r="H82" s="1003"/>
      <c r="I82" s="1003"/>
      <c r="J82" s="487" t="s">
        <v>0</v>
      </c>
      <c r="K82" s="1933">
        <f>'Usulan Pembiayaan'!J95</f>
      </c>
      <c r="L82" s="1933"/>
      <c r="M82" s="1933"/>
      <c r="N82" s="1933"/>
      <c r="O82" s="1933"/>
      <c r="P82" s="1934"/>
      <c r="Q82" s="576"/>
      <c r="R82" s="452"/>
      <c r="S82" s="493"/>
      <c r="T82" s="493"/>
      <c r="U82" s="577"/>
      <c r="V82" s="452"/>
      <c r="W82" s="452"/>
      <c r="X82" s="452"/>
      <c r="Y82" s="492"/>
    </row>
    <row r="83" spans="1:25" s="350" customFormat="1" ht="15.75" customHeight="1">
      <c r="A83" s="486"/>
      <c r="B83" s="1000" t="s">
        <v>1204</v>
      </c>
      <c r="C83" s="1001">
        <f>'Usulan Pembiayaan'!B92</f>
      </c>
      <c r="D83" s="1003"/>
      <c r="E83" s="1003"/>
      <c r="F83" s="1003"/>
      <c r="G83" s="1003"/>
      <c r="H83" s="1003"/>
      <c r="I83" s="1003"/>
      <c r="J83" s="487" t="s">
        <v>0</v>
      </c>
      <c r="K83" s="1933">
        <f>'Usulan Pembiayaan'!J96</f>
      </c>
      <c r="L83" s="1933"/>
      <c r="M83" s="1933"/>
      <c r="N83" s="1933"/>
      <c r="O83" s="1933"/>
      <c r="P83" s="1934"/>
      <c r="Q83" s="576"/>
      <c r="R83" s="452"/>
      <c r="S83" s="493"/>
      <c r="T83" s="493"/>
      <c r="U83" s="577"/>
      <c r="V83" s="452"/>
      <c r="W83" s="452"/>
      <c r="X83" s="452"/>
      <c r="Y83" s="492"/>
    </row>
    <row r="84" spans="1:25" s="350" customFormat="1" ht="15.75" customHeight="1">
      <c r="A84" s="486"/>
      <c r="B84" s="1021"/>
      <c r="C84" s="1022"/>
      <c r="D84" s="523"/>
      <c r="E84" s="523"/>
      <c r="F84" s="523"/>
      <c r="G84" s="523"/>
      <c r="H84" s="523"/>
      <c r="I84" s="523"/>
      <c r="J84" s="1013"/>
      <c r="K84" s="1023"/>
      <c r="L84" s="1023"/>
      <c r="M84" s="1023"/>
      <c r="N84" s="1023"/>
      <c r="O84" s="1023"/>
      <c r="P84" s="1023"/>
      <c r="Q84" s="576"/>
      <c r="R84" s="452"/>
      <c r="S84" s="493"/>
      <c r="T84" s="493"/>
      <c r="U84" s="577"/>
      <c r="V84" s="452"/>
      <c r="W84" s="452"/>
      <c r="X84" s="452"/>
      <c r="Y84" s="492"/>
    </row>
    <row r="85" spans="1:25" s="151" customFormat="1" ht="21" customHeight="1">
      <c r="A85" s="1948">
        <f ca="1">"Pangalengan, "&amp;TEXT(TODAY(),("dd mmmm yyyy"))</f>
      </c>
      <c r="B85" s="1935"/>
      <c r="C85" s="1935"/>
      <c r="D85" s="1935"/>
      <c r="E85" s="1935"/>
      <c r="F85" s="1935"/>
      <c r="G85" s="1935"/>
      <c r="H85" s="1935"/>
      <c r="I85" s="1935"/>
      <c r="J85" s="1935"/>
      <c r="K85" s="1935"/>
      <c r="L85" s="1935"/>
      <c r="M85" s="1935"/>
      <c r="N85" s="1935"/>
      <c r="O85" s="1935"/>
      <c r="P85" s="1935"/>
      <c r="Q85" s="1935"/>
      <c r="R85" s="1935"/>
      <c r="S85" s="1935"/>
      <c r="T85" s="1935"/>
      <c r="U85" s="1935"/>
      <c r="V85" s="1935"/>
      <c r="W85" s="1935"/>
      <c r="X85" s="1935"/>
      <c r="Y85" s="1949"/>
    </row>
    <row r="86" spans="1:25" s="151" customFormat="1" ht="21.75" customHeight="1">
      <c r="A86" s="175"/>
      <c r="B86" s="176"/>
      <c r="C86" s="1935" t="s">
        <v>406</v>
      </c>
      <c r="D86" s="1935"/>
      <c r="E86" s="1935"/>
      <c r="F86" s="1935"/>
      <c r="G86" s="1935"/>
      <c r="H86" s="1935"/>
      <c r="I86" s="1935"/>
      <c r="J86" s="1935"/>
      <c r="K86" s="1935"/>
      <c r="L86" s="1935"/>
      <c r="M86" s="1935"/>
      <c r="N86" s="1935"/>
      <c r="O86" s="1935"/>
      <c r="P86" s="1935"/>
      <c r="Q86" s="177"/>
      <c r="R86" s="1935" t="s">
        <v>693</v>
      </c>
      <c r="S86" s="1935"/>
      <c r="T86" s="1935"/>
      <c r="U86" s="1935"/>
      <c r="V86" s="1935"/>
      <c r="W86" s="1935"/>
      <c r="X86" s="1935"/>
      <c r="Y86" s="178"/>
    </row>
    <row r="87" spans="1:25" s="151" customFormat="1" ht="15">
      <c r="A87" s="175"/>
      <c r="B87" s="176"/>
      <c r="C87" s="179"/>
      <c r="D87" s="179"/>
      <c r="E87" s="179"/>
      <c r="F87" s="179"/>
      <c r="G87" s="179"/>
      <c r="H87" s="179"/>
      <c r="I87" s="179"/>
      <c r="J87" s="179"/>
      <c r="K87" s="179"/>
      <c r="L87" s="179"/>
      <c r="M87" s="179"/>
      <c r="N87" s="179"/>
      <c r="O87" s="179"/>
      <c r="P87" s="179"/>
      <c r="Q87" s="179"/>
      <c r="R87" s="179"/>
      <c r="S87" s="179"/>
      <c r="T87" s="179"/>
      <c r="U87" s="179"/>
      <c r="V87" s="179"/>
      <c r="W87" s="179"/>
      <c r="X87" s="179"/>
      <c r="Y87" s="180"/>
    </row>
    <row r="88" spans="1:25" s="151" customFormat="1" ht="15">
      <c r="A88" s="175"/>
      <c r="B88" s="176"/>
      <c r="C88" s="177"/>
      <c r="D88" s="177"/>
      <c r="E88" s="177"/>
      <c r="F88" s="177"/>
      <c r="G88" s="177"/>
      <c r="H88" s="177"/>
      <c r="I88" s="177"/>
      <c r="J88" s="177"/>
      <c r="K88" s="177"/>
      <c r="L88" s="177"/>
      <c r="M88" s="177"/>
      <c r="N88" s="177"/>
      <c r="O88" s="177"/>
      <c r="P88" s="177"/>
      <c r="Q88" s="177"/>
      <c r="R88" s="177"/>
      <c r="S88" s="177"/>
      <c r="T88" s="177"/>
      <c r="U88" s="177"/>
      <c r="V88" s="177"/>
      <c r="W88" s="177"/>
      <c r="X88" s="177"/>
      <c r="Y88" s="181"/>
    </row>
    <row r="89" spans="1:25" s="151" customFormat="1" ht="15">
      <c r="A89" s="182"/>
      <c r="B89" s="183"/>
      <c r="C89" s="184"/>
      <c r="D89" s="184"/>
      <c r="E89" s="184"/>
      <c r="F89" s="184"/>
      <c r="G89" s="184"/>
      <c r="H89" s="184"/>
      <c r="I89" s="184"/>
      <c r="J89" s="184"/>
      <c r="K89" s="184"/>
      <c r="L89" s="184"/>
      <c r="M89" s="184"/>
      <c r="N89" s="184"/>
      <c r="O89" s="184"/>
      <c r="P89" s="184"/>
      <c r="Q89" s="184"/>
      <c r="R89" s="184"/>
      <c r="S89" s="184"/>
      <c r="T89" s="184"/>
      <c r="U89" s="184"/>
      <c r="V89" s="184"/>
      <c r="W89" s="184"/>
      <c r="X89" s="184"/>
      <c r="Y89" s="181"/>
    </row>
    <row r="90" spans="1:25" s="151" customFormat="1" ht="17.399999999999999">
      <c r="A90" s="182"/>
      <c r="B90" s="1936"/>
      <c r="C90" s="1936"/>
      <c r="D90" s="1936"/>
      <c r="E90" s="1936"/>
      <c r="F90" s="1936"/>
      <c r="G90" s="1936"/>
      <c r="H90" s="1936"/>
      <c r="I90" s="1936"/>
      <c r="J90" s="1009"/>
      <c r="K90" s="1011"/>
      <c r="L90" s="1012"/>
      <c r="M90" s="1011"/>
      <c r="N90" s="1011"/>
      <c r="O90" s="1011"/>
      <c r="P90" s="1011"/>
      <c r="Q90" s="184"/>
      <c r="R90" s="1950">
        <f>'Informasi Pokok'!D6</f>
      </c>
      <c r="S90" s="1950"/>
      <c r="T90" s="1950"/>
      <c r="U90" s="1950"/>
      <c r="V90" s="1950"/>
      <c r="W90" s="1950"/>
      <c r="X90" s="1950"/>
      <c r="Y90" s="181"/>
    </row>
    <row r="91" spans="1:25" s="151" customFormat="1" ht="20.25" customHeight="1" thickBot="1">
      <c r="A91" s="185"/>
      <c r="B91" s="1938" t="s">
        <v>608</v>
      </c>
      <c r="C91" s="1938"/>
      <c r="D91" s="1938"/>
      <c r="E91" s="1938"/>
      <c r="F91" s="1938"/>
      <c r="G91" s="1938"/>
      <c r="H91" s="1938"/>
      <c r="I91" s="1938"/>
      <c r="J91" s="1010"/>
      <c r="K91" s="1937" t="s">
        <v>1191</v>
      </c>
      <c r="L91" s="1937"/>
      <c r="M91" s="1937"/>
      <c r="N91" s="1937"/>
      <c r="O91" s="1937"/>
      <c r="P91" s="1937"/>
      <c r="Q91" s="186"/>
      <c r="R91" s="1951" t="s">
        <v>635</v>
      </c>
      <c r="S91" s="1951"/>
      <c r="T91" s="1951"/>
      <c r="U91" s="1951"/>
      <c r="V91" s="1951"/>
      <c r="W91" s="1951"/>
      <c r="X91" s="1951"/>
      <c r="Y91" s="187"/>
    </row>
    <row r="92" spans="1:25" ht="34.5" customHeight="1">
      <c r="A92" s="184"/>
      <c r="B92" s="237"/>
      <c r="C92" s="1944"/>
      <c r="D92" s="1944"/>
      <c r="E92" s="1944"/>
      <c r="F92" s="1944"/>
      <c r="G92" s="1944"/>
      <c r="H92" s="1944"/>
      <c r="I92" s="1944"/>
      <c r="J92" s="1944"/>
      <c r="K92" s="1944"/>
      <c r="L92" s="1944"/>
      <c r="M92" s="1944"/>
      <c r="N92" s="1944"/>
      <c r="O92" s="1944"/>
      <c r="P92" s="1944"/>
      <c r="Q92" s="1944"/>
      <c r="R92" s="1944"/>
      <c r="S92" s="1944"/>
      <c r="T92" s="1944"/>
      <c r="U92" s="1944"/>
      <c r="V92" s="1944"/>
      <c r="W92" s="1944"/>
      <c r="X92" s="1944"/>
      <c r="Y92" s="1944"/>
    </row>
    <row r="93" spans="1:25" ht="15">
      <c r="A93" s="184"/>
      <c r="B93" s="238"/>
      <c r="C93" s="1944"/>
      <c r="D93" s="1944"/>
      <c r="E93" s="1944"/>
      <c r="F93" s="1944"/>
      <c r="G93" s="1944"/>
      <c r="H93" s="1944"/>
      <c r="I93" s="1944"/>
      <c r="J93" s="1944"/>
      <c r="K93" s="1944"/>
      <c r="L93" s="1944"/>
      <c r="M93" s="1944"/>
      <c r="N93" s="1944"/>
      <c r="O93" s="1944"/>
      <c r="P93" s="1944"/>
      <c r="Q93" s="1944"/>
      <c r="R93" s="1944"/>
      <c r="S93" s="1944"/>
      <c r="T93" s="1944"/>
      <c r="U93" s="1944"/>
      <c r="V93" s="1944"/>
      <c r="W93" s="1944"/>
      <c r="X93" s="1944"/>
      <c r="Y93" s="1944"/>
    </row>
    <row r="94" spans="1:25" ht="15">
      <c r="A94" s="184"/>
      <c r="B94" s="238"/>
      <c r="C94" s="1944"/>
      <c r="D94" s="1944"/>
      <c r="E94" s="1944"/>
      <c r="F94" s="1944"/>
      <c r="G94" s="1944"/>
      <c r="H94" s="1944"/>
      <c r="I94" s="1944"/>
      <c r="J94" s="1944"/>
      <c r="K94" s="1944"/>
      <c r="L94" s="1944"/>
      <c r="M94" s="1944"/>
      <c r="N94" s="1944"/>
      <c r="O94" s="1944"/>
      <c r="P94" s="1944"/>
      <c r="Q94" s="1944"/>
      <c r="R94" s="1944"/>
      <c r="S94" s="1944"/>
      <c r="T94" s="1944"/>
      <c r="U94" s="1944"/>
      <c r="V94" s="1944"/>
      <c r="W94" s="1944"/>
      <c r="X94" s="1944"/>
      <c r="Y94" s="1944"/>
    </row>
    <row r="95" spans="1:25" ht="15">
      <c r="A95" s="184"/>
      <c r="B95" s="239"/>
      <c r="C95" s="445"/>
      <c r="D95" s="445"/>
      <c r="E95" s="445"/>
      <c r="F95" s="445"/>
      <c r="G95" s="445"/>
      <c r="H95" s="445"/>
      <c r="I95" s="445"/>
      <c r="J95" s="445"/>
      <c r="K95" s="445"/>
      <c r="L95" s="445"/>
      <c r="M95" s="445"/>
      <c r="N95" s="445"/>
      <c r="O95" s="445"/>
      <c r="P95" s="445"/>
      <c r="Q95" s="445"/>
      <c r="R95" s="445"/>
      <c r="S95" s="445"/>
      <c r="T95" s="445"/>
      <c r="U95" s="445"/>
      <c r="V95" s="445"/>
      <c r="W95" s="445"/>
      <c r="X95" s="445"/>
      <c r="Y95" s="445"/>
    </row>
    <row r="96" spans="1:25" ht="15">
      <c r="A96" s="184"/>
      <c r="B96" s="183"/>
      <c r="C96" s="184"/>
      <c r="D96" s="184"/>
      <c r="E96" s="184"/>
      <c r="F96" s="184"/>
      <c r="G96" s="184"/>
      <c r="H96" s="184"/>
      <c r="I96" s="184"/>
      <c r="J96" s="184"/>
      <c r="K96" s="184"/>
      <c r="L96" s="184"/>
      <c r="M96" s="184"/>
      <c r="N96" s="184"/>
      <c r="O96" s="184"/>
      <c r="P96" s="184"/>
      <c r="Q96" s="184"/>
      <c r="R96" s="184"/>
      <c r="S96" s="184"/>
      <c r="T96" s="184"/>
      <c r="U96" s="184"/>
      <c r="V96" s="184"/>
      <c r="W96" s="184"/>
      <c r="X96" s="184"/>
      <c r="Y96" s="184"/>
    </row>
    <row r="97" spans="1:25">
      <c r="A97" s="240"/>
      <c r="B97" s="151"/>
      <c r="C97" s="172"/>
      <c r="D97" s="151"/>
      <c r="E97" s="151"/>
      <c r="F97" s="151"/>
      <c r="G97" s="151"/>
      <c r="H97" s="151"/>
      <c r="I97" s="151"/>
      <c r="J97" s="151"/>
      <c r="K97" s="151"/>
      <c r="L97" s="151"/>
      <c r="M97" s="151"/>
      <c r="N97" s="151"/>
      <c r="O97" s="151"/>
      <c r="P97" s="151"/>
      <c r="Q97" s="151"/>
      <c r="R97" s="151"/>
      <c r="S97" s="151"/>
      <c r="T97" s="151"/>
      <c r="U97" s="151"/>
      <c r="V97" s="151"/>
      <c r="W97" s="151"/>
      <c r="X97" s="151"/>
      <c r="Y97" s="151"/>
    </row>
    <row r="98" spans="1:25">
      <c r="A98" s="443"/>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row>
    <row r="99" spans="1:25">
      <c r="A99" s="240"/>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row>
    <row r="100" spans="1:25">
      <c r="A100" s="443"/>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row>
  </sheetData>
  <mergeCells count="114">
    <mergeCell ref="A62:Y62"/>
    <mergeCell ref="M46:Y46"/>
    <mergeCell ref="M47:Y47"/>
    <mergeCell ref="C93:Y93"/>
    <mergeCell ref="C94:Y94"/>
    <mergeCell ref="K67:L67"/>
    <mergeCell ref="K68:P68"/>
    <mergeCell ref="K72:P72"/>
    <mergeCell ref="K73:P73"/>
    <mergeCell ref="K77:P77"/>
    <mergeCell ref="A85:Y85"/>
    <mergeCell ref="C67:I67"/>
    <mergeCell ref="C68:I68"/>
    <mergeCell ref="K78:P78"/>
    <mergeCell ref="R90:X90"/>
    <mergeCell ref="B56:L56"/>
    <mergeCell ref="M56:Y56"/>
    <mergeCell ref="B57:L57"/>
    <mergeCell ref="M57:Y57"/>
    <mergeCell ref="B53:L53"/>
    <mergeCell ref="R86:X86"/>
    <mergeCell ref="C92:Y92"/>
    <mergeCell ref="R91:X91"/>
    <mergeCell ref="C65:I65"/>
    <mergeCell ref="C66:I66"/>
    <mergeCell ref="S77:T77"/>
    <mergeCell ref="K69:P69"/>
    <mergeCell ref="K70:P70"/>
    <mergeCell ref="K71:P71"/>
    <mergeCell ref="Q70:Y70"/>
    <mergeCell ref="K74:P74"/>
    <mergeCell ref="K75:P75"/>
    <mergeCell ref="K76:P76"/>
    <mergeCell ref="K79:P79"/>
    <mergeCell ref="K80:P80"/>
    <mergeCell ref="K81:P81"/>
    <mergeCell ref="K82:P82"/>
    <mergeCell ref="C86:P86"/>
    <mergeCell ref="B90:I90"/>
    <mergeCell ref="K83:P83"/>
    <mergeCell ref="K91:P91"/>
    <mergeCell ref="B91:I91"/>
    <mergeCell ref="B37:L37"/>
    <mergeCell ref="B38:L38"/>
    <mergeCell ref="B34:L34"/>
    <mergeCell ref="B36:L36"/>
    <mergeCell ref="M34:Y34"/>
    <mergeCell ref="B54:L54"/>
    <mergeCell ref="M36:Y36"/>
    <mergeCell ref="M37:Y37"/>
    <mergeCell ref="M38:Y38"/>
    <mergeCell ref="B45:L45"/>
    <mergeCell ref="M49:Y49"/>
    <mergeCell ref="M50:Y50"/>
    <mergeCell ref="B50:L50"/>
    <mergeCell ref="M54:Y54"/>
    <mergeCell ref="M45:Y45"/>
    <mergeCell ref="M44:Y44"/>
    <mergeCell ref="B51:L51"/>
    <mergeCell ref="B35:L35"/>
    <mergeCell ref="M35:Y35"/>
    <mergeCell ref="M26:Y26"/>
    <mergeCell ref="M28:Y28"/>
    <mergeCell ref="M29:Y29"/>
    <mergeCell ref="B24:L24"/>
    <mergeCell ref="B25:L25"/>
    <mergeCell ref="B26:L26"/>
    <mergeCell ref="B30:L30"/>
    <mergeCell ref="M30:Y30"/>
    <mergeCell ref="M33:Y33"/>
    <mergeCell ref="B33:L33"/>
    <mergeCell ref="B28:L28"/>
    <mergeCell ref="B29:L29"/>
    <mergeCell ref="B32:L32"/>
    <mergeCell ref="M32:Y32"/>
    <mergeCell ref="N15:Q15"/>
    <mergeCell ref="N16:Q16"/>
    <mergeCell ref="N17:Q17"/>
    <mergeCell ref="A18:Y18"/>
    <mergeCell ref="M23:Y23"/>
    <mergeCell ref="B23:L23"/>
    <mergeCell ref="A19:Y19"/>
    <mergeCell ref="M24:Y24"/>
    <mergeCell ref="M25:Y25"/>
    <mergeCell ref="B22:L22"/>
    <mergeCell ref="M22:Y22"/>
    <mergeCell ref="B21:L21"/>
    <mergeCell ref="M21:Y21"/>
    <mergeCell ref="A1:Y1"/>
    <mergeCell ref="A7:Y7"/>
    <mergeCell ref="N11:W11"/>
    <mergeCell ref="N13:Q13"/>
    <mergeCell ref="N14:Q14"/>
    <mergeCell ref="N12:W12"/>
    <mergeCell ref="A6:Y6"/>
    <mergeCell ref="N9:W9"/>
    <mergeCell ref="N10:W10"/>
    <mergeCell ref="N8:W8"/>
    <mergeCell ref="A2:Y4"/>
    <mergeCell ref="B59:L59"/>
    <mergeCell ref="M59:Y59"/>
    <mergeCell ref="M39:Y39"/>
    <mergeCell ref="M40:Y40"/>
    <mergeCell ref="M42:Y42"/>
    <mergeCell ref="B40:L40"/>
    <mergeCell ref="B41:L41"/>
    <mergeCell ref="B42:L42"/>
    <mergeCell ref="M41:Y41"/>
    <mergeCell ref="B39:L39"/>
    <mergeCell ref="B46:L46"/>
    <mergeCell ref="B47:L47"/>
    <mergeCell ref="B49:L49"/>
    <mergeCell ref="M53:Y53"/>
    <mergeCell ref="B44:L44"/>
  </mergeCells>
  <pageMargins left="0.7" right="0.7" top="0.5" bottom="0.73" header="0.3" footer="0.3"/>
  <pageSetup paperSize="10000" scale="8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0"/>
  <sheetViews>
    <sheetView topLeftCell="A133" workbookViewId="0">
      <selection activeCell="H148" sqref="H148"/>
    </sheetView>
  </sheetViews>
  <sheetFormatPr defaultColWidth="9.109375" defaultRowHeight="13.8"/>
  <cols>
    <col min="1" max="1" width="5" style="375" bestFit="1" customWidth="1"/>
    <col min="2" max="2" width="12.33203125" style="205" bestFit="1" customWidth="1"/>
    <col min="3" max="3" width="12.44140625" style="205" customWidth="1"/>
    <col min="4" max="5" width="14.33203125" style="190" bestFit="1" customWidth="1"/>
    <col min="6" max="6" width="17" style="375" customWidth="1"/>
    <col min="7" max="7" width="5.6640625" style="189" customWidth="1"/>
    <col min="8" max="8" width="5" style="375" customWidth="1"/>
    <col min="9" max="10" width="12.33203125" style="205" bestFit="1" customWidth="1"/>
    <col min="11" max="12" width="14.33203125" style="190" bestFit="1" customWidth="1"/>
    <col min="13" max="13" width="16.5546875" style="375" customWidth="1"/>
    <col min="14" max="15" width="17.33203125" style="375" customWidth="1"/>
    <col min="16" max="16" width="17.88671875" style="190" hidden="1" customWidth="1"/>
    <col min="17" max="17" width="16.44140625" style="189" hidden="1" customWidth="1"/>
    <col min="18" max="18" width="10.33203125" style="189" hidden="1" customWidth="1"/>
    <col min="19" max="20" width="11.6640625" style="189" hidden="1" customWidth="1"/>
    <col min="21" max="21" width="15.88671875" style="189" hidden="1" customWidth="1"/>
    <col min="22" max="22" width="14.6640625" style="189" hidden="1" customWidth="1"/>
    <col min="23" max="25" width="12.6640625" style="189" hidden="1" customWidth="1"/>
    <col min="26" max="26" width="17.88671875" style="189" hidden="1" customWidth="1"/>
    <col min="27" max="27" width="15" style="189" hidden="1" customWidth="1"/>
    <col min="28" max="28" width="14.6640625" style="189" hidden="1" customWidth="1"/>
    <col min="29" max="34" width="9.109375" style="189" hidden="1" customWidth="1"/>
    <col min="35" max="38" width="9.109375" style="189" customWidth="1"/>
    <col min="39" max="16384" width="9.109375" style="189"/>
  </cols>
  <sheetData>
    <row r="1" spans="1:28" ht="15">
      <c r="A1" s="1956">
        <f>"JADWAL ANGSURAN AKAD "&amp;'Keputusan Pembiayaan'!K65&amp;" ("&amp;Q16&amp;")"</f>
      </c>
      <c r="B1" s="1956"/>
      <c r="C1" s="1956"/>
      <c r="D1" s="1956"/>
      <c r="E1" s="1956"/>
      <c r="F1" s="1956"/>
      <c r="H1" s="1956">
        <f>"JADWAL ANGSURAN AKAD "&amp;'Keputusan Pembiayaan'!K65&amp;" ("&amp;R16&amp;")"</f>
      </c>
      <c r="I1" s="1956"/>
      <c r="J1" s="1956"/>
      <c r="K1" s="1956"/>
      <c r="L1" s="1956"/>
      <c r="M1" s="1956"/>
      <c r="N1" s="376"/>
      <c r="O1" s="376"/>
      <c r="Z1" s="191"/>
    </row>
    <row r="2" spans="1:28" ht="18" customHeight="1">
      <c r="A2" s="1956">
        <f>"Atas Nama "&amp;'Keputusan Pembiayaan'!N11</f>
      </c>
      <c r="B2" s="1956"/>
      <c r="C2" s="1956"/>
      <c r="D2" s="1956"/>
      <c r="E2" s="1956"/>
      <c r="F2" s="1956"/>
      <c r="H2" s="1956">
        <f>A2</f>
      </c>
      <c r="I2" s="1956"/>
      <c r="J2" s="1956"/>
      <c r="K2" s="1956"/>
      <c r="L2" s="1956"/>
      <c r="M2" s="1956"/>
      <c r="N2" s="376"/>
      <c r="O2" s="376"/>
      <c r="P2" s="192">
        <f>'Usulan Pembiayaan'!J80</f>
      </c>
      <c r="Q2" s="192"/>
      <c r="R2" s="192"/>
      <c r="Z2" s="191"/>
    </row>
    <row r="3" spans="1:28" ht="6" customHeight="1" thickBot="1">
      <c r="A3" s="193"/>
      <c r="B3" s="194">
        <v>1</v>
      </c>
      <c r="C3" s="379">
        <f>'Informasi Pokok'!D7</f>
      </c>
      <c r="D3" s="195"/>
      <c r="E3" s="195"/>
      <c r="F3" s="195"/>
      <c r="H3" s="193"/>
      <c r="I3" s="194">
        <v>1</v>
      </c>
      <c r="J3" s="194"/>
      <c r="K3" s="195"/>
      <c r="L3" s="195"/>
      <c r="M3" s="195"/>
      <c r="N3" s="195"/>
      <c r="O3" s="195"/>
    </row>
    <row r="4" spans="1:28" s="196" customFormat="1">
      <c r="A4" s="834"/>
      <c r="B4" s="835"/>
      <c r="C4" s="1953" t="s">
        <v>859</v>
      </c>
      <c r="D4" s="1953" t="s">
        <v>761</v>
      </c>
      <c r="E4" s="1953" t="s">
        <v>679</v>
      </c>
      <c r="F4" s="836"/>
      <c r="H4" s="834"/>
      <c r="I4" s="835"/>
      <c r="J4" s="1953" t="s">
        <v>859</v>
      </c>
      <c r="K4" s="1953" t="s">
        <v>761</v>
      </c>
      <c r="L4" s="1953" t="s">
        <v>679</v>
      </c>
      <c r="M4" s="836"/>
      <c r="N4" s="380"/>
      <c r="O4" s="380"/>
      <c r="P4" s="192" t="s">
        <v>130</v>
      </c>
      <c r="Q4" s="196" t="s">
        <v>764</v>
      </c>
      <c r="S4" s="192">
        <f>'Usulan Pembiayaan'!J81</f>
      </c>
      <c r="T4" s="192"/>
      <c r="U4" s="192"/>
    </row>
    <row r="5" spans="1:28" s="196" customFormat="1" ht="15" customHeight="1">
      <c r="A5" s="837" t="s">
        <v>769</v>
      </c>
      <c r="B5" s="838" t="s">
        <v>152</v>
      </c>
      <c r="C5" s="1954"/>
      <c r="D5" s="1954"/>
      <c r="E5" s="1954"/>
      <c r="F5" s="839" t="s">
        <v>765</v>
      </c>
      <c r="H5" s="837" t="s">
        <v>769</v>
      </c>
      <c r="I5" s="838" t="s">
        <v>152</v>
      </c>
      <c r="J5" s="1954"/>
      <c r="K5" s="1954"/>
      <c r="L5" s="1954"/>
      <c r="M5" s="839" t="s">
        <v>765</v>
      </c>
      <c r="N5" s="380"/>
      <c r="O5" s="380"/>
      <c r="P5" s="192" t="s">
        <v>528</v>
      </c>
      <c r="Q5" s="196" t="s">
        <v>609</v>
      </c>
      <c r="S5" s="377">
        <f>P28</f>
      </c>
      <c r="U5" s="1961" t="s">
        <v>130</v>
      </c>
      <c r="V5" s="1961"/>
      <c r="W5" s="1961"/>
      <c r="X5" s="1962"/>
      <c r="Y5" s="1952" t="s">
        <v>528</v>
      </c>
      <c r="Z5" s="1952"/>
      <c r="AA5" s="1952"/>
      <c r="AB5" s="1952"/>
    </row>
    <row r="6" spans="1:28" s="196" customFormat="1" ht="14.4" thickBot="1">
      <c r="A6" s="840"/>
      <c r="B6" s="841"/>
      <c r="C6" s="1955"/>
      <c r="D6" s="1955"/>
      <c r="E6" s="1955"/>
      <c r="F6" s="842"/>
      <c r="H6" s="840"/>
      <c r="I6" s="841"/>
      <c r="J6" s="1955"/>
      <c r="K6" s="1955"/>
      <c r="L6" s="1955"/>
      <c r="M6" s="842"/>
      <c r="N6" s="380"/>
      <c r="O6" s="380"/>
      <c r="P6" s="192"/>
      <c r="Q6" s="196" t="s">
        <v>766</v>
      </c>
      <c r="S6" s="377">
        <f>R28</f>
      </c>
      <c r="T6" s="377">
        <f>RATE(S4,X8,-P2)*12</f>
      </c>
      <c r="U6" s="190" t="s">
        <v>861</v>
      </c>
      <c r="V6" s="189" t="s">
        <v>761</v>
      </c>
      <c r="W6" s="189" t="s">
        <v>679</v>
      </c>
      <c r="X6" s="189" t="s">
        <v>860</v>
      </c>
      <c r="Y6" s="207" t="s">
        <v>861</v>
      </c>
      <c r="Z6" s="207" t="s">
        <v>761</v>
      </c>
      <c r="AA6" s="207" t="s">
        <v>767</v>
      </c>
      <c r="AB6" s="208" t="s">
        <v>768</v>
      </c>
    </row>
    <row r="7" spans="1:28" ht="0.75" customHeight="1">
      <c r="A7" s="197"/>
      <c r="B7" s="198"/>
      <c r="C7" s="378"/>
      <c r="D7" s="199"/>
      <c r="E7" s="199"/>
      <c r="F7" s="200"/>
      <c r="H7" s="197"/>
      <c r="I7" s="198"/>
      <c r="J7" s="378"/>
      <c r="K7" s="199"/>
      <c r="L7" s="199"/>
      <c r="M7" s="381"/>
      <c r="N7" s="380"/>
      <c r="O7" s="380"/>
      <c r="U7" s="190"/>
      <c r="Y7" s="189" t="s">
        <v>862</v>
      </c>
    </row>
    <row r="8" spans="1:28" s="204" customFormat="1" ht="15.6">
      <c r="A8" s="843">
        <v>1</v>
      </c>
      <c r="B8" s="209">
        <f>IF(C3="","",DATE(YEAR(C3),MONTH(C3)+$B$3,DAY(C3)))</f>
      </c>
      <c r="C8" s="844">
        <f>IF($Q$16="Flat",U8,Y8)</f>
      </c>
      <c r="D8" s="844">
        <f>IF($Q$16="Flat",V8,Z8)</f>
      </c>
      <c r="E8" s="844">
        <f>IF($Q$16="Flat",W8,AA8)</f>
      </c>
      <c r="F8" s="844">
        <f>D8+E8</f>
      </c>
      <c r="H8" s="843">
        <v>1</v>
      </c>
      <c r="I8" s="845">
        <f>B8</f>
      </c>
      <c r="J8" s="844">
        <f>IF($Q$16="Flat",Y8,U8)</f>
      </c>
      <c r="K8" s="844">
        <f>IF($Q$16="Flat",Z8,V8)</f>
      </c>
      <c r="L8" s="844">
        <f>IF($Q$16="Flat",AA8,W8)</f>
      </c>
      <c r="M8" s="844">
        <f>K8+L8</f>
      </c>
      <c r="N8" s="203"/>
      <c r="O8" s="203"/>
      <c r="P8" s="383"/>
      <c r="Q8" s="846"/>
      <c r="R8" s="846"/>
      <c r="U8" s="846">
        <f>P2</f>
      </c>
      <c r="V8" s="202">
        <f>Q17/Q18</f>
      </c>
      <c r="W8" s="202">
        <f>Q17*P28</f>
      </c>
      <c r="X8" s="202">
        <f>V8+W8</f>
      </c>
      <c r="Y8" s="202">
        <f>P2</f>
      </c>
      <c r="Z8" s="202">
        <f>AB8-AA8</f>
      </c>
      <c r="AA8" s="202">
        <f>(ROUNDDOWN(Y8*$S$6/12,1))</f>
      </c>
      <c r="AB8" s="846">
        <f>PMT(S6/12,S4,-P2)</f>
      </c>
    </row>
    <row r="9" spans="1:28" s="204" customFormat="1" ht="15.6">
      <c r="A9" s="843">
        <v>2</v>
      </c>
      <c r="B9" s="209">
        <f>IF(B8="","",DATE(YEAR(B8),MONTH(B8)+$B$3,DAY(B8)))</f>
      </c>
      <c r="C9" s="844">
        <f t="shared" ref="C9:C72" si="0">IF($Q$16="Flat",U9,Y9)</f>
      </c>
      <c r="D9" s="844">
        <f t="shared" ref="D9:D72" si="1">IF($Q$16="Flat",V9,Z9)</f>
      </c>
      <c r="E9" s="844">
        <f t="shared" ref="E9:E72" si="2">IF($Q$16="Flat",W9,AA9)</f>
      </c>
      <c r="F9" s="844">
        <f t="shared" ref="F9:F72" si="3">D9+E9</f>
      </c>
      <c r="H9" s="843">
        <v>2</v>
      </c>
      <c r="I9" s="209">
        <f>IF(I8="","",DATE(YEAR(I8),MONTH(I8)+$B$3,DAY(I8)))</f>
      </c>
      <c r="J9" s="844">
        <f t="shared" ref="J9:J72" si="4">IF($Q$16="Flat",Y9,U9)</f>
      </c>
      <c r="K9" s="844">
        <f t="shared" ref="K9:K72" si="5">IF($Q$16="Flat",Z9,V9)</f>
      </c>
      <c r="L9" s="844">
        <f t="shared" ref="L9:L72" si="6">IF($Q$16="Flat",AA9,W9)</f>
      </c>
      <c r="M9" s="844">
        <f t="shared" ref="M9:M72" si="7">K9+L9</f>
      </c>
      <c r="N9" s="203"/>
      <c r="O9" s="203"/>
      <c r="P9" s="847"/>
      <c r="U9" s="846">
        <f>U8-V8</f>
      </c>
      <c r="V9" s="203">
        <f t="shared" ref="V9:V40" si="8">IF(A9&lt;=$S$4,V8,0)</f>
      </c>
      <c r="W9" s="203">
        <f t="shared" ref="W9:W40" si="9">IF(A9&lt;=$S$4,W8,0)</f>
      </c>
      <c r="X9" s="202">
        <f t="shared" ref="X9:X72" si="10">V9+W9</f>
      </c>
      <c r="Y9" s="202">
        <f t="shared" ref="Y9:Y40" si="11">IF(A9&lt;=$S$4,Y8-Z8,0)</f>
      </c>
      <c r="Z9" s="202">
        <f>AB9-AA9</f>
      </c>
      <c r="AA9" s="202">
        <f t="shared" ref="AA9:AA40" si="12">IF(A9&lt;=$S$4,Y9*$S$6/12,0)</f>
      </c>
      <c r="AB9" s="846">
        <f t="shared" ref="AB9:AB40" si="13">IF(A9&lt;=$S$4,$AB$8,0)</f>
      </c>
    </row>
    <row r="10" spans="1:28" s="204" customFormat="1">
      <c r="A10" s="848">
        <v>3</v>
      </c>
      <c r="B10" s="209">
        <f t="shared" ref="B10:B73" si="14">IF(B9="","",DATE(YEAR(B9),MONTH(B9)+$B$3,DAY(B9)))</f>
      </c>
      <c r="C10" s="844">
        <f t="shared" si="0"/>
      </c>
      <c r="D10" s="844">
        <f t="shared" si="1"/>
      </c>
      <c r="E10" s="844">
        <f t="shared" si="2"/>
      </c>
      <c r="F10" s="844">
        <f t="shared" si="3"/>
      </c>
      <c r="H10" s="848">
        <v>3</v>
      </c>
      <c r="I10" s="209">
        <f t="shared" ref="I10:I73" si="15">IF(I9="","",DATE(YEAR(I9),MONTH(I9)+$B$3,DAY(I9)))</f>
      </c>
      <c r="J10" s="844">
        <f t="shared" si="4"/>
      </c>
      <c r="K10" s="844">
        <f t="shared" si="5"/>
      </c>
      <c r="L10" s="844">
        <f t="shared" si="6"/>
      </c>
      <c r="M10" s="844">
        <f t="shared" si="7"/>
      </c>
      <c r="N10" s="203"/>
      <c r="O10" s="203"/>
      <c r="P10" s="846"/>
      <c r="Q10" s="846"/>
      <c r="R10" s="846"/>
      <c r="U10" s="846">
        <f t="shared" ref="U10:U73" si="16">U9-V9</f>
      </c>
      <c r="V10" s="203">
        <f t="shared" si="8"/>
      </c>
      <c r="W10" s="203">
        <f t="shared" si="9"/>
      </c>
      <c r="X10" s="202">
        <f t="shared" si="10"/>
      </c>
      <c r="Y10" s="202">
        <f t="shared" si="11"/>
      </c>
      <c r="Z10" s="202">
        <f t="shared" ref="Z10:Z73" si="17">AB10-AA10</f>
      </c>
      <c r="AA10" s="202">
        <f t="shared" si="12"/>
      </c>
      <c r="AB10" s="846">
        <f t="shared" si="13"/>
      </c>
    </row>
    <row r="11" spans="1:28" s="204" customFormat="1" ht="14.4">
      <c r="A11" s="843">
        <v>4</v>
      </c>
      <c r="B11" s="209">
        <f t="shared" si="14"/>
      </c>
      <c r="C11" s="844">
        <f t="shared" si="0"/>
      </c>
      <c r="D11" s="844">
        <f t="shared" si="1"/>
      </c>
      <c r="E11" s="844">
        <f t="shared" si="2"/>
      </c>
      <c r="F11" s="844">
        <f t="shared" si="3"/>
      </c>
      <c r="H11" s="843">
        <v>4</v>
      </c>
      <c r="I11" s="209">
        <f t="shared" si="15"/>
      </c>
      <c r="J11" s="844">
        <f t="shared" si="4"/>
      </c>
      <c r="K11" s="844">
        <f t="shared" si="5"/>
      </c>
      <c r="L11" s="844">
        <f t="shared" si="6"/>
      </c>
      <c r="M11" s="844">
        <f t="shared" si="7"/>
      </c>
      <c r="N11" s="203"/>
      <c r="O11" s="203"/>
      <c r="P11" s="846"/>
      <c r="Q11" s="849"/>
      <c r="R11" s="850"/>
      <c r="S11" s="851"/>
      <c r="T11" s="851"/>
      <c r="U11" s="846">
        <f t="shared" si="16"/>
      </c>
      <c r="V11" s="203">
        <f t="shared" si="8"/>
      </c>
      <c r="W11" s="203">
        <f t="shared" si="9"/>
      </c>
      <c r="X11" s="202">
        <f t="shared" si="10"/>
      </c>
      <c r="Y11" s="202">
        <f t="shared" si="11"/>
      </c>
      <c r="Z11" s="202">
        <f t="shared" si="17"/>
      </c>
      <c r="AA11" s="202">
        <f t="shared" si="12"/>
      </c>
      <c r="AB11" s="846">
        <f t="shared" si="13"/>
      </c>
    </row>
    <row r="12" spans="1:28" s="204" customFormat="1">
      <c r="A12" s="848">
        <v>5</v>
      </c>
      <c r="B12" s="209">
        <f t="shared" si="14"/>
      </c>
      <c r="C12" s="844">
        <f t="shared" si="0"/>
      </c>
      <c r="D12" s="844">
        <f t="shared" si="1"/>
      </c>
      <c r="E12" s="844">
        <f t="shared" si="2"/>
      </c>
      <c r="F12" s="844">
        <f t="shared" si="3"/>
      </c>
      <c r="H12" s="848">
        <v>5</v>
      </c>
      <c r="I12" s="209">
        <f t="shared" si="15"/>
      </c>
      <c r="J12" s="844">
        <f t="shared" si="4"/>
      </c>
      <c r="K12" s="844">
        <f t="shared" si="5"/>
      </c>
      <c r="L12" s="844">
        <f t="shared" si="6"/>
      </c>
      <c r="M12" s="844">
        <f t="shared" si="7"/>
      </c>
      <c r="N12" s="203"/>
      <c r="O12" s="203"/>
      <c r="P12" s="846"/>
      <c r="Q12" s="846"/>
      <c r="R12" s="846"/>
      <c r="U12" s="846">
        <f t="shared" si="16"/>
      </c>
      <c r="V12" s="203">
        <f t="shared" si="8"/>
      </c>
      <c r="W12" s="203">
        <f t="shared" si="9"/>
      </c>
      <c r="X12" s="202">
        <f t="shared" si="10"/>
      </c>
      <c r="Y12" s="202">
        <f t="shared" si="11"/>
      </c>
      <c r="Z12" s="202">
        <f t="shared" si="17"/>
      </c>
      <c r="AA12" s="202">
        <f t="shared" si="12"/>
      </c>
      <c r="AB12" s="846">
        <f t="shared" si="13"/>
      </c>
    </row>
    <row r="13" spans="1:28" s="204" customFormat="1">
      <c r="A13" s="843">
        <v>6</v>
      </c>
      <c r="B13" s="209">
        <f t="shared" si="14"/>
      </c>
      <c r="C13" s="844">
        <f t="shared" si="0"/>
      </c>
      <c r="D13" s="844">
        <f t="shared" si="1"/>
      </c>
      <c r="E13" s="844">
        <f t="shared" si="2"/>
      </c>
      <c r="F13" s="844">
        <f t="shared" si="3"/>
      </c>
      <c r="H13" s="843">
        <v>6</v>
      </c>
      <c r="I13" s="209">
        <f t="shared" si="15"/>
      </c>
      <c r="J13" s="844">
        <f t="shared" si="4"/>
      </c>
      <c r="K13" s="844">
        <f t="shared" si="5"/>
      </c>
      <c r="L13" s="844">
        <f t="shared" si="6"/>
      </c>
      <c r="M13" s="844">
        <f t="shared" si="7"/>
      </c>
      <c r="N13" s="203"/>
      <c r="O13" s="203"/>
      <c r="Q13" s="846"/>
      <c r="R13" s="846"/>
      <c r="U13" s="846">
        <f t="shared" si="16"/>
      </c>
      <c r="V13" s="203">
        <f t="shared" si="8"/>
      </c>
      <c r="W13" s="203">
        <f t="shared" si="9"/>
      </c>
      <c r="X13" s="202">
        <f t="shared" si="10"/>
      </c>
      <c r="Y13" s="202">
        <f t="shared" si="11"/>
      </c>
      <c r="Z13" s="202">
        <f t="shared" si="17"/>
      </c>
      <c r="AA13" s="202">
        <f t="shared" si="12"/>
      </c>
      <c r="AB13" s="846">
        <f t="shared" si="13"/>
      </c>
    </row>
    <row r="14" spans="1:28" s="204" customFormat="1">
      <c r="A14" s="848">
        <v>7</v>
      </c>
      <c r="B14" s="209">
        <f t="shared" si="14"/>
      </c>
      <c r="C14" s="844">
        <f t="shared" si="0"/>
      </c>
      <c r="D14" s="844">
        <f t="shared" si="1"/>
      </c>
      <c r="E14" s="844">
        <f t="shared" si="2"/>
      </c>
      <c r="F14" s="844">
        <f t="shared" si="3"/>
      </c>
      <c r="H14" s="848">
        <v>7</v>
      </c>
      <c r="I14" s="209">
        <f t="shared" si="15"/>
      </c>
      <c r="J14" s="844">
        <f t="shared" si="4"/>
      </c>
      <c r="K14" s="844">
        <f t="shared" si="5"/>
      </c>
      <c r="L14" s="844">
        <f t="shared" si="6"/>
      </c>
      <c r="M14" s="844">
        <f t="shared" si="7"/>
      </c>
      <c r="N14" s="203"/>
      <c r="O14" s="203"/>
      <c r="P14" s="846"/>
      <c r="Q14" s="846"/>
      <c r="R14" s="846"/>
      <c r="U14" s="846">
        <f t="shared" si="16"/>
      </c>
      <c r="V14" s="203">
        <f t="shared" si="8"/>
      </c>
      <c r="W14" s="203">
        <f t="shared" si="9"/>
      </c>
      <c r="X14" s="202">
        <f t="shared" si="10"/>
      </c>
      <c r="Y14" s="202">
        <f t="shared" si="11"/>
      </c>
      <c r="Z14" s="202">
        <f t="shared" si="17"/>
      </c>
      <c r="AA14" s="202">
        <f t="shared" si="12"/>
      </c>
      <c r="AB14" s="846">
        <f t="shared" si="13"/>
      </c>
    </row>
    <row r="15" spans="1:28" s="204" customFormat="1" ht="14.4">
      <c r="A15" s="843">
        <v>8</v>
      </c>
      <c r="B15" s="209">
        <f t="shared" si="14"/>
      </c>
      <c r="C15" s="844">
        <f t="shared" si="0"/>
      </c>
      <c r="D15" s="844">
        <f t="shared" si="1"/>
      </c>
      <c r="E15" s="844">
        <f t="shared" si="2"/>
      </c>
      <c r="F15" s="844">
        <f t="shared" si="3"/>
      </c>
      <c r="H15" s="843">
        <v>8</v>
      </c>
      <c r="I15" s="209">
        <f t="shared" si="15"/>
      </c>
      <c r="J15" s="844">
        <f t="shared" si="4"/>
      </c>
      <c r="K15" s="844">
        <f t="shared" si="5"/>
      </c>
      <c r="L15" s="844">
        <f t="shared" si="6"/>
      </c>
      <c r="M15" s="844">
        <f t="shared" si="7"/>
      </c>
      <c r="N15" s="203"/>
      <c r="O15" s="203"/>
      <c r="P15" s="1963" t="s">
        <v>852</v>
      </c>
      <c r="Q15" s="1963"/>
      <c r="R15" s="846"/>
      <c r="U15" s="846">
        <f t="shared" si="16"/>
      </c>
      <c r="V15" s="203">
        <f t="shared" si="8"/>
      </c>
      <c r="W15" s="203">
        <f t="shared" si="9"/>
      </c>
      <c r="X15" s="202">
        <f t="shared" si="10"/>
      </c>
      <c r="Y15" s="202">
        <f t="shared" si="11"/>
      </c>
      <c r="Z15" s="202">
        <f t="shared" si="17"/>
      </c>
      <c r="AA15" s="202">
        <f t="shared" si="12"/>
      </c>
      <c r="AB15" s="846">
        <f t="shared" si="13"/>
      </c>
    </row>
    <row r="16" spans="1:28" s="204" customFormat="1" ht="14.4">
      <c r="A16" s="848">
        <v>9</v>
      </c>
      <c r="B16" s="209">
        <f t="shared" si="14"/>
      </c>
      <c r="C16" s="844">
        <f t="shared" si="0"/>
      </c>
      <c r="D16" s="844">
        <f t="shared" si="1"/>
      </c>
      <c r="E16" s="844">
        <f t="shared" si="2"/>
      </c>
      <c r="F16" s="844">
        <f t="shared" si="3"/>
      </c>
      <c r="H16" s="848">
        <v>9</v>
      </c>
      <c r="I16" s="209">
        <f t="shared" si="15"/>
      </c>
      <c r="J16" s="844">
        <f t="shared" si="4"/>
      </c>
      <c r="K16" s="844">
        <f t="shared" si="5"/>
      </c>
      <c r="L16" s="844">
        <f t="shared" si="6"/>
      </c>
      <c r="M16" s="844">
        <f t="shared" si="7"/>
      </c>
      <c r="N16" s="203"/>
      <c r="O16" s="203"/>
      <c r="P16" s="853" t="s">
        <v>853</v>
      </c>
      <c r="Q16" s="854">
        <f>'Usulan Pembiayaan'!M82</f>
      </c>
      <c r="R16" s="855">
        <f>IF(Q16="Flat",P5,P4)</f>
      </c>
      <c r="U16" s="846">
        <f t="shared" si="16"/>
      </c>
      <c r="V16" s="203">
        <f t="shared" si="8"/>
      </c>
      <c r="W16" s="203">
        <f t="shared" si="9"/>
      </c>
      <c r="X16" s="202">
        <f t="shared" si="10"/>
      </c>
      <c r="Y16" s="202">
        <f t="shared" si="11"/>
      </c>
      <c r="Z16" s="202">
        <f t="shared" si="17"/>
      </c>
      <c r="AA16" s="202">
        <f t="shared" si="12"/>
      </c>
      <c r="AB16" s="846">
        <f t="shared" si="13"/>
      </c>
    </row>
    <row r="17" spans="1:28" s="204" customFormat="1" ht="14.4">
      <c r="A17" s="843">
        <v>10</v>
      </c>
      <c r="B17" s="209">
        <f t="shared" si="14"/>
      </c>
      <c r="C17" s="844">
        <f t="shared" si="0"/>
      </c>
      <c r="D17" s="844">
        <f t="shared" si="1"/>
      </c>
      <c r="E17" s="844">
        <f t="shared" si="2"/>
      </c>
      <c r="F17" s="844">
        <f t="shared" si="3"/>
      </c>
      <c r="H17" s="843">
        <v>10</v>
      </c>
      <c r="I17" s="209">
        <f t="shared" si="15"/>
      </c>
      <c r="J17" s="844">
        <f t="shared" si="4"/>
      </c>
      <c r="K17" s="844">
        <f t="shared" si="5"/>
      </c>
      <c r="L17" s="844">
        <f t="shared" si="6"/>
      </c>
      <c r="M17" s="844">
        <f t="shared" si="7"/>
      </c>
      <c r="N17" s="203"/>
      <c r="O17" s="203"/>
      <c r="P17" s="853" t="s">
        <v>854</v>
      </c>
      <c r="Q17" s="856">
        <f>'Usulan Pembiayaan'!J80</f>
      </c>
      <c r="R17" s="846"/>
      <c r="U17" s="846">
        <f t="shared" si="16"/>
      </c>
      <c r="V17" s="203">
        <f t="shared" si="8"/>
      </c>
      <c r="W17" s="203">
        <f t="shared" si="9"/>
      </c>
      <c r="X17" s="202">
        <f t="shared" si="10"/>
      </c>
      <c r="Y17" s="202">
        <f t="shared" si="11"/>
      </c>
      <c r="Z17" s="202">
        <f t="shared" si="17"/>
      </c>
      <c r="AA17" s="202">
        <f t="shared" si="12"/>
      </c>
      <c r="AB17" s="846">
        <f t="shared" si="13"/>
      </c>
    </row>
    <row r="18" spans="1:28" s="204" customFormat="1" ht="14.4">
      <c r="A18" s="848">
        <v>11</v>
      </c>
      <c r="B18" s="209">
        <f t="shared" si="14"/>
      </c>
      <c r="C18" s="844">
        <f t="shared" si="0"/>
      </c>
      <c r="D18" s="844">
        <f t="shared" si="1"/>
      </c>
      <c r="E18" s="844">
        <f t="shared" si="2"/>
      </c>
      <c r="F18" s="844">
        <f t="shared" si="3"/>
      </c>
      <c r="H18" s="848">
        <v>11</v>
      </c>
      <c r="I18" s="209">
        <f t="shared" si="15"/>
      </c>
      <c r="J18" s="844">
        <f t="shared" si="4"/>
      </c>
      <c r="K18" s="844">
        <f t="shared" si="5"/>
      </c>
      <c r="L18" s="844">
        <f t="shared" si="6"/>
      </c>
      <c r="M18" s="844">
        <f t="shared" si="7"/>
      </c>
      <c r="N18" s="203"/>
      <c r="O18" s="203"/>
      <c r="P18" s="853" t="s">
        <v>3</v>
      </c>
      <c r="Q18" s="857">
        <f>'Usulan Pembiayaan'!J81</f>
      </c>
      <c r="R18" s="846"/>
      <c r="U18" s="846">
        <f t="shared" si="16"/>
      </c>
      <c r="V18" s="203">
        <f t="shared" si="8"/>
      </c>
      <c r="W18" s="203">
        <f t="shared" si="9"/>
      </c>
      <c r="X18" s="202">
        <f t="shared" si="10"/>
      </c>
      <c r="Y18" s="202">
        <f t="shared" si="11"/>
      </c>
      <c r="Z18" s="202">
        <f t="shared" si="17"/>
      </c>
      <c r="AA18" s="202">
        <f t="shared" si="12"/>
      </c>
      <c r="AB18" s="846">
        <f t="shared" si="13"/>
      </c>
    </row>
    <row r="19" spans="1:28" s="204" customFormat="1" ht="14.4">
      <c r="A19" s="843">
        <v>12</v>
      </c>
      <c r="B19" s="209">
        <f t="shared" si="14"/>
      </c>
      <c r="C19" s="844">
        <f t="shared" si="0"/>
      </c>
      <c r="D19" s="844">
        <f t="shared" si="1"/>
      </c>
      <c r="E19" s="844">
        <f t="shared" si="2"/>
      </c>
      <c r="F19" s="844">
        <f t="shared" si="3"/>
      </c>
      <c r="H19" s="843">
        <v>12</v>
      </c>
      <c r="I19" s="209">
        <f t="shared" si="15"/>
      </c>
      <c r="J19" s="844">
        <f t="shared" si="4"/>
      </c>
      <c r="K19" s="844">
        <f t="shared" si="5"/>
      </c>
      <c r="L19" s="844">
        <f t="shared" si="6"/>
      </c>
      <c r="M19" s="844">
        <f t="shared" si="7"/>
      </c>
      <c r="N19" s="203"/>
      <c r="O19" s="203"/>
      <c r="P19" s="853" t="s">
        <v>855</v>
      </c>
      <c r="Q19" s="858">
        <f>'Usulan Pembiayaan'!J82</f>
      </c>
      <c r="R19" s="846"/>
      <c r="U19" s="846">
        <f t="shared" si="16"/>
      </c>
      <c r="V19" s="203">
        <f t="shared" si="8"/>
      </c>
      <c r="W19" s="203">
        <f t="shared" si="9"/>
      </c>
      <c r="X19" s="202">
        <f t="shared" si="10"/>
      </c>
      <c r="Y19" s="202">
        <f t="shared" si="11"/>
      </c>
      <c r="Z19" s="202">
        <f t="shared" si="17"/>
      </c>
      <c r="AA19" s="202">
        <f t="shared" si="12"/>
      </c>
      <c r="AB19" s="846">
        <f t="shared" si="13"/>
      </c>
    </row>
    <row r="20" spans="1:28" s="204" customFormat="1" ht="14.4">
      <c r="A20" s="848">
        <v>13</v>
      </c>
      <c r="B20" s="209">
        <f t="shared" si="14"/>
      </c>
      <c r="C20" s="844">
        <f t="shared" si="0"/>
      </c>
      <c r="D20" s="844">
        <f t="shared" si="1"/>
      </c>
      <c r="E20" s="844">
        <f t="shared" si="2"/>
      </c>
      <c r="F20" s="844">
        <f t="shared" si="3"/>
      </c>
      <c r="H20" s="848">
        <v>13</v>
      </c>
      <c r="I20" s="209">
        <f t="shared" si="15"/>
      </c>
      <c r="J20" s="844">
        <f t="shared" si="4"/>
      </c>
      <c r="K20" s="844">
        <f t="shared" si="5"/>
      </c>
      <c r="L20" s="844">
        <f t="shared" si="6"/>
      </c>
      <c r="M20" s="844">
        <f t="shared" si="7"/>
      </c>
      <c r="N20" s="203"/>
      <c r="O20" s="203"/>
      <c r="P20" s="853" t="s">
        <v>734</v>
      </c>
      <c r="Q20" s="859">
        <f>IF(Q16="Flat",((Q17/Q18)+(Q17*Q19)),PMT(Q19,Q18,-Q17))</f>
      </c>
      <c r="U20" s="846">
        <f t="shared" si="16"/>
      </c>
      <c r="V20" s="203">
        <f t="shared" si="8"/>
      </c>
      <c r="W20" s="203">
        <f t="shared" si="9"/>
      </c>
      <c r="X20" s="202">
        <f t="shared" si="10"/>
      </c>
      <c r="Y20" s="202">
        <f t="shared" si="11"/>
      </c>
      <c r="Z20" s="202">
        <f t="shared" si="17"/>
      </c>
      <c r="AA20" s="202">
        <f t="shared" si="12"/>
      </c>
      <c r="AB20" s="846">
        <f t="shared" si="13"/>
      </c>
    </row>
    <row r="21" spans="1:28" s="204" customFormat="1" ht="14.4">
      <c r="A21" s="843">
        <v>14</v>
      </c>
      <c r="B21" s="209">
        <f t="shared" si="14"/>
      </c>
      <c r="C21" s="844">
        <f t="shared" si="0"/>
      </c>
      <c r="D21" s="844">
        <f t="shared" si="1"/>
      </c>
      <c r="E21" s="844">
        <f t="shared" si="2"/>
      </c>
      <c r="F21" s="844">
        <f t="shared" si="3"/>
      </c>
      <c r="H21" s="843">
        <v>14</v>
      </c>
      <c r="I21" s="209">
        <f t="shared" si="15"/>
      </c>
      <c r="J21" s="844">
        <f t="shared" si="4"/>
      </c>
      <c r="K21" s="844">
        <f t="shared" si="5"/>
      </c>
      <c r="L21" s="844">
        <f t="shared" si="6"/>
      </c>
      <c r="M21" s="844">
        <f t="shared" si="7"/>
      </c>
      <c r="N21" s="203"/>
      <c r="O21" s="203"/>
      <c r="P21" s="860"/>
      <c r="Q21" s="860"/>
      <c r="U21" s="846">
        <f t="shared" si="16"/>
      </c>
      <c r="V21" s="203">
        <f t="shared" si="8"/>
      </c>
      <c r="W21" s="203">
        <f t="shared" si="9"/>
      </c>
      <c r="X21" s="202">
        <f t="shared" si="10"/>
      </c>
      <c r="Y21" s="202">
        <f t="shared" si="11"/>
      </c>
      <c r="Z21" s="202">
        <f t="shared" si="17"/>
      </c>
      <c r="AA21" s="202">
        <f t="shared" si="12"/>
      </c>
      <c r="AB21" s="846">
        <f t="shared" si="13"/>
      </c>
    </row>
    <row r="22" spans="1:28" s="204" customFormat="1" ht="14.4">
      <c r="A22" s="848">
        <v>15</v>
      </c>
      <c r="B22" s="209">
        <f t="shared" si="14"/>
      </c>
      <c r="C22" s="844">
        <f t="shared" si="0"/>
      </c>
      <c r="D22" s="844">
        <f t="shared" si="1"/>
      </c>
      <c r="E22" s="844">
        <f t="shared" si="2"/>
      </c>
      <c r="F22" s="844">
        <f t="shared" si="3"/>
      </c>
      <c r="H22" s="848">
        <v>15</v>
      </c>
      <c r="I22" s="209">
        <f t="shared" si="15"/>
      </c>
      <c r="J22" s="844">
        <f t="shared" si="4"/>
      </c>
      <c r="K22" s="844">
        <f t="shared" si="5"/>
      </c>
      <c r="L22" s="844">
        <f t="shared" si="6"/>
      </c>
      <c r="M22" s="844">
        <f t="shared" si="7"/>
      </c>
      <c r="N22" s="203"/>
      <c r="O22" s="203"/>
      <c r="P22" s="1963" t="s">
        <v>856</v>
      </c>
      <c r="Q22" s="1963"/>
      <c r="U22" s="846">
        <f t="shared" si="16"/>
      </c>
      <c r="V22" s="203">
        <f t="shared" si="8"/>
      </c>
      <c r="W22" s="203">
        <f t="shared" si="9"/>
      </c>
      <c r="X22" s="202">
        <f t="shared" si="10"/>
      </c>
      <c r="Y22" s="202">
        <f t="shared" si="11"/>
      </c>
      <c r="Z22" s="202">
        <f t="shared" si="17"/>
      </c>
      <c r="AA22" s="202">
        <f t="shared" si="12"/>
      </c>
      <c r="AB22" s="846">
        <f t="shared" si="13"/>
      </c>
    </row>
    <row r="23" spans="1:28" s="204" customFormat="1" ht="14.4">
      <c r="A23" s="843">
        <v>16</v>
      </c>
      <c r="B23" s="209">
        <f t="shared" si="14"/>
      </c>
      <c r="C23" s="844">
        <f t="shared" si="0"/>
      </c>
      <c r="D23" s="844">
        <f t="shared" si="1"/>
      </c>
      <c r="E23" s="844">
        <f t="shared" si="2"/>
      </c>
      <c r="F23" s="844">
        <f t="shared" si="3"/>
      </c>
      <c r="H23" s="843">
        <v>16</v>
      </c>
      <c r="I23" s="209">
        <f t="shared" si="15"/>
      </c>
      <c r="J23" s="844">
        <f t="shared" si="4"/>
      </c>
      <c r="K23" s="844">
        <f t="shared" si="5"/>
      </c>
      <c r="L23" s="844">
        <f t="shared" si="6"/>
      </c>
      <c r="M23" s="844">
        <f t="shared" si="7"/>
      </c>
      <c r="N23" s="203"/>
      <c r="O23" s="203"/>
      <c r="P23" s="853" t="s">
        <v>853</v>
      </c>
      <c r="Q23" s="861">
        <f>IF(Q16="Flat","Efektif","Flat")</f>
      </c>
      <c r="U23" s="846">
        <f t="shared" si="16"/>
      </c>
      <c r="V23" s="203">
        <f t="shared" si="8"/>
      </c>
      <c r="W23" s="203">
        <f t="shared" si="9"/>
      </c>
      <c r="X23" s="202">
        <f t="shared" si="10"/>
      </c>
      <c r="Y23" s="202">
        <f t="shared" si="11"/>
      </c>
      <c r="Z23" s="202">
        <f t="shared" si="17"/>
      </c>
      <c r="AA23" s="202">
        <f t="shared" si="12"/>
      </c>
      <c r="AB23" s="846">
        <f t="shared" si="13"/>
      </c>
    </row>
    <row r="24" spans="1:28" s="204" customFormat="1" ht="14.4">
      <c r="A24" s="848">
        <v>17</v>
      </c>
      <c r="B24" s="209">
        <f t="shared" si="14"/>
      </c>
      <c r="C24" s="844">
        <f t="shared" si="0"/>
      </c>
      <c r="D24" s="844">
        <f t="shared" si="1"/>
      </c>
      <c r="E24" s="844">
        <f t="shared" si="2"/>
      </c>
      <c r="F24" s="844">
        <f t="shared" si="3"/>
      </c>
      <c r="H24" s="848">
        <v>17</v>
      </c>
      <c r="I24" s="209">
        <f t="shared" si="15"/>
      </c>
      <c r="J24" s="844">
        <f t="shared" si="4"/>
      </c>
      <c r="K24" s="844">
        <f t="shared" si="5"/>
      </c>
      <c r="L24" s="844">
        <f t="shared" si="6"/>
      </c>
      <c r="M24" s="844">
        <f t="shared" si="7"/>
      </c>
      <c r="N24" s="203"/>
      <c r="O24" s="203"/>
      <c r="P24" s="853" t="s">
        <v>855</v>
      </c>
      <c r="Q24" s="862">
        <f>IF(Q23="Flat",((Q20/Q17)-(1/Q18)),RATE(Q18,Q20,-Q17))</f>
      </c>
      <c r="U24" s="846">
        <f t="shared" si="16"/>
      </c>
      <c r="V24" s="203">
        <f t="shared" si="8"/>
      </c>
      <c r="W24" s="203">
        <f t="shared" si="9"/>
      </c>
      <c r="X24" s="202">
        <f t="shared" si="10"/>
      </c>
      <c r="Y24" s="202">
        <f t="shared" si="11"/>
      </c>
      <c r="Z24" s="202">
        <f t="shared" si="17"/>
      </c>
      <c r="AA24" s="202">
        <f t="shared" si="12"/>
      </c>
      <c r="AB24" s="846">
        <f t="shared" si="13"/>
      </c>
    </row>
    <row r="25" spans="1:28" s="204" customFormat="1" ht="14.4">
      <c r="A25" s="843">
        <v>18</v>
      </c>
      <c r="B25" s="209">
        <f t="shared" si="14"/>
      </c>
      <c r="C25" s="844">
        <f t="shared" si="0"/>
      </c>
      <c r="D25" s="844">
        <f t="shared" si="1"/>
      </c>
      <c r="E25" s="844">
        <f t="shared" si="2"/>
      </c>
      <c r="F25" s="844">
        <f t="shared" si="3"/>
      </c>
      <c r="H25" s="843">
        <v>18</v>
      </c>
      <c r="I25" s="209">
        <f t="shared" si="15"/>
      </c>
      <c r="J25" s="844">
        <f t="shared" si="4"/>
      </c>
      <c r="K25" s="844">
        <f t="shared" si="5"/>
      </c>
      <c r="L25" s="844">
        <f t="shared" si="6"/>
      </c>
      <c r="M25" s="844">
        <f t="shared" si="7"/>
      </c>
      <c r="N25" s="203"/>
      <c r="O25" s="203"/>
      <c r="P25" s="853" t="s">
        <v>734</v>
      </c>
      <c r="Q25" s="859">
        <f>IF(Q23="Flat",((Q17/Q18)+(Q17*Q24)),IF(Q23="Efektif",PMT(Q24,Q18,-Q17)))</f>
      </c>
      <c r="U25" s="846">
        <f t="shared" si="16"/>
      </c>
      <c r="V25" s="203">
        <f t="shared" si="8"/>
      </c>
      <c r="W25" s="203">
        <f t="shared" si="9"/>
      </c>
      <c r="X25" s="202">
        <f t="shared" si="10"/>
      </c>
      <c r="Y25" s="202">
        <f t="shared" si="11"/>
      </c>
      <c r="Z25" s="202">
        <f t="shared" si="17"/>
      </c>
      <c r="AA25" s="202">
        <f t="shared" si="12"/>
      </c>
      <c r="AB25" s="846">
        <f t="shared" si="13"/>
      </c>
    </row>
    <row r="26" spans="1:28" s="204" customFormat="1" ht="14.4">
      <c r="A26" s="848">
        <v>19</v>
      </c>
      <c r="B26" s="209">
        <f t="shared" si="14"/>
      </c>
      <c r="C26" s="844">
        <f t="shared" si="0"/>
      </c>
      <c r="D26" s="844">
        <f t="shared" si="1"/>
      </c>
      <c r="E26" s="844">
        <f t="shared" si="2"/>
      </c>
      <c r="F26" s="844">
        <f t="shared" si="3"/>
      </c>
      <c r="H26" s="848">
        <v>19</v>
      </c>
      <c r="I26" s="209">
        <f t="shared" si="15"/>
      </c>
      <c r="J26" s="844">
        <f t="shared" si="4"/>
      </c>
      <c r="K26" s="844">
        <f t="shared" si="5"/>
      </c>
      <c r="L26" s="844">
        <f t="shared" si="6"/>
      </c>
      <c r="M26" s="844">
        <f t="shared" si="7"/>
      </c>
      <c r="N26" s="203"/>
      <c r="O26" s="203"/>
      <c r="P26" s="860"/>
      <c r="Q26" s="860"/>
      <c r="U26" s="846">
        <f t="shared" si="16"/>
      </c>
      <c r="V26" s="203">
        <f t="shared" si="8"/>
      </c>
      <c r="W26" s="203">
        <f t="shared" si="9"/>
      </c>
      <c r="X26" s="202">
        <f t="shared" si="10"/>
      </c>
      <c r="Y26" s="202">
        <f t="shared" si="11"/>
      </c>
      <c r="Z26" s="202">
        <f t="shared" si="17"/>
      </c>
      <c r="AA26" s="202">
        <f t="shared" si="12"/>
      </c>
      <c r="AB26" s="846">
        <f t="shared" si="13"/>
      </c>
    </row>
    <row r="27" spans="1:28" s="204" customFormat="1" ht="14.4">
      <c r="A27" s="843">
        <v>20</v>
      </c>
      <c r="B27" s="209">
        <f t="shared" si="14"/>
      </c>
      <c r="C27" s="844">
        <f t="shared" si="0"/>
      </c>
      <c r="D27" s="844">
        <f t="shared" si="1"/>
      </c>
      <c r="E27" s="844">
        <f t="shared" si="2"/>
      </c>
      <c r="F27" s="844">
        <f t="shared" si="3"/>
      </c>
      <c r="H27" s="843">
        <v>20</v>
      </c>
      <c r="I27" s="209">
        <f t="shared" si="15"/>
      </c>
      <c r="J27" s="844">
        <f t="shared" si="4"/>
      </c>
      <c r="K27" s="844">
        <f t="shared" si="5"/>
      </c>
      <c r="L27" s="844">
        <f t="shared" si="6"/>
      </c>
      <c r="M27" s="844">
        <f t="shared" si="7"/>
      </c>
      <c r="N27" s="203"/>
      <c r="O27" s="203"/>
      <c r="P27" s="863" t="s">
        <v>857</v>
      </c>
      <c r="Q27" s="852" t="s">
        <v>858</v>
      </c>
      <c r="U27" s="846">
        <f t="shared" si="16"/>
      </c>
      <c r="V27" s="203">
        <f t="shared" si="8"/>
      </c>
      <c r="W27" s="203">
        <f t="shared" si="9"/>
      </c>
      <c r="X27" s="202">
        <f t="shared" si="10"/>
      </c>
      <c r="Y27" s="202">
        <f t="shared" si="11"/>
      </c>
      <c r="Z27" s="202">
        <f t="shared" si="17"/>
      </c>
      <c r="AA27" s="202">
        <f t="shared" si="12"/>
      </c>
      <c r="AB27" s="846">
        <f t="shared" si="13"/>
      </c>
    </row>
    <row r="28" spans="1:28" s="204" customFormat="1" ht="14.4">
      <c r="A28" s="848">
        <v>21</v>
      </c>
      <c r="B28" s="209">
        <f t="shared" si="14"/>
      </c>
      <c r="C28" s="844">
        <f t="shared" si="0"/>
      </c>
      <c r="D28" s="844">
        <f t="shared" si="1"/>
      </c>
      <c r="E28" s="844">
        <f t="shared" si="2"/>
      </c>
      <c r="F28" s="844">
        <f t="shared" si="3"/>
      </c>
      <c r="H28" s="848">
        <v>21</v>
      </c>
      <c r="I28" s="209">
        <f t="shared" si="15"/>
      </c>
      <c r="J28" s="844">
        <f t="shared" si="4"/>
      </c>
      <c r="K28" s="844">
        <f t="shared" si="5"/>
      </c>
      <c r="L28" s="844">
        <f t="shared" si="6"/>
      </c>
      <c r="M28" s="844">
        <f t="shared" si="7"/>
      </c>
      <c r="N28" s="203"/>
      <c r="O28" s="864">
        <f>P28*12</f>
      </c>
      <c r="P28" s="865">
        <f>IF(Q23="Flat",Q24,IF(Q23="Efektif",Q19))</f>
      </c>
      <c r="Q28" s="862">
        <f>IF(Q23="Efektif",Q24,IF(Q23="Flat",Q19))</f>
      </c>
      <c r="R28" s="851">
        <f>Q28*12</f>
      </c>
      <c r="U28" s="846">
        <f t="shared" si="16"/>
      </c>
      <c r="V28" s="203">
        <f t="shared" si="8"/>
      </c>
      <c r="W28" s="203">
        <f t="shared" si="9"/>
      </c>
      <c r="X28" s="202">
        <f t="shared" si="10"/>
      </c>
      <c r="Y28" s="202">
        <f t="shared" si="11"/>
      </c>
      <c r="Z28" s="202">
        <f t="shared" si="17"/>
      </c>
      <c r="AA28" s="202">
        <f t="shared" si="12"/>
      </c>
      <c r="AB28" s="846">
        <f t="shared" si="13"/>
      </c>
    </row>
    <row r="29" spans="1:28" s="204" customFormat="1">
      <c r="A29" s="843">
        <v>22</v>
      </c>
      <c r="B29" s="209">
        <f t="shared" si="14"/>
      </c>
      <c r="C29" s="844">
        <f t="shared" si="0"/>
      </c>
      <c r="D29" s="844">
        <f t="shared" si="1"/>
      </c>
      <c r="E29" s="844">
        <f t="shared" si="2"/>
      </c>
      <c r="F29" s="844">
        <f t="shared" si="3"/>
      </c>
      <c r="H29" s="843">
        <v>22</v>
      </c>
      <c r="I29" s="209">
        <f t="shared" si="15"/>
      </c>
      <c r="J29" s="844">
        <f t="shared" si="4"/>
      </c>
      <c r="K29" s="844">
        <f t="shared" si="5"/>
      </c>
      <c r="L29" s="844">
        <f t="shared" si="6"/>
      </c>
      <c r="M29" s="844">
        <f t="shared" si="7"/>
      </c>
      <c r="N29" s="203"/>
      <c r="O29" s="203"/>
      <c r="P29" s="846"/>
      <c r="U29" s="846">
        <f t="shared" si="16"/>
      </c>
      <c r="V29" s="203">
        <f t="shared" si="8"/>
      </c>
      <c r="W29" s="203">
        <f t="shared" si="9"/>
      </c>
      <c r="X29" s="202">
        <f t="shared" si="10"/>
      </c>
      <c r="Y29" s="202">
        <f t="shared" si="11"/>
      </c>
      <c r="Z29" s="202">
        <f t="shared" si="17"/>
      </c>
      <c r="AA29" s="202">
        <f t="shared" si="12"/>
      </c>
      <c r="AB29" s="846">
        <f t="shared" si="13"/>
      </c>
    </row>
    <row r="30" spans="1:28" s="204" customFormat="1">
      <c r="A30" s="848">
        <v>23</v>
      </c>
      <c r="B30" s="209">
        <f t="shared" si="14"/>
      </c>
      <c r="C30" s="844">
        <f t="shared" si="0"/>
      </c>
      <c r="D30" s="844">
        <f t="shared" si="1"/>
      </c>
      <c r="E30" s="844">
        <f t="shared" si="2"/>
      </c>
      <c r="F30" s="844">
        <f t="shared" si="3"/>
      </c>
      <c r="H30" s="848">
        <v>23</v>
      </c>
      <c r="I30" s="209">
        <f t="shared" si="15"/>
      </c>
      <c r="J30" s="844">
        <f t="shared" si="4"/>
      </c>
      <c r="K30" s="844">
        <f t="shared" si="5"/>
      </c>
      <c r="L30" s="844">
        <f t="shared" si="6"/>
      </c>
      <c r="M30" s="844">
        <f t="shared" si="7"/>
      </c>
      <c r="N30" s="203"/>
      <c r="O30" s="203"/>
      <c r="P30" s="846"/>
      <c r="U30" s="846">
        <f t="shared" si="16"/>
      </c>
      <c r="V30" s="203">
        <f t="shared" si="8"/>
      </c>
      <c r="W30" s="203">
        <f t="shared" si="9"/>
      </c>
      <c r="X30" s="202">
        <f t="shared" si="10"/>
      </c>
      <c r="Y30" s="202">
        <f t="shared" si="11"/>
      </c>
      <c r="Z30" s="202">
        <f t="shared" si="17"/>
      </c>
      <c r="AA30" s="202">
        <f t="shared" si="12"/>
      </c>
      <c r="AB30" s="846">
        <f t="shared" si="13"/>
      </c>
    </row>
    <row r="31" spans="1:28" s="204" customFormat="1">
      <c r="A31" s="843">
        <v>24</v>
      </c>
      <c r="B31" s="209">
        <f t="shared" si="14"/>
      </c>
      <c r="C31" s="844">
        <f t="shared" si="0"/>
      </c>
      <c r="D31" s="844">
        <f t="shared" si="1"/>
      </c>
      <c r="E31" s="844">
        <f t="shared" si="2"/>
      </c>
      <c r="F31" s="844">
        <f t="shared" si="3"/>
      </c>
      <c r="H31" s="843">
        <v>24</v>
      </c>
      <c r="I31" s="209">
        <f t="shared" si="15"/>
      </c>
      <c r="J31" s="844">
        <f t="shared" si="4"/>
      </c>
      <c r="K31" s="844">
        <f t="shared" si="5"/>
      </c>
      <c r="L31" s="844">
        <f t="shared" si="6"/>
      </c>
      <c r="M31" s="844">
        <f t="shared" si="7"/>
      </c>
      <c r="N31" s="203"/>
      <c r="O31" s="203"/>
      <c r="P31" s="846"/>
      <c r="U31" s="846">
        <f t="shared" si="16"/>
      </c>
      <c r="V31" s="203">
        <f t="shared" si="8"/>
      </c>
      <c r="W31" s="203">
        <f t="shared" si="9"/>
      </c>
      <c r="X31" s="202">
        <f t="shared" si="10"/>
      </c>
      <c r="Y31" s="202">
        <f t="shared" si="11"/>
      </c>
      <c r="Z31" s="202">
        <f t="shared" si="17"/>
      </c>
      <c r="AA31" s="202">
        <f t="shared" si="12"/>
      </c>
      <c r="AB31" s="846">
        <f t="shared" si="13"/>
      </c>
    </row>
    <row r="32" spans="1:28" s="204" customFormat="1">
      <c r="A32" s="848">
        <v>25</v>
      </c>
      <c r="B32" s="209">
        <f t="shared" si="14"/>
      </c>
      <c r="C32" s="844">
        <f t="shared" si="0"/>
      </c>
      <c r="D32" s="844">
        <f t="shared" si="1"/>
      </c>
      <c r="E32" s="844">
        <f t="shared" si="2"/>
      </c>
      <c r="F32" s="844">
        <f t="shared" si="3"/>
      </c>
      <c r="H32" s="848">
        <v>25</v>
      </c>
      <c r="I32" s="209">
        <f t="shared" si="15"/>
      </c>
      <c r="J32" s="844">
        <f t="shared" si="4"/>
      </c>
      <c r="K32" s="844">
        <f t="shared" si="5"/>
      </c>
      <c r="L32" s="844">
        <f t="shared" si="6"/>
      </c>
      <c r="M32" s="844">
        <f t="shared" si="7"/>
      </c>
      <c r="N32" s="203"/>
      <c r="O32" s="203"/>
      <c r="P32" s="846"/>
      <c r="U32" s="846">
        <f t="shared" si="16"/>
      </c>
      <c r="V32" s="203">
        <f t="shared" si="8"/>
      </c>
      <c r="W32" s="203">
        <f t="shared" si="9"/>
      </c>
      <c r="X32" s="202">
        <f t="shared" si="10"/>
      </c>
      <c r="Y32" s="202">
        <f t="shared" si="11"/>
      </c>
      <c r="Z32" s="202">
        <f t="shared" si="17"/>
      </c>
      <c r="AA32" s="202">
        <f t="shared" si="12"/>
      </c>
      <c r="AB32" s="846">
        <f t="shared" si="13"/>
      </c>
    </row>
    <row r="33" spans="1:28" s="204" customFormat="1">
      <c r="A33" s="843">
        <v>26</v>
      </c>
      <c r="B33" s="209">
        <f t="shared" si="14"/>
      </c>
      <c r="C33" s="844">
        <f t="shared" si="0"/>
      </c>
      <c r="D33" s="844">
        <f t="shared" si="1"/>
      </c>
      <c r="E33" s="844">
        <f t="shared" si="2"/>
      </c>
      <c r="F33" s="844">
        <f t="shared" si="3"/>
      </c>
      <c r="H33" s="843">
        <v>26</v>
      </c>
      <c r="I33" s="209">
        <f t="shared" si="15"/>
      </c>
      <c r="J33" s="844">
        <f t="shared" si="4"/>
      </c>
      <c r="K33" s="844">
        <f t="shared" si="5"/>
      </c>
      <c r="L33" s="844">
        <f t="shared" si="6"/>
      </c>
      <c r="M33" s="844">
        <f t="shared" si="7"/>
      </c>
      <c r="N33" s="203"/>
      <c r="O33" s="203"/>
      <c r="P33" s="846"/>
      <c r="U33" s="846">
        <f t="shared" si="16"/>
      </c>
      <c r="V33" s="203">
        <f t="shared" si="8"/>
      </c>
      <c r="W33" s="203">
        <f t="shared" si="9"/>
      </c>
      <c r="X33" s="202">
        <f t="shared" si="10"/>
      </c>
      <c r="Y33" s="202">
        <f t="shared" si="11"/>
      </c>
      <c r="Z33" s="202">
        <f t="shared" si="17"/>
      </c>
      <c r="AA33" s="202">
        <f t="shared" si="12"/>
      </c>
      <c r="AB33" s="846">
        <f t="shared" si="13"/>
      </c>
    </row>
    <row r="34" spans="1:28" s="204" customFormat="1">
      <c r="A34" s="848">
        <v>27</v>
      </c>
      <c r="B34" s="209">
        <f t="shared" si="14"/>
      </c>
      <c r="C34" s="844">
        <f t="shared" si="0"/>
      </c>
      <c r="D34" s="844">
        <f t="shared" si="1"/>
      </c>
      <c r="E34" s="844">
        <f t="shared" si="2"/>
      </c>
      <c r="F34" s="844">
        <f t="shared" si="3"/>
      </c>
      <c r="H34" s="848">
        <v>27</v>
      </c>
      <c r="I34" s="209">
        <f t="shared" si="15"/>
      </c>
      <c r="J34" s="844">
        <f t="shared" si="4"/>
      </c>
      <c r="K34" s="844">
        <f t="shared" si="5"/>
      </c>
      <c r="L34" s="844">
        <f t="shared" si="6"/>
      </c>
      <c r="M34" s="844">
        <f t="shared" si="7"/>
      </c>
      <c r="N34" s="203"/>
      <c r="O34" s="203"/>
      <c r="P34" s="846"/>
      <c r="U34" s="846">
        <f t="shared" si="16"/>
      </c>
      <c r="V34" s="203">
        <f t="shared" si="8"/>
      </c>
      <c r="W34" s="203">
        <f t="shared" si="9"/>
      </c>
      <c r="X34" s="202">
        <f t="shared" si="10"/>
      </c>
      <c r="Y34" s="202">
        <f t="shared" si="11"/>
      </c>
      <c r="Z34" s="202">
        <f t="shared" si="17"/>
      </c>
      <c r="AA34" s="202">
        <f t="shared" si="12"/>
      </c>
      <c r="AB34" s="846">
        <f t="shared" si="13"/>
      </c>
    </row>
    <row r="35" spans="1:28" s="204" customFormat="1">
      <c r="A35" s="843">
        <v>28</v>
      </c>
      <c r="B35" s="209">
        <f t="shared" si="14"/>
      </c>
      <c r="C35" s="844">
        <f t="shared" si="0"/>
      </c>
      <c r="D35" s="844">
        <f t="shared" si="1"/>
      </c>
      <c r="E35" s="844">
        <f t="shared" si="2"/>
      </c>
      <c r="F35" s="844">
        <f t="shared" si="3"/>
      </c>
      <c r="H35" s="843">
        <v>28</v>
      </c>
      <c r="I35" s="209">
        <f t="shared" si="15"/>
      </c>
      <c r="J35" s="844">
        <f t="shared" si="4"/>
      </c>
      <c r="K35" s="844">
        <f t="shared" si="5"/>
      </c>
      <c r="L35" s="844">
        <f t="shared" si="6"/>
      </c>
      <c r="M35" s="844">
        <f t="shared" si="7"/>
      </c>
      <c r="N35" s="203"/>
      <c r="O35" s="203"/>
      <c r="P35" s="846"/>
      <c r="U35" s="846">
        <f t="shared" si="16"/>
      </c>
      <c r="V35" s="203">
        <f t="shared" si="8"/>
      </c>
      <c r="W35" s="203">
        <f t="shared" si="9"/>
      </c>
      <c r="X35" s="202">
        <f t="shared" si="10"/>
      </c>
      <c r="Y35" s="202">
        <f t="shared" si="11"/>
      </c>
      <c r="Z35" s="202">
        <f t="shared" si="17"/>
      </c>
      <c r="AA35" s="202">
        <f t="shared" si="12"/>
      </c>
      <c r="AB35" s="846">
        <f t="shared" si="13"/>
      </c>
    </row>
    <row r="36" spans="1:28" s="204" customFormat="1">
      <c r="A36" s="848">
        <v>29</v>
      </c>
      <c r="B36" s="209">
        <f t="shared" si="14"/>
      </c>
      <c r="C36" s="844">
        <f t="shared" si="0"/>
      </c>
      <c r="D36" s="844">
        <f t="shared" si="1"/>
      </c>
      <c r="E36" s="844">
        <f t="shared" si="2"/>
      </c>
      <c r="F36" s="844">
        <f t="shared" si="3"/>
      </c>
      <c r="H36" s="848">
        <v>29</v>
      </c>
      <c r="I36" s="209">
        <f t="shared" si="15"/>
      </c>
      <c r="J36" s="844">
        <f t="shared" si="4"/>
      </c>
      <c r="K36" s="844">
        <f t="shared" si="5"/>
      </c>
      <c r="L36" s="844">
        <f t="shared" si="6"/>
      </c>
      <c r="M36" s="844">
        <f t="shared" si="7"/>
      </c>
      <c r="N36" s="203"/>
      <c r="O36" s="203"/>
      <c r="P36" s="846"/>
      <c r="U36" s="846">
        <f t="shared" si="16"/>
      </c>
      <c r="V36" s="203">
        <f t="shared" si="8"/>
      </c>
      <c r="W36" s="203">
        <f t="shared" si="9"/>
      </c>
      <c r="X36" s="202">
        <f t="shared" si="10"/>
      </c>
      <c r="Y36" s="202">
        <f t="shared" si="11"/>
      </c>
      <c r="Z36" s="202">
        <f t="shared" si="17"/>
      </c>
      <c r="AA36" s="202">
        <f t="shared" si="12"/>
      </c>
      <c r="AB36" s="846">
        <f t="shared" si="13"/>
      </c>
    </row>
    <row r="37" spans="1:28" s="204" customFormat="1">
      <c r="A37" s="843">
        <v>30</v>
      </c>
      <c r="B37" s="209">
        <f t="shared" si="14"/>
      </c>
      <c r="C37" s="844">
        <f t="shared" si="0"/>
      </c>
      <c r="D37" s="844">
        <f t="shared" si="1"/>
      </c>
      <c r="E37" s="844">
        <f t="shared" si="2"/>
      </c>
      <c r="F37" s="844">
        <f t="shared" si="3"/>
      </c>
      <c r="H37" s="843">
        <v>30</v>
      </c>
      <c r="I37" s="209">
        <f t="shared" si="15"/>
      </c>
      <c r="J37" s="844">
        <f t="shared" si="4"/>
      </c>
      <c r="K37" s="844">
        <f t="shared" si="5"/>
      </c>
      <c r="L37" s="844">
        <f t="shared" si="6"/>
      </c>
      <c r="M37" s="844">
        <f t="shared" si="7"/>
      </c>
      <c r="N37" s="203"/>
      <c r="O37" s="203"/>
      <c r="P37" s="846"/>
      <c r="U37" s="846">
        <f t="shared" si="16"/>
      </c>
      <c r="V37" s="203">
        <f t="shared" si="8"/>
      </c>
      <c r="W37" s="203">
        <f t="shared" si="9"/>
      </c>
      <c r="X37" s="202">
        <f t="shared" si="10"/>
      </c>
      <c r="Y37" s="202">
        <f t="shared" si="11"/>
      </c>
      <c r="Z37" s="202">
        <f t="shared" si="17"/>
      </c>
      <c r="AA37" s="202">
        <f t="shared" si="12"/>
      </c>
      <c r="AB37" s="846">
        <f t="shared" si="13"/>
      </c>
    </row>
    <row r="38" spans="1:28" s="204" customFormat="1">
      <c r="A38" s="848">
        <v>31</v>
      </c>
      <c r="B38" s="209">
        <f t="shared" si="14"/>
      </c>
      <c r="C38" s="844">
        <f t="shared" si="0"/>
      </c>
      <c r="D38" s="844">
        <f t="shared" si="1"/>
      </c>
      <c r="E38" s="844">
        <f t="shared" si="2"/>
      </c>
      <c r="F38" s="844">
        <f t="shared" si="3"/>
      </c>
      <c r="H38" s="848">
        <v>31</v>
      </c>
      <c r="I38" s="209">
        <f t="shared" si="15"/>
      </c>
      <c r="J38" s="844">
        <f t="shared" si="4"/>
      </c>
      <c r="K38" s="844">
        <f t="shared" si="5"/>
      </c>
      <c r="L38" s="844">
        <f t="shared" si="6"/>
      </c>
      <c r="M38" s="844">
        <f t="shared" si="7"/>
      </c>
      <c r="N38" s="203"/>
      <c r="O38" s="203"/>
      <c r="P38" s="846"/>
      <c r="U38" s="846">
        <f t="shared" si="16"/>
      </c>
      <c r="V38" s="203">
        <f t="shared" si="8"/>
      </c>
      <c r="W38" s="203">
        <f t="shared" si="9"/>
      </c>
      <c r="X38" s="202">
        <f t="shared" si="10"/>
      </c>
      <c r="Y38" s="202">
        <f t="shared" si="11"/>
      </c>
      <c r="Z38" s="202">
        <f t="shared" si="17"/>
      </c>
      <c r="AA38" s="202">
        <f t="shared" si="12"/>
      </c>
      <c r="AB38" s="846">
        <f t="shared" si="13"/>
      </c>
    </row>
    <row r="39" spans="1:28" s="204" customFormat="1">
      <c r="A39" s="843">
        <v>32</v>
      </c>
      <c r="B39" s="209">
        <f t="shared" si="14"/>
      </c>
      <c r="C39" s="844">
        <f t="shared" si="0"/>
      </c>
      <c r="D39" s="844">
        <f t="shared" si="1"/>
      </c>
      <c r="E39" s="844">
        <f t="shared" si="2"/>
      </c>
      <c r="F39" s="844">
        <f t="shared" si="3"/>
      </c>
      <c r="H39" s="843">
        <v>32</v>
      </c>
      <c r="I39" s="209">
        <f t="shared" si="15"/>
      </c>
      <c r="J39" s="844">
        <f t="shared" si="4"/>
      </c>
      <c r="K39" s="844">
        <f t="shared" si="5"/>
      </c>
      <c r="L39" s="844">
        <f t="shared" si="6"/>
      </c>
      <c r="M39" s="844">
        <f t="shared" si="7"/>
      </c>
      <c r="N39" s="203"/>
      <c r="O39" s="203"/>
      <c r="P39" s="846"/>
      <c r="U39" s="846">
        <f t="shared" si="16"/>
      </c>
      <c r="V39" s="203">
        <f t="shared" si="8"/>
      </c>
      <c r="W39" s="203">
        <f t="shared" si="9"/>
      </c>
      <c r="X39" s="202">
        <f t="shared" si="10"/>
      </c>
      <c r="Y39" s="202">
        <f t="shared" si="11"/>
      </c>
      <c r="Z39" s="202">
        <f t="shared" si="17"/>
      </c>
      <c r="AA39" s="202">
        <f t="shared" si="12"/>
      </c>
      <c r="AB39" s="846">
        <f t="shared" si="13"/>
      </c>
    </row>
    <row r="40" spans="1:28" s="204" customFormat="1">
      <c r="A40" s="848">
        <v>33</v>
      </c>
      <c r="B40" s="209">
        <f t="shared" si="14"/>
      </c>
      <c r="C40" s="844">
        <f t="shared" si="0"/>
      </c>
      <c r="D40" s="844">
        <f t="shared" si="1"/>
      </c>
      <c r="E40" s="844">
        <f t="shared" si="2"/>
      </c>
      <c r="F40" s="844">
        <f t="shared" si="3"/>
      </c>
      <c r="H40" s="848">
        <v>33</v>
      </c>
      <c r="I40" s="209">
        <f t="shared" si="15"/>
      </c>
      <c r="J40" s="844">
        <f t="shared" si="4"/>
      </c>
      <c r="K40" s="844">
        <f t="shared" si="5"/>
      </c>
      <c r="L40" s="844">
        <f t="shared" si="6"/>
      </c>
      <c r="M40" s="844">
        <f t="shared" si="7"/>
      </c>
      <c r="N40" s="203"/>
      <c r="O40" s="203"/>
      <c r="P40" s="846"/>
      <c r="U40" s="846">
        <f t="shared" si="16"/>
      </c>
      <c r="V40" s="203">
        <f t="shared" si="8"/>
      </c>
      <c r="W40" s="203">
        <f t="shared" si="9"/>
      </c>
      <c r="X40" s="202">
        <f t="shared" si="10"/>
      </c>
      <c r="Y40" s="202">
        <f t="shared" si="11"/>
      </c>
      <c r="Z40" s="202">
        <f t="shared" si="17"/>
      </c>
      <c r="AA40" s="202">
        <f t="shared" si="12"/>
      </c>
      <c r="AB40" s="846">
        <f t="shared" si="13"/>
      </c>
    </row>
    <row r="41" spans="1:28" s="204" customFormat="1">
      <c r="A41" s="843">
        <v>34</v>
      </c>
      <c r="B41" s="209">
        <f t="shared" si="14"/>
      </c>
      <c r="C41" s="844">
        <f t="shared" si="0"/>
      </c>
      <c r="D41" s="844">
        <f t="shared" si="1"/>
      </c>
      <c r="E41" s="844">
        <f t="shared" si="2"/>
      </c>
      <c r="F41" s="844">
        <f t="shared" si="3"/>
      </c>
      <c r="H41" s="843">
        <v>34</v>
      </c>
      <c r="I41" s="209">
        <f t="shared" si="15"/>
      </c>
      <c r="J41" s="844">
        <f t="shared" si="4"/>
      </c>
      <c r="K41" s="844">
        <f t="shared" si="5"/>
      </c>
      <c r="L41" s="844">
        <f t="shared" si="6"/>
      </c>
      <c r="M41" s="844">
        <f t="shared" si="7"/>
      </c>
      <c r="N41" s="203"/>
      <c r="O41" s="203"/>
      <c r="P41" s="846"/>
      <c r="U41" s="846">
        <f t="shared" si="16"/>
      </c>
      <c r="V41" s="203">
        <f t="shared" ref="V41:V72" si="18">IF(A41&lt;=$S$4,V40,0)</f>
      </c>
      <c r="W41" s="203">
        <f t="shared" ref="W41:W72" si="19">IF(A41&lt;=$S$4,W40,0)</f>
      </c>
      <c r="X41" s="202">
        <f t="shared" si="10"/>
      </c>
      <c r="Y41" s="202">
        <f t="shared" ref="Y41:Y72" si="20">IF(A41&lt;=$S$4,Y40-Z40,0)</f>
      </c>
      <c r="Z41" s="202">
        <f t="shared" si="17"/>
      </c>
      <c r="AA41" s="202">
        <f t="shared" ref="AA41:AA72" si="21">IF(A41&lt;=$S$4,Y41*$S$6/12,0)</f>
      </c>
      <c r="AB41" s="846">
        <f t="shared" ref="AB41:AB72" si="22">IF(A41&lt;=$S$4,$AB$8,0)</f>
      </c>
    </row>
    <row r="42" spans="1:28" s="204" customFormat="1">
      <c r="A42" s="848">
        <v>35</v>
      </c>
      <c r="B42" s="209">
        <f t="shared" si="14"/>
      </c>
      <c r="C42" s="844">
        <f t="shared" si="0"/>
      </c>
      <c r="D42" s="844">
        <f t="shared" si="1"/>
      </c>
      <c r="E42" s="844">
        <f t="shared" si="2"/>
      </c>
      <c r="F42" s="844">
        <f t="shared" si="3"/>
      </c>
      <c r="H42" s="848">
        <v>35</v>
      </c>
      <c r="I42" s="209">
        <f t="shared" si="15"/>
      </c>
      <c r="J42" s="844">
        <f t="shared" si="4"/>
      </c>
      <c r="K42" s="844">
        <f t="shared" si="5"/>
      </c>
      <c r="L42" s="844">
        <f t="shared" si="6"/>
      </c>
      <c r="M42" s="844">
        <f t="shared" si="7"/>
      </c>
      <c r="N42" s="203"/>
      <c r="O42" s="203"/>
      <c r="P42" s="846"/>
      <c r="U42" s="846">
        <f t="shared" si="16"/>
      </c>
      <c r="V42" s="203">
        <f t="shared" si="18"/>
      </c>
      <c r="W42" s="203">
        <f t="shared" si="19"/>
      </c>
      <c r="X42" s="202">
        <f t="shared" si="10"/>
      </c>
      <c r="Y42" s="202">
        <f t="shared" si="20"/>
      </c>
      <c r="Z42" s="202">
        <f t="shared" si="17"/>
      </c>
      <c r="AA42" s="202">
        <f t="shared" si="21"/>
      </c>
      <c r="AB42" s="846">
        <f t="shared" si="22"/>
      </c>
    </row>
    <row r="43" spans="1:28" s="204" customFormat="1">
      <c r="A43" s="843">
        <v>36</v>
      </c>
      <c r="B43" s="209">
        <f t="shared" si="14"/>
      </c>
      <c r="C43" s="844">
        <f t="shared" si="0"/>
      </c>
      <c r="D43" s="844">
        <f t="shared" si="1"/>
      </c>
      <c r="E43" s="844">
        <f t="shared" si="2"/>
      </c>
      <c r="F43" s="844">
        <f t="shared" si="3"/>
      </c>
      <c r="H43" s="843">
        <v>36</v>
      </c>
      <c r="I43" s="209">
        <f t="shared" si="15"/>
      </c>
      <c r="J43" s="844">
        <f t="shared" si="4"/>
      </c>
      <c r="K43" s="844">
        <f t="shared" si="5"/>
      </c>
      <c r="L43" s="844">
        <f t="shared" si="6"/>
      </c>
      <c r="M43" s="844">
        <f t="shared" si="7"/>
      </c>
      <c r="N43" s="203"/>
      <c r="O43" s="203"/>
      <c r="P43" s="846"/>
      <c r="Q43" s="204">
        <f>P43-F43</f>
      </c>
      <c r="U43" s="846">
        <f t="shared" si="16"/>
      </c>
      <c r="V43" s="203">
        <f t="shared" si="18"/>
      </c>
      <c r="W43" s="203">
        <f t="shared" si="19"/>
      </c>
      <c r="X43" s="202">
        <f t="shared" si="10"/>
      </c>
      <c r="Y43" s="202">
        <f t="shared" si="20"/>
      </c>
      <c r="Z43" s="202">
        <f t="shared" si="17"/>
      </c>
      <c r="AA43" s="202">
        <f t="shared" si="21"/>
      </c>
      <c r="AB43" s="846">
        <f t="shared" si="22"/>
      </c>
    </row>
    <row r="44" spans="1:28" hidden="1">
      <c r="A44" s="388">
        <v>37</v>
      </c>
      <c r="B44" s="263">
        <f t="shared" si="14"/>
      </c>
      <c r="C44" s="261">
        <f t="shared" si="0"/>
      </c>
      <c r="D44" s="261">
        <f t="shared" si="1"/>
      </c>
      <c r="E44" s="261">
        <f t="shared" si="2"/>
      </c>
      <c r="F44" s="261">
        <f t="shared" si="3"/>
      </c>
      <c r="H44" s="388">
        <v>37</v>
      </c>
      <c r="I44" s="263">
        <f t="shared" si="15"/>
      </c>
      <c r="J44" s="261">
        <f t="shared" si="4"/>
      </c>
      <c r="K44" s="261">
        <f t="shared" si="5"/>
      </c>
      <c r="L44" s="261">
        <f t="shared" si="6"/>
      </c>
      <c r="M44" s="261">
        <f t="shared" si="7"/>
      </c>
      <c r="N44" s="382"/>
      <c r="O44" s="382"/>
      <c r="U44" s="190">
        <f t="shared" si="16"/>
      </c>
      <c r="V44" s="203">
        <f t="shared" si="18"/>
      </c>
      <c r="W44" s="203">
        <f t="shared" si="19"/>
      </c>
      <c r="X44" s="202">
        <f t="shared" si="10"/>
      </c>
      <c r="Y44" s="202">
        <f t="shared" si="20"/>
      </c>
      <c r="Z44" s="202">
        <f t="shared" si="17"/>
      </c>
      <c r="AA44" s="202">
        <f t="shared" si="21"/>
      </c>
      <c r="AB44" s="190">
        <f t="shared" si="22"/>
      </c>
    </row>
    <row r="45" spans="1:28" hidden="1">
      <c r="A45" s="387">
        <v>38</v>
      </c>
      <c r="B45" s="263">
        <f t="shared" si="14"/>
      </c>
      <c r="C45" s="261">
        <f t="shared" si="0"/>
      </c>
      <c r="D45" s="261">
        <f t="shared" si="1"/>
      </c>
      <c r="E45" s="261">
        <f t="shared" si="2"/>
      </c>
      <c r="F45" s="261">
        <f t="shared" si="3"/>
      </c>
      <c r="H45" s="387">
        <v>38</v>
      </c>
      <c r="I45" s="263">
        <f t="shared" si="15"/>
      </c>
      <c r="J45" s="261">
        <f t="shared" si="4"/>
      </c>
      <c r="K45" s="261">
        <f t="shared" si="5"/>
      </c>
      <c r="L45" s="261">
        <f t="shared" si="6"/>
      </c>
      <c r="M45" s="261">
        <f t="shared" si="7"/>
      </c>
      <c r="N45" s="382"/>
      <c r="O45" s="382"/>
      <c r="U45" s="190">
        <f t="shared" si="16"/>
      </c>
      <c r="V45" s="203">
        <f t="shared" si="18"/>
      </c>
      <c r="W45" s="203">
        <f t="shared" si="19"/>
      </c>
      <c r="X45" s="202">
        <f t="shared" si="10"/>
      </c>
      <c r="Y45" s="202">
        <f t="shared" si="20"/>
      </c>
      <c r="Z45" s="202">
        <f t="shared" si="17"/>
      </c>
      <c r="AA45" s="202">
        <f t="shared" si="21"/>
      </c>
      <c r="AB45" s="190">
        <f t="shared" si="22"/>
      </c>
    </row>
    <row r="46" spans="1:28" hidden="1">
      <c r="A46" s="388">
        <v>39</v>
      </c>
      <c r="B46" s="263">
        <f t="shared" si="14"/>
      </c>
      <c r="C46" s="261">
        <f t="shared" si="0"/>
      </c>
      <c r="D46" s="261">
        <f t="shared" si="1"/>
      </c>
      <c r="E46" s="261">
        <f t="shared" si="2"/>
      </c>
      <c r="F46" s="261">
        <f t="shared" si="3"/>
      </c>
      <c r="H46" s="388">
        <v>39</v>
      </c>
      <c r="I46" s="263">
        <f t="shared" si="15"/>
      </c>
      <c r="J46" s="261">
        <f t="shared" si="4"/>
      </c>
      <c r="K46" s="261">
        <f t="shared" si="5"/>
      </c>
      <c r="L46" s="261">
        <f t="shared" si="6"/>
      </c>
      <c r="M46" s="261">
        <f t="shared" si="7"/>
      </c>
      <c r="N46" s="382"/>
      <c r="O46" s="382"/>
      <c r="U46" s="190">
        <f t="shared" si="16"/>
      </c>
      <c r="V46" s="203">
        <f t="shared" si="18"/>
      </c>
      <c r="W46" s="203">
        <f t="shared" si="19"/>
      </c>
      <c r="X46" s="202">
        <f t="shared" si="10"/>
      </c>
      <c r="Y46" s="202">
        <f t="shared" si="20"/>
      </c>
      <c r="Z46" s="202">
        <f t="shared" si="17"/>
      </c>
      <c r="AA46" s="202">
        <f t="shared" si="21"/>
      </c>
      <c r="AB46" s="190">
        <f t="shared" si="22"/>
      </c>
    </row>
    <row r="47" spans="1:28" hidden="1">
      <c r="A47" s="387">
        <v>40</v>
      </c>
      <c r="B47" s="263">
        <f t="shared" si="14"/>
      </c>
      <c r="C47" s="261">
        <f t="shared" si="0"/>
      </c>
      <c r="D47" s="261">
        <f t="shared" si="1"/>
      </c>
      <c r="E47" s="261">
        <f t="shared" si="2"/>
      </c>
      <c r="F47" s="261">
        <f t="shared" si="3"/>
      </c>
      <c r="H47" s="387">
        <v>40</v>
      </c>
      <c r="I47" s="263">
        <f t="shared" si="15"/>
      </c>
      <c r="J47" s="261">
        <f t="shared" si="4"/>
      </c>
      <c r="K47" s="261">
        <f t="shared" si="5"/>
      </c>
      <c r="L47" s="261">
        <f t="shared" si="6"/>
      </c>
      <c r="M47" s="261">
        <f t="shared" si="7"/>
      </c>
      <c r="N47" s="382"/>
      <c r="O47" s="382"/>
      <c r="U47" s="190">
        <f t="shared" si="16"/>
      </c>
      <c r="V47" s="203">
        <f t="shared" si="18"/>
      </c>
      <c r="W47" s="203">
        <f t="shared" si="19"/>
      </c>
      <c r="X47" s="202">
        <f t="shared" si="10"/>
      </c>
      <c r="Y47" s="202">
        <f t="shared" si="20"/>
      </c>
      <c r="Z47" s="202">
        <f t="shared" si="17"/>
      </c>
      <c r="AA47" s="202">
        <f t="shared" si="21"/>
      </c>
      <c r="AB47" s="190">
        <f t="shared" si="22"/>
      </c>
    </row>
    <row r="48" spans="1:28" hidden="1">
      <c r="A48" s="388">
        <v>41</v>
      </c>
      <c r="B48" s="263">
        <f t="shared" si="14"/>
      </c>
      <c r="C48" s="261">
        <f t="shared" si="0"/>
      </c>
      <c r="D48" s="261">
        <f t="shared" si="1"/>
      </c>
      <c r="E48" s="261">
        <f t="shared" si="2"/>
      </c>
      <c r="F48" s="261">
        <f t="shared" si="3"/>
      </c>
      <c r="H48" s="388">
        <v>41</v>
      </c>
      <c r="I48" s="263">
        <f t="shared" si="15"/>
      </c>
      <c r="J48" s="261">
        <f t="shared" si="4"/>
      </c>
      <c r="K48" s="261">
        <f t="shared" si="5"/>
      </c>
      <c r="L48" s="261">
        <f t="shared" si="6"/>
      </c>
      <c r="M48" s="261">
        <f t="shared" si="7"/>
      </c>
      <c r="N48" s="382"/>
      <c r="O48" s="382"/>
      <c r="U48" s="190">
        <f t="shared" si="16"/>
      </c>
      <c r="V48" s="203">
        <f t="shared" si="18"/>
      </c>
      <c r="W48" s="203">
        <f t="shared" si="19"/>
      </c>
      <c r="X48" s="202">
        <f t="shared" si="10"/>
      </c>
      <c r="Y48" s="202">
        <f t="shared" si="20"/>
      </c>
      <c r="Z48" s="202">
        <f t="shared" si="17"/>
      </c>
      <c r="AA48" s="202">
        <f t="shared" si="21"/>
      </c>
      <c r="AB48" s="190">
        <f t="shared" si="22"/>
      </c>
    </row>
    <row r="49" spans="1:28" hidden="1">
      <c r="A49" s="387">
        <v>42</v>
      </c>
      <c r="B49" s="263">
        <f t="shared" si="14"/>
      </c>
      <c r="C49" s="261">
        <f t="shared" si="0"/>
      </c>
      <c r="D49" s="261">
        <f t="shared" si="1"/>
      </c>
      <c r="E49" s="261">
        <f t="shared" si="2"/>
      </c>
      <c r="F49" s="261">
        <f t="shared" si="3"/>
      </c>
      <c r="H49" s="387">
        <v>42</v>
      </c>
      <c r="I49" s="263">
        <f t="shared" si="15"/>
      </c>
      <c r="J49" s="261">
        <f t="shared" si="4"/>
      </c>
      <c r="K49" s="261">
        <f t="shared" si="5"/>
      </c>
      <c r="L49" s="261">
        <f t="shared" si="6"/>
      </c>
      <c r="M49" s="261">
        <f t="shared" si="7"/>
      </c>
      <c r="N49" s="382"/>
      <c r="O49" s="382"/>
      <c r="U49" s="190">
        <f t="shared" si="16"/>
      </c>
      <c r="V49" s="203">
        <f t="shared" si="18"/>
      </c>
      <c r="W49" s="203">
        <f t="shared" si="19"/>
      </c>
      <c r="X49" s="202">
        <f t="shared" si="10"/>
      </c>
      <c r="Y49" s="202">
        <f t="shared" si="20"/>
      </c>
      <c r="Z49" s="202">
        <f t="shared" si="17"/>
      </c>
      <c r="AA49" s="202">
        <f t="shared" si="21"/>
      </c>
      <c r="AB49" s="190">
        <f t="shared" si="22"/>
      </c>
    </row>
    <row r="50" spans="1:28" hidden="1">
      <c r="A50" s="388">
        <v>43</v>
      </c>
      <c r="B50" s="263">
        <f t="shared" si="14"/>
      </c>
      <c r="C50" s="261">
        <f t="shared" si="0"/>
      </c>
      <c r="D50" s="261">
        <f t="shared" si="1"/>
      </c>
      <c r="E50" s="261">
        <f t="shared" si="2"/>
      </c>
      <c r="F50" s="261">
        <f t="shared" si="3"/>
      </c>
      <c r="H50" s="388">
        <v>43</v>
      </c>
      <c r="I50" s="263">
        <f t="shared" si="15"/>
      </c>
      <c r="J50" s="261">
        <f t="shared" si="4"/>
      </c>
      <c r="K50" s="261">
        <f t="shared" si="5"/>
      </c>
      <c r="L50" s="261">
        <f t="shared" si="6"/>
      </c>
      <c r="M50" s="261">
        <f t="shared" si="7"/>
      </c>
      <c r="N50" s="382"/>
      <c r="O50" s="382"/>
      <c r="U50" s="190">
        <f t="shared" si="16"/>
      </c>
      <c r="V50" s="203">
        <f t="shared" si="18"/>
      </c>
      <c r="W50" s="203">
        <f t="shared" si="19"/>
      </c>
      <c r="X50" s="202">
        <f t="shared" si="10"/>
      </c>
      <c r="Y50" s="202">
        <f t="shared" si="20"/>
      </c>
      <c r="Z50" s="202">
        <f t="shared" si="17"/>
      </c>
      <c r="AA50" s="202">
        <f t="shared" si="21"/>
      </c>
      <c r="AB50" s="190">
        <f t="shared" si="22"/>
      </c>
    </row>
    <row r="51" spans="1:28" hidden="1">
      <c r="A51" s="387">
        <v>44</v>
      </c>
      <c r="B51" s="263">
        <f t="shared" si="14"/>
      </c>
      <c r="C51" s="261">
        <f t="shared" si="0"/>
      </c>
      <c r="D51" s="261">
        <f t="shared" si="1"/>
      </c>
      <c r="E51" s="261">
        <f t="shared" si="2"/>
      </c>
      <c r="F51" s="261">
        <f t="shared" si="3"/>
      </c>
      <c r="H51" s="387">
        <v>44</v>
      </c>
      <c r="I51" s="263">
        <f t="shared" si="15"/>
      </c>
      <c r="J51" s="261">
        <f t="shared" si="4"/>
      </c>
      <c r="K51" s="261">
        <f t="shared" si="5"/>
      </c>
      <c r="L51" s="261">
        <f t="shared" si="6"/>
      </c>
      <c r="M51" s="261">
        <f t="shared" si="7"/>
      </c>
      <c r="N51" s="382"/>
      <c r="O51" s="382"/>
      <c r="U51" s="190">
        <f t="shared" si="16"/>
      </c>
      <c r="V51" s="203">
        <f t="shared" si="18"/>
      </c>
      <c r="W51" s="203">
        <f t="shared" si="19"/>
      </c>
      <c r="X51" s="202">
        <f t="shared" si="10"/>
      </c>
      <c r="Y51" s="202">
        <f t="shared" si="20"/>
      </c>
      <c r="Z51" s="202">
        <f t="shared" si="17"/>
      </c>
      <c r="AA51" s="202">
        <f t="shared" si="21"/>
      </c>
      <c r="AB51" s="190">
        <f t="shared" si="22"/>
      </c>
    </row>
    <row r="52" spans="1:28" hidden="1">
      <c r="A52" s="388">
        <v>45</v>
      </c>
      <c r="B52" s="263">
        <f t="shared" si="14"/>
      </c>
      <c r="C52" s="261">
        <f t="shared" si="0"/>
      </c>
      <c r="D52" s="261">
        <f t="shared" si="1"/>
      </c>
      <c r="E52" s="261">
        <f t="shared" si="2"/>
      </c>
      <c r="F52" s="261">
        <f t="shared" si="3"/>
      </c>
      <c r="H52" s="388">
        <v>45</v>
      </c>
      <c r="I52" s="263">
        <f t="shared" si="15"/>
      </c>
      <c r="J52" s="261">
        <f t="shared" si="4"/>
      </c>
      <c r="K52" s="261">
        <f t="shared" si="5"/>
      </c>
      <c r="L52" s="261">
        <f t="shared" si="6"/>
      </c>
      <c r="M52" s="261">
        <f t="shared" si="7"/>
      </c>
      <c r="N52" s="382"/>
      <c r="O52" s="382"/>
      <c r="U52" s="190">
        <f t="shared" si="16"/>
      </c>
      <c r="V52" s="203">
        <f t="shared" si="18"/>
      </c>
      <c r="W52" s="203">
        <f t="shared" si="19"/>
      </c>
      <c r="X52" s="202">
        <f t="shared" si="10"/>
      </c>
      <c r="Y52" s="202">
        <f t="shared" si="20"/>
      </c>
      <c r="Z52" s="202">
        <f t="shared" si="17"/>
      </c>
      <c r="AA52" s="202">
        <f t="shared" si="21"/>
      </c>
      <c r="AB52" s="190">
        <f t="shared" si="22"/>
      </c>
    </row>
    <row r="53" spans="1:28" hidden="1">
      <c r="A53" s="387">
        <v>46</v>
      </c>
      <c r="B53" s="263">
        <f t="shared" si="14"/>
      </c>
      <c r="C53" s="261">
        <f t="shared" si="0"/>
      </c>
      <c r="D53" s="261">
        <f t="shared" si="1"/>
      </c>
      <c r="E53" s="261">
        <f t="shared" si="2"/>
      </c>
      <c r="F53" s="261">
        <f t="shared" si="3"/>
      </c>
      <c r="H53" s="387">
        <v>46</v>
      </c>
      <c r="I53" s="263">
        <f t="shared" si="15"/>
      </c>
      <c r="J53" s="261">
        <f t="shared" si="4"/>
      </c>
      <c r="K53" s="261">
        <f t="shared" si="5"/>
      </c>
      <c r="L53" s="261">
        <f t="shared" si="6"/>
      </c>
      <c r="M53" s="261">
        <f t="shared" si="7"/>
      </c>
      <c r="N53" s="382"/>
      <c r="O53" s="382"/>
      <c r="U53" s="190">
        <f t="shared" si="16"/>
      </c>
      <c r="V53" s="203">
        <f t="shared" si="18"/>
      </c>
      <c r="W53" s="203">
        <f t="shared" si="19"/>
      </c>
      <c r="X53" s="202">
        <f t="shared" si="10"/>
      </c>
      <c r="Y53" s="202">
        <f t="shared" si="20"/>
      </c>
      <c r="Z53" s="202">
        <f t="shared" si="17"/>
      </c>
      <c r="AA53" s="202">
        <f t="shared" si="21"/>
      </c>
      <c r="AB53" s="190">
        <f t="shared" si="22"/>
      </c>
    </row>
    <row r="54" spans="1:28" hidden="1">
      <c r="A54" s="388">
        <v>47</v>
      </c>
      <c r="B54" s="263">
        <f t="shared" si="14"/>
      </c>
      <c r="C54" s="261">
        <f t="shared" si="0"/>
      </c>
      <c r="D54" s="261">
        <f t="shared" si="1"/>
      </c>
      <c r="E54" s="261">
        <f t="shared" si="2"/>
      </c>
      <c r="F54" s="261">
        <f t="shared" si="3"/>
      </c>
      <c r="H54" s="388">
        <v>47</v>
      </c>
      <c r="I54" s="263">
        <f t="shared" si="15"/>
      </c>
      <c r="J54" s="261">
        <f t="shared" si="4"/>
      </c>
      <c r="K54" s="261">
        <f t="shared" si="5"/>
      </c>
      <c r="L54" s="261">
        <f t="shared" si="6"/>
      </c>
      <c r="M54" s="261">
        <f t="shared" si="7"/>
      </c>
      <c r="N54" s="382"/>
      <c r="O54" s="382"/>
      <c r="U54" s="190">
        <f t="shared" si="16"/>
      </c>
      <c r="V54" s="203">
        <f t="shared" si="18"/>
      </c>
      <c r="W54" s="203">
        <f t="shared" si="19"/>
      </c>
      <c r="X54" s="202">
        <f t="shared" si="10"/>
      </c>
      <c r="Y54" s="202">
        <f t="shared" si="20"/>
      </c>
      <c r="Z54" s="202">
        <f t="shared" si="17"/>
      </c>
      <c r="AA54" s="202">
        <f t="shared" si="21"/>
      </c>
      <c r="AB54" s="190">
        <f t="shared" si="22"/>
      </c>
    </row>
    <row r="55" spans="1:28" hidden="1">
      <c r="A55" s="387">
        <v>48</v>
      </c>
      <c r="B55" s="263">
        <f t="shared" si="14"/>
      </c>
      <c r="C55" s="261">
        <f t="shared" si="0"/>
      </c>
      <c r="D55" s="261">
        <f t="shared" si="1"/>
      </c>
      <c r="E55" s="261">
        <f t="shared" si="2"/>
      </c>
      <c r="F55" s="261">
        <f t="shared" si="3"/>
      </c>
      <c r="H55" s="387">
        <v>48</v>
      </c>
      <c r="I55" s="263">
        <f t="shared" si="15"/>
      </c>
      <c r="J55" s="261">
        <f t="shared" si="4"/>
      </c>
      <c r="K55" s="261">
        <f t="shared" si="5"/>
      </c>
      <c r="L55" s="261">
        <f t="shared" si="6"/>
      </c>
      <c r="M55" s="261">
        <f t="shared" si="7"/>
      </c>
      <c r="N55" s="382"/>
      <c r="O55" s="382"/>
      <c r="U55" s="190">
        <f t="shared" si="16"/>
      </c>
      <c r="V55" s="203">
        <f t="shared" si="18"/>
      </c>
      <c r="W55" s="203">
        <f t="shared" si="19"/>
      </c>
      <c r="X55" s="202">
        <f t="shared" si="10"/>
      </c>
      <c r="Y55" s="202">
        <f t="shared" si="20"/>
      </c>
      <c r="Z55" s="202">
        <f t="shared" si="17"/>
      </c>
      <c r="AA55" s="202">
        <f t="shared" si="21"/>
      </c>
      <c r="AB55" s="190">
        <f t="shared" si="22"/>
      </c>
    </row>
    <row r="56" spans="1:28" hidden="1">
      <c r="A56" s="388">
        <v>49</v>
      </c>
      <c r="B56" s="263">
        <f t="shared" si="14"/>
      </c>
      <c r="C56" s="261">
        <f t="shared" si="0"/>
      </c>
      <c r="D56" s="261">
        <f t="shared" si="1"/>
      </c>
      <c r="E56" s="261">
        <f t="shared" si="2"/>
      </c>
      <c r="F56" s="261">
        <f t="shared" si="3"/>
      </c>
      <c r="H56" s="388">
        <v>49</v>
      </c>
      <c r="I56" s="263">
        <f t="shared" si="15"/>
      </c>
      <c r="J56" s="261">
        <f t="shared" si="4"/>
      </c>
      <c r="K56" s="261">
        <f t="shared" si="5"/>
      </c>
      <c r="L56" s="261">
        <f t="shared" si="6"/>
      </c>
      <c r="M56" s="261">
        <f t="shared" si="7"/>
      </c>
      <c r="N56" s="382"/>
      <c r="O56" s="382"/>
      <c r="U56" s="190">
        <f t="shared" si="16"/>
      </c>
      <c r="V56" s="203">
        <f t="shared" si="18"/>
      </c>
      <c r="W56" s="203">
        <f t="shared" si="19"/>
      </c>
      <c r="X56" s="202">
        <f t="shared" si="10"/>
      </c>
      <c r="Y56" s="202">
        <f t="shared" si="20"/>
      </c>
      <c r="Z56" s="202">
        <f t="shared" si="17"/>
      </c>
      <c r="AA56" s="202">
        <f t="shared" si="21"/>
      </c>
      <c r="AB56" s="190">
        <f t="shared" si="22"/>
      </c>
    </row>
    <row r="57" spans="1:28" s="196" customFormat="1" hidden="1">
      <c r="A57" s="387">
        <v>50</v>
      </c>
      <c r="B57" s="263">
        <f t="shared" si="14"/>
      </c>
      <c r="C57" s="261">
        <f t="shared" si="0"/>
      </c>
      <c r="D57" s="261">
        <f t="shared" si="1"/>
      </c>
      <c r="E57" s="261">
        <f t="shared" si="2"/>
      </c>
      <c r="F57" s="261">
        <f t="shared" si="3"/>
      </c>
      <c r="H57" s="387">
        <v>50</v>
      </c>
      <c r="I57" s="263">
        <f t="shared" si="15"/>
      </c>
      <c r="J57" s="261">
        <f t="shared" si="4"/>
      </c>
      <c r="K57" s="261">
        <f t="shared" si="5"/>
      </c>
      <c r="L57" s="261">
        <f t="shared" si="6"/>
      </c>
      <c r="M57" s="261">
        <f t="shared" si="7"/>
      </c>
      <c r="N57" s="382"/>
      <c r="O57" s="382"/>
      <c r="P57" s="190"/>
      <c r="U57" s="190">
        <f t="shared" si="16"/>
      </c>
      <c r="V57" s="203">
        <f t="shared" si="18"/>
      </c>
      <c r="W57" s="203">
        <f t="shared" si="19"/>
      </c>
      <c r="X57" s="202">
        <f t="shared" si="10"/>
      </c>
      <c r="Y57" s="202">
        <f t="shared" si="20"/>
      </c>
      <c r="Z57" s="202">
        <f t="shared" si="17"/>
      </c>
      <c r="AA57" s="202">
        <f t="shared" si="21"/>
      </c>
      <c r="AB57" s="190">
        <f t="shared" si="22"/>
      </c>
    </row>
    <row r="58" spans="1:28" hidden="1">
      <c r="A58" s="388">
        <v>51</v>
      </c>
      <c r="B58" s="263">
        <f t="shared" si="14"/>
      </c>
      <c r="C58" s="261">
        <f t="shared" si="0"/>
      </c>
      <c r="D58" s="261">
        <f t="shared" si="1"/>
      </c>
      <c r="E58" s="261">
        <f t="shared" si="2"/>
      </c>
      <c r="F58" s="261">
        <f t="shared" si="3"/>
      </c>
      <c r="H58" s="388">
        <v>51</v>
      </c>
      <c r="I58" s="263">
        <f t="shared" si="15"/>
      </c>
      <c r="J58" s="261">
        <f t="shared" si="4"/>
      </c>
      <c r="K58" s="261">
        <f t="shared" si="5"/>
      </c>
      <c r="L58" s="261">
        <f t="shared" si="6"/>
      </c>
      <c r="M58" s="261">
        <f t="shared" si="7"/>
      </c>
      <c r="N58" s="382"/>
      <c r="O58" s="382"/>
      <c r="U58" s="190">
        <f t="shared" si="16"/>
      </c>
      <c r="V58" s="203">
        <f t="shared" si="18"/>
      </c>
      <c r="W58" s="203">
        <f t="shared" si="19"/>
      </c>
      <c r="X58" s="202">
        <f t="shared" si="10"/>
      </c>
      <c r="Y58" s="202">
        <f t="shared" si="20"/>
      </c>
      <c r="Z58" s="202">
        <f t="shared" si="17"/>
      </c>
      <c r="AA58" s="202">
        <f t="shared" si="21"/>
      </c>
      <c r="AB58" s="190">
        <f t="shared" si="22"/>
      </c>
    </row>
    <row r="59" spans="1:28" hidden="1">
      <c r="A59" s="387">
        <v>52</v>
      </c>
      <c r="B59" s="263">
        <f t="shared" si="14"/>
      </c>
      <c r="C59" s="261">
        <f t="shared" si="0"/>
      </c>
      <c r="D59" s="261">
        <f t="shared" si="1"/>
      </c>
      <c r="E59" s="261">
        <f t="shared" si="2"/>
      </c>
      <c r="F59" s="261">
        <f t="shared" si="3"/>
      </c>
      <c r="H59" s="387">
        <v>52</v>
      </c>
      <c r="I59" s="263">
        <f t="shared" si="15"/>
      </c>
      <c r="J59" s="261">
        <f t="shared" si="4"/>
      </c>
      <c r="K59" s="261">
        <f t="shared" si="5"/>
      </c>
      <c r="L59" s="261">
        <f t="shared" si="6"/>
      </c>
      <c r="M59" s="261">
        <f t="shared" si="7"/>
      </c>
      <c r="N59" s="382"/>
      <c r="O59" s="382"/>
      <c r="U59" s="190">
        <f t="shared" si="16"/>
      </c>
      <c r="V59" s="203">
        <f t="shared" si="18"/>
      </c>
      <c r="W59" s="203">
        <f t="shared" si="19"/>
      </c>
      <c r="X59" s="202">
        <f t="shared" si="10"/>
      </c>
      <c r="Y59" s="202">
        <f t="shared" si="20"/>
      </c>
      <c r="Z59" s="202">
        <f t="shared" si="17"/>
      </c>
      <c r="AA59" s="202">
        <f t="shared" si="21"/>
      </c>
      <c r="AB59" s="190">
        <f t="shared" si="22"/>
      </c>
    </row>
    <row r="60" spans="1:28" hidden="1">
      <c r="A60" s="388">
        <v>53</v>
      </c>
      <c r="B60" s="263">
        <f t="shared" si="14"/>
      </c>
      <c r="C60" s="261">
        <f t="shared" si="0"/>
      </c>
      <c r="D60" s="261">
        <f t="shared" si="1"/>
      </c>
      <c r="E60" s="261">
        <f t="shared" si="2"/>
      </c>
      <c r="F60" s="261">
        <f t="shared" si="3"/>
      </c>
      <c r="H60" s="388">
        <v>53</v>
      </c>
      <c r="I60" s="263">
        <f t="shared" si="15"/>
      </c>
      <c r="J60" s="261">
        <f t="shared" si="4"/>
      </c>
      <c r="K60" s="261">
        <f t="shared" si="5"/>
      </c>
      <c r="L60" s="261">
        <f t="shared" si="6"/>
      </c>
      <c r="M60" s="261">
        <f t="shared" si="7"/>
      </c>
      <c r="N60" s="382"/>
      <c r="O60" s="382"/>
      <c r="U60" s="190">
        <f t="shared" si="16"/>
      </c>
      <c r="V60" s="203">
        <f t="shared" si="18"/>
      </c>
      <c r="W60" s="203">
        <f t="shared" si="19"/>
      </c>
      <c r="X60" s="202">
        <f t="shared" si="10"/>
      </c>
      <c r="Y60" s="202">
        <f t="shared" si="20"/>
      </c>
      <c r="Z60" s="202">
        <f t="shared" si="17"/>
      </c>
      <c r="AA60" s="202">
        <f t="shared" si="21"/>
      </c>
      <c r="AB60" s="190">
        <f t="shared" si="22"/>
      </c>
    </row>
    <row r="61" spans="1:28" hidden="1">
      <c r="A61" s="387">
        <v>54</v>
      </c>
      <c r="B61" s="263">
        <f t="shared" si="14"/>
      </c>
      <c r="C61" s="261">
        <f t="shared" si="0"/>
      </c>
      <c r="D61" s="261">
        <f t="shared" si="1"/>
      </c>
      <c r="E61" s="261">
        <f t="shared" si="2"/>
      </c>
      <c r="F61" s="261">
        <f t="shared" si="3"/>
      </c>
      <c r="H61" s="387">
        <v>54</v>
      </c>
      <c r="I61" s="263">
        <f t="shared" si="15"/>
      </c>
      <c r="J61" s="261">
        <f t="shared" si="4"/>
      </c>
      <c r="K61" s="261">
        <f t="shared" si="5"/>
      </c>
      <c r="L61" s="261">
        <f t="shared" si="6"/>
      </c>
      <c r="M61" s="261">
        <f t="shared" si="7"/>
      </c>
      <c r="N61" s="382"/>
      <c r="O61" s="382"/>
      <c r="U61" s="190">
        <f t="shared" si="16"/>
      </c>
      <c r="V61" s="203">
        <f t="shared" si="18"/>
      </c>
      <c r="W61" s="203">
        <f t="shared" si="19"/>
      </c>
      <c r="X61" s="202">
        <f t="shared" si="10"/>
      </c>
      <c r="Y61" s="202">
        <f t="shared" si="20"/>
      </c>
      <c r="Z61" s="202">
        <f t="shared" si="17"/>
      </c>
      <c r="AA61" s="202">
        <f t="shared" si="21"/>
      </c>
      <c r="AB61" s="190">
        <f t="shared" si="22"/>
      </c>
    </row>
    <row r="62" spans="1:28" hidden="1">
      <c r="A62" s="388">
        <v>55</v>
      </c>
      <c r="B62" s="263">
        <f t="shared" si="14"/>
      </c>
      <c r="C62" s="261">
        <f t="shared" si="0"/>
      </c>
      <c r="D62" s="261">
        <f t="shared" si="1"/>
      </c>
      <c r="E62" s="261">
        <f t="shared" si="2"/>
      </c>
      <c r="F62" s="261">
        <f t="shared" si="3"/>
      </c>
      <c r="H62" s="388">
        <v>55</v>
      </c>
      <c r="I62" s="263">
        <f t="shared" si="15"/>
      </c>
      <c r="J62" s="261">
        <f t="shared" si="4"/>
      </c>
      <c r="K62" s="261">
        <f t="shared" si="5"/>
      </c>
      <c r="L62" s="261">
        <f t="shared" si="6"/>
      </c>
      <c r="M62" s="261">
        <f t="shared" si="7"/>
      </c>
      <c r="N62" s="382"/>
      <c r="O62" s="382"/>
      <c r="U62" s="190">
        <f t="shared" si="16"/>
      </c>
      <c r="V62" s="203">
        <f t="shared" si="18"/>
      </c>
      <c r="W62" s="203">
        <f t="shared" si="19"/>
      </c>
      <c r="X62" s="202">
        <f t="shared" si="10"/>
      </c>
      <c r="Y62" s="202">
        <f t="shared" si="20"/>
      </c>
      <c r="Z62" s="202">
        <f t="shared" si="17"/>
      </c>
      <c r="AA62" s="202">
        <f t="shared" si="21"/>
      </c>
      <c r="AB62" s="190">
        <f t="shared" si="22"/>
      </c>
    </row>
    <row r="63" spans="1:28" hidden="1">
      <c r="A63" s="387">
        <v>56</v>
      </c>
      <c r="B63" s="263">
        <f t="shared" si="14"/>
      </c>
      <c r="C63" s="261">
        <f t="shared" si="0"/>
      </c>
      <c r="D63" s="261">
        <f t="shared" si="1"/>
      </c>
      <c r="E63" s="261">
        <f t="shared" si="2"/>
      </c>
      <c r="F63" s="261">
        <f t="shared" si="3"/>
      </c>
      <c r="H63" s="387">
        <v>56</v>
      </c>
      <c r="I63" s="263">
        <f t="shared" si="15"/>
      </c>
      <c r="J63" s="261">
        <f t="shared" si="4"/>
      </c>
      <c r="K63" s="261">
        <f t="shared" si="5"/>
      </c>
      <c r="L63" s="261">
        <f t="shared" si="6"/>
      </c>
      <c r="M63" s="261">
        <f t="shared" si="7"/>
      </c>
      <c r="N63" s="382"/>
      <c r="O63" s="382"/>
      <c r="U63" s="190">
        <f t="shared" si="16"/>
      </c>
      <c r="V63" s="203">
        <f t="shared" si="18"/>
      </c>
      <c r="W63" s="203">
        <f t="shared" si="19"/>
      </c>
      <c r="X63" s="202">
        <f t="shared" si="10"/>
      </c>
      <c r="Y63" s="202">
        <f t="shared" si="20"/>
      </c>
      <c r="Z63" s="202">
        <f t="shared" si="17"/>
      </c>
      <c r="AA63" s="202">
        <f t="shared" si="21"/>
      </c>
      <c r="AB63" s="190">
        <f t="shared" si="22"/>
      </c>
    </row>
    <row r="64" spans="1:28" hidden="1">
      <c r="A64" s="388">
        <v>57</v>
      </c>
      <c r="B64" s="263">
        <f t="shared" si="14"/>
      </c>
      <c r="C64" s="261">
        <f t="shared" si="0"/>
      </c>
      <c r="D64" s="261">
        <f t="shared" si="1"/>
      </c>
      <c r="E64" s="261">
        <f t="shared" si="2"/>
      </c>
      <c r="F64" s="261">
        <f t="shared" si="3"/>
      </c>
      <c r="H64" s="388">
        <v>57</v>
      </c>
      <c r="I64" s="263">
        <f t="shared" si="15"/>
      </c>
      <c r="J64" s="261">
        <f t="shared" si="4"/>
      </c>
      <c r="K64" s="261">
        <f t="shared" si="5"/>
      </c>
      <c r="L64" s="261">
        <f t="shared" si="6"/>
      </c>
      <c r="M64" s="261">
        <f t="shared" si="7"/>
      </c>
      <c r="N64" s="382"/>
      <c r="O64" s="382"/>
      <c r="U64" s="190">
        <f t="shared" si="16"/>
      </c>
      <c r="V64" s="203">
        <f t="shared" si="18"/>
      </c>
      <c r="W64" s="203">
        <f t="shared" si="19"/>
      </c>
      <c r="X64" s="202">
        <f t="shared" si="10"/>
      </c>
      <c r="Y64" s="202">
        <f t="shared" si="20"/>
      </c>
      <c r="Z64" s="202">
        <f t="shared" si="17"/>
      </c>
      <c r="AA64" s="202">
        <f t="shared" si="21"/>
      </c>
      <c r="AB64" s="190">
        <f t="shared" si="22"/>
      </c>
    </row>
    <row r="65" spans="1:28" hidden="1">
      <c r="A65" s="387">
        <v>58</v>
      </c>
      <c r="B65" s="263">
        <f t="shared" si="14"/>
      </c>
      <c r="C65" s="261">
        <f t="shared" si="0"/>
      </c>
      <c r="D65" s="261">
        <f t="shared" si="1"/>
      </c>
      <c r="E65" s="261">
        <f t="shared" si="2"/>
      </c>
      <c r="F65" s="261">
        <f t="shared" si="3"/>
      </c>
      <c r="H65" s="387">
        <v>58</v>
      </c>
      <c r="I65" s="263">
        <f t="shared" si="15"/>
      </c>
      <c r="J65" s="261">
        <f t="shared" si="4"/>
      </c>
      <c r="K65" s="261">
        <f t="shared" si="5"/>
      </c>
      <c r="L65" s="261">
        <f t="shared" si="6"/>
      </c>
      <c r="M65" s="261">
        <f t="shared" si="7"/>
      </c>
      <c r="N65" s="382"/>
      <c r="O65" s="382"/>
      <c r="P65" s="189"/>
      <c r="U65" s="190">
        <f t="shared" si="16"/>
      </c>
      <c r="V65" s="203">
        <f t="shared" si="18"/>
      </c>
      <c r="W65" s="203">
        <f t="shared" si="19"/>
      </c>
      <c r="X65" s="202">
        <f t="shared" si="10"/>
      </c>
      <c r="Y65" s="202">
        <f t="shared" si="20"/>
      </c>
      <c r="Z65" s="202">
        <f t="shared" si="17"/>
      </c>
      <c r="AA65" s="202">
        <f t="shared" si="21"/>
      </c>
      <c r="AB65" s="190">
        <f t="shared" si="22"/>
      </c>
    </row>
    <row r="66" spans="1:28" hidden="1">
      <c r="A66" s="388">
        <v>59</v>
      </c>
      <c r="B66" s="263">
        <f t="shared" si="14"/>
      </c>
      <c r="C66" s="261">
        <f t="shared" si="0"/>
      </c>
      <c r="D66" s="261">
        <f t="shared" si="1"/>
      </c>
      <c r="E66" s="261">
        <f t="shared" si="2"/>
      </c>
      <c r="F66" s="261">
        <f t="shared" si="3"/>
      </c>
      <c r="H66" s="388">
        <v>59</v>
      </c>
      <c r="I66" s="263">
        <f t="shared" si="15"/>
      </c>
      <c r="J66" s="261">
        <f t="shared" si="4"/>
      </c>
      <c r="K66" s="261">
        <f t="shared" si="5"/>
      </c>
      <c r="L66" s="261">
        <f t="shared" si="6"/>
      </c>
      <c r="M66" s="261">
        <f t="shared" si="7"/>
      </c>
      <c r="N66" s="382"/>
      <c r="O66" s="382"/>
      <c r="P66" s="189"/>
      <c r="U66" s="190">
        <f t="shared" si="16"/>
      </c>
      <c r="V66" s="203">
        <f t="shared" si="18"/>
      </c>
      <c r="W66" s="203">
        <f t="shared" si="19"/>
      </c>
      <c r="X66" s="202">
        <f t="shared" si="10"/>
      </c>
      <c r="Y66" s="202">
        <f t="shared" si="20"/>
      </c>
      <c r="Z66" s="202">
        <f t="shared" si="17"/>
      </c>
      <c r="AA66" s="202">
        <f t="shared" si="21"/>
      </c>
      <c r="AB66" s="190">
        <f t="shared" si="22"/>
      </c>
    </row>
    <row r="67" spans="1:28" hidden="1">
      <c r="A67" s="387">
        <v>60</v>
      </c>
      <c r="B67" s="263">
        <f t="shared" si="14"/>
      </c>
      <c r="C67" s="261">
        <f t="shared" si="0"/>
      </c>
      <c r="D67" s="261">
        <f t="shared" si="1"/>
      </c>
      <c r="E67" s="261">
        <f t="shared" si="2"/>
      </c>
      <c r="F67" s="261">
        <f t="shared" si="3"/>
      </c>
      <c r="H67" s="387">
        <v>60</v>
      </c>
      <c r="I67" s="263">
        <f t="shared" si="15"/>
      </c>
      <c r="J67" s="261">
        <f t="shared" si="4"/>
      </c>
      <c r="K67" s="261">
        <f t="shared" si="5"/>
      </c>
      <c r="L67" s="261">
        <f t="shared" si="6"/>
      </c>
      <c r="M67" s="261">
        <f t="shared" si="7"/>
      </c>
      <c r="N67" s="382"/>
      <c r="O67" s="382"/>
      <c r="P67" s="189"/>
      <c r="U67" s="190">
        <f t="shared" si="16"/>
      </c>
      <c r="V67" s="203">
        <f t="shared" si="18"/>
      </c>
      <c r="W67" s="203">
        <f t="shared" si="19"/>
      </c>
      <c r="X67" s="202">
        <f t="shared" si="10"/>
      </c>
      <c r="Y67" s="202">
        <f t="shared" si="20"/>
      </c>
      <c r="Z67" s="202">
        <f t="shared" si="17"/>
      </c>
      <c r="AA67" s="202">
        <f t="shared" si="21"/>
      </c>
      <c r="AB67" s="190">
        <f t="shared" si="22"/>
      </c>
    </row>
    <row r="68" spans="1:28" hidden="1">
      <c r="A68" s="388">
        <v>61</v>
      </c>
      <c r="B68" s="263">
        <f t="shared" si="14"/>
      </c>
      <c r="C68" s="261">
        <f t="shared" si="0"/>
      </c>
      <c r="D68" s="261">
        <f t="shared" si="1"/>
      </c>
      <c r="E68" s="261">
        <f t="shared" si="2"/>
      </c>
      <c r="F68" s="261">
        <f t="shared" si="3"/>
      </c>
      <c r="H68" s="388">
        <v>61</v>
      </c>
      <c r="I68" s="263">
        <f t="shared" si="15"/>
      </c>
      <c r="J68" s="261">
        <f t="shared" si="4"/>
      </c>
      <c r="K68" s="261">
        <f t="shared" si="5"/>
      </c>
      <c r="L68" s="261">
        <f t="shared" si="6"/>
      </c>
      <c r="M68" s="261">
        <f t="shared" si="7"/>
      </c>
      <c r="N68" s="382"/>
      <c r="O68" s="382"/>
      <c r="P68" s="189"/>
      <c r="U68" s="190">
        <f t="shared" si="16"/>
      </c>
      <c r="V68" s="203">
        <f t="shared" si="18"/>
      </c>
      <c r="W68" s="203">
        <f t="shared" si="19"/>
      </c>
      <c r="X68" s="202">
        <f t="shared" si="10"/>
      </c>
      <c r="Y68" s="202">
        <f t="shared" si="20"/>
      </c>
      <c r="Z68" s="202">
        <f t="shared" si="17"/>
      </c>
      <c r="AA68" s="202">
        <f t="shared" si="21"/>
      </c>
      <c r="AB68" s="190">
        <f t="shared" si="22"/>
      </c>
    </row>
    <row r="69" spans="1:28" hidden="1">
      <c r="A69" s="387">
        <v>62</v>
      </c>
      <c r="B69" s="263">
        <f t="shared" si="14"/>
      </c>
      <c r="C69" s="261">
        <f t="shared" si="0"/>
      </c>
      <c r="D69" s="261">
        <f t="shared" si="1"/>
      </c>
      <c r="E69" s="261">
        <f t="shared" si="2"/>
      </c>
      <c r="F69" s="261">
        <f t="shared" si="3"/>
      </c>
      <c r="H69" s="387">
        <v>62</v>
      </c>
      <c r="I69" s="263">
        <f t="shared" si="15"/>
      </c>
      <c r="J69" s="261">
        <f t="shared" si="4"/>
      </c>
      <c r="K69" s="261">
        <f t="shared" si="5"/>
      </c>
      <c r="L69" s="261">
        <f t="shared" si="6"/>
      </c>
      <c r="M69" s="261">
        <f t="shared" si="7"/>
      </c>
      <c r="N69" s="382"/>
      <c r="O69" s="382"/>
      <c r="P69" s="189"/>
      <c r="U69" s="190">
        <f t="shared" si="16"/>
      </c>
      <c r="V69" s="203">
        <f t="shared" si="18"/>
      </c>
      <c r="W69" s="203">
        <f t="shared" si="19"/>
      </c>
      <c r="X69" s="202">
        <f t="shared" si="10"/>
      </c>
      <c r="Y69" s="202">
        <f t="shared" si="20"/>
      </c>
      <c r="Z69" s="202">
        <f t="shared" si="17"/>
      </c>
      <c r="AA69" s="202">
        <f t="shared" si="21"/>
      </c>
      <c r="AB69" s="190">
        <f t="shared" si="22"/>
      </c>
    </row>
    <row r="70" spans="1:28" hidden="1">
      <c r="A70" s="388">
        <v>63</v>
      </c>
      <c r="B70" s="263">
        <f t="shared" si="14"/>
      </c>
      <c r="C70" s="261">
        <f t="shared" si="0"/>
      </c>
      <c r="D70" s="261">
        <f t="shared" si="1"/>
      </c>
      <c r="E70" s="261">
        <f t="shared" si="2"/>
      </c>
      <c r="F70" s="261">
        <f t="shared" si="3"/>
      </c>
      <c r="H70" s="388">
        <v>63</v>
      </c>
      <c r="I70" s="263">
        <f t="shared" si="15"/>
      </c>
      <c r="J70" s="261">
        <f t="shared" si="4"/>
      </c>
      <c r="K70" s="261">
        <f t="shared" si="5"/>
      </c>
      <c r="L70" s="261">
        <f t="shared" si="6"/>
      </c>
      <c r="M70" s="261">
        <f t="shared" si="7"/>
      </c>
      <c r="N70" s="382"/>
      <c r="O70" s="382"/>
      <c r="P70" s="189"/>
      <c r="U70" s="190">
        <f t="shared" si="16"/>
      </c>
      <c r="V70" s="203">
        <f t="shared" si="18"/>
      </c>
      <c r="W70" s="203">
        <f t="shared" si="19"/>
      </c>
      <c r="X70" s="202">
        <f t="shared" si="10"/>
      </c>
      <c r="Y70" s="202">
        <f t="shared" si="20"/>
      </c>
      <c r="Z70" s="202">
        <f t="shared" si="17"/>
      </c>
      <c r="AA70" s="202">
        <f t="shared" si="21"/>
      </c>
      <c r="AB70" s="190">
        <f t="shared" si="22"/>
      </c>
    </row>
    <row r="71" spans="1:28" hidden="1">
      <c r="A71" s="387">
        <v>64</v>
      </c>
      <c r="B71" s="263">
        <f t="shared" si="14"/>
      </c>
      <c r="C71" s="261">
        <f t="shared" si="0"/>
      </c>
      <c r="D71" s="261">
        <f t="shared" si="1"/>
      </c>
      <c r="E71" s="261">
        <f t="shared" si="2"/>
      </c>
      <c r="F71" s="261">
        <f t="shared" si="3"/>
      </c>
      <c r="H71" s="387">
        <v>64</v>
      </c>
      <c r="I71" s="263">
        <f t="shared" si="15"/>
      </c>
      <c r="J71" s="261">
        <f t="shared" si="4"/>
      </c>
      <c r="K71" s="261">
        <f t="shared" si="5"/>
      </c>
      <c r="L71" s="261">
        <f t="shared" si="6"/>
      </c>
      <c r="M71" s="261">
        <f t="shared" si="7"/>
      </c>
      <c r="N71" s="382"/>
      <c r="O71" s="382"/>
      <c r="P71" s="189"/>
      <c r="U71" s="190">
        <f t="shared" si="16"/>
      </c>
      <c r="V71" s="203">
        <f t="shared" si="18"/>
      </c>
      <c r="W71" s="203">
        <f t="shared" si="19"/>
      </c>
      <c r="X71" s="202">
        <f t="shared" si="10"/>
      </c>
      <c r="Y71" s="202">
        <f t="shared" si="20"/>
      </c>
      <c r="Z71" s="202">
        <f t="shared" si="17"/>
      </c>
      <c r="AA71" s="202">
        <f t="shared" si="21"/>
      </c>
      <c r="AB71" s="190">
        <f t="shared" si="22"/>
      </c>
    </row>
    <row r="72" spans="1:28" hidden="1">
      <c r="A72" s="387">
        <v>65</v>
      </c>
      <c r="B72" s="263">
        <f t="shared" si="14"/>
      </c>
      <c r="C72" s="261">
        <f t="shared" si="0"/>
      </c>
      <c r="D72" s="261">
        <f t="shared" si="1"/>
      </c>
      <c r="E72" s="261">
        <f t="shared" si="2"/>
      </c>
      <c r="F72" s="261">
        <f t="shared" si="3"/>
      </c>
      <c r="H72" s="387">
        <v>65</v>
      </c>
      <c r="I72" s="263">
        <f t="shared" si="15"/>
      </c>
      <c r="J72" s="261">
        <f t="shared" si="4"/>
      </c>
      <c r="K72" s="261">
        <f t="shared" si="5"/>
      </c>
      <c r="L72" s="261">
        <f t="shared" si="6"/>
      </c>
      <c r="M72" s="261">
        <f t="shared" si="7"/>
      </c>
      <c r="N72" s="382"/>
      <c r="O72" s="382"/>
      <c r="P72" s="189"/>
      <c r="U72" s="190">
        <f t="shared" si="16"/>
      </c>
      <c r="V72" s="203">
        <f t="shared" si="18"/>
      </c>
      <c r="W72" s="203">
        <f t="shared" si="19"/>
      </c>
      <c r="X72" s="202">
        <f t="shared" si="10"/>
      </c>
      <c r="Y72" s="202">
        <f t="shared" si="20"/>
      </c>
      <c r="Z72" s="202">
        <f t="shared" si="17"/>
      </c>
      <c r="AA72" s="202">
        <f t="shared" si="21"/>
      </c>
      <c r="AB72" s="190">
        <f t="shared" si="22"/>
      </c>
    </row>
    <row r="73" spans="1:28" hidden="1">
      <c r="A73" s="388">
        <v>66</v>
      </c>
      <c r="B73" s="263">
        <f t="shared" si="14"/>
      </c>
      <c r="C73" s="261">
        <f t="shared" ref="C73:C127" si="23">IF($Q$16="Flat",U73,Y73)</f>
      </c>
      <c r="D73" s="261">
        <f t="shared" ref="D73:D127" si="24">IF($Q$16="Flat",V73,Z73)</f>
      </c>
      <c r="E73" s="261">
        <f t="shared" ref="E73:E127" si="25">IF($Q$16="Flat",W73,AA73)</f>
      </c>
      <c r="F73" s="261">
        <f t="shared" ref="F73:F127" si="26">D73+E73</f>
      </c>
      <c r="H73" s="388">
        <v>66</v>
      </c>
      <c r="I73" s="263">
        <f t="shared" si="15"/>
      </c>
      <c r="J73" s="261">
        <f t="shared" ref="J73:J127" si="27">IF($Q$16="Flat",Y73,U73)</f>
      </c>
      <c r="K73" s="261">
        <f t="shared" ref="K73:K127" si="28">IF($Q$16="Flat",Z73,V73)</f>
      </c>
      <c r="L73" s="261">
        <f t="shared" ref="L73:L127" si="29">IF($Q$16="Flat",AA73,W73)</f>
      </c>
      <c r="M73" s="261">
        <f t="shared" ref="M73:M127" si="30">K73+L73</f>
      </c>
      <c r="N73" s="382"/>
      <c r="O73" s="382"/>
      <c r="P73" s="189"/>
      <c r="U73" s="190">
        <f t="shared" si="16"/>
      </c>
      <c r="V73" s="203">
        <f t="shared" ref="V73:V104" si="31">IF(A73&lt;=$S$4,V72,0)</f>
      </c>
      <c r="W73" s="203">
        <f t="shared" ref="W73:W104" si="32">IF(A73&lt;=$S$4,W72,0)</f>
      </c>
      <c r="X73" s="202">
        <f t="shared" ref="X73:X127" si="33">V73+W73</f>
      </c>
      <c r="Y73" s="202">
        <f t="shared" ref="Y73:Y104" si="34">IF(A73&lt;=$S$4,Y72-Z72,0)</f>
      </c>
      <c r="Z73" s="202">
        <f t="shared" si="17"/>
      </c>
      <c r="AA73" s="202">
        <f t="shared" ref="AA73:AA104" si="35">IF(A73&lt;=$S$4,Y73*$S$6/12,0)</f>
      </c>
      <c r="AB73" s="190">
        <f t="shared" ref="AB73:AB104" si="36">IF(A73&lt;=$S$4,$AB$8,0)</f>
      </c>
    </row>
    <row r="74" spans="1:28" hidden="1">
      <c r="A74" s="387">
        <v>67</v>
      </c>
      <c r="B74" s="263">
        <f t="shared" ref="B74:B127" si="37">IF(B73="","",DATE(YEAR(B73),MONTH(B73)+$B$3,DAY(B73)))</f>
      </c>
      <c r="C74" s="261">
        <f t="shared" si="23"/>
      </c>
      <c r="D74" s="261">
        <f t="shared" si="24"/>
      </c>
      <c r="E74" s="261">
        <f t="shared" si="25"/>
      </c>
      <c r="F74" s="261">
        <f t="shared" si="26"/>
      </c>
      <c r="H74" s="387">
        <v>67</v>
      </c>
      <c r="I74" s="263">
        <f t="shared" ref="I74:I127" si="38">IF(I73="","",DATE(YEAR(I73),MONTH(I73)+$B$3,DAY(I73)))</f>
      </c>
      <c r="J74" s="261">
        <f t="shared" si="27"/>
      </c>
      <c r="K74" s="261">
        <f t="shared" si="28"/>
      </c>
      <c r="L74" s="261">
        <f t="shared" si="29"/>
      </c>
      <c r="M74" s="261">
        <f t="shared" si="30"/>
      </c>
      <c r="N74" s="382"/>
      <c r="O74" s="382"/>
      <c r="P74" s="189"/>
      <c r="U74" s="190">
        <f t="shared" ref="U74:U127" si="39">U73-V73</f>
      </c>
      <c r="V74" s="203">
        <f t="shared" si="31"/>
      </c>
      <c r="W74" s="203">
        <f t="shared" si="32"/>
      </c>
      <c r="X74" s="202">
        <f t="shared" si="33"/>
      </c>
      <c r="Y74" s="202">
        <f t="shared" si="34"/>
      </c>
      <c r="Z74" s="202">
        <f t="shared" ref="Z74:Z127" si="40">AB74-AA74</f>
      </c>
      <c r="AA74" s="202">
        <f t="shared" si="35"/>
      </c>
      <c r="AB74" s="190">
        <f t="shared" si="36"/>
      </c>
    </row>
    <row r="75" spans="1:28" hidden="1">
      <c r="A75" s="388">
        <v>68</v>
      </c>
      <c r="B75" s="263">
        <f t="shared" si="37"/>
      </c>
      <c r="C75" s="261">
        <f t="shared" si="23"/>
      </c>
      <c r="D75" s="261">
        <f t="shared" si="24"/>
      </c>
      <c r="E75" s="261">
        <f t="shared" si="25"/>
      </c>
      <c r="F75" s="261">
        <f t="shared" si="26"/>
      </c>
      <c r="H75" s="388">
        <v>68</v>
      </c>
      <c r="I75" s="263">
        <f t="shared" si="38"/>
      </c>
      <c r="J75" s="261">
        <f t="shared" si="27"/>
      </c>
      <c r="K75" s="261">
        <f t="shared" si="28"/>
      </c>
      <c r="L75" s="261">
        <f t="shared" si="29"/>
      </c>
      <c r="M75" s="261">
        <f t="shared" si="30"/>
      </c>
      <c r="N75" s="382"/>
      <c r="O75" s="382"/>
      <c r="P75" s="189"/>
      <c r="U75" s="190">
        <f t="shared" si="39"/>
      </c>
      <c r="V75" s="203">
        <f t="shared" si="31"/>
      </c>
      <c r="W75" s="203">
        <f t="shared" si="32"/>
      </c>
      <c r="X75" s="202">
        <f t="shared" si="33"/>
      </c>
      <c r="Y75" s="202">
        <f t="shared" si="34"/>
      </c>
      <c r="Z75" s="202">
        <f t="shared" si="40"/>
      </c>
      <c r="AA75" s="202">
        <f t="shared" si="35"/>
      </c>
      <c r="AB75" s="190">
        <f t="shared" si="36"/>
      </c>
    </row>
    <row r="76" spans="1:28" hidden="1">
      <c r="A76" s="387">
        <v>69</v>
      </c>
      <c r="B76" s="263">
        <f t="shared" si="37"/>
      </c>
      <c r="C76" s="261">
        <f t="shared" si="23"/>
      </c>
      <c r="D76" s="261">
        <f t="shared" si="24"/>
      </c>
      <c r="E76" s="261">
        <f t="shared" si="25"/>
      </c>
      <c r="F76" s="261">
        <f t="shared" si="26"/>
      </c>
      <c r="H76" s="387">
        <v>69</v>
      </c>
      <c r="I76" s="263">
        <f t="shared" si="38"/>
      </c>
      <c r="J76" s="261">
        <f t="shared" si="27"/>
      </c>
      <c r="K76" s="261">
        <f t="shared" si="28"/>
      </c>
      <c r="L76" s="261">
        <f t="shared" si="29"/>
      </c>
      <c r="M76" s="261">
        <f t="shared" si="30"/>
      </c>
      <c r="N76" s="382"/>
      <c r="O76" s="382"/>
      <c r="P76" s="189"/>
      <c r="U76" s="190">
        <f t="shared" si="39"/>
      </c>
      <c r="V76" s="203">
        <f t="shared" si="31"/>
      </c>
      <c r="W76" s="203">
        <f t="shared" si="32"/>
      </c>
      <c r="X76" s="202">
        <f t="shared" si="33"/>
      </c>
      <c r="Y76" s="202">
        <f t="shared" si="34"/>
      </c>
      <c r="Z76" s="202">
        <f t="shared" si="40"/>
      </c>
      <c r="AA76" s="202">
        <f t="shared" si="35"/>
      </c>
      <c r="AB76" s="190">
        <f t="shared" si="36"/>
      </c>
    </row>
    <row r="77" spans="1:28" hidden="1">
      <c r="A77" s="388">
        <v>70</v>
      </c>
      <c r="B77" s="263">
        <f t="shared" si="37"/>
      </c>
      <c r="C77" s="261">
        <f t="shared" si="23"/>
      </c>
      <c r="D77" s="261">
        <f t="shared" si="24"/>
      </c>
      <c r="E77" s="261">
        <f t="shared" si="25"/>
      </c>
      <c r="F77" s="261">
        <f t="shared" si="26"/>
      </c>
      <c r="H77" s="388">
        <v>70</v>
      </c>
      <c r="I77" s="263">
        <f t="shared" si="38"/>
      </c>
      <c r="J77" s="261">
        <f t="shared" si="27"/>
      </c>
      <c r="K77" s="261">
        <f t="shared" si="28"/>
      </c>
      <c r="L77" s="261">
        <f t="shared" si="29"/>
      </c>
      <c r="M77" s="261">
        <f t="shared" si="30"/>
      </c>
      <c r="N77" s="382"/>
      <c r="O77" s="382"/>
      <c r="P77" s="189"/>
      <c r="U77" s="190">
        <f t="shared" si="39"/>
      </c>
      <c r="V77" s="203">
        <f t="shared" si="31"/>
      </c>
      <c r="W77" s="203">
        <f t="shared" si="32"/>
      </c>
      <c r="X77" s="202">
        <f t="shared" si="33"/>
      </c>
      <c r="Y77" s="202">
        <f t="shared" si="34"/>
      </c>
      <c r="Z77" s="202">
        <f t="shared" si="40"/>
      </c>
      <c r="AA77" s="202">
        <f t="shared" si="35"/>
      </c>
      <c r="AB77" s="190">
        <f t="shared" si="36"/>
      </c>
    </row>
    <row r="78" spans="1:28" hidden="1">
      <c r="A78" s="387">
        <v>71</v>
      </c>
      <c r="B78" s="263">
        <f t="shared" si="37"/>
      </c>
      <c r="C78" s="261">
        <f t="shared" si="23"/>
      </c>
      <c r="D78" s="261">
        <f t="shared" si="24"/>
      </c>
      <c r="E78" s="261">
        <f t="shared" si="25"/>
      </c>
      <c r="F78" s="261">
        <f t="shared" si="26"/>
      </c>
      <c r="H78" s="387">
        <v>71</v>
      </c>
      <c r="I78" s="263">
        <f t="shared" si="38"/>
      </c>
      <c r="J78" s="261">
        <f t="shared" si="27"/>
      </c>
      <c r="K78" s="261">
        <f t="shared" si="28"/>
      </c>
      <c r="L78" s="261">
        <f t="shared" si="29"/>
      </c>
      <c r="M78" s="261">
        <f t="shared" si="30"/>
      </c>
      <c r="N78" s="382"/>
      <c r="O78" s="382"/>
      <c r="P78" s="189"/>
      <c r="U78" s="190">
        <f t="shared" si="39"/>
      </c>
      <c r="V78" s="203">
        <f t="shared" si="31"/>
      </c>
      <c r="W78" s="203">
        <f t="shared" si="32"/>
      </c>
      <c r="X78" s="202">
        <f t="shared" si="33"/>
      </c>
      <c r="Y78" s="202">
        <f t="shared" si="34"/>
      </c>
      <c r="Z78" s="202">
        <f t="shared" si="40"/>
      </c>
      <c r="AA78" s="202">
        <f t="shared" si="35"/>
      </c>
      <c r="AB78" s="190">
        <f t="shared" si="36"/>
      </c>
    </row>
    <row r="79" spans="1:28" hidden="1">
      <c r="A79" s="388">
        <v>72</v>
      </c>
      <c r="B79" s="263">
        <f t="shared" si="37"/>
      </c>
      <c r="C79" s="261">
        <f t="shared" si="23"/>
      </c>
      <c r="D79" s="261">
        <f t="shared" si="24"/>
      </c>
      <c r="E79" s="261">
        <f t="shared" si="25"/>
      </c>
      <c r="F79" s="261">
        <f t="shared" si="26"/>
      </c>
      <c r="H79" s="388">
        <v>72</v>
      </c>
      <c r="I79" s="263">
        <f t="shared" si="38"/>
      </c>
      <c r="J79" s="261">
        <f t="shared" si="27"/>
      </c>
      <c r="K79" s="261">
        <f t="shared" si="28"/>
      </c>
      <c r="L79" s="261">
        <f t="shared" si="29"/>
      </c>
      <c r="M79" s="261">
        <f t="shared" si="30"/>
      </c>
      <c r="N79" s="382"/>
      <c r="O79" s="382"/>
      <c r="P79" s="189"/>
      <c r="U79" s="190">
        <f t="shared" si="39"/>
      </c>
      <c r="V79" s="203">
        <f t="shared" si="31"/>
      </c>
      <c r="W79" s="203">
        <f t="shared" si="32"/>
      </c>
      <c r="X79" s="202">
        <f t="shared" si="33"/>
      </c>
      <c r="Y79" s="202">
        <f t="shared" si="34"/>
      </c>
      <c r="Z79" s="202">
        <f t="shared" si="40"/>
      </c>
      <c r="AA79" s="202">
        <f t="shared" si="35"/>
      </c>
      <c r="AB79" s="190">
        <f t="shared" si="36"/>
      </c>
    </row>
    <row r="80" spans="1:28" hidden="1">
      <c r="A80" s="387">
        <v>73</v>
      </c>
      <c r="B80" s="263">
        <f t="shared" si="37"/>
      </c>
      <c r="C80" s="261">
        <f t="shared" si="23"/>
      </c>
      <c r="D80" s="261">
        <f t="shared" si="24"/>
      </c>
      <c r="E80" s="261">
        <f t="shared" si="25"/>
      </c>
      <c r="F80" s="261">
        <f t="shared" si="26"/>
      </c>
      <c r="H80" s="387">
        <v>73</v>
      </c>
      <c r="I80" s="263">
        <f t="shared" si="38"/>
      </c>
      <c r="J80" s="261">
        <f t="shared" si="27"/>
      </c>
      <c r="K80" s="261">
        <f t="shared" si="28"/>
      </c>
      <c r="L80" s="261">
        <f t="shared" si="29"/>
      </c>
      <c r="M80" s="261">
        <f t="shared" si="30"/>
      </c>
      <c r="N80" s="382"/>
      <c r="O80" s="382"/>
      <c r="P80" s="189"/>
      <c r="U80" s="190">
        <f t="shared" si="39"/>
      </c>
      <c r="V80" s="203">
        <f t="shared" si="31"/>
      </c>
      <c r="W80" s="203">
        <f t="shared" si="32"/>
      </c>
      <c r="X80" s="202">
        <f t="shared" si="33"/>
      </c>
      <c r="Y80" s="202">
        <f t="shared" si="34"/>
      </c>
      <c r="Z80" s="202">
        <f t="shared" si="40"/>
      </c>
      <c r="AA80" s="202">
        <f t="shared" si="35"/>
      </c>
      <c r="AB80" s="190">
        <f t="shared" si="36"/>
      </c>
    </row>
    <row r="81" spans="1:28" hidden="1">
      <c r="A81" s="388">
        <v>74</v>
      </c>
      <c r="B81" s="263">
        <f t="shared" si="37"/>
      </c>
      <c r="C81" s="261">
        <f t="shared" si="23"/>
      </c>
      <c r="D81" s="261">
        <f t="shared" si="24"/>
      </c>
      <c r="E81" s="261">
        <f t="shared" si="25"/>
      </c>
      <c r="F81" s="261">
        <f t="shared" si="26"/>
      </c>
      <c r="H81" s="388">
        <v>74</v>
      </c>
      <c r="I81" s="263">
        <f t="shared" si="38"/>
      </c>
      <c r="J81" s="261">
        <f t="shared" si="27"/>
      </c>
      <c r="K81" s="261">
        <f t="shared" si="28"/>
      </c>
      <c r="L81" s="261">
        <f t="shared" si="29"/>
      </c>
      <c r="M81" s="261">
        <f t="shared" si="30"/>
      </c>
      <c r="N81" s="382"/>
      <c r="O81" s="382"/>
      <c r="P81" s="189"/>
      <c r="U81" s="190">
        <f t="shared" si="39"/>
      </c>
      <c r="V81" s="203">
        <f t="shared" si="31"/>
      </c>
      <c r="W81" s="203">
        <f t="shared" si="32"/>
      </c>
      <c r="X81" s="202">
        <f t="shared" si="33"/>
      </c>
      <c r="Y81" s="202">
        <f t="shared" si="34"/>
      </c>
      <c r="Z81" s="202">
        <f t="shared" si="40"/>
      </c>
      <c r="AA81" s="202">
        <f t="shared" si="35"/>
      </c>
      <c r="AB81" s="190">
        <f t="shared" si="36"/>
      </c>
    </row>
    <row r="82" spans="1:28" hidden="1">
      <c r="A82" s="387">
        <v>75</v>
      </c>
      <c r="B82" s="263">
        <f t="shared" si="37"/>
      </c>
      <c r="C82" s="261">
        <f t="shared" si="23"/>
      </c>
      <c r="D82" s="261">
        <f t="shared" si="24"/>
      </c>
      <c r="E82" s="261">
        <f t="shared" si="25"/>
      </c>
      <c r="F82" s="261">
        <f t="shared" si="26"/>
      </c>
      <c r="H82" s="387">
        <v>75</v>
      </c>
      <c r="I82" s="263">
        <f t="shared" si="38"/>
      </c>
      <c r="J82" s="261">
        <f t="shared" si="27"/>
      </c>
      <c r="K82" s="261">
        <f t="shared" si="28"/>
      </c>
      <c r="L82" s="261">
        <f t="shared" si="29"/>
      </c>
      <c r="M82" s="261">
        <f t="shared" si="30"/>
      </c>
      <c r="N82" s="382"/>
      <c r="O82" s="382"/>
      <c r="P82" s="189"/>
      <c r="U82" s="190">
        <f t="shared" si="39"/>
      </c>
      <c r="V82" s="203">
        <f t="shared" si="31"/>
      </c>
      <c r="W82" s="203">
        <f t="shared" si="32"/>
      </c>
      <c r="X82" s="202">
        <f t="shared" si="33"/>
      </c>
      <c r="Y82" s="202">
        <f t="shared" si="34"/>
      </c>
      <c r="Z82" s="202">
        <f t="shared" si="40"/>
      </c>
      <c r="AA82" s="202">
        <f t="shared" si="35"/>
      </c>
      <c r="AB82" s="190">
        <f t="shared" si="36"/>
      </c>
    </row>
    <row r="83" spans="1:28" hidden="1">
      <c r="A83" s="387">
        <v>76</v>
      </c>
      <c r="B83" s="263">
        <f t="shared" si="37"/>
      </c>
      <c r="C83" s="261">
        <f t="shared" si="23"/>
      </c>
      <c r="D83" s="261">
        <f t="shared" si="24"/>
      </c>
      <c r="E83" s="261">
        <f t="shared" si="25"/>
      </c>
      <c r="F83" s="261">
        <f t="shared" si="26"/>
      </c>
      <c r="H83" s="387">
        <v>76</v>
      </c>
      <c r="I83" s="263">
        <f t="shared" si="38"/>
      </c>
      <c r="J83" s="261">
        <f t="shared" si="27"/>
      </c>
      <c r="K83" s="261">
        <f t="shared" si="28"/>
      </c>
      <c r="L83" s="261">
        <f t="shared" si="29"/>
      </c>
      <c r="M83" s="261">
        <f t="shared" si="30"/>
      </c>
      <c r="N83" s="382"/>
      <c r="O83" s="382"/>
      <c r="P83" s="189"/>
      <c r="U83" s="190">
        <f t="shared" si="39"/>
      </c>
      <c r="V83" s="203">
        <f t="shared" si="31"/>
      </c>
      <c r="W83" s="203">
        <f t="shared" si="32"/>
      </c>
      <c r="X83" s="202">
        <f t="shared" si="33"/>
      </c>
      <c r="Y83" s="202">
        <f t="shared" si="34"/>
      </c>
      <c r="Z83" s="202">
        <f t="shared" si="40"/>
      </c>
      <c r="AA83" s="202">
        <f t="shared" si="35"/>
      </c>
      <c r="AB83" s="190">
        <f t="shared" si="36"/>
      </c>
    </row>
    <row r="84" spans="1:28" hidden="1">
      <c r="A84" s="388">
        <v>77</v>
      </c>
      <c r="B84" s="263">
        <f t="shared" si="37"/>
      </c>
      <c r="C84" s="261">
        <f t="shared" si="23"/>
      </c>
      <c r="D84" s="261">
        <f t="shared" si="24"/>
      </c>
      <c r="E84" s="261">
        <f t="shared" si="25"/>
      </c>
      <c r="F84" s="261">
        <f t="shared" si="26"/>
      </c>
      <c r="H84" s="388">
        <v>77</v>
      </c>
      <c r="I84" s="263">
        <f t="shared" si="38"/>
      </c>
      <c r="J84" s="261">
        <f t="shared" si="27"/>
      </c>
      <c r="K84" s="261">
        <f t="shared" si="28"/>
      </c>
      <c r="L84" s="261">
        <f t="shared" si="29"/>
      </c>
      <c r="M84" s="261">
        <f t="shared" si="30"/>
      </c>
      <c r="N84" s="382"/>
      <c r="O84" s="382"/>
      <c r="P84" s="189"/>
      <c r="U84" s="190">
        <f t="shared" si="39"/>
      </c>
      <c r="V84" s="203">
        <f t="shared" si="31"/>
      </c>
      <c r="W84" s="203">
        <f t="shared" si="32"/>
      </c>
      <c r="X84" s="202">
        <f t="shared" si="33"/>
      </c>
      <c r="Y84" s="202">
        <f t="shared" si="34"/>
      </c>
      <c r="Z84" s="202">
        <f t="shared" si="40"/>
      </c>
      <c r="AA84" s="202">
        <f t="shared" si="35"/>
      </c>
      <c r="AB84" s="190">
        <f t="shared" si="36"/>
      </c>
    </row>
    <row r="85" spans="1:28" hidden="1">
      <c r="A85" s="387">
        <v>78</v>
      </c>
      <c r="B85" s="263">
        <f t="shared" si="37"/>
      </c>
      <c r="C85" s="261">
        <f t="shared" si="23"/>
      </c>
      <c r="D85" s="261">
        <f t="shared" si="24"/>
      </c>
      <c r="E85" s="261">
        <f t="shared" si="25"/>
      </c>
      <c r="F85" s="261">
        <f t="shared" si="26"/>
      </c>
      <c r="H85" s="387">
        <v>78</v>
      </c>
      <c r="I85" s="263">
        <f t="shared" si="38"/>
      </c>
      <c r="J85" s="261">
        <f t="shared" si="27"/>
      </c>
      <c r="K85" s="261">
        <f t="shared" si="28"/>
      </c>
      <c r="L85" s="261">
        <f t="shared" si="29"/>
      </c>
      <c r="M85" s="261">
        <f t="shared" si="30"/>
      </c>
      <c r="N85" s="382"/>
      <c r="O85" s="382"/>
      <c r="P85" s="189"/>
      <c r="U85" s="190">
        <f t="shared" si="39"/>
      </c>
      <c r="V85" s="203">
        <f t="shared" si="31"/>
      </c>
      <c r="W85" s="203">
        <f t="shared" si="32"/>
      </c>
      <c r="X85" s="202">
        <f t="shared" si="33"/>
      </c>
      <c r="Y85" s="202">
        <f t="shared" si="34"/>
      </c>
      <c r="Z85" s="202">
        <f t="shared" si="40"/>
      </c>
      <c r="AA85" s="202">
        <f t="shared" si="35"/>
      </c>
      <c r="AB85" s="190">
        <f t="shared" si="36"/>
      </c>
    </row>
    <row r="86" spans="1:28" hidden="1">
      <c r="A86" s="388">
        <v>79</v>
      </c>
      <c r="B86" s="263">
        <f t="shared" si="37"/>
      </c>
      <c r="C86" s="261">
        <f t="shared" si="23"/>
      </c>
      <c r="D86" s="261">
        <f t="shared" si="24"/>
      </c>
      <c r="E86" s="261">
        <f t="shared" si="25"/>
      </c>
      <c r="F86" s="261">
        <f t="shared" si="26"/>
      </c>
      <c r="H86" s="388">
        <v>79</v>
      </c>
      <c r="I86" s="263">
        <f t="shared" si="38"/>
      </c>
      <c r="J86" s="261">
        <f t="shared" si="27"/>
      </c>
      <c r="K86" s="261">
        <f t="shared" si="28"/>
      </c>
      <c r="L86" s="261">
        <f t="shared" si="29"/>
      </c>
      <c r="M86" s="261">
        <f t="shared" si="30"/>
      </c>
      <c r="N86" s="382"/>
      <c r="O86" s="382"/>
      <c r="P86" s="189"/>
      <c r="U86" s="190">
        <f t="shared" si="39"/>
      </c>
      <c r="V86" s="203">
        <f t="shared" si="31"/>
      </c>
      <c r="W86" s="203">
        <f t="shared" si="32"/>
      </c>
      <c r="X86" s="202">
        <f t="shared" si="33"/>
      </c>
      <c r="Y86" s="202">
        <f t="shared" si="34"/>
      </c>
      <c r="Z86" s="202">
        <f t="shared" si="40"/>
      </c>
      <c r="AA86" s="202">
        <f t="shared" si="35"/>
      </c>
      <c r="AB86" s="190">
        <f t="shared" si="36"/>
      </c>
    </row>
    <row r="87" spans="1:28" hidden="1">
      <c r="A87" s="387">
        <v>80</v>
      </c>
      <c r="B87" s="263">
        <f t="shared" si="37"/>
      </c>
      <c r="C87" s="261">
        <f t="shared" si="23"/>
      </c>
      <c r="D87" s="261">
        <f t="shared" si="24"/>
      </c>
      <c r="E87" s="261">
        <f t="shared" si="25"/>
      </c>
      <c r="F87" s="261">
        <f t="shared" si="26"/>
      </c>
      <c r="H87" s="387">
        <v>80</v>
      </c>
      <c r="I87" s="263">
        <f t="shared" si="38"/>
      </c>
      <c r="J87" s="261">
        <f t="shared" si="27"/>
      </c>
      <c r="K87" s="261">
        <f t="shared" si="28"/>
      </c>
      <c r="L87" s="261">
        <f t="shared" si="29"/>
      </c>
      <c r="M87" s="261">
        <f t="shared" si="30"/>
      </c>
      <c r="N87" s="382"/>
      <c r="O87" s="382"/>
      <c r="P87" s="189"/>
      <c r="U87" s="190">
        <f t="shared" si="39"/>
      </c>
      <c r="V87" s="203">
        <f t="shared" si="31"/>
      </c>
      <c r="W87" s="203">
        <f t="shared" si="32"/>
      </c>
      <c r="X87" s="202">
        <f t="shared" si="33"/>
      </c>
      <c r="Y87" s="202">
        <f t="shared" si="34"/>
      </c>
      <c r="Z87" s="202">
        <f t="shared" si="40"/>
      </c>
      <c r="AA87" s="202">
        <f t="shared" si="35"/>
      </c>
      <c r="AB87" s="190">
        <f t="shared" si="36"/>
      </c>
    </row>
    <row r="88" spans="1:28" hidden="1">
      <c r="A88" s="388">
        <v>81</v>
      </c>
      <c r="B88" s="263">
        <f t="shared" si="37"/>
      </c>
      <c r="C88" s="261">
        <f t="shared" si="23"/>
      </c>
      <c r="D88" s="261">
        <f t="shared" si="24"/>
      </c>
      <c r="E88" s="261">
        <f t="shared" si="25"/>
      </c>
      <c r="F88" s="261">
        <f t="shared" si="26"/>
      </c>
      <c r="H88" s="388">
        <v>81</v>
      </c>
      <c r="I88" s="263">
        <f t="shared" si="38"/>
      </c>
      <c r="J88" s="261">
        <f t="shared" si="27"/>
      </c>
      <c r="K88" s="261">
        <f t="shared" si="28"/>
      </c>
      <c r="L88" s="261">
        <f t="shared" si="29"/>
      </c>
      <c r="M88" s="261">
        <f t="shared" si="30"/>
      </c>
      <c r="N88" s="382"/>
      <c r="O88" s="382"/>
      <c r="P88" s="189"/>
      <c r="U88" s="190">
        <f t="shared" si="39"/>
      </c>
      <c r="V88" s="203">
        <f t="shared" si="31"/>
      </c>
      <c r="W88" s="203">
        <f t="shared" si="32"/>
      </c>
      <c r="X88" s="202">
        <f t="shared" si="33"/>
      </c>
      <c r="Y88" s="202">
        <f t="shared" si="34"/>
      </c>
      <c r="Z88" s="202">
        <f t="shared" si="40"/>
      </c>
      <c r="AA88" s="202">
        <f t="shared" si="35"/>
      </c>
      <c r="AB88" s="190">
        <f t="shared" si="36"/>
      </c>
    </row>
    <row r="89" spans="1:28" hidden="1">
      <c r="A89" s="387">
        <v>82</v>
      </c>
      <c r="B89" s="263">
        <f t="shared" si="37"/>
      </c>
      <c r="C89" s="261">
        <f t="shared" si="23"/>
      </c>
      <c r="D89" s="261">
        <f t="shared" si="24"/>
      </c>
      <c r="E89" s="261">
        <f t="shared" si="25"/>
      </c>
      <c r="F89" s="261">
        <f t="shared" si="26"/>
      </c>
      <c r="H89" s="387">
        <v>82</v>
      </c>
      <c r="I89" s="263">
        <f t="shared" si="38"/>
      </c>
      <c r="J89" s="261">
        <f t="shared" si="27"/>
      </c>
      <c r="K89" s="261">
        <f t="shared" si="28"/>
      </c>
      <c r="L89" s="261">
        <f t="shared" si="29"/>
      </c>
      <c r="M89" s="261">
        <f t="shared" si="30"/>
      </c>
      <c r="N89" s="382"/>
      <c r="O89" s="382"/>
      <c r="P89" s="189"/>
      <c r="U89" s="190">
        <f t="shared" si="39"/>
      </c>
      <c r="V89" s="203">
        <f t="shared" si="31"/>
      </c>
      <c r="W89" s="203">
        <f t="shared" si="32"/>
      </c>
      <c r="X89" s="202">
        <f t="shared" si="33"/>
      </c>
      <c r="Y89" s="202">
        <f t="shared" si="34"/>
      </c>
      <c r="Z89" s="202">
        <f t="shared" si="40"/>
      </c>
      <c r="AA89" s="202">
        <f t="shared" si="35"/>
      </c>
      <c r="AB89" s="190">
        <f t="shared" si="36"/>
      </c>
    </row>
    <row r="90" spans="1:28" hidden="1">
      <c r="A90" s="388">
        <v>83</v>
      </c>
      <c r="B90" s="263">
        <f t="shared" si="37"/>
      </c>
      <c r="C90" s="261">
        <f t="shared" si="23"/>
      </c>
      <c r="D90" s="261">
        <f t="shared" si="24"/>
      </c>
      <c r="E90" s="261">
        <f t="shared" si="25"/>
      </c>
      <c r="F90" s="261">
        <f t="shared" si="26"/>
      </c>
      <c r="H90" s="388">
        <v>83</v>
      </c>
      <c r="I90" s="263">
        <f t="shared" si="38"/>
      </c>
      <c r="J90" s="261">
        <f t="shared" si="27"/>
      </c>
      <c r="K90" s="261">
        <f t="shared" si="28"/>
      </c>
      <c r="L90" s="261">
        <f t="shared" si="29"/>
      </c>
      <c r="M90" s="261">
        <f t="shared" si="30"/>
      </c>
      <c r="N90" s="382"/>
      <c r="O90" s="382"/>
      <c r="P90" s="189"/>
      <c r="U90" s="190">
        <f t="shared" si="39"/>
      </c>
      <c r="V90" s="203">
        <f t="shared" si="31"/>
      </c>
      <c r="W90" s="203">
        <f t="shared" si="32"/>
      </c>
      <c r="X90" s="202">
        <f t="shared" si="33"/>
      </c>
      <c r="Y90" s="202">
        <f t="shared" si="34"/>
      </c>
      <c r="Z90" s="202">
        <f t="shared" si="40"/>
      </c>
      <c r="AA90" s="202">
        <f t="shared" si="35"/>
      </c>
      <c r="AB90" s="190">
        <f t="shared" si="36"/>
      </c>
    </row>
    <row r="91" spans="1:28" hidden="1">
      <c r="A91" s="387">
        <v>84</v>
      </c>
      <c r="B91" s="263">
        <f t="shared" si="37"/>
      </c>
      <c r="C91" s="261">
        <f t="shared" si="23"/>
      </c>
      <c r="D91" s="261">
        <f t="shared" si="24"/>
      </c>
      <c r="E91" s="261">
        <f t="shared" si="25"/>
      </c>
      <c r="F91" s="261">
        <f t="shared" si="26"/>
      </c>
      <c r="H91" s="387">
        <v>84</v>
      </c>
      <c r="I91" s="263">
        <f t="shared" si="38"/>
      </c>
      <c r="J91" s="261">
        <f t="shared" si="27"/>
      </c>
      <c r="K91" s="261">
        <f t="shared" si="28"/>
      </c>
      <c r="L91" s="261">
        <f t="shared" si="29"/>
      </c>
      <c r="M91" s="261">
        <f t="shared" si="30"/>
      </c>
      <c r="N91" s="382"/>
      <c r="O91" s="382"/>
      <c r="P91" s="189"/>
      <c r="U91" s="190">
        <f t="shared" si="39"/>
      </c>
      <c r="V91" s="203">
        <f t="shared" si="31"/>
      </c>
      <c r="W91" s="203">
        <f t="shared" si="32"/>
      </c>
      <c r="X91" s="202">
        <f t="shared" si="33"/>
      </c>
      <c r="Y91" s="202">
        <f t="shared" si="34"/>
      </c>
      <c r="Z91" s="202">
        <f t="shared" si="40"/>
      </c>
      <c r="AA91" s="202">
        <f t="shared" si="35"/>
      </c>
      <c r="AB91" s="190">
        <f t="shared" si="36"/>
      </c>
    </row>
    <row r="92" spans="1:28" hidden="1">
      <c r="A92" s="388">
        <v>85</v>
      </c>
      <c r="B92" s="263">
        <f t="shared" si="37"/>
      </c>
      <c r="C92" s="261">
        <f t="shared" si="23"/>
      </c>
      <c r="D92" s="261">
        <f t="shared" si="24"/>
      </c>
      <c r="E92" s="261">
        <f t="shared" si="25"/>
      </c>
      <c r="F92" s="261">
        <f t="shared" si="26"/>
      </c>
      <c r="H92" s="388">
        <v>85</v>
      </c>
      <c r="I92" s="263">
        <f t="shared" si="38"/>
      </c>
      <c r="J92" s="261">
        <f t="shared" si="27"/>
      </c>
      <c r="K92" s="261">
        <f t="shared" si="28"/>
      </c>
      <c r="L92" s="261">
        <f t="shared" si="29"/>
      </c>
      <c r="M92" s="261">
        <f t="shared" si="30"/>
      </c>
      <c r="N92" s="382"/>
      <c r="O92" s="382"/>
      <c r="P92" s="189"/>
      <c r="U92" s="190">
        <f t="shared" si="39"/>
      </c>
      <c r="V92" s="203">
        <f t="shared" si="31"/>
      </c>
      <c r="W92" s="203">
        <f t="shared" si="32"/>
      </c>
      <c r="X92" s="202">
        <f t="shared" si="33"/>
      </c>
      <c r="Y92" s="202">
        <f t="shared" si="34"/>
      </c>
      <c r="Z92" s="202">
        <f t="shared" si="40"/>
      </c>
      <c r="AA92" s="202">
        <f t="shared" si="35"/>
      </c>
      <c r="AB92" s="190">
        <f t="shared" si="36"/>
      </c>
    </row>
    <row r="93" spans="1:28" hidden="1">
      <c r="A93" s="387">
        <v>86</v>
      </c>
      <c r="B93" s="263">
        <f t="shared" si="37"/>
      </c>
      <c r="C93" s="261">
        <f t="shared" si="23"/>
      </c>
      <c r="D93" s="261">
        <f t="shared" si="24"/>
      </c>
      <c r="E93" s="261">
        <f t="shared" si="25"/>
      </c>
      <c r="F93" s="261">
        <f t="shared" si="26"/>
      </c>
      <c r="H93" s="387">
        <v>86</v>
      </c>
      <c r="I93" s="263">
        <f t="shared" si="38"/>
      </c>
      <c r="J93" s="261">
        <f t="shared" si="27"/>
      </c>
      <c r="K93" s="261">
        <f t="shared" si="28"/>
      </c>
      <c r="L93" s="261">
        <f t="shared" si="29"/>
      </c>
      <c r="M93" s="261">
        <f t="shared" si="30"/>
      </c>
      <c r="N93" s="382"/>
      <c r="O93" s="382"/>
      <c r="P93" s="189"/>
      <c r="U93" s="190">
        <f t="shared" si="39"/>
      </c>
      <c r="V93" s="203">
        <f t="shared" si="31"/>
      </c>
      <c r="W93" s="203">
        <f t="shared" si="32"/>
      </c>
      <c r="X93" s="202">
        <f t="shared" si="33"/>
      </c>
      <c r="Y93" s="202">
        <f t="shared" si="34"/>
      </c>
      <c r="Z93" s="202">
        <f t="shared" si="40"/>
      </c>
      <c r="AA93" s="202">
        <f t="shared" si="35"/>
      </c>
      <c r="AB93" s="190">
        <f t="shared" si="36"/>
      </c>
    </row>
    <row r="94" spans="1:28" hidden="1">
      <c r="A94" s="387">
        <v>87</v>
      </c>
      <c r="B94" s="263">
        <f t="shared" si="37"/>
      </c>
      <c r="C94" s="261">
        <f t="shared" si="23"/>
      </c>
      <c r="D94" s="261">
        <f t="shared" si="24"/>
      </c>
      <c r="E94" s="261">
        <f t="shared" si="25"/>
      </c>
      <c r="F94" s="261">
        <f t="shared" si="26"/>
      </c>
      <c r="H94" s="387">
        <v>87</v>
      </c>
      <c r="I94" s="263">
        <f t="shared" si="38"/>
      </c>
      <c r="J94" s="261">
        <f t="shared" si="27"/>
      </c>
      <c r="K94" s="261">
        <f t="shared" si="28"/>
      </c>
      <c r="L94" s="261">
        <f t="shared" si="29"/>
      </c>
      <c r="M94" s="261">
        <f t="shared" si="30"/>
      </c>
      <c r="N94" s="382"/>
      <c r="O94" s="382"/>
      <c r="P94" s="189"/>
      <c r="U94" s="190">
        <f t="shared" si="39"/>
      </c>
      <c r="V94" s="203">
        <f t="shared" si="31"/>
      </c>
      <c r="W94" s="203">
        <f t="shared" si="32"/>
      </c>
      <c r="X94" s="202">
        <f t="shared" si="33"/>
      </c>
      <c r="Y94" s="202">
        <f t="shared" si="34"/>
      </c>
      <c r="Z94" s="202">
        <f t="shared" si="40"/>
      </c>
      <c r="AA94" s="202">
        <f t="shared" si="35"/>
      </c>
      <c r="AB94" s="190">
        <f t="shared" si="36"/>
      </c>
    </row>
    <row r="95" spans="1:28" hidden="1">
      <c r="A95" s="388">
        <v>88</v>
      </c>
      <c r="B95" s="263">
        <f t="shared" si="37"/>
      </c>
      <c r="C95" s="261">
        <f t="shared" si="23"/>
      </c>
      <c r="D95" s="261">
        <f t="shared" si="24"/>
      </c>
      <c r="E95" s="261">
        <f t="shared" si="25"/>
      </c>
      <c r="F95" s="261">
        <f t="shared" si="26"/>
      </c>
      <c r="H95" s="388">
        <v>88</v>
      </c>
      <c r="I95" s="263">
        <f t="shared" si="38"/>
      </c>
      <c r="J95" s="261">
        <f t="shared" si="27"/>
      </c>
      <c r="K95" s="261">
        <f t="shared" si="28"/>
      </c>
      <c r="L95" s="261">
        <f t="shared" si="29"/>
      </c>
      <c r="M95" s="261">
        <f t="shared" si="30"/>
      </c>
      <c r="N95" s="382"/>
      <c r="O95" s="382"/>
      <c r="P95" s="189"/>
      <c r="U95" s="190">
        <f t="shared" si="39"/>
      </c>
      <c r="V95" s="203">
        <f t="shared" si="31"/>
      </c>
      <c r="W95" s="203">
        <f t="shared" si="32"/>
      </c>
      <c r="X95" s="202">
        <f t="shared" si="33"/>
      </c>
      <c r="Y95" s="202">
        <f t="shared" si="34"/>
      </c>
      <c r="Z95" s="202">
        <f t="shared" si="40"/>
      </c>
      <c r="AA95" s="202">
        <f t="shared" si="35"/>
      </c>
      <c r="AB95" s="190">
        <f t="shared" si="36"/>
      </c>
    </row>
    <row r="96" spans="1:28" hidden="1">
      <c r="A96" s="387">
        <v>89</v>
      </c>
      <c r="B96" s="263">
        <f t="shared" si="37"/>
      </c>
      <c r="C96" s="261">
        <f t="shared" si="23"/>
      </c>
      <c r="D96" s="261">
        <f t="shared" si="24"/>
      </c>
      <c r="E96" s="261">
        <f t="shared" si="25"/>
      </c>
      <c r="F96" s="261">
        <f t="shared" si="26"/>
      </c>
      <c r="H96" s="387">
        <v>89</v>
      </c>
      <c r="I96" s="263">
        <f t="shared" si="38"/>
      </c>
      <c r="J96" s="261">
        <f t="shared" si="27"/>
      </c>
      <c r="K96" s="261">
        <f t="shared" si="28"/>
      </c>
      <c r="L96" s="261">
        <f t="shared" si="29"/>
      </c>
      <c r="M96" s="261">
        <f t="shared" si="30"/>
      </c>
      <c r="N96" s="382"/>
      <c r="O96" s="382"/>
      <c r="P96" s="189"/>
      <c r="U96" s="190">
        <f t="shared" si="39"/>
      </c>
      <c r="V96" s="203">
        <f t="shared" si="31"/>
      </c>
      <c r="W96" s="203">
        <f t="shared" si="32"/>
      </c>
      <c r="X96" s="202">
        <f t="shared" si="33"/>
      </c>
      <c r="Y96" s="202">
        <f t="shared" si="34"/>
      </c>
      <c r="Z96" s="202">
        <f t="shared" si="40"/>
      </c>
      <c r="AA96" s="202">
        <f t="shared" si="35"/>
      </c>
      <c r="AB96" s="190">
        <f t="shared" si="36"/>
      </c>
    </row>
    <row r="97" spans="1:28" hidden="1">
      <c r="A97" s="388">
        <v>90</v>
      </c>
      <c r="B97" s="263">
        <f t="shared" si="37"/>
      </c>
      <c r="C97" s="261">
        <f t="shared" si="23"/>
      </c>
      <c r="D97" s="261">
        <f t="shared" si="24"/>
      </c>
      <c r="E97" s="261">
        <f t="shared" si="25"/>
      </c>
      <c r="F97" s="261">
        <f t="shared" si="26"/>
      </c>
      <c r="H97" s="388">
        <v>90</v>
      </c>
      <c r="I97" s="263">
        <f t="shared" si="38"/>
      </c>
      <c r="J97" s="261">
        <f t="shared" si="27"/>
      </c>
      <c r="K97" s="261">
        <f t="shared" si="28"/>
      </c>
      <c r="L97" s="261">
        <f t="shared" si="29"/>
      </c>
      <c r="M97" s="261">
        <f t="shared" si="30"/>
      </c>
      <c r="N97" s="382"/>
      <c r="O97" s="382"/>
      <c r="P97" s="189"/>
      <c r="U97" s="190">
        <f t="shared" si="39"/>
      </c>
      <c r="V97" s="203">
        <f t="shared" si="31"/>
      </c>
      <c r="W97" s="203">
        <f t="shared" si="32"/>
      </c>
      <c r="X97" s="202">
        <f t="shared" si="33"/>
      </c>
      <c r="Y97" s="202">
        <f t="shared" si="34"/>
      </c>
      <c r="Z97" s="202">
        <f t="shared" si="40"/>
      </c>
      <c r="AA97" s="202">
        <f t="shared" si="35"/>
      </c>
      <c r="AB97" s="190">
        <f t="shared" si="36"/>
      </c>
    </row>
    <row r="98" spans="1:28" hidden="1">
      <c r="A98" s="387">
        <v>91</v>
      </c>
      <c r="B98" s="263">
        <f t="shared" si="37"/>
      </c>
      <c r="C98" s="261">
        <f t="shared" si="23"/>
      </c>
      <c r="D98" s="261">
        <f t="shared" si="24"/>
      </c>
      <c r="E98" s="261">
        <f t="shared" si="25"/>
      </c>
      <c r="F98" s="261">
        <f t="shared" si="26"/>
      </c>
      <c r="H98" s="387">
        <v>91</v>
      </c>
      <c r="I98" s="263">
        <f t="shared" si="38"/>
      </c>
      <c r="J98" s="261">
        <f t="shared" si="27"/>
      </c>
      <c r="K98" s="261">
        <f t="shared" si="28"/>
      </c>
      <c r="L98" s="261">
        <f t="shared" si="29"/>
      </c>
      <c r="M98" s="261">
        <f t="shared" si="30"/>
      </c>
      <c r="N98" s="382"/>
      <c r="O98" s="382"/>
      <c r="P98" s="189"/>
      <c r="U98" s="190">
        <f t="shared" si="39"/>
      </c>
      <c r="V98" s="203">
        <f t="shared" si="31"/>
      </c>
      <c r="W98" s="203">
        <f t="shared" si="32"/>
      </c>
      <c r="X98" s="202">
        <f t="shared" si="33"/>
      </c>
      <c r="Y98" s="202">
        <f t="shared" si="34"/>
      </c>
      <c r="Z98" s="202">
        <f t="shared" si="40"/>
      </c>
      <c r="AA98" s="202">
        <f t="shared" si="35"/>
      </c>
      <c r="AB98" s="190">
        <f t="shared" si="36"/>
      </c>
    </row>
    <row r="99" spans="1:28" hidden="1">
      <c r="A99" s="388">
        <v>92</v>
      </c>
      <c r="B99" s="263">
        <f t="shared" si="37"/>
      </c>
      <c r="C99" s="261">
        <f t="shared" si="23"/>
      </c>
      <c r="D99" s="261">
        <f t="shared" si="24"/>
      </c>
      <c r="E99" s="261">
        <f t="shared" si="25"/>
      </c>
      <c r="F99" s="261">
        <f t="shared" si="26"/>
      </c>
      <c r="H99" s="388">
        <v>92</v>
      </c>
      <c r="I99" s="263">
        <f t="shared" si="38"/>
      </c>
      <c r="J99" s="261">
        <f t="shared" si="27"/>
      </c>
      <c r="K99" s="261">
        <f t="shared" si="28"/>
      </c>
      <c r="L99" s="261">
        <f t="shared" si="29"/>
      </c>
      <c r="M99" s="261">
        <f t="shared" si="30"/>
      </c>
      <c r="N99" s="382"/>
      <c r="O99" s="382"/>
      <c r="P99" s="189"/>
      <c r="U99" s="190">
        <f t="shared" si="39"/>
      </c>
      <c r="V99" s="203">
        <f t="shared" si="31"/>
      </c>
      <c r="W99" s="203">
        <f t="shared" si="32"/>
      </c>
      <c r="X99" s="202">
        <f t="shared" si="33"/>
      </c>
      <c r="Y99" s="202">
        <f t="shared" si="34"/>
      </c>
      <c r="Z99" s="202">
        <f t="shared" si="40"/>
      </c>
      <c r="AA99" s="202">
        <f t="shared" si="35"/>
      </c>
      <c r="AB99" s="190">
        <f t="shared" si="36"/>
      </c>
    </row>
    <row r="100" spans="1:28" hidden="1">
      <c r="A100" s="387">
        <v>93</v>
      </c>
      <c r="B100" s="263">
        <f t="shared" si="37"/>
      </c>
      <c r="C100" s="261">
        <f t="shared" si="23"/>
      </c>
      <c r="D100" s="261">
        <f t="shared" si="24"/>
      </c>
      <c r="E100" s="261">
        <f t="shared" si="25"/>
      </c>
      <c r="F100" s="261">
        <f t="shared" si="26"/>
      </c>
      <c r="H100" s="387">
        <v>93</v>
      </c>
      <c r="I100" s="263">
        <f t="shared" si="38"/>
      </c>
      <c r="J100" s="261">
        <f t="shared" si="27"/>
      </c>
      <c r="K100" s="261">
        <f t="shared" si="28"/>
      </c>
      <c r="L100" s="261">
        <f t="shared" si="29"/>
      </c>
      <c r="M100" s="261">
        <f t="shared" si="30"/>
      </c>
      <c r="N100" s="382"/>
      <c r="O100" s="382"/>
      <c r="P100" s="189"/>
      <c r="U100" s="190">
        <f t="shared" si="39"/>
      </c>
      <c r="V100" s="203">
        <f t="shared" si="31"/>
      </c>
      <c r="W100" s="203">
        <f t="shared" si="32"/>
      </c>
      <c r="X100" s="202">
        <f t="shared" si="33"/>
      </c>
      <c r="Y100" s="202">
        <f t="shared" si="34"/>
      </c>
      <c r="Z100" s="202">
        <f t="shared" si="40"/>
      </c>
      <c r="AA100" s="202">
        <f t="shared" si="35"/>
      </c>
      <c r="AB100" s="190">
        <f t="shared" si="36"/>
      </c>
    </row>
    <row r="101" spans="1:28" hidden="1">
      <c r="A101" s="388">
        <v>94</v>
      </c>
      <c r="B101" s="263">
        <f t="shared" si="37"/>
      </c>
      <c r="C101" s="261">
        <f t="shared" si="23"/>
      </c>
      <c r="D101" s="261">
        <f t="shared" si="24"/>
      </c>
      <c r="E101" s="261">
        <f t="shared" si="25"/>
      </c>
      <c r="F101" s="261">
        <f t="shared" si="26"/>
      </c>
      <c r="H101" s="388">
        <v>94</v>
      </c>
      <c r="I101" s="263">
        <f t="shared" si="38"/>
      </c>
      <c r="J101" s="261">
        <f t="shared" si="27"/>
      </c>
      <c r="K101" s="261">
        <f t="shared" si="28"/>
      </c>
      <c r="L101" s="261">
        <f t="shared" si="29"/>
      </c>
      <c r="M101" s="261">
        <f t="shared" si="30"/>
      </c>
      <c r="N101" s="382"/>
      <c r="O101" s="382"/>
      <c r="P101" s="189"/>
      <c r="U101" s="190">
        <f t="shared" si="39"/>
      </c>
      <c r="V101" s="203">
        <f t="shared" si="31"/>
      </c>
      <c r="W101" s="203">
        <f t="shared" si="32"/>
      </c>
      <c r="X101" s="202">
        <f t="shared" si="33"/>
      </c>
      <c r="Y101" s="202">
        <f t="shared" si="34"/>
      </c>
      <c r="Z101" s="202">
        <f t="shared" si="40"/>
      </c>
      <c r="AA101" s="202">
        <f t="shared" si="35"/>
      </c>
      <c r="AB101" s="190">
        <f t="shared" si="36"/>
      </c>
    </row>
    <row r="102" spans="1:28" hidden="1">
      <c r="A102" s="387">
        <v>95</v>
      </c>
      <c r="B102" s="263">
        <f t="shared" si="37"/>
      </c>
      <c r="C102" s="261">
        <f t="shared" si="23"/>
      </c>
      <c r="D102" s="261">
        <f t="shared" si="24"/>
      </c>
      <c r="E102" s="261">
        <f t="shared" si="25"/>
      </c>
      <c r="F102" s="261">
        <f t="shared" si="26"/>
      </c>
      <c r="H102" s="387">
        <v>95</v>
      </c>
      <c r="I102" s="263">
        <f t="shared" si="38"/>
      </c>
      <c r="J102" s="261">
        <f t="shared" si="27"/>
      </c>
      <c r="K102" s="261">
        <f t="shared" si="28"/>
      </c>
      <c r="L102" s="261">
        <f t="shared" si="29"/>
      </c>
      <c r="M102" s="261">
        <f t="shared" si="30"/>
      </c>
      <c r="N102" s="382"/>
      <c r="O102" s="382"/>
      <c r="P102" s="189"/>
      <c r="U102" s="190">
        <f t="shared" si="39"/>
      </c>
      <c r="V102" s="203">
        <f t="shared" si="31"/>
      </c>
      <c r="W102" s="203">
        <f t="shared" si="32"/>
      </c>
      <c r="X102" s="202">
        <f t="shared" si="33"/>
      </c>
      <c r="Y102" s="202">
        <f t="shared" si="34"/>
      </c>
      <c r="Z102" s="202">
        <f t="shared" si="40"/>
      </c>
      <c r="AA102" s="202">
        <f t="shared" si="35"/>
      </c>
      <c r="AB102" s="190">
        <f t="shared" si="36"/>
      </c>
    </row>
    <row r="103" spans="1:28" hidden="1">
      <c r="A103" s="388">
        <v>96</v>
      </c>
      <c r="B103" s="263">
        <f t="shared" si="37"/>
      </c>
      <c r="C103" s="261">
        <f t="shared" si="23"/>
      </c>
      <c r="D103" s="261">
        <f t="shared" si="24"/>
      </c>
      <c r="E103" s="261">
        <f t="shared" si="25"/>
      </c>
      <c r="F103" s="261">
        <f t="shared" si="26"/>
      </c>
      <c r="H103" s="388">
        <v>96</v>
      </c>
      <c r="I103" s="263">
        <f t="shared" si="38"/>
      </c>
      <c r="J103" s="261">
        <f t="shared" si="27"/>
      </c>
      <c r="K103" s="261">
        <f t="shared" si="28"/>
      </c>
      <c r="L103" s="261">
        <f t="shared" si="29"/>
      </c>
      <c r="M103" s="261">
        <f t="shared" si="30"/>
      </c>
      <c r="N103" s="382"/>
      <c r="O103" s="382"/>
      <c r="P103" s="189"/>
      <c r="U103" s="190">
        <f t="shared" si="39"/>
      </c>
      <c r="V103" s="203">
        <f t="shared" si="31"/>
      </c>
      <c r="W103" s="203">
        <f t="shared" si="32"/>
      </c>
      <c r="X103" s="202">
        <f t="shared" si="33"/>
      </c>
      <c r="Y103" s="202">
        <f t="shared" si="34"/>
      </c>
      <c r="Z103" s="202">
        <f t="shared" si="40"/>
      </c>
      <c r="AA103" s="202">
        <f t="shared" si="35"/>
      </c>
      <c r="AB103" s="190">
        <f t="shared" si="36"/>
      </c>
    </row>
    <row r="104" spans="1:28" hidden="1">
      <c r="A104" s="387">
        <v>97</v>
      </c>
      <c r="B104" s="263">
        <f t="shared" si="37"/>
      </c>
      <c r="C104" s="261">
        <f t="shared" si="23"/>
      </c>
      <c r="D104" s="261">
        <f t="shared" si="24"/>
      </c>
      <c r="E104" s="261">
        <f t="shared" si="25"/>
      </c>
      <c r="F104" s="261">
        <f t="shared" si="26"/>
      </c>
      <c r="H104" s="387">
        <v>97</v>
      </c>
      <c r="I104" s="263">
        <f t="shared" si="38"/>
      </c>
      <c r="J104" s="261">
        <f t="shared" si="27"/>
      </c>
      <c r="K104" s="261">
        <f t="shared" si="28"/>
      </c>
      <c r="L104" s="261">
        <f t="shared" si="29"/>
      </c>
      <c r="M104" s="261">
        <f t="shared" si="30"/>
      </c>
      <c r="N104" s="382"/>
      <c r="O104" s="382"/>
      <c r="P104" s="189"/>
      <c r="U104" s="190">
        <f t="shared" si="39"/>
      </c>
      <c r="V104" s="203">
        <f t="shared" si="31"/>
      </c>
      <c r="W104" s="203">
        <f t="shared" si="32"/>
      </c>
      <c r="X104" s="202">
        <f t="shared" si="33"/>
      </c>
      <c r="Y104" s="202">
        <f t="shared" si="34"/>
      </c>
      <c r="Z104" s="202">
        <f t="shared" si="40"/>
      </c>
      <c r="AA104" s="202">
        <f t="shared" si="35"/>
      </c>
      <c r="AB104" s="190">
        <f t="shared" si="36"/>
      </c>
    </row>
    <row r="105" spans="1:28" hidden="1">
      <c r="A105" s="387">
        <v>98</v>
      </c>
      <c r="B105" s="263">
        <f t="shared" si="37"/>
      </c>
      <c r="C105" s="261">
        <f t="shared" si="23"/>
      </c>
      <c r="D105" s="261">
        <f t="shared" si="24"/>
      </c>
      <c r="E105" s="261">
        <f t="shared" si="25"/>
      </c>
      <c r="F105" s="261">
        <f t="shared" si="26"/>
      </c>
      <c r="H105" s="387">
        <v>98</v>
      </c>
      <c r="I105" s="263">
        <f t="shared" si="38"/>
      </c>
      <c r="J105" s="261">
        <f t="shared" si="27"/>
      </c>
      <c r="K105" s="261">
        <f t="shared" si="28"/>
      </c>
      <c r="L105" s="261">
        <f t="shared" si="29"/>
      </c>
      <c r="M105" s="261">
        <f t="shared" si="30"/>
      </c>
      <c r="N105" s="382"/>
      <c r="O105" s="382"/>
      <c r="P105" s="189"/>
      <c r="U105" s="190">
        <f t="shared" si="39"/>
      </c>
      <c r="V105" s="203">
        <f t="shared" ref="V105:V127" si="41">IF(A105&lt;=$S$4,V104,0)</f>
      </c>
      <c r="W105" s="203">
        <f t="shared" ref="W105:W127" si="42">IF(A105&lt;=$S$4,W104,0)</f>
      </c>
      <c r="X105" s="202">
        <f t="shared" si="33"/>
      </c>
      <c r="Y105" s="202">
        <f t="shared" ref="Y105:Y127" si="43">IF(A105&lt;=$S$4,Y104-Z104,0)</f>
      </c>
      <c r="Z105" s="202">
        <f t="shared" si="40"/>
      </c>
      <c r="AA105" s="202">
        <f t="shared" ref="AA105:AA128" si="44">IF(A105&lt;=$S$4,Y105*$S$6/12,0)</f>
      </c>
      <c r="AB105" s="190">
        <f t="shared" ref="AB105:AB127" si="45">IF(A105&lt;=$S$4,$AB$8,0)</f>
      </c>
    </row>
    <row r="106" spans="1:28" hidden="1">
      <c r="A106" s="388">
        <v>99</v>
      </c>
      <c r="B106" s="263">
        <f t="shared" si="37"/>
      </c>
      <c r="C106" s="261">
        <f t="shared" si="23"/>
      </c>
      <c r="D106" s="261">
        <f t="shared" si="24"/>
      </c>
      <c r="E106" s="261">
        <f t="shared" si="25"/>
      </c>
      <c r="F106" s="261">
        <f t="shared" si="26"/>
      </c>
      <c r="H106" s="388">
        <v>99</v>
      </c>
      <c r="I106" s="263">
        <f t="shared" si="38"/>
      </c>
      <c r="J106" s="261">
        <f t="shared" si="27"/>
      </c>
      <c r="K106" s="261">
        <f t="shared" si="28"/>
      </c>
      <c r="L106" s="261">
        <f t="shared" si="29"/>
      </c>
      <c r="M106" s="261">
        <f t="shared" si="30"/>
      </c>
      <c r="N106" s="382"/>
      <c r="O106" s="382"/>
      <c r="P106" s="189"/>
      <c r="U106" s="190">
        <f t="shared" si="39"/>
      </c>
      <c r="V106" s="203">
        <f t="shared" si="41"/>
      </c>
      <c r="W106" s="203">
        <f t="shared" si="42"/>
      </c>
      <c r="X106" s="202">
        <f t="shared" si="33"/>
      </c>
      <c r="Y106" s="202">
        <f t="shared" si="43"/>
      </c>
      <c r="Z106" s="202">
        <f t="shared" si="40"/>
      </c>
      <c r="AA106" s="202">
        <f t="shared" si="44"/>
      </c>
      <c r="AB106" s="190">
        <f t="shared" si="45"/>
      </c>
    </row>
    <row r="107" spans="1:28" hidden="1">
      <c r="A107" s="387">
        <v>100</v>
      </c>
      <c r="B107" s="263">
        <f t="shared" si="37"/>
      </c>
      <c r="C107" s="261">
        <f t="shared" si="23"/>
      </c>
      <c r="D107" s="261">
        <f t="shared" si="24"/>
      </c>
      <c r="E107" s="261">
        <f t="shared" si="25"/>
      </c>
      <c r="F107" s="261">
        <f t="shared" si="26"/>
      </c>
      <c r="H107" s="387">
        <v>100</v>
      </c>
      <c r="I107" s="263">
        <f t="shared" si="38"/>
      </c>
      <c r="J107" s="261">
        <f t="shared" si="27"/>
      </c>
      <c r="K107" s="261">
        <f t="shared" si="28"/>
      </c>
      <c r="L107" s="261">
        <f t="shared" si="29"/>
      </c>
      <c r="M107" s="261">
        <f t="shared" si="30"/>
      </c>
      <c r="N107" s="382"/>
      <c r="O107" s="382"/>
      <c r="P107" s="189"/>
      <c r="U107" s="190">
        <f t="shared" si="39"/>
      </c>
      <c r="V107" s="203">
        <f t="shared" si="41"/>
      </c>
      <c r="W107" s="203">
        <f t="shared" si="42"/>
      </c>
      <c r="X107" s="202">
        <f t="shared" si="33"/>
      </c>
      <c r="Y107" s="202">
        <f t="shared" si="43"/>
      </c>
      <c r="Z107" s="202">
        <f t="shared" si="40"/>
      </c>
      <c r="AA107" s="202">
        <f t="shared" si="44"/>
      </c>
      <c r="AB107" s="190">
        <f t="shared" si="45"/>
      </c>
    </row>
    <row r="108" spans="1:28" hidden="1">
      <c r="A108" s="388">
        <v>101</v>
      </c>
      <c r="B108" s="263">
        <f t="shared" si="37"/>
      </c>
      <c r="C108" s="261">
        <f t="shared" si="23"/>
      </c>
      <c r="D108" s="261">
        <f t="shared" si="24"/>
      </c>
      <c r="E108" s="261">
        <f t="shared" si="25"/>
      </c>
      <c r="F108" s="261">
        <f t="shared" si="26"/>
      </c>
      <c r="H108" s="388">
        <v>101</v>
      </c>
      <c r="I108" s="263">
        <f t="shared" si="38"/>
      </c>
      <c r="J108" s="261">
        <f t="shared" si="27"/>
      </c>
      <c r="K108" s="261">
        <f t="shared" si="28"/>
      </c>
      <c r="L108" s="261">
        <f t="shared" si="29"/>
      </c>
      <c r="M108" s="261">
        <f t="shared" si="30"/>
      </c>
      <c r="N108" s="382"/>
      <c r="O108" s="382"/>
      <c r="P108" s="189"/>
      <c r="U108" s="190">
        <f t="shared" si="39"/>
      </c>
      <c r="V108" s="203">
        <f t="shared" si="41"/>
      </c>
      <c r="W108" s="203">
        <f t="shared" si="42"/>
      </c>
      <c r="X108" s="202">
        <f t="shared" si="33"/>
      </c>
      <c r="Y108" s="202">
        <f t="shared" si="43"/>
      </c>
      <c r="Z108" s="202">
        <f t="shared" si="40"/>
      </c>
      <c r="AA108" s="202">
        <f t="shared" si="44"/>
      </c>
      <c r="AB108" s="190">
        <f t="shared" si="45"/>
      </c>
    </row>
    <row r="109" spans="1:28" hidden="1">
      <c r="A109" s="387">
        <v>102</v>
      </c>
      <c r="B109" s="263">
        <f t="shared" si="37"/>
      </c>
      <c r="C109" s="261">
        <f t="shared" si="23"/>
      </c>
      <c r="D109" s="261">
        <f t="shared" si="24"/>
      </c>
      <c r="E109" s="261">
        <f t="shared" si="25"/>
      </c>
      <c r="F109" s="261">
        <f t="shared" si="26"/>
      </c>
      <c r="H109" s="387">
        <v>102</v>
      </c>
      <c r="I109" s="263">
        <f t="shared" si="38"/>
      </c>
      <c r="J109" s="261">
        <f t="shared" si="27"/>
      </c>
      <c r="K109" s="261">
        <f t="shared" si="28"/>
      </c>
      <c r="L109" s="261">
        <f t="shared" si="29"/>
      </c>
      <c r="M109" s="261">
        <f t="shared" si="30"/>
      </c>
      <c r="N109" s="382"/>
      <c r="O109" s="382"/>
      <c r="P109" s="189"/>
      <c r="U109" s="190">
        <f t="shared" si="39"/>
      </c>
      <c r="V109" s="203">
        <f t="shared" si="41"/>
      </c>
      <c r="W109" s="203">
        <f t="shared" si="42"/>
      </c>
      <c r="X109" s="202">
        <f t="shared" si="33"/>
      </c>
      <c r="Y109" s="202">
        <f t="shared" si="43"/>
      </c>
      <c r="Z109" s="202">
        <f t="shared" si="40"/>
      </c>
      <c r="AA109" s="202">
        <f t="shared" si="44"/>
      </c>
      <c r="AB109" s="190">
        <f t="shared" si="45"/>
      </c>
    </row>
    <row r="110" spans="1:28" hidden="1">
      <c r="A110" s="388">
        <v>103</v>
      </c>
      <c r="B110" s="263">
        <f t="shared" si="37"/>
      </c>
      <c r="C110" s="261">
        <f t="shared" si="23"/>
      </c>
      <c r="D110" s="261">
        <f t="shared" si="24"/>
      </c>
      <c r="E110" s="261">
        <f t="shared" si="25"/>
      </c>
      <c r="F110" s="261">
        <f t="shared" si="26"/>
      </c>
      <c r="H110" s="388">
        <v>103</v>
      </c>
      <c r="I110" s="263">
        <f t="shared" si="38"/>
      </c>
      <c r="J110" s="261">
        <f t="shared" si="27"/>
      </c>
      <c r="K110" s="261">
        <f t="shared" si="28"/>
      </c>
      <c r="L110" s="261">
        <f t="shared" si="29"/>
      </c>
      <c r="M110" s="261">
        <f t="shared" si="30"/>
      </c>
      <c r="N110" s="382"/>
      <c r="O110" s="382"/>
      <c r="P110" s="189"/>
      <c r="U110" s="190">
        <f t="shared" si="39"/>
      </c>
      <c r="V110" s="203">
        <f t="shared" si="41"/>
      </c>
      <c r="W110" s="203">
        <f t="shared" si="42"/>
      </c>
      <c r="X110" s="202">
        <f t="shared" si="33"/>
      </c>
      <c r="Y110" s="202">
        <f t="shared" si="43"/>
      </c>
      <c r="Z110" s="202">
        <f t="shared" si="40"/>
      </c>
      <c r="AA110" s="202">
        <f t="shared" si="44"/>
      </c>
      <c r="AB110" s="190">
        <f t="shared" si="45"/>
      </c>
    </row>
    <row r="111" spans="1:28" hidden="1">
      <c r="A111" s="387">
        <v>104</v>
      </c>
      <c r="B111" s="263">
        <f t="shared" si="37"/>
      </c>
      <c r="C111" s="261">
        <f t="shared" si="23"/>
      </c>
      <c r="D111" s="261">
        <f t="shared" si="24"/>
      </c>
      <c r="E111" s="261">
        <f t="shared" si="25"/>
      </c>
      <c r="F111" s="261">
        <f t="shared" si="26"/>
      </c>
      <c r="H111" s="387">
        <v>104</v>
      </c>
      <c r="I111" s="263">
        <f t="shared" si="38"/>
      </c>
      <c r="J111" s="261">
        <f t="shared" si="27"/>
      </c>
      <c r="K111" s="261">
        <f t="shared" si="28"/>
      </c>
      <c r="L111" s="261">
        <f t="shared" si="29"/>
      </c>
      <c r="M111" s="261">
        <f t="shared" si="30"/>
      </c>
      <c r="N111" s="382"/>
      <c r="O111" s="382"/>
      <c r="P111" s="189"/>
      <c r="U111" s="190">
        <f t="shared" si="39"/>
      </c>
      <c r="V111" s="203">
        <f t="shared" si="41"/>
      </c>
      <c r="W111" s="203">
        <f t="shared" si="42"/>
      </c>
      <c r="X111" s="202">
        <f t="shared" si="33"/>
      </c>
      <c r="Y111" s="202">
        <f t="shared" si="43"/>
      </c>
      <c r="Z111" s="202">
        <f t="shared" si="40"/>
      </c>
      <c r="AA111" s="202">
        <f t="shared" si="44"/>
      </c>
      <c r="AB111" s="190">
        <f t="shared" si="45"/>
      </c>
    </row>
    <row r="112" spans="1:28" hidden="1">
      <c r="A112" s="388">
        <v>105</v>
      </c>
      <c r="B112" s="263">
        <f t="shared" si="37"/>
      </c>
      <c r="C112" s="261">
        <f t="shared" si="23"/>
      </c>
      <c r="D112" s="261">
        <f t="shared" si="24"/>
      </c>
      <c r="E112" s="261">
        <f t="shared" si="25"/>
      </c>
      <c r="F112" s="261">
        <f t="shared" si="26"/>
      </c>
      <c r="H112" s="388">
        <v>105</v>
      </c>
      <c r="I112" s="263">
        <f t="shared" si="38"/>
      </c>
      <c r="J112" s="261">
        <f t="shared" si="27"/>
      </c>
      <c r="K112" s="261">
        <f t="shared" si="28"/>
      </c>
      <c r="L112" s="261">
        <f t="shared" si="29"/>
      </c>
      <c r="M112" s="261">
        <f t="shared" si="30"/>
      </c>
      <c r="N112" s="382"/>
      <c r="O112" s="382"/>
      <c r="P112" s="189"/>
      <c r="U112" s="190">
        <f t="shared" si="39"/>
      </c>
      <c r="V112" s="203">
        <f t="shared" si="41"/>
      </c>
      <c r="W112" s="203">
        <f t="shared" si="42"/>
      </c>
      <c r="X112" s="202">
        <f t="shared" si="33"/>
      </c>
      <c r="Y112" s="202">
        <f t="shared" si="43"/>
      </c>
      <c r="Z112" s="202">
        <f t="shared" si="40"/>
      </c>
      <c r="AA112" s="202">
        <f t="shared" si="44"/>
      </c>
      <c r="AB112" s="190">
        <f t="shared" si="45"/>
      </c>
    </row>
    <row r="113" spans="1:28" hidden="1">
      <c r="A113" s="387">
        <v>106</v>
      </c>
      <c r="B113" s="263">
        <f t="shared" si="37"/>
      </c>
      <c r="C113" s="261">
        <f t="shared" si="23"/>
      </c>
      <c r="D113" s="261">
        <f t="shared" si="24"/>
      </c>
      <c r="E113" s="261">
        <f t="shared" si="25"/>
      </c>
      <c r="F113" s="261">
        <f t="shared" si="26"/>
      </c>
      <c r="H113" s="387">
        <v>106</v>
      </c>
      <c r="I113" s="263">
        <f t="shared" si="38"/>
      </c>
      <c r="J113" s="261">
        <f t="shared" si="27"/>
      </c>
      <c r="K113" s="261">
        <f t="shared" si="28"/>
      </c>
      <c r="L113" s="261">
        <f t="shared" si="29"/>
      </c>
      <c r="M113" s="261">
        <f t="shared" si="30"/>
      </c>
      <c r="N113" s="382"/>
      <c r="O113" s="382"/>
      <c r="P113" s="189"/>
      <c r="U113" s="190">
        <f t="shared" si="39"/>
      </c>
      <c r="V113" s="203">
        <f t="shared" si="41"/>
      </c>
      <c r="W113" s="203">
        <f t="shared" si="42"/>
      </c>
      <c r="X113" s="202">
        <f t="shared" si="33"/>
      </c>
      <c r="Y113" s="202">
        <f t="shared" si="43"/>
      </c>
      <c r="Z113" s="202">
        <f t="shared" si="40"/>
      </c>
      <c r="AA113" s="202">
        <f t="shared" si="44"/>
      </c>
      <c r="AB113" s="190">
        <f t="shared" si="45"/>
      </c>
    </row>
    <row r="114" spans="1:28" hidden="1">
      <c r="A114" s="388">
        <v>107</v>
      </c>
      <c r="B114" s="263">
        <f t="shared" si="37"/>
      </c>
      <c r="C114" s="261">
        <f t="shared" si="23"/>
      </c>
      <c r="D114" s="261">
        <f t="shared" si="24"/>
      </c>
      <c r="E114" s="261">
        <f t="shared" si="25"/>
      </c>
      <c r="F114" s="261">
        <f t="shared" si="26"/>
      </c>
      <c r="H114" s="388">
        <v>107</v>
      </c>
      <c r="I114" s="263">
        <f t="shared" si="38"/>
      </c>
      <c r="J114" s="261">
        <f t="shared" si="27"/>
      </c>
      <c r="K114" s="261">
        <f t="shared" si="28"/>
      </c>
      <c r="L114" s="261">
        <f t="shared" si="29"/>
      </c>
      <c r="M114" s="261">
        <f t="shared" si="30"/>
      </c>
      <c r="N114" s="382"/>
      <c r="O114" s="382"/>
      <c r="P114" s="189"/>
      <c r="U114" s="190">
        <f t="shared" si="39"/>
      </c>
      <c r="V114" s="203">
        <f t="shared" si="41"/>
      </c>
      <c r="W114" s="203">
        <f t="shared" si="42"/>
      </c>
      <c r="X114" s="202">
        <f t="shared" si="33"/>
      </c>
      <c r="Y114" s="202">
        <f t="shared" si="43"/>
      </c>
      <c r="Z114" s="202">
        <f t="shared" si="40"/>
      </c>
      <c r="AA114" s="202">
        <f t="shared" si="44"/>
      </c>
      <c r="AB114" s="190">
        <f t="shared" si="45"/>
      </c>
    </row>
    <row r="115" spans="1:28" hidden="1">
      <c r="A115" s="387">
        <v>108</v>
      </c>
      <c r="B115" s="263">
        <f t="shared" si="37"/>
      </c>
      <c r="C115" s="261">
        <f t="shared" si="23"/>
      </c>
      <c r="D115" s="261">
        <f t="shared" si="24"/>
      </c>
      <c r="E115" s="261">
        <f t="shared" si="25"/>
      </c>
      <c r="F115" s="261">
        <f t="shared" si="26"/>
      </c>
      <c r="H115" s="387">
        <v>108</v>
      </c>
      <c r="I115" s="263">
        <f t="shared" si="38"/>
      </c>
      <c r="J115" s="261">
        <f t="shared" si="27"/>
      </c>
      <c r="K115" s="261">
        <f t="shared" si="28"/>
      </c>
      <c r="L115" s="261">
        <f t="shared" si="29"/>
      </c>
      <c r="M115" s="261">
        <f t="shared" si="30"/>
      </c>
      <c r="N115" s="382"/>
      <c r="O115" s="382"/>
      <c r="P115" s="189"/>
      <c r="U115" s="190">
        <f t="shared" si="39"/>
      </c>
      <c r="V115" s="203">
        <f t="shared" si="41"/>
      </c>
      <c r="W115" s="203">
        <f t="shared" si="42"/>
      </c>
      <c r="X115" s="202">
        <f t="shared" si="33"/>
      </c>
      <c r="Y115" s="202">
        <f t="shared" si="43"/>
      </c>
      <c r="Z115" s="202">
        <f t="shared" si="40"/>
      </c>
      <c r="AA115" s="202">
        <f t="shared" si="44"/>
      </c>
      <c r="AB115" s="190">
        <f t="shared" si="45"/>
      </c>
    </row>
    <row r="116" spans="1:28" hidden="1">
      <c r="A116" s="387">
        <v>109</v>
      </c>
      <c r="B116" s="263">
        <f t="shared" si="37"/>
      </c>
      <c r="C116" s="261">
        <f t="shared" si="23"/>
      </c>
      <c r="D116" s="261">
        <f t="shared" si="24"/>
      </c>
      <c r="E116" s="261">
        <f t="shared" si="25"/>
      </c>
      <c r="F116" s="261">
        <f t="shared" si="26"/>
      </c>
      <c r="H116" s="387">
        <v>109</v>
      </c>
      <c r="I116" s="263">
        <f t="shared" si="38"/>
      </c>
      <c r="J116" s="261">
        <f t="shared" si="27"/>
      </c>
      <c r="K116" s="261">
        <f t="shared" si="28"/>
      </c>
      <c r="L116" s="261">
        <f t="shared" si="29"/>
      </c>
      <c r="M116" s="261">
        <f t="shared" si="30"/>
      </c>
      <c r="N116" s="382"/>
      <c r="O116" s="382"/>
      <c r="P116" s="189"/>
      <c r="U116" s="190">
        <f t="shared" si="39"/>
      </c>
      <c r="V116" s="203">
        <f t="shared" si="41"/>
      </c>
      <c r="W116" s="203">
        <f t="shared" si="42"/>
      </c>
      <c r="X116" s="202">
        <f t="shared" si="33"/>
      </c>
      <c r="Y116" s="202">
        <f t="shared" si="43"/>
      </c>
      <c r="Z116" s="202">
        <f t="shared" si="40"/>
      </c>
      <c r="AA116" s="202">
        <f t="shared" si="44"/>
      </c>
      <c r="AB116" s="190">
        <f t="shared" si="45"/>
      </c>
    </row>
    <row r="117" spans="1:28" hidden="1">
      <c r="A117" s="388">
        <v>110</v>
      </c>
      <c r="B117" s="263">
        <f t="shared" si="37"/>
      </c>
      <c r="C117" s="261">
        <f t="shared" si="23"/>
      </c>
      <c r="D117" s="261">
        <f t="shared" si="24"/>
      </c>
      <c r="E117" s="261">
        <f t="shared" si="25"/>
      </c>
      <c r="F117" s="261">
        <f t="shared" si="26"/>
      </c>
      <c r="H117" s="388">
        <v>110</v>
      </c>
      <c r="I117" s="263">
        <f t="shared" si="38"/>
      </c>
      <c r="J117" s="261">
        <f t="shared" si="27"/>
      </c>
      <c r="K117" s="261">
        <f t="shared" si="28"/>
      </c>
      <c r="L117" s="261">
        <f t="shared" si="29"/>
      </c>
      <c r="M117" s="261">
        <f t="shared" si="30"/>
      </c>
      <c r="N117" s="382"/>
      <c r="O117" s="382"/>
      <c r="P117" s="189"/>
      <c r="U117" s="190">
        <f t="shared" si="39"/>
      </c>
      <c r="V117" s="203">
        <f t="shared" si="41"/>
      </c>
      <c r="W117" s="203">
        <f t="shared" si="42"/>
      </c>
      <c r="X117" s="202">
        <f t="shared" si="33"/>
      </c>
      <c r="Y117" s="202">
        <f t="shared" si="43"/>
      </c>
      <c r="Z117" s="202">
        <f t="shared" si="40"/>
      </c>
      <c r="AA117" s="202">
        <f t="shared" si="44"/>
      </c>
      <c r="AB117" s="190">
        <f t="shared" si="45"/>
      </c>
    </row>
    <row r="118" spans="1:28" hidden="1">
      <c r="A118" s="387">
        <v>111</v>
      </c>
      <c r="B118" s="263">
        <f t="shared" si="37"/>
      </c>
      <c r="C118" s="261">
        <f t="shared" si="23"/>
      </c>
      <c r="D118" s="261">
        <f t="shared" si="24"/>
      </c>
      <c r="E118" s="261">
        <f t="shared" si="25"/>
      </c>
      <c r="F118" s="261">
        <f t="shared" si="26"/>
      </c>
      <c r="H118" s="387">
        <v>111</v>
      </c>
      <c r="I118" s="263">
        <f t="shared" si="38"/>
      </c>
      <c r="J118" s="261">
        <f t="shared" si="27"/>
      </c>
      <c r="K118" s="261">
        <f t="shared" si="28"/>
      </c>
      <c r="L118" s="261">
        <f t="shared" si="29"/>
      </c>
      <c r="M118" s="261">
        <f t="shared" si="30"/>
      </c>
      <c r="N118" s="382"/>
      <c r="O118" s="382"/>
      <c r="P118" s="189"/>
      <c r="U118" s="190">
        <f t="shared" si="39"/>
      </c>
      <c r="V118" s="203">
        <f t="shared" si="41"/>
      </c>
      <c r="W118" s="203">
        <f t="shared" si="42"/>
      </c>
      <c r="X118" s="202">
        <f t="shared" si="33"/>
      </c>
      <c r="Y118" s="202">
        <f t="shared" si="43"/>
      </c>
      <c r="Z118" s="202">
        <f t="shared" si="40"/>
      </c>
      <c r="AA118" s="202">
        <f t="shared" si="44"/>
      </c>
      <c r="AB118" s="190">
        <f t="shared" si="45"/>
      </c>
    </row>
    <row r="119" spans="1:28" hidden="1">
      <c r="A119" s="388">
        <v>112</v>
      </c>
      <c r="B119" s="263">
        <f t="shared" si="37"/>
      </c>
      <c r="C119" s="261">
        <f t="shared" si="23"/>
      </c>
      <c r="D119" s="261">
        <f t="shared" si="24"/>
      </c>
      <c r="E119" s="261">
        <f t="shared" si="25"/>
      </c>
      <c r="F119" s="261">
        <f t="shared" si="26"/>
      </c>
      <c r="H119" s="388">
        <v>112</v>
      </c>
      <c r="I119" s="263">
        <f t="shared" si="38"/>
      </c>
      <c r="J119" s="261">
        <f t="shared" si="27"/>
      </c>
      <c r="K119" s="261">
        <f t="shared" si="28"/>
      </c>
      <c r="L119" s="261">
        <f t="shared" si="29"/>
      </c>
      <c r="M119" s="261">
        <f t="shared" si="30"/>
      </c>
      <c r="N119" s="382"/>
      <c r="O119" s="382"/>
      <c r="P119" s="189"/>
      <c r="U119" s="190">
        <f t="shared" si="39"/>
      </c>
      <c r="V119" s="203">
        <f t="shared" si="41"/>
      </c>
      <c r="W119" s="203">
        <f t="shared" si="42"/>
      </c>
      <c r="X119" s="202">
        <f t="shared" si="33"/>
      </c>
      <c r="Y119" s="202">
        <f t="shared" si="43"/>
      </c>
      <c r="Z119" s="202">
        <f t="shared" si="40"/>
      </c>
      <c r="AA119" s="202">
        <f t="shared" si="44"/>
      </c>
      <c r="AB119" s="190">
        <f t="shared" si="45"/>
      </c>
    </row>
    <row r="120" spans="1:28" hidden="1">
      <c r="A120" s="387">
        <v>113</v>
      </c>
      <c r="B120" s="263">
        <f t="shared" si="37"/>
      </c>
      <c r="C120" s="261">
        <f t="shared" si="23"/>
      </c>
      <c r="D120" s="261">
        <f t="shared" si="24"/>
      </c>
      <c r="E120" s="261">
        <f t="shared" si="25"/>
      </c>
      <c r="F120" s="261">
        <f t="shared" si="26"/>
      </c>
      <c r="H120" s="387">
        <v>113</v>
      </c>
      <c r="I120" s="263">
        <f t="shared" si="38"/>
      </c>
      <c r="J120" s="261">
        <f t="shared" si="27"/>
      </c>
      <c r="K120" s="261">
        <f t="shared" si="28"/>
      </c>
      <c r="L120" s="261">
        <f t="shared" si="29"/>
      </c>
      <c r="M120" s="261">
        <f t="shared" si="30"/>
      </c>
      <c r="N120" s="382"/>
      <c r="O120" s="382"/>
      <c r="P120" s="189"/>
      <c r="U120" s="190">
        <f t="shared" si="39"/>
      </c>
      <c r="V120" s="203">
        <f t="shared" si="41"/>
      </c>
      <c r="W120" s="203">
        <f t="shared" si="42"/>
      </c>
      <c r="X120" s="202">
        <f t="shared" si="33"/>
      </c>
      <c r="Y120" s="202">
        <f t="shared" si="43"/>
      </c>
      <c r="Z120" s="202">
        <f t="shared" si="40"/>
      </c>
      <c r="AA120" s="202">
        <f t="shared" si="44"/>
      </c>
      <c r="AB120" s="190">
        <f t="shared" si="45"/>
      </c>
    </row>
    <row r="121" spans="1:28" hidden="1">
      <c r="A121" s="388">
        <v>114</v>
      </c>
      <c r="B121" s="263">
        <f t="shared" si="37"/>
      </c>
      <c r="C121" s="261">
        <f t="shared" si="23"/>
      </c>
      <c r="D121" s="261">
        <f t="shared" si="24"/>
      </c>
      <c r="E121" s="261">
        <f t="shared" si="25"/>
      </c>
      <c r="F121" s="261">
        <f t="shared" si="26"/>
      </c>
      <c r="H121" s="388">
        <v>114</v>
      </c>
      <c r="I121" s="263">
        <f t="shared" si="38"/>
      </c>
      <c r="J121" s="261">
        <f t="shared" si="27"/>
      </c>
      <c r="K121" s="261">
        <f t="shared" si="28"/>
      </c>
      <c r="L121" s="261">
        <f t="shared" si="29"/>
      </c>
      <c r="M121" s="261">
        <f t="shared" si="30"/>
      </c>
      <c r="N121" s="382"/>
      <c r="O121" s="382"/>
      <c r="P121" s="189"/>
      <c r="U121" s="190">
        <f t="shared" si="39"/>
      </c>
      <c r="V121" s="203">
        <f t="shared" si="41"/>
      </c>
      <c r="W121" s="203">
        <f t="shared" si="42"/>
      </c>
      <c r="X121" s="202">
        <f t="shared" si="33"/>
      </c>
      <c r="Y121" s="202">
        <f t="shared" si="43"/>
      </c>
      <c r="Z121" s="202">
        <f t="shared" si="40"/>
      </c>
      <c r="AA121" s="202">
        <f t="shared" si="44"/>
      </c>
      <c r="AB121" s="190">
        <f t="shared" si="45"/>
      </c>
    </row>
    <row r="122" spans="1:28" hidden="1">
      <c r="A122" s="387">
        <v>115</v>
      </c>
      <c r="B122" s="263">
        <f t="shared" si="37"/>
      </c>
      <c r="C122" s="261">
        <f t="shared" si="23"/>
      </c>
      <c r="D122" s="261">
        <f t="shared" si="24"/>
      </c>
      <c r="E122" s="261">
        <f t="shared" si="25"/>
      </c>
      <c r="F122" s="261">
        <f t="shared" si="26"/>
      </c>
      <c r="H122" s="387">
        <v>115</v>
      </c>
      <c r="I122" s="263">
        <f t="shared" si="38"/>
      </c>
      <c r="J122" s="261">
        <f t="shared" si="27"/>
      </c>
      <c r="K122" s="261">
        <f t="shared" si="28"/>
      </c>
      <c r="L122" s="261">
        <f t="shared" si="29"/>
      </c>
      <c r="M122" s="261">
        <f t="shared" si="30"/>
      </c>
      <c r="N122" s="382"/>
      <c r="O122" s="382"/>
      <c r="P122" s="189"/>
      <c r="U122" s="190">
        <f t="shared" si="39"/>
      </c>
      <c r="V122" s="203">
        <f t="shared" si="41"/>
      </c>
      <c r="W122" s="203">
        <f t="shared" si="42"/>
      </c>
      <c r="X122" s="202">
        <f t="shared" si="33"/>
      </c>
      <c r="Y122" s="202">
        <f t="shared" si="43"/>
      </c>
      <c r="Z122" s="202">
        <f t="shared" si="40"/>
      </c>
      <c r="AA122" s="202">
        <f t="shared" si="44"/>
      </c>
      <c r="AB122" s="190">
        <f t="shared" si="45"/>
      </c>
    </row>
    <row r="123" spans="1:28" hidden="1">
      <c r="A123" s="388">
        <v>116</v>
      </c>
      <c r="B123" s="263">
        <f t="shared" si="37"/>
      </c>
      <c r="C123" s="261">
        <f t="shared" si="23"/>
      </c>
      <c r="D123" s="261">
        <f t="shared" si="24"/>
      </c>
      <c r="E123" s="261">
        <f t="shared" si="25"/>
      </c>
      <c r="F123" s="261">
        <f t="shared" si="26"/>
      </c>
      <c r="H123" s="388">
        <v>116</v>
      </c>
      <c r="I123" s="263">
        <f t="shared" si="38"/>
      </c>
      <c r="J123" s="261">
        <f t="shared" si="27"/>
      </c>
      <c r="K123" s="261">
        <f t="shared" si="28"/>
      </c>
      <c r="L123" s="261">
        <f t="shared" si="29"/>
      </c>
      <c r="M123" s="261">
        <f t="shared" si="30"/>
      </c>
      <c r="N123" s="382"/>
      <c r="O123" s="382"/>
      <c r="P123" s="189"/>
      <c r="U123" s="190">
        <f t="shared" si="39"/>
      </c>
      <c r="V123" s="203">
        <f t="shared" si="41"/>
      </c>
      <c r="W123" s="203">
        <f t="shared" si="42"/>
      </c>
      <c r="X123" s="202">
        <f t="shared" si="33"/>
      </c>
      <c r="Y123" s="202">
        <f t="shared" si="43"/>
      </c>
      <c r="Z123" s="202">
        <f t="shared" si="40"/>
      </c>
      <c r="AA123" s="202">
        <f t="shared" si="44"/>
      </c>
      <c r="AB123" s="190">
        <f t="shared" si="45"/>
      </c>
    </row>
    <row r="124" spans="1:28" hidden="1">
      <c r="A124" s="387">
        <v>117</v>
      </c>
      <c r="B124" s="263">
        <f t="shared" si="37"/>
      </c>
      <c r="C124" s="261">
        <f t="shared" si="23"/>
      </c>
      <c r="D124" s="261">
        <f t="shared" si="24"/>
      </c>
      <c r="E124" s="261">
        <f t="shared" si="25"/>
      </c>
      <c r="F124" s="261">
        <f t="shared" si="26"/>
      </c>
      <c r="H124" s="387">
        <v>117</v>
      </c>
      <c r="I124" s="263">
        <f t="shared" si="38"/>
      </c>
      <c r="J124" s="261">
        <f t="shared" si="27"/>
      </c>
      <c r="K124" s="261">
        <f t="shared" si="28"/>
      </c>
      <c r="L124" s="261">
        <f t="shared" si="29"/>
      </c>
      <c r="M124" s="261">
        <f t="shared" si="30"/>
      </c>
      <c r="N124" s="382"/>
      <c r="O124" s="382"/>
      <c r="P124" s="189"/>
      <c r="U124" s="190">
        <f t="shared" si="39"/>
      </c>
      <c r="V124" s="203">
        <f t="shared" si="41"/>
      </c>
      <c r="W124" s="203">
        <f t="shared" si="42"/>
      </c>
      <c r="X124" s="202">
        <f t="shared" si="33"/>
      </c>
      <c r="Y124" s="202">
        <f t="shared" si="43"/>
      </c>
      <c r="Z124" s="202">
        <f t="shared" si="40"/>
      </c>
      <c r="AA124" s="202">
        <f t="shared" si="44"/>
      </c>
      <c r="AB124" s="190">
        <f t="shared" si="45"/>
      </c>
    </row>
    <row r="125" spans="1:28" hidden="1">
      <c r="A125" s="388">
        <v>118</v>
      </c>
      <c r="B125" s="263">
        <f t="shared" si="37"/>
      </c>
      <c r="C125" s="261">
        <f t="shared" si="23"/>
      </c>
      <c r="D125" s="261">
        <f t="shared" si="24"/>
      </c>
      <c r="E125" s="261">
        <f t="shared" si="25"/>
      </c>
      <c r="F125" s="261">
        <f t="shared" si="26"/>
      </c>
      <c r="H125" s="388">
        <v>118</v>
      </c>
      <c r="I125" s="263">
        <f t="shared" si="38"/>
      </c>
      <c r="J125" s="261">
        <f t="shared" si="27"/>
      </c>
      <c r="K125" s="261">
        <f t="shared" si="28"/>
      </c>
      <c r="L125" s="261">
        <f t="shared" si="29"/>
      </c>
      <c r="M125" s="261">
        <f t="shared" si="30"/>
      </c>
      <c r="N125" s="382"/>
      <c r="O125" s="382"/>
      <c r="P125" s="189"/>
      <c r="U125" s="190">
        <f t="shared" si="39"/>
      </c>
      <c r="V125" s="203">
        <f t="shared" si="41"/>
      </c>
      <c r="W125" s="203">
        <f t="shared" si="42"/>
      </c>
      <c r="X125" s="202">
        <f t="shared" si="33"/>
      </c>
      <c r="Y125" s="202">
        <f t="shared" si="43"/>
      </c>
      <c r="Z125" s="202">
        <f t="shared" si="40"/>
      </c>
      <c r="AA125" s="202">
        <f t="shared" si="44"/>
      </c>
      <c r="AB125" s="190">
        <f t="shared" si="45"/>
      </c>
    </row>
    <row r="126" spans="1:28" hidden="1">
      <c r="A126" s="387">
        <v>119</v>
      </c>
      <c r="B126" s="263">
        <f t="shared" si="37"/>
      </c>
      <c r="C126" s="261">
        <f t="shared" si="23"/>
      </c>
      <c r="D126" s="261">
        <f t="shared" si="24"/>
      </c>
      <c r="E126" s="261">
        <f t="shared" si="25"/>
      </c>
      <c r="F126" s="261">
        <f t="shared" si="26"/>
      </c>
      <c r="H126" s="387">
        <v>119</v>
      </c>
      <c r="I126" s="263">
        <f t="shared" si="38"/>
      </c>
      <c r="J126" s="261">
        <f t="shared" si="27"/>
      </c>
      <c r="K126" s="261">
        <f t="shared" si="28"/>
      </c>
      <c r="L126" s="261">
        <f t="shared" si="29"/>
      </c>
      <c r="M126" s="261">
        <f t="shared" si="30"/>
      </c>
      <c r="N126" s="382"/>
      <c r="O126" s="382"/>
      <c r="P126" s="189"/>
      <c r="U126" s="190">
        <f t="shared" si="39"/>
      </c>
      <c r="V126" s="203">
        <f t="shared" si="41"/>
      </c>
      <c r="W126" s="203">
        <f t="shared" si="42"/>
      </c>
      <c r="X126" s="202">
        <f t="shared" si="33"/>
      </c>
      <c r="Y126" s="202">
        <f t="shared" si="43"/>
      </c>
      <c r="Z126" s="202">
        <f t="shared" si="40"/>
      </c>
      <c r="AA126" s="202">
        <f t="shared" si="44"/>
      </c>
      <c r="AB126" s="190">
        <f t="shared" si="45"/>
      </c>
    </row>
    <row r="127" spans="1:28" hidden="1">
      <c r="A127" s="387">
        <v>120</v>
      </c>
      <c r="B127" s="263">
        <f t="shared" si="37"/>
      </c>
      <c r="C127" s="261">
        <f t="shared" si="23"/>
      </c>
      <c r="D127" s="261">
        <f t="shared" si="24"/>
      </c>
      <c r="E127" s="261">
        <f t="shared" si="25"/>
      </c>
      <c r="F127" s="261">
        <f t="shared" si="26"/>
      </c>
      <c r="H127" s="387">
        <v>120</v>
      </c>
      <c r="I127" s="263">
        <f t="shared" si="38"/>
      </c>
      <c r="J127" s="261">
        <f t="shared" si="27"/>
      </c>
      <c r="K127" s="261">
        <f t="shared" si="28"/>
      </c>
      <c r="L127" s="261">
        <f t="shared" si="29"/>
      </c>
      <c r="M127" s="261">
        <f t="shared" si="30"/>
      </c>
      <c r="N127" s="382"/>
      <c r="O127" s="382"/>
      <c r="P127" s="189"/>
      <c r="U127" s="190">
        <f t="shared" si="39"/>
      </c>
      <c r="V127" s="203">
        <f t="shared" si="41"/>
      </c>
      <c r="W127" s="203">
        <f t="shared" si="42"/>
      </c>
      <c r="X127" s="202">
        <f t="shared" si="33"/>
      </c>
      <c r="Y127" s="202">
        <f t="shared" si="43"/>
      </c>
      <c r="Z127" s="202">
        <f t="shared" si="40"/>
      </c>
      <c r="AA127" s="202">
        <f t="shared" si="44"/>
      </c>
      <c r="AB127" s="190">
        <f t="shared" si="45"/>
      </c>
    </row>
    <row r="128" spans="1:28" ht="2.25" customHeight="1">
      <c r="A128" s="201"/>
      <c r="B128" s="209"/>
      <c r="C128" s="209"/>
      <c r="D128" s="385"/>
      <c r="E128" s="385"/>
      <c r="F128" s="386"/>
      <c r="H128" s="201"/>
      <c r="I128" s="209"/>
      <c r="J128" s="209"/>
      <c r="K128" s="260"/>
      <c r="L128" s="260"/>
      <c r="M128" s="262"/>
      <c r="N128" s="382"/>
      <c r="O128" s="382"/>
      <c r="P128" s="189"/>
      <c r="V128" s="203"/>
      <c r="W128" s="203"/>
      <c r="X128" s="203"/>
      <c r="Y128" s="203">
        <v>0</v>
      </c>
      <c r="Z128" s="190">
        <v>0</v>
      </c>
      <c r="AA128" s="202">
        <f t="shared" si="44"/>
      </c>
    </row>
    <row r="129" spans="1:28">
      <c r="A129" s="1957" t="s">
        <v>6</v>
      </c>
      <c r="B129" s="1958"/>
      <c r="C129" s="389"/>
      <c r="D129" s="390">
        <f t="shared" ref="D129:E129" si="46">SUM(D8:D128)</f>
      </c>
      <c r="E129" s="390">
        <f t="shared" si="46"/>
      </c>
      <c r="F129" s="390">
        <f>SUM(F8:F128)</f>
      </c>
      <c r="H129" s="1957" t="s">
        <v>6</v>
      </c>
      <c r="I129" s="1958"/>
      <c r="J129" s="389"/>
      <c r="K129" s="390">
        <f t="shared" ref="K129:L129" si="47">SUM(K8:K128)</f>
      </c>
      <c r="L129" s="390">
        <f t="shared" si="47"/>
      </c>
      <c r="M129" s="390">
        <f>SUM(M8:M128)</f>
      </c>
      <c r="N129" s="384"/>
      <c r="O129" s="384"/>
      <c r="P129" s="189"/>
      <c r="V129" s="190">
        <f>SUM(V8:V128)</f>
      </c>
      <c r="W129" s="190">
        <f>SUM(W8:W128)</f>
      </c>
      <c r="X129" s="190"/>
      <c r="Y129" s="190"/>
      <c r="Z129" s="190">
        <f>SUM(Z8:Z128)</f>
      </c>
      <c r="AA129" s="190">
        <f t="shared" ref="AA129:AB129" si="48">SUM(AA8:AA128)</f>
      </c>
      <c r="AB129" s="190">
        <f t="shared" si="48"/>
      </c>
    </row>
    <row r="130" spans="1:28">
      <c r="D130" s="206"/>
      <c r="E130" s="206"/>
      <c r="F130" s="206"/>
      <c r="K130" s="206"/>
      <c r="L130" s="206"/>
      <c r="M130" s="206"/>
      <c r="N130" s="206"/>
      <c r="O130" s="206"/>
      <c r="P130" s="189"/>
    </row>
    <row r="131">
      <c r="A131" s="1959"/>
      <c r="B131" s="1959"/>
      <c r="C131" s="1959"/>
      <c r="D131" s="1959"/>
      <c r="E131" s="1959"/>
      <c r="F131" s="1959"/>
      <c r="H131" s="1959">
        <f>A131</f>
      </c>
      <c r="I131" s="1959"/>
      <c r="J131" s="1959"/>
      <c r="K131" s="1959"/>
      <c r="L131" s="1959"/>
      <c r="M131" s="1959"/>
      <c r="P131" s="189"/>
      <c r="AA131" s="190">
        <f>AA129-W129</f>
      </c>
    </row>
    <row r="132" spans="1:28">
      <c r="P132" s="189"/>
    </row>
    <row r="133" spans="1:28">
      <c r="A133" s="1959" t="s">
        <v>770</v>
      </c>
      <c r="B133" s="1959"/>
      <c r="C133" s="1959"/>
      <c r="D133" s="1959"/>
      <c r="E133" s="1959" t="s">
        <v>771</v>
      </c>
      <c r="F133" s="1959"/>
      <c r="H133" s="1959" t="s">
        <v>770</v>
      </c>
      <c r="I133" s="1959"/>
      <c r="J133" s="1959"/>
      <c r="K133" s="1959"/>
      <c r="L133" s="1959" t="s">
        <v>771</v>
      </c>
      <c r="M133" s="1959"/>
      <c r="P133" s="189"/>
    </row>
    <row r="134" spans="1:28">
      <c r="P134" s="189"/>
    </row>
    <row r="135" spans="1:28">
      <c r="P135" s="189"/>
    </row>
    <row r="136" spans="1:28">
      <c r="P136" s="189"/>
    </row>
    <row r="137" spans="1:28">
      <c r="P137" s="189"/>
    </row>
    <row r="138" spans="1:28">
      <c r="P138" s="189"/>
    </row>
    <row r="139" spans="1:28">
      <c r="A139" s="1960"/>
      <c r="B139" s="1960"/>
      <c r="C139" s="1960"/>
      <c r="D139" s="1960"/>
      <c r="E139" s="1959"/>
      <c r="F139" s="1959"/>
      <c r="H139" s="1960"/>
      <c r="I139" s="1960"/>
      <c r="J139" s="1960"/>
      <c r="K139" s="1960"/>
      <c r="L139" s="1959"/>
      <c r="M139" s="1959"/>
      <c r="P139" s="189"/>
    </row>
    <row r="140" spans="1:28">
      <c r="P140" s="189"/>
    </row>
  </sheetData>
  <mergeCells count="26">
    <mergeCell ref="H139:K139"/>
    <mergeCell ref="L139:M139"/>
    <mergeCell ref="U5:X5"/>
    <mergeCell ref="P15:Q15"/>
    <mergeCell ref="P22:Q22"/>
    <mergeCell ref="H129:I129"/>
    <mergeCell ref="H131:M131"/>
    <mergeCell ref="H133:K133"/>
    <mergeCell ref="L133:M133"/>
    <mergeCell ref="J4:J6"/>
    <mergeCell ref="K4:K6"/>
    <mergeCell ref="L4:L6"/>
    <mergeCell ref="A129:B129"/>
    <mergeCell ref="A131:F131"/>
    <mergeCell ref="A133:D133"/>
    <mergeCell ref="A139:D139"/>
    <mergeCell ref="E133:F133"/>
    <mergeCell ref="E139:F139"/>
    <mergeCell ref="Y5:AB5"/>
    <mergeCell ref="E4:E6"/>
    <mergeCell ref="D4:D6"/>
    <mergeCell ref="A1:F1"/>
    <mergeCell ref="A2:F2"/>
    <mergeCell ref="H1:M1"/>
    <mergeCell ref="H2:M2"/>
    <mergeCell ref="C4:C6"/>
  </mergeCells>
  <pageMargins left="1" right="1" top="1" bottom="1" header="0.5" footer="0.5"/>
  <pageSetup paperSize="5"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9"/>
  <sheetViews>
    <sheetView tabSelected="1" topLeftCell="D1" workbookViewId="0">
      <selection activeCell="U1" sqref="U1"/>
    </sheetView>
  </sheetViews>
  <sheetFormatPr defaultColWidth="9.109375" defaultRowHeight="12"/>
  <cols>
    <col min="1" max="3" width="10.88671875" style="268" customWidth="1"/>
    <col min="4" max="4" width="10.88671875" style="288" customWidth="1"/>
    <col min="5" max="6" width="10.88671875" style="268" customWidth="1"/>
    <col min="7" max="7" width="34.109375" style="268" customWidth="1"/>
    <col min="8" max="8" width="10.88671875" style="288" customWidth="1"/>
    <col min="9" max="10" width="10.88671875" style="268" customWidth="1"/>
    <col min="11" max="11" width="10.88671875" style="297" customWidth="1"/>
    <col min="12" max="12" width="10.88671875" style="288" hidden="1" customWidth="1"/>
    <col min="13" max="14" width="10.88671875" style="268" hidden="1" customWidth="1"/>
    <col min="15" max="15" width="10.88671875" style="297" hidden="1" customWidth="1"/>
    <col min="16" max="17" width="9.109375" style="268" customWidth="1"/>
    <col min="18" max="18" width="9.109375" style="268"/>
    <col min="19" max="19" width="11.33203125" style="268" bestFit="1" customWidth="1"/>
    <col min="20" max="20" width="14.109375" style="268" bestFit="1" customWidth="1"/>
    <col min="21" max="21" width="9.109375" style="269" customWidth="1"/>
    <col min="22" max="22" width="9.109375" style="268" customWidth="1"/>
    <col min="23" max="16384" width="9.109375" style="268"/>
  </cols>
  <sheetData>
    <row r="1" spans="1:21">
      <c r="A1" s="1964" t="s">
        <v>411</v>
      </c>
      <c r="B1" s="1964"/>
      <c r="C1" s="1964"/>
      <c r="D1" s="1964"/>
      <c r="E1" s="1964"/>
      <c r="F1" s="1964"/>
      <c r="G1" s="1964"/>
      <c r="H1" s="1966" t="s">
        <v>412</v>
      </c>
      <c r="I1" s="1967"/>
      <c r="J1" s="1967"/>
      <c r="K1" s="1968"/>
      <c r="L1" s="1969" t="s">
        <v>413</v>
      </c>
      <c r="M1" s="1970"/>
      <c r="N1" s="1970"/>
      <c r="O1" s="1971"/>
    </row>
    <row r="2" spans="1:21" ht="20.399999999999999">
      <c r="A2" s="1964"/>
      <c r="B2" s="1964"/>
      <c r="C2" s="1964"/>
      <c r="D2" s="1964"/>
      <c r="E2" s="1964"/>
      <c r="F2" s="1964"/>
      <c r="G2" s="1964"/>
      <c r="H2" s="270" t="s">
        <v>414</v>
      </c>
      <c r="I2" s="271" t="s">
        <v>415</v>
      </c>
      <c r="J2" s="271" t="s">
        <v>416</v>
      </c>
      <c r="K2" s="272" t="s">
        <v>417</v>
      </c>
      <c r="L2" s="270" t="s">
        <v>414</v>
      </c>
      <c r="M2" s="271" t="s">
        <v>415</v>
      </c>
      <c r="N2" s="271" t="s">
        <v>416</v>
      </c>
      <c r="O2" s="272" t="s">
        <v>417</v>
      </c>
    </row>
    <row r="3" spans="1:21" ht="12.6" thickBot="1">
      <c r="A3" s="1965"/>
      <c r="B3" s="1965"/>
      <c r="C3" s="1965"/>
      <c r="D3" s="1965"/>
      <c r="E3" s="1965"/>
      <c r="F3" s="1965"/>
      <c r="G3" s="1965"/>
      <c r="H3" s="273"/>
      <c r="I3" s="274"/>
      <c r="J3" s="274"/>
      <c r="K3" s="275"/>
      <c r="L3" s="273"/>
      <c r="M3" s="274"/>
      <c r="N3" s="274"/>
      <c r="O3" s="275"/>
    </row>
    <row r="4" spans="1:21" s="284" customFormat="1" ht="14.4" thickBot="1">
      <c r="A4" s="276" t="s">
        <v>418</v>
      </c>
      <c r="B4" s="277"/>
      <c r="C4" s="278"/>
      <c r="D4" s="279"/>
      <c r="E4" s="280"/>
      <c r="F4" s="278"/>
      <c r="G4" s="278"/>
      <c r="H4" s="281"/>
      <c r="I4" s="282"/>
      <c r="J4" s="282"/>
      <c r="K4" s="283"/>
      <c r="L4" s="281"/>
      <c r="M4" s="282"/>
      <c r="N4" s="282"/>
      <c r="O4" s="283"/>
      <c r="U4" s="285"/>
    </row>
    <row r="5" spans="1:21" ht="13.2">
      <c r="A5" s="286" t="s">
        <v>419</v>
      </c>
      <c r="B5" s="287" t="s">
        <v>420</v>
      </c>
      <c r="E5" s="289"/>
      <c r="H5" s="290"/>
      <c r="I5" s="291"/>
      <c r="J5" s="291"/>
      <c r="K5" s="292"/>
      <c r="L5" s="290"/>
      <c r="M5" s="291"/>
      <c r="N5" s="291"/>
      <c r="O5" s="292"/>
      <c r="U5" s="269" t="s">
        <v>532</v>
      </c>
    </row>
    <row r="6" spans="1:21" ht="12.6">
      <c r="A6" s="293"/>
      <c r="B6" s="294"/>
      <c r="D6" s="288">
        <v>1</v>
      </c>
      <c r="E6" s="268" t="s">
        <v>421</v>
      </c>
      <c r="H6" s="295">
        <v>50</v>
      </c>
      <c r="I6" s="289">
        <v>0.1</v>
      </c>
      <c r="J6" s="289">
        <v>0.2</v>
      </c>
      <c r="K6" s="296">
        <f>H6*I6*J6</f>
      </c>
      <c r="L6" s="295">
        <v>50</v>
      </c>
      <c r="M6" s="289">
        <v>0.05</v>
      </c>
      <c r="N6" s="289">
        <v>0.3</v>
      </c>
      <c r="O6" s="296">
        <f>L6*M6*N6</f>
      </c>
    </row>
    <row r="7" spans="1:21">
      <c r="A7" s="289"/>
      <c r="D7" s="288">
        <v>2</v>
      </c>
      <c r="E7" s="268" t="s">
        <v>422</v>
      </c>
      <c r="H7" s="295">
        <v>85</v>
      </c>
      <c r="I7" s="289">
        <v>0.1</v>
      </c>
      <c r="J7" s="289">
        <v>0.2</v>
      </c>
      <c r="K7" s="296">
        <f>H7*I7*J7</f>
      </c>
      <c r="L7" s="295">
        <v>85</v>
      </c>
      <c r="M7" s="289">
        <v>0.05</v>
      </c>
      <c r="N7" s="289">
        <v>0.3</v>
      </c>
      <c r="O7" s="296">
        <f>L7*M7*N7</f>
      </c>
      <c r="P7" s="297">
        <f>K8</f>
      </c>
      <c r="Q7" s="297">
        <f>K7</f>
      </c>
      <c r="R7" s="297">
        <f>K9</f>
      </c>
      <c r="S7" s="297">
        <f>K6</f>
      </c>
      <c r="T7" s="298"/>
      <c r="U7" s="269">
        <f>VLOOKUP('Informasi Pokok'!I15,Parameter!E6:K9,7,0)</f>
      </c>
    </row>
    <row r="8" spans="1:21">
      <c r="D8" s="288">
        <v>3</v>
      </c>
      <c r="E8" s="268" t="s">
        <v>423</v>
      </c>
      <c r="H8" s="295">
        <v>100</v>
      </c>
      <c r="I8" s="289">
        <v>0.1</v>
      </c>
      <c r="J8" s="289">
        <v>0.2</v>
      </c>
      <c r="K8" s="296">
        <f>H8*I8*J8</f>
      </c>
      <c r="L8" s="295">
        <v>100</v>
      </c>
      <c r="M8" s="289">
        <v>0.05</v>
      </c>
      <c r="N8" s="289">
        <v>0.3</v>
      </c>
      <c r="O8" s="296">
        <f>L8*M8*N8</f>
      </c>
    </row>
    <row r="9" spans="1:21">
      <c r="D9" s="288">
        <v>4</v>
      </c>
      <c r="E9" s="268" t="s">
        <v>424</v>
      </c>
      <c r="H9" s="295">
        <v>70</v>
      </c>
      <c r="I9" s="289">
        <v>0.1</v>
      </c>
      <c r="J9" s="289">
        <v>0.2</v>
      </c>
      <c r="K9" s="296">
        <f>H9*I9*J9</f>
      </c>
      <c r="L9" s="295">
        <v>70</v>
      </c>
      <c r="M9" s="289">
        <v>0.05</v>
      </c>
      <c r="N9" s="289">
        <v>0.3</v>
      </c>
      <c r="O9" s="296">
        <f>L9*M9*N9</f>
      </c>
    </row>
    <row r="10" spans="1:21" ht="12.6">
      <c r="A10" s="286" t="s">
        <v>425</v>
      </c>
      <c r="B10" s="299" t="s">
        <v>426</v>
      </c>
      <c r="H10" s="295"/>
      <c r="K10" s="296"/>
      <c r="L10" s="295"/>
      <c r="O10" s="296"/>
    </row>
    <row r="11" spans="1:21">
      <c r="A11" s="293"/>
      <c r="D11" s="288">
        <v>1</v>
      </c>
      <c r="E11" s="268" t="s">
        <v>137</v>
      </c>
      <c r="H11" s="295">
        <v>100</v>
      </c>
      <c r="I11" s="289">
        <v>0.05</v>
      </c>
      <c r="J11" s="289">
        <v>0.2</v>
      </c>
      <c r="K11" s="296">
        <f>H11*I11*J11</f>
      </c>
      <c r="L11" s="295">
        <v>80</v>
      </c>
      <c r="M11" s="289">
        <v>0.05</v>
      </c>
      <c r="N11" s="289">
        <v>0.25</v>
      </c>
      <c r="O11" s="296">
        <f>L11*M11*N11</f>
      </c>
    </row>
    <row r="12" spans="1:21">
      <c r="D12" s="288">
        <v>2</v>
      </c>
      <c r="E12" s="268" t="s">
        <v>427</v>
      </c>
      <c r="H12" s="295">
        <v>80</v>
      </c>
      <c r="I12" s="289">
        <v>0.05</v>
      </c>
      <c r="J12" s="289">
        <v>0.2</v>
      </c>
      <c r="K12" s="296">
        <f>H12*I12*J12</f>
      </c>
      <c r="L12" s="295">
        <v>100</v>
      </c>
      <c r="M12" s="289">
        <v>0.05</v>
      </c>
      <c r="N12" s="289">
        <v>0.25</v>
      </c>
      <c r="O12" s="296">
        <f>L12*M12*N12</f>
      </c>
      <c r="P12" s="297">
        <f>K11</f>
      </c>
      <c r="Q12" s="297">
        <f>K12</f>
      </c>
      <c r="R12" s="297">
        <f>Q12</f>
      </c>
      <c r="S12" s="297">
        <f>R12</f>
      </c>
      <c r="T12" s="268" t="s">
        <v>531</v>
      </c>
      <c r="U12" s="269">
        <f>VLOOKUP('Informasi Pokok'!D22,Parameter!E11:K13,7,0)</f>
      </c>
    </row>
    <row r="13" spans="1:21">
      <c r="E13" s="268" t="s">
        <v>533</v>
      </c>
      <c r="H13" s="295">
        <v>80</v>
      </c>
      <c r="I13" s="289">
        <v>0.05</v>
      </c>
      <c r="J13" s="289">
        <v>0.2</v>
      </c>
      <c r="K13" s="296">
        <f>H13*I13*J13</f>
      </c>
      <c r="L13" s="295"/>
      <c r="M13" s="289"/>
      <c r="N13" s="289"/>
      <c r="O13" s="296"/>
      <c r="P13" s="297"/>
      <c r="Q13" s="297"/>
      <c r="R13" s="297"/>
      <c r="S13" s="297"/>
    </row>
    <row r="14" spans="1:21" ht="12.6">
      <c r="A14" s="286" t="s">
        <v>428</v>
      </c>
      <c r="B14" s="299" t="s">
        <v>90</v>
      </c>
      <c r="H14" s="295"/>
      <c r="K14" s="296"/>
      <c r="L14" s="295"/>
      <c r="O14" s="296"/>
    </row>
    <row r="15" spans="1:21">
      <c r="A15" s="293"/>
      <c r="D15" s="288">
        <v>1</v>
      </c>
      <c r="E15" s="268" t="s">
        <v>534</v>
      </c>
      <c r="H15" s="295">
        <v>25</v>
      </c>
      <c r="I15" s="289">
        <v>0.05</v>
      </c>
      <c r="J15" s="289">
        <v>0.35</v>
      </c>
      <c r="K15" s="296">
        <f>H15*I15*J15</f>
      </c>
      <c r="L15" s="295">
        <v>25</v>
      </c>
      <c r="M15" s="289">
        <v>0.05</v>
      </c>
      <c r="N15" s="289">
        <v>0.45</v>
      </c>
      <c r="O15" s="296">
        <f>L15*M15*N15</f>
      </c>
    </row>
    <row r="16" spans="1:21">
      <c r="A16" s="289"/>
      <c r="D16" s="288">
        <v>2</v>
      </c>
      <c r="E16" s="268" t="s">
        <v>535</v>
      </c>
      <c r="H16" s="295">
        <v>50</v>
      </c>
      <c r="I16" s="289">
        <v>0.05</v>
      </c>
      <c r="J16" s="289">
        <v>0.35</v>
      </c>
      <c r="K16" s="296">
        <f>H16*I16*J16</f>
      </c>
      <c r="L16" s="295">
        <v>50</v>
      </c>
      <c r="M16" s="289">
        <v>0.05</v>
      </c>
      <c r="N16" s="289">
        <v>0.45</v>
      </c>
      <c r="O16" s="296">
        <f>L16*M16*N16</f>
      </c>
    </row>
    <row r="17" spans="1:21">
      <c r="D17" s="288">
        <v>3</v>
      </c>
      <c r="E17" s="268" t="s">
        <v>536</v>
      </c>
      <c r="H17" s="295">
        <v>75</v>
      </c>
      <c r="I17" s="289">
        <v>0.05</v>
      </c>
      <c r="J17" s="289">
        <v>0.35</v>
      </c>
      <c r="K17" s="296">
        <f>H17*I17*J17</f>
      </c>
      <c r="L17" s="295">
        <v>75</v>
      </c>
      <c r="M17" s="289">
        <v>0.05</v>
      </c>
      <c r="N17" s="289">
        <v>0.45</v>
      </c>
      <c r="O17" s="296">
        <f>L17*M17*N17</f>
      </c>
    </row>
    <row r="18" spans="1:21">
      <c r="D18" s="288">
        <v>4</v>
      </c>
      <c r="E18" s="268" t="s">
        <v>429</v>
      </c>
      <c r="H18" s="295">
        <v>100</v>
      </c>
      <c r="I18" s="289">
        <v>0.05</v>
      </c>
      <c r="J18" s="289">
        <v>0.35</v>
      </c>
      <c r="K18" s="296">
        <f>H18*I18*J18</f>
      </c>
      <c r="L18" s="295">
        <v>100</v>
      </c>
      <c r="M18" s="289">
        <v>0.05</v>
      </c>
      <c r="N18" s="289">
        <v>0.45</v>
      </c>
      <c r="O18" s="296">
        <f>L18*M18*N18</f>
      </c>
      <c r="P18" s="297">
        <f>K18</f>
      </c>
      <c r="Q18" s="297">
        <f>K17</f>
      </c>
      <c r="R18" s="297">
        <f>K16</f>
      </c>
      <c r="S18" s="297">
        <f>K15</f>
      </c>
      <c r="U18" s="300">
        <f>VLOOKUP('Informasi Pokok'!$D$23,Parameter!$E$15:$K$18,7,0)</f>
      </c>
    </row>
    <row r="19" spans="1:21" ht="12.6">
      <c r="A19" s="286" t="s">
        <v>430</v>
      </c>
      <c r="B19" s="299" t="s">
        <v>431</v>
      </c>
      <c r="H19" s="295"/>
      <c r="K19" s="296"/>
      <c r="L19" s="295"/>
      <c r="O19" s="296"/>
    </row>
    <row r="20" spans="1:21">
      <c r="A20" s="289"/>
      <c r="D20" s="288">
        <v>1</v>
      </c>
      <c r="E20" s="268" t="s">
        <v>708</v>
      </c>
      <c r="H20" s="295">
        <v>25</v>
      </c>
      <c r="I20" s="289">
        <v>0.1</v>
      </c>
      <c r="J20" s="289">
        <v>0.1</v>
      </c>
      <c r="K20" s="296">
        <f>H20*I20*J20</f>
      </c>
      <c r="L20" s="301"/>
      <c r="M20" s="302"/>
      <c r="N20" s="302"/>
      <c r="O20" s="303"/>
    </row>
    <row r="21" spans="1:21">
      <c r="D21" s="288">
        <v>2</v>
      </c>
      <c r="E21" s="268" t="s">
        <v>71</v>
      </c>
      <c r="H21" s="295">
        <v>50</v>
      </c>
      <c r="I21" s="289">
        <v>0.1</v>
      </c>
      <c r="J21" s="289">
        <v>0.1</v>
      </c>
      <c r="K21" s="296">
        <f>H21*I21*J21</f>
      </c>
      <c r="L21" s="301"/>
      <c r="M21" s="302"/>
      <c r="N21" s="302"/>
      <c r="O21" s="303"/>
    </row>
    <row r="22" spans="1:21">
      <c r="D22" s="288">
        <v>3</v>
      </c>
      <c r="E22" s="268" t="s">
        <v>72</v>
      </c>
      <c r="H22" s="295">
        <v>75</v>
      </c>
      <c r="I22" s="289">
        <v>0.1</v>
      </c>
      <c r="J22" s="289">
        <v>0.1</v>
      </c>
      <c r="K22" s="296">
        <f>H22*I22*J22</f>
      </c>
      <c r="L22" s="301"/>
      <c r="M22" s="302"/>
      <c r="N22" s="302"/>
      <c r="O22" s="303"/>
    </row>
    <row r="23" spans="1:21">
      <c r="D23" s="288">
        <v>4</v>
      </c>
      <c r="E23" s="268" t="s">
        <v>709</v>
      </c>
      <c r="H23" s="295">
        <v>100</v>
      </c>
      <c r="I23" s="289">
        <v>0.1</v>
      </c>
      <c r="J23" s="289">
        <v>0.15</v>
      </c>
      <c r="K23" s="296">
        <f>H23*I23*J23</f>
      </c>
      <c r="L23" s="301"/>
      <c r="M23" s="302"/>
      <c r="N23" s="302"/>
      <c r="O23" s="303"/>
      <c r="P23" s="297">
        <f>K23</f>
      </c>
      <c r="Q23" s="297">
        <f>K22</f>
      </c>
      <c r="R23" s="297">
        <f>K21</f>
      </c>
      <c r="S23" s="297">
        <f>K20</f>
      </c>
      <c r="U23" s="269">
        <f>VLOOKUP('Informasi Pokok'!$D$24,Parameter!E20:K23,7,0)</f>
      </c>
    </row>
    <row r="24" spans="1:21" ht="12.6" thickBot="1">
      <c r="A24" s="304"/>
      <c r="B24" s="304"/>
      <c r="C24" s="304"/>
      <c r="D24" s="305"/>
      <c r="E24" s="304"/>
      <c r="F24" s="304"/>
      <c r="G24" s="304"/>
      <c r="H24" s="306"/>
      <c r="I24" s="307"/>
      <c r="J24" s="307"/>
      <c r="K24" s="308"/>
      <c r="L24" s="306"/>
      <c r="M24" s="307"/>
      <c r="N24" s="307"/>
      <c r="O24" s="308"/>
    </row>
    <row r="25" spans="1:21" s="284" customFormat="1" ht="14.4" thickBot="1">
      <c r="A25" s="276" t="s">
        <v>436</v>
      </c>
      <c r="B25" s="277"/>
      <c r="C25" s="278"/>
      <c r="D25" s="279"/>
      <c r="E25" s="280"/>
      <c r="F25" s="278"/>
      <c r="G25" s="278"/>
      <c r="H25" s="281"/>
      <c r="I25" s="282"/>
      <c r="J25" s="282"/>
      <c r="K25" s="283"/>
      <c r="L25" s="281"/>
      <c r="M25" s="282"/>
      <c r="N25" s="282"/>
      <c r="O25" s="283"/>
      <c r="U25" s="285"/>
    </row>
    <row r="26" spans="1:21" ht="12.6">
      <c r="A26" s="286" t="s">
        <v>419</v>
      </c>
      <c r="B26" s="299" t="s">
        <v>437</v>
      </c>
      <c r="E26" s="289"/>
      <c r="H26" s="295"/>
      <c r="K26" s="296"/>
      <c r="L26" s="295"/>
      <c r="O26" s="296"/>
    </row>
    <row r="27" spans="1:21">
      <c r="A27" s="309"/>
      <c r="D27" s="288">
        <v>1</v>
      </c>
      <c r="E27" s="268" t="s">
        <v>97</v>
      </c>
      <c r="H27" s="295">
        <v>25</v>
      </c>
      <c r="I27" s="289">
        <v>0.1</v>
      </c>
      <c r="J27" s="289">
        <v>0.4</v>
      </c>
      <c r="K27" s="296">
        <f>H27*I27*J27</f>
      </c>
      <c r="L27" s="310">
        <v>25</v>
      </c>
      <c r="M27" s="311">
        <v>0.1</v>
      </c>
      <c r="N27" s="311">
        <v>0.6</v>
      </c>
      <c r="O27" s="312">
        <f>L27*M27*N27</f>
      </c>
    </row>
    <row r="28" spans="1:21">
      <c r="A28" s="313"/>
      <c r="D28" s="288">
        <v>2</v>
      </c>
      <c r="E28" s="268" t="s">
        <v>438</v>
      </c>
      <c r="H28" s="295">
        <v>50</v>
      </c>
      <c r="I28" s="289">
        <v>0.1</v>
      </c>
      <c r="J28" s="289">
        <v>0.4</v>
      </c>
      <c r="K28" s="296">
        <f>H28*I28*J28</f>
      </c>
      <c r="L28" s="310">
        <v>50</v>
      </c>
      <c r="M28" s="311">
        <v>0.1</v>
      </c>
      <c r="N28" s="311">
        <v>0.6</v>
      </c>
      <c r="O28" s="312">
        <f>L28*M28*N28</f>
      </c>
    </row>
    <row r="29" spans="1:21">
      <c r="D29" s="288">
        <v>3</v>
      </c>
      <c r="E29" s="268" t="s">
        <v>734</v>
      </c>
      <c r="H29" s="295">
        <v>75</v>
      </c>
      <c r="I29" s="289">
        <v>0.1</v>
      </c>
      <c r="J29" s="289">
        <v>0.4</v>
      </c>
      <c r="K29" s="296">
        <f>H29*I29*J29</f>
      </c>
      <c r="L29" s="310">
        <v>75</v>
      </c>
      <c r="M29" s="311">
        <v>0.1</v>
      </c>
      <c r="N29" s="311">
        <v>0.6</v>
      </c>
      <c r="O29" s="312">
        <f>L29*M29*N29</f>
      </c>
    </row>
    <row r="30" spans="1:21">
      <c r="D30" s="288">
        <v>4</v>
      </c>
      <c r="E30" s="268" t="s">
        <v>439</v>
      </c>
      <c r="H30" s="295">
        <v>100</v>
      </c>
      <c r="I30" s="289">
        <v>0.1</v>
      </c>
      <c r="J30" s="289">
        <v>0.4</v>
      </c>
      <c r="K30" s="296">
        <f>H30*I30*J30</f>
      </c>
      <c r="L30" s="310">
        <v>100</v>
      </c>
      <c r="M30" s="311">
        <v>0.1</v>
      </c>
      <c r="N30" s="311">
        <v>0.6</v>
      </c>
      <c r="O30" s="312">
        <f>L30*M30*N30</f>
      </c>
      <c r="P30" s="297">
        <f>K30</f>
      </c>
      <c r="Q30" s="297">
        <f>K29</f>
      </c>
      <c r="R30" s="297">
        <f>K28</f>
      </c>
      <c r="S30" s="297">
        <f>K27</f>
      </c>
      <c r="U30" s="269">
        <f>VLOOKUP('Informasi Pokok'!$D$36,Parameter!E27:K30,7,0)</f>
      </c>
    </row>
    <row r="31" spans="1:21" ht="12.6">
      <c r="A31" s="286" t="s">
        <v>425</v>
      </c>
      <c r="B31" s="299" t="s">
        <v>440</v>
      </c>
      <c r="H31" s="295"/>
      <c r="K31" s="296"/>
      <c r="L31" s="295"/>
      <c r="O31" s="296"/>
    </row>
    <row r="32" spans="1:21">
      <c r="A32" s="289"/>
      <c r="D32" s="288">
        <v>1</v>
      </c>
      <c r="E32" s="268" t="s">
        <v>441</v>
      </c>
      <c r="H32" s="295">
        <v>25</v>
      </c>
      <c r="I32" s="289">
        <v>0.1</v>
      </c>
      <c r="J32" s="289">
        <v>0.3</v>
      </c>
      <c r="K32" s="296">
        <f>H32*I32*J32</f>
      </c>
      <c r="L32" s="295">
        <v>25</v>
      </c>
      <c r="M32" s="289">
        <v>0.1</v>
      </c>
      <c r="N32" s="289">
        <v>0.4</v>
      </c>
      <c r="O32" s="296">
        <f>L32*M32*N32</f>
      </c>
    </row>
    <row r="33" spans="1:21">
      <c r="D33" s="288">
        <v>2</v>
      </c>
      <c r="E33" s="268" t="s">
        <v>442</v>
      </c>
      <c r="H33" s="295">
        <v>50</v>
      </c>
      <c r="I33" s="289">
        <v>0.1</v>
      </c>
      <c r="J33" s="289">
        <v>0.3</v>
      </c>
      <c r="K33" s="296">
        <f>H33*I33*J33</f>
      </c>
      <c r="L33" s="295">
        <v>50</v>
      </c>
      <c r="M33" s="289">
        <v>0.1</v>
      </c>
      <c r="N33" s="289">
        <v>0.4</v>
      </c>
      <c r="O33" s="296">
        <f>L33*M33*N33</f>
      </c>
    </row>
    <row r="34" spans="1:21">
      <c r="D34" s="288">
        <v>3</v>
      </c>
      <c r="E34" s="268" t="s">
        <v>443</v>
      </c>
      <c r="H34" s="295">
        <v>75</v>
      </c>
      <c r="I34" s="289">
        <v>0.1</v>
      </c>
      <c r="J34" s="289">
        <v>0.3</v>
      </c>
      <c r="K34" s="296">
        <f>H34*I34*J34</f>
      </c>
      <c r="L34" s="295">
        <v>75</v>
      </c>
      <c r="M34" s="289">
        <v>0.1</v>
      </c>
      <c r="N34" s="289">
        <v>0.4</v>
      </c>
      <c r="O34" s="296">
        <f>L34*M34*N34</f>
      </c>
    </row>
    <row r="35" spans="1:21">
      <c r="D35" s="288">
        <v>4</v>
      </c>
      <c r="E35" s="268" t="s">
        <v>444</v>
      </c>
      <c r="H35" s="295">
        <v>100</v>
      </c>
      <c r="I35" s="289">
        <v>0.1</v>
      </c>
      <c r="J35" s="289">
        <v>0.3</v>
      </c>
      <c r="K35" s="296">
        <f>H35*I35*J35</f>
      </c>
      <c r="L35" s="295">
        <v>100</v>
      </c>
      <c r="M35" s="289">
        <v>0.1</v>
      </c>
      <c r="N35" s="289">
        <v>0.4</v>
      </c>
      <c r="O35" s="296">
        <f>L35*M35*N35</f>
      </c>
      <c r="P35" s="297">
        <f>K35</f>
      </c>
      <c r="Q35" s="297">
        <f>K34</f>
      </c>
      <c r="R35" s="297">
        <f>K33</f>
      </c>
      <c r="S35" s="297">
        <f>K32</f>
      </c>
      <c r="U35" s="269">
        <f>VLOOKUP('Informasi Pokok'!$D$37,Parameter!E32:K35,7,0)</f>
      </c>
    </row>
    <row r="36" spans="1:21" ht="12.6">
      <c r="A36" s="286" t="s">
        <v>428</v>
      </c>
      <c r="B36" s="299" t="s">
        <v>826</v>
      </c>
      <c r="H36" s="295"/>
      <c r="J36" s="314"/>
      <c r="K36" s="296"/>
      <c r="L36" s="295"/>
      <c r="N36" s="314"/>
      <c r="O36" s="296"/>
    </row>
    <row r="37" spans="1:21">
      <c r="A37" s="289"/>
      <c r="D37" s="288">
        <v>1</v>
      </c>
      <c r="E37" s="268" t="s">
        <v>750</v>
      </c>
      <c r="H37" s="295">
        <v>0</v>
      </c>
      <c r="I37" s="289">
        <v>0.1</v>
      </c>
      <c r="J37" s="289">
        <v>0.3</v>
      </c>
      <c r="K37" s="296">
        <f>H37*I37*J37</f>
      </c>
      <c r="L37" s="301"/>
      <c r="M37" s="302"/>
      <c r="N37" s="302"/>
      <c r="O37" s="303"/>
    </row>
    <row r="38" spans="1:21">
      <c r="D38" s="288">
        <v>2</v>
      </c>
      <c r="E38" s="268" t="s">
        <v>445</v>
      </c>
      <c r="H38" s="295">
        <v>20</v>
      </c>
      <c r="I38" s="289">
        <v>0.1</v>
      </c>
      <c r="J38" s="289">
        <v>0.3</v>
      </c>
      <c r="K38" s="296">
        <f>H38*I38*J38</f>
      </c>
      <c r="L38" s="301"/>
      <c r="M38" s="302"/>
      <c r="N38" s="302"/>
      <c r="O38" s="303"/>
    </row>
    <row r="39" spans="1:21">
      <c r="D39" s="288">
        <v>3</v>
      </c>
      <c r="E39" s="268" t="s">
        <v>446</v>
      </c>
      <c r="H39" s="295">
        <v>75</v>
      </c>
      <c r="I39" s="289">
        <v>0.1</v>
      </c>
      <c r="J39" s="289">
        <v>0.3</v>
      </c>
      <c r="K39" s="296">
        <f>H39*I39*J39</f>
      </c>
      <c r="L39" s="301"/>
      <c r="M39" s="302"/>
      <c r="N39" s="302"/>
      <c r="O39" s="303"/>
    </row>
    <row r="40" spans="1:21">
      <c r="D40" s="288">
        <v>4</v>
      </c>
      <c r="E40" s="268" t="s">
        <v>751</v>
      </c>
      <c r="H40" s="295">
        <v>100</v>
      </c>
      <c r="I40" s="289">
        <v>0.1</v>
      </c>
      <c r="J40" s="289">
        <v>0.3</v>
      </c>
      <c r="K40" s="296">
        <f>H40*I40*J40</f>
      </c>
      <c r="L40" s="301"/>
      <c r="M40" s="302"/>
      <c r="N40" s="302"/>
      <c r="O40" s="303"/>
      <c r="P40" s="297">
        <f>K40</f>
      </c>
      <c r="Q40" s="297">
        <f>K39</f>
      </c>
      <c r="R40" s="297">
        <f>K38</f>
      </c>
      <c r="S40" s="297">
        <f>K37</f>
      </c>
      <c r="U40" s="269">
        <f>VLOOKUP('Informasi Pokok'!$D$38,Parameter!E37:K40,7,0)</f>
      </c>
    </row>
    <row r="41" spans="1:21" ht="12.6" thickBot="1">
      <c r="A41" s="304"/>
      <c r="B41" s="304"/>
      <c r="C41" s="304"/>
      <c r="D41" s="305"/>
      <c r="E41" s="304"/>
      <c r="F41" s="304"/>
      <c r="G41" s="304"/>
      <c r="H41" s="306"/>
      <c r="I41" s="304"/>
      <c r="J41" s="304"/>
      <c r="K41" s="308"/>
      <c r="L41" s="306"/>
      <c r="M41" s="304"/>
      <c r="N41" s="304"/>
      <c r="O41" s="308"/>
    </row>
    <row r="42" spans="1:21" s="284" customFormat="1" ht="14.4" thickBot="1">
      <c r="A42" s="276" t="s">
        <v>447</v>
      </c>
      <c r="B42" s="277"/>
      <c r="C42" s="278"/>
      <c r="D42" s="279"/>
      <c r="E42" s="280"/>
      <c r="F42" s="278"/>
      <c r="G42" s="278"/>
      <c r="H42" s="281"/>
      <c r="I42" s="282"/>
      <c r="J42" s="282"/>
      <c r="K42" s="283"/>
      <c r="L42" s="281"/>
      <c r="M42" s="282"/>
      <c r="N42" s="282"/>
      <c r="O42" s="283"/>
      <c r="U42" s="285"/>
    </row>
    <row r="43" spans="1:21" ht="12.6">
      <c r="A43" s="286"/>
      <c r="B43" s="299" t="s">
        <v>1077</v>
      </c>
      <c r="H43" s="295"/>
      <c r="I43" s="289"/>
      <c r="K43" s="296"/>
      <c r="L43" s="295"/>
      <c r="M43" s="289"/>
      <c r="O43" s="296"/>
    </row>
    <row r="44" spans="1:21" ht="12.6">
      <c r="A44" s="320"/>
      <c r="D44" s="288">
        <v>1</v>
      </c>
      <c r="E44" s="268" t="s">
        <v>1078</v>
      </c>
      <c r="H44" s="295">
        <v>20</v>
      </c>
      <c r="I44" s="289">
        <v>0.2</v>
      </c>
      <c r="J44" s="289">
        <v>0.1</v>
      </c>
      <c r="K44" s="296">
        <f t="shared" ref="K44:K48" si="0">H44*I44*J44</f>
      </c>
      <c r="L44" s="301"/>
      <c r="M44" s="302"/>
      <c r="N44" s="302"/>
      <c r="O44" s="303"/>
    </row>
    <row r="45" spans="1:21" ht="12.6">
      <c r="A45" s="286"/>
      <c r="D45" s="288">
        <v>2</v>
      </c>
      <c r="E45" s="268" t="s">
        <v>1079</v>
      </c>
      <c r="H45" s="295">
        <v>40</v>
      </c>
      <c r="I45" s="289">
        <v>0.2</v>
      </c>
      <c r="J45" s="289">
        <v>0.1</v>
      </c>
      <c r="K45" s="296">
        <f t="shared" si="0"/>
      </c>
      <c r="L45" s="301"/>
      <c r="M45" s="302"/>
      <c r="N45" s="302"/>
      <c r="O45" s="303"/>
    </row>
    <row r="46" spans="1:21" ht="12.6">
      <c r="A46" s="286"/>
      <c r="D46" s="288">
        <v>3</v>
      </c>
      <c r="E46" s="268" t="s">
        <v>1080</v>
      </c>
      <c r="H46" s="295">
        <v>60</v>
      </c>
      <c r="I46" s="289">
        <v>0.2</v>
      </c>
      <c r="J46" s="289">
        <v>0.1</v>
      </c>
      <c r="K46" s="296">
        <f t="shared" si="0"/>
      </c>
      <c r="L46" s="301"/>
      <c r="M46" s="302"/>
      <c r="N46" s="302"/>
      <c r="O46" s="303"/>
    </row>
    <row r="47" spans="1:21" ht="12.6">
      <c r="A47" s="286"/>
      <c r="D47" s="288">
        <v>4</v>
      </c>
      <c r="E47" s="268" t="s">
        <v>1081</v>
      </c>
      <c r="H47" s="295">
        <v>80</v>
      </c>
      <c r="I47" s="289">
        <v>0.2</v>
      </c>
      <c r="J47" s="289">
        <v>0.1</v>
      </c>
      <c r="K47" s="296">
        <f t="shared" si="0"/>
      </c>
      <c r="L47" s="301"/>
      <c r="M47" s="302"/>
      <c r="N47" s="302"/>
      <c r="O47" s="303"/>
    </row>
    <row r="48" spans="1:21" ht="12.6">
      <c r="A48" s="328"/>
      <c r="D48" s="288">
        <v>5</v>
      </c>
      <c r="E48" s="268" t="s">
        <v>1082</v>
      </c>
      <c r="H48" s="295">
        <v>100</v>
      </c>
      <c r="I48" s="289">
        <v>0.2</v>
      </c>
      <c r="J48" s="289">
        <v>0.1</v>
      </c>
      <c r="K48" s="296">
        <f t="shared" si="0"/>
      </c>
      <c r="L48" s="301"/>
      <c r="M48" s="302"/>
      <c r="N48" s="302"/>
      <c r="O48" s="303"/>
      <c r="P48" s="297">
        <f>K48</f>
      </c>
      <c r="Q48" s="297">
        <f>K48</f>
      </c>
      <c r="R48" s="297"/>
      <c r="S48" s="297"/>
      <c r="U48" s="269">
        <f>VLOOKUP('Informasi Pokok'!$D$43,Parameter!E44:K48,7,0)</f>
      </c>
    </row>
    <row r="49" spans="1:21" ht="12.6">
      <c r="A49" s="286" t="s">
        <v>419</v>
      </c>
      <c r="B49" s="299" t="s">
        <v>448</v>
      </c>
      <c r="H49" s="295"/>
      <c r="K49" s="296"/>
      <c r="L49" s="295"/>
      <c r="O49" s="296"/>
    </row>
    <row r="50" spans="1:21">
      <c r="A50" s="315"/>
      <c r="D50" s="288">
        <v>1</v>
      </c>
      <c r="E50" s="316" t="s">
        <v>449</v>
      </c>
      <c r="H50" s="295">
        <v>20</v>
      </c>
      <c r="I50" s="289">
        <v>0.2</v>
      </c>
      <c r="J50" s="289">
        <v>0.2</v>
      </c>
      <c r="K50" s="296">
        <f t="shared" ref="K50:K90" si="1">H50*I50*J50</f>
      </c>
      <c r="L50" s="317">
        <v>25</v>
      </c>
      <c r="M50" s="289">
        <v>0.3</v>
      </c>
      <c r="N50" s="289">
        <v>0.6</v>
      </c>
      <c r="O50" s="296">
        <f>L50*M50*N50</f>
      </c>
    </row>
    <row r="51" spans="1:21" ht="12.6">
      <c r="A51" s="286"/>
      <c r="D51" s="288">
        <v>2</v>
      </c>
      <c r="E51" s="268" t="s">
        <v>450</v>
      </c>
      <c r="H51" s="295">
        <v>50</v>
      </c>
      <c r="I51" s="289">
        <v>0.2</v>
      </c>
      <c r="J51" s="289">
        <v>0.2</v>
      </c>
      <c r="K51" s="296">
        <f t="shared" si="1"/>
      </c>
      <c r="L51" s="295">
        <v>50</v>
      </c>
      <c r="M51" s="289">
        <v>0.3</v>
      </c>
      <c r="N51" s="289">
        <v>0.6</v>
      </c>
      <c r="O51" s="296">
        <f>L51*M51*N51</f>
      </c>
    </row>
    <row r="52" spans="1:21" ht="12.6">
      <c r="A52" s="286"/>
      <c r="D52" s="288">
        <v>3</v>
      </c>
      <c r="E52" s="268" t="s">
        <v>451</v>
      </c>
      <c r="H52" s="295">
        <v>75</v>
      </c>
      <c r="I52" s="289">
        <v>0.2</v>
      </c>
      <c r="J52" s="289">
        <v>0.2</v>
      </c>
      <c r="K52" s="296">
        <f t="shared" si="1"/>
      </c>
      <c r="L52" s="295">
        <v>75</v>
      </c>
      <c r="M52" s="289">
        <v>0.3</v>
      </c>
      <c r="N52" s="289">
        <v>0.6</v>
      </c>
      <c r="O52" s="296">
        <f>L52*M52*N52</f>
      </c>
    </row>
    <row r="53" spans="1:21" ht="12.6">
      <c r="A53" s="286"/>
      <c r="D53" s="288">
        <v>4</v>
      </c>
      <c r="E53" s="268" t="s">
        <v>452</v>
      </c>
      <c r="H53" s="295">
        <v>100</v>
      </c>
      <c r="I53" s="289">
        <v>0.2</v>
      </c>
      <c r="J53" s="289">
        <v>0.2</v>
      </c>
      <c r="K53" s="296">
        <f t="shared" si="1"/>
      </c>
      <c r="L53" s="295">
        <v>100</v>
      </c>
      <c r="M53" s="289">
        <v>0.3</v>
      </c>
      <c r="N53" s="289">
        <v>0.6</v>
      </c>
      <c r="O53" s="296">
        <f>L53*M53*N53</f>
      </c>
      <c r="P53" s="318">
        <f>K53</f>
      </c>
      <c r="Q53" s="297">
        <f>K52</f>
      </c>
      <c r="R53" s="297">
        <f>K51</f>
      </c>
      <c r="S53" s="297">
        <f>K50</f>
      </c>
      <c r="U53" s="269">
        <f>VLOOKUP('Informasi Pokok'!$D$44,Parameter!E50:K53,7,0)</f>
      </c>
    </row>
    <row r="54" spans="1:21" ht="12.6">
      <c r="A54" s="286" t="s">
        <v>430</v>
      </c>
      <c r="B54" s="299" t="s">
        <v>453</v>
      </c>
      <c r="H54" s="295"/>
      <c r="I54" s="289"/>
      <c r="J54" s="289"/>
      <c r="K54" s="296"/>
      <c r="L54" s="295"/>
      <c r="M54" s="289"/>
      <c r="N54" s="289"/>
      <c r="O54" s="296"/>
    </row>
    <row r="55" spans="1:21">
      <c r="A55" s="319"/>
      <c r="D55" s="288">
        <v>1</v>
      </c>
      <c r="E55" s="268" t="s">
        <v>454</v>
      </c>
      <c r="H55" s="295">
        <v>30</v>
      </c>
      <c r="I55" s="289">
        <v>0.3</v>
      </c>
      <c r="J55" s="289">
        <v>0.1</v>
      </c>
      <c r="K55" s="296">
        <f t="shared" si="1"/>
      </c>
      <c r="L55" s="301"/>
      <c r="M55" s="302"/>
      <c r="N55" s="302"/>
      <c r="O55" s="303"/>
    </row>
    <row r="56" spans="1:21" ht="12.6">
      <c r="A56" s="286"/>
      <c r="D56" s="288">
        <v>2</v>
      </c>
      <c r="E56" s="268" t="s">
        <v>645</v>
      </c>
      <c r="H56" s="295">
        <v>50</v>
      </c>
      <c r="I56" s="289">
        <v>0.3</v>
      </c>
      <c r="J56" s="289">
        <v>0.1</v>
      </c>
      <c r="K56" s="296">
        <f t="shared" si="1"/>
      </c>
      <c r="L56" s="301"/>
      <c r="M56" s="302"/>
      <c r="N56" s="302"/>
      <c r="O56" s="303"/>
    </row>
    <row r="57" spans="1:21" ht="12.6">
      <c r="A57" s="286"/>
      <c r="D57" s="288">
        <v>3</v>
      </c>
      <c r="E57" s="268" t="s">
        <v>646</v>
      </c>
      <c r="H57" s="295">
        <v>70</v>
      </c>
      <c r="I57" s="289">
        <v>0.3</v>
      </c>
      <c r="J57" s="289">
        <v>0.1</v>
      </c>
      <c r="K57" s="296">
        <f t="shared" si="1"/>
      </c>
      <c r="L57" s="301"/>
      <c r="M57" s="302"/>
      <c r="N57" s="302"/>
      <c r="O57" s="303"/>
    </row>
    <row r="58" spans="1:21" ht="12.6">
      <c r="A58" s="286"/>
      <c r="D58" s="288">
        <v>4</v>
      </c>
      <c r="E58" s="268" t="s">
        <v>96</v>
      </c>
      <c r="H58" s="295">
        <v>100</v>
      </c>
      <c r="I58" s="289">
        <v>0.3</v>
      </c>
      <c r="J58" s="289">
        <v>0.1</v>
      </c>
      <c r="K58" s="296">
        <f t="shared" si="1"/>
      </c>
      <c r="L58" s="301"/>
      <c r="M58" s="302"/>
      <c r="N58" s="302"/>
      <c r="O58" s="303"/>
      <c r="P58" s="297">
        <f>K58</f>
      </c>
      <c r="Q58" s="297">
        <f>K57</f>
      </c>
      <c r="R58" s="297">
        <f>K56</f>
      </c>
      <c r="S58" s="297">
        <f>K55</f>
      </c>
      <c r="U58" s="269">
        <f>VLOOKUP('Informasi Pokok'!$D$45,Parameter!E55:K58,7,0)</f>
      </c>
    </row>
    <row r="59" spans="1:21" ht="12.6">
      <c r="A59" s="286" t="s">
        <v>455</v>
      </c>
      <c r="B59" s="299" t="s">
        <v>108</v>
      </c>
      <c r="H59" s="295"/>
      <c r="I59" s="289"/>
      <c r="K59" s="296"/>
      <c r="L59" s="295"/>
      <c r="M59" s="289"/>
      <c r="O59" s="296"/>
    </row>
    <row r="60" spans="1:21">
      <c r="A60" s="313"/>
      <c r="D60" s="288">
        <v>1</v>
      </c>
      <c r="E60" s="268" t="s">
        <v>5</v>
      </c>
      <c r="H60" s="295">
        <v>25</v>
      </c>
      <c r="I60" s="289">
        <v>0.3</v>
      </c>
      <c r="J60" s="289">
        <v>0.15</v>
      </c>
      <c r="K60" s="296">
        <f t="shared" si="1"/>
      </c>
      <c r="L60" s="301"/>
      <c r="M60" s="302"/>
      <c r="N60" s="302"/>
      <c r="O60" s="303"/>
    </row>
    <row r="61" spans="1:21" ht="12.6">
      <c r="A61" s="286"/>
      <c r="D61" s="288">
        <v>2</v>
      </c>
      <c r="E61" s="268" t="s">
        <v>97</v>
      </c>
      <c r="H61" s="295">
        <v>50</v>
      </c>
      <c r="I61" s="289">
        <v>0.3</v>
      </c>
      <c r="J61" s="289">
        <v>0.15</v>
      </c>
      <c r="K61" s="296">
        <f t="shared" si="1"/>
      </c>
      <c r="L61" s="301"/>
      <c r="M61" s="302"/>
      <c r="N61" s="302"/>
      <c r="O61" s="303"/>
    </row>
    <row r="62" spans="1:21" ht="12.6">
      <c r="A62" s="286"/>
      <c r="D62" s="288">
        <v>3</v>
      </c>
      <c r="E62" s="268" t="s">
        <v>734</v>
      </c>
      <c r="H62" s="295">
        <v>75</v>
      </c>
      <c r="I62" s="289">
        <v>0.3</v>
      </c>
      <c r="J62" s="289">
        <v>0.15</v>
      </c>
      <c r="K62" s="296">
        <f t="shared" si="1"/>
      </c>
      <c r="L62" s="301"/>
      <c r="M62" s="302"/>
      <c r="N62" s="302"/>
      <c r="O62" s="303"/>
    </row>
    <row r="63" spans="1:21" ht="12.6">
      <c r="A63" s="286"/>
      <c r="D63" s="288">
        <v>4</v>
      </c>
      <c r="E63" s="268" t="s">
        <v>439</v>
      </c>
      <c r="H63" s="295">
        <v>100</v>
      </c>
      <c r="I63" s="289">
        <v>0.3</v>
      </c>
      <c r="J63" s="289">
        <v>0.15</v>
      </c>
      <c r="K63" s="296">
        <f t="shared" si="1"/>
      </c>
      <c r="L63" s="301"/>
      <c r="M63" s="302"/>
      <c r="N63" s="302"/>
      <c r="O63" s="303"/>
      <c r="P63" s="297">
        <f>K63</f>
      </c>
      <c r="Q63" s="297">
        <f>K62</f>
      </c>
      <c r="R63" s="297">
        <f>K61</f>
      </c>
      <c r="S63" s="297">
        <f>K60</f>
      </c>
      <c r="U63" s="269">
        <f>VLOOKUP('Informasi Pokok'!$D$47,Parameter!E60:K63,7,0)</f>
      </c>
    </row>
    <row r="64" spans="1:21" ht="12.6">
      <c r="A64" s="286" t="s">
        <v>456</v>
      </c>
      <c r="B64" s="299" t="s">
        <v>55</v>
      </c>
      <c r="H64" s="295"/>
      <c r="I64" s="289"/>
      <c r="K64" s="296"/>
      <c r="L64" s="295"/>
      <c r="M64" s="289"/>
      <c r="O64" s="296"/>
    </row>
    <row r="65" spans="1:21" ht="12.6">
      <c r="A65" s="320"/>
      <c r="D65" s="288">
        <v>1</v>
      </c>
      <c r="E65" s="268" t="s">
        <v>5</v>
      </c>
      <c r="H65" s="295">
        <v>25</v>
      </c>
      <c r="I65" s="289">
        <v>0.3</v>
      </c>
      <c r="J65" s="289">
        <v>0.1</v>
      </c>
      <c r="K65" s="296">
        <f t="shared" si="1"/>
      </c>
      <c r="L65" s="301"/>
      <c r="M65" s="302"/>
      <c r="N65" s="302"/>
      <c r="O65" s="303"/>
    </row>
    <row r="66" spans="1:21" ht="12.6">
      <c r="A66" s="286"/>
      <c r="D66" s="288">
        <v>2</v>
      </c>
      <c r="E66" s="268" t="s">
        <v>457</v>
      </c>
      <c r="H66" s="295">
        <v>50</v>
      </c>
      <c r="I66" s="289">
        <v>0.3</v>
      </c>
      <c r="J66" s="289">
        <v>0.1</v>
      </c>
      <c r="K66" s="296">
        <f t="shared" si="1"/>
      </c>
      <c r="L66" s="301"/>
      <c r="M66" s="302"/>
      <c r="N66" s="302"/>
      <c r="O66" s="303"/>
    </row>
    <row r="67" spans="1:21" ht="12.6">
      <c r="A67" s="286"/>
      <c r="D67" s="288">
        <v>3</v>
      </c>
      <c r="E67" s="268" t="s">
        <v>458</v>
      </c>
      <c r="H67" s="295">
        <v>75</v>
      </c>
      <c r="I67" s="289">
        <v>0.3</v>
      </c>
      <c r="J67" s="289">
        <v>0.1</v>
      </c>
      <c r="K67" s="296">
        <f t="shared" si="1"/>
      </c>
      <c r="L67" s="301"/>
      <c r="M67" s="302"/>
      <c r="N67" s="302"/>
      <c r="O67" s="303"/>
    </row>
    <row r="68" spans="1:21" ht="12.6">
      <c r="A68" s="286"/>
      <c r="D68" s="288">
        <v>4</v>
      </c>
      <c r="E68" s="268" t="s">
        <v>99</v>
      </c>
      <c r="H68" s="295">
        <v>100</v>
      </c>
      <c r="I68" s="289">
        <v>0.3</v>
      </c>
      <c r="J68" s="289">
        <v>0.1</v>
      </c>
      <c r="K68" s="296">
        <f t="shared" si="1"/>
      </c>
      <c r="L68" s="301"/>
      <c r="M68" s="302"/>
      <c r="N68" s="302"/>
      <c r="O68" s="303"/>
      <c r="P68" s="297">
        <f>K68</f>
      </c>
      <c r="Q68" s="297">
        <f>K67</f>
      </c>
      <c r="R68" s="297">
        <f>K66</f>
      </c>
      <c r="S68" s="297">
        <f>K65</f>
      </c>
      <c r="U68" s="269">
        <f>VLOOKUP('Informasi Pokok'!$D$48,Parameter!E65:K68,7,0)</f>
      </c>
    </row>
    <row r="69" spans="1:21" s="321" customFormat="1" ht="12.6">
      <c r="D69" s="322" t="s">
        <v>61</v>
      </c>
      <c r="E69" s="322"/>
      <c r="F69" s="323"/>
      <c r="H69" s="324"/>
      <c r="K69" s="325"/>
      <c r="L69" s="324"/>
      <c r="O69" s="325"/>
      <c r="U69" s="326"/>
    </row>
    <row r="70" spans="1:21" s="321" customFormat="1">
      <c r="D70" s="327">
        <v>1</v>
      </c>
      <c r="E70" s="323" t="s">
        <v>107</v>
      </c>
      <c r="F70" s="323"/>
      <c r="H70" s="324"/>
      <c r="K70" s="325"/>
      <c r="L70" s="324"/>
      <c r="O70" s="325"/>
      <c r="U70" s="326"/>
    </row>
    <row r="71" spans="1:21" s="321" customFormat="1">
      <c r="D71" s="327">
        <v>2</v>
      </c>
      <c r="E71" s="323" t="s">
        <v>459</v>
      </c>
      <c r="F71" s="323"/>
      <c r="H71" s="324"/>
      <c r="K71" s="325"/>
      <c r="L71" s="324"/>
      <c r="O71" s="325"/>
      <c r="U71" s="326"/>
    </row>
    <row r="72" spans="1:21" s="321" customFormat="1">
      <c r="D72" s="327">
        <v>3</v>
      </c>
      <c r="E72" s="323" t="s">
        <v>460</v>
      </c>
      <c r="F72" s="323"/>
      <c r="H72" s="324"/>
      <c r="K72" s="325"/>
      <c r="L72" s="324"/>
      <c r="O72" s="325"/>
      <c r="U72" s="326"/>
    </row>
    <row r="73" spans="1:21" s="321" customFormat="1">
      <c r="D73" s="327">
        <v>4</v>
      </c>
      <c r="E73" s="323" t="s">
        <v>106</v>
      </c>
      <c r="F73" s="323"/>
      <c r="H73" s="324"/>
      <c r="K73" s="325"/>
      <c r="L73" s="324"/>
      <c r="O73" s="325"/>
      <c r="U73" s="326"/>
    </row>
    <row r="74" spans="1:21" s="321" customFormat="1">
      <c r="D74" s="327">
        <v>5</v>
      </c>
      <c r="E74" s="323" t="s">
        <v>461</v>
      </c>
      <c r="F74" s="323"/>
      <c r="H74" s="324"/>
      <c r="K74" s="325"/>
      <c r="L74" s="324"/>
      <c r="O74" s="325"/>
      <c r="U74" s="326"/>
    </row>
    <row r="75" spans="1:21" s="321" customFormat="1">
      <c r="D75" s="327">
        <v>6</v>
      </c>
      <c r="E75" s="323" t="s">
        <v>103</v>
      </c>
      <c r="F75" s="323"/>
      <c r="H75" s="324"/>
      <c r="K75" s="325"/>
      <c r="L75" s="324"/>
      <c r="O75" s="325"/>
      <c r="U75" s="326"/>
    </row>
    <row r="76" spans="1:21" ht="12.6">
      <c r="A76" s="286" t="s">
        <v>462</v>
      </c>
      <c r="B76" s="299" t="s">
        <v>833</v>
      </c>
      <c r="H76" s="295"/>
      <c r="I76" s="289"/>
      <c r="K76" s="296"/>
      <c r="L76" s="295"/>
      <c r="M76" s="289"/>
      <c r="O76" s="296"/>
    </row>
    <row r="77" spans="1:21" ht="12.6">
      <c r="A77" s="320"/>
      <c r="D77" s="288">
        <v>1</v>
      </c>
      <c r="E77" s="268" t="s">
        <v>537</v>
      </c>
      <c r="H77" s="295">
        <v>25</v>
      </c>
      <c r="I77" s="289">
        <v>0.3</v>
      </c>
      <c r="J77" s="289">
        <v>0.1</v>
      </c>
      <c r="K77" s="296">
        <f t="shared" si="1"/>
      </c>
      <c r="L77" s="301"/>
      <c r="M77" s="302"/>
      <c r="N77" s="302"/>
      <c r="O77" s="303"/>
    </row>
    <row r="78" spans="1:21" ht="12.6">
      <c r="A78" s="286"/>
      <c r="D78" s="288">
        <v>2</v>
      </c>
      <c r="E78" s="268" t="s">
        <v>737</v>
      </c>
      <c r="H78" s="295">
        <v>40</v>
      </c>
      <c r="I78" s="289">
        <v>0.3</v>
      </c>
      <c r="J78" s="289">
        <v>0.1</v>
      </c>
      <c r="K78" s="296">
        <f t="shared" si="1"/>
      </c>
      <c r="L78" s="301"/>
      <c r="M78" s="302"/>
      <c r="N78" s="302"/>
      <c r="O78" s="303"/>
    </row>
    <row r="79" spans="1:21" ht="12.6">
      <c r="A79" s="286"/>
      <c r="D79" s="288">
        <v>3</v>
      </c>
      <c r="E79" s="268" t="s">
        <v>738</v>
      </c>
      <c r="H79" s="295">
        <v>75</v>
      </c>
      <c r="I79" s="289">
        <v>0.3</v>
      </c>
      <c r="J79" s="289">
        <v>0.1</v>
      </c>
      <c r="K79" s="296">
        <f t="shared" si="1"/>
      </c>
      <c r="L79" s="301"/>
      <c r="M79" s="302"/>
      <c r="N79" s="302"/>
      <c r="O79" s="303"/>
    </row>
    <row r="80" spans="1:21" ht="12.6">
      <c r="A80" s="328"/>
      <c r="D80" s="288">
        <v>4</v>
      </c>
      <c r="E80" s="268" t="s">
        <v>538</v>
      </c>
      <c r="H80" s="295">
        <v>100</v>
      </c>
      <c r="I80" s="289">
        <v>0.3</v>
      </c>
      <c r="J80" s="289">
        <v>0.1</v>
      </c>
      <c r="K80" s="296">
        <f t="shared" si="1"/>
      </c>
      <c r="L80" s="301"/>
      <c r="M80" s="302"/>
      <c r="N80" s="302"/>
      <c r="O80" s="303"/>
      <c r="P80" s="297">
        <f>K80</f>
      </c>
      <c r="Q80" s="297">
        <f>K79</f>
      </c>
      <c r="R80" s="297">
        <f>K78</f>
      </c>
      <c r="S80" s="297">
        <f>K77</f>
      </c>
      <c r="U80" s="269">
        <f>VLOOKUP('Informasi Pokok'!$D$50,Parameter!E77:K80,7,0)</f>
      </c>
    </row>
    <row r="81" spans="1:21" ht="12.6">
      <c r="A81" s="286" t="s">
        <v>463</v>
      </c>
      <c r="B81" s="299" t="s">
        <v>464</v>
      </c>
      <c r="H81" s="295"/>
      <c r="I81" s="289"/>
      <c r="K81" s="296"/>
      <c r="L81" s="295"/>
      <c r="M81" s="289"/>
      <c r="O81" s="296"/>
    </row>
    <row r="82" spans="1:21" ht="12.6">
      <c r="A82" s="320"/>
      <c r="D82" s="329">
        <v>1</v>
      </c>
      <c r="E82" s="330" t="s">
        <v>465</v>
      </c>
      <c r="F82" s="331"/>
      <c r="G82" s="331"/>
      <c r="H82" s="332">
        <v>25</v>
      </c>
      <c r="I82" s="333">
        <v>0.3</v>
      </c>
      <c r="J82" s="333">
        <v>0.15</v>
      </c>
      <c r="K82" s="334">
        <f t="shared" si="1"/>
      </c>
      <c r="L82" s="335"/>
      <c r="M82" s="336"/>
      <c r="N82" s="336"/>
      <c r="O82" s="337"/>
    </row>
    <row r="83" spans="1:21" ht="12.6">
      <c r="A83" s="328"/>
      <c r="D83" s="329">
        <v>2</v>
      </c>
      <c r="E83" s="330" t="s">
        <v>756</v>
      </c>
      <c r="F83" s="331"/>
      <c r="G83" s="331"/>
      <c r="H83" s="332">
        <v>40</v>
      </c>
      <c r="I83" s="333">
        <v>0.3</v>
      </c>
      <c r="J83" s="333">
        <v>0.15</v>
      </c>
      <c r="K83" s="334">
        <f t="shared" si="1"/>
      </c>
      <c r="L83" s="335"/>
      <c r="M83" s="336"/>
      <c r="N83" s="336"/>
      <c r="O83" s="337"/>
    </row>
    <row r="84" spans="1:21" ht="12.6">
      <c r="A84" s="328"/>
      <c r="D84" s="329">
        <v>3</v>
      </c>
      <c r="E84" s="330" t="s">
        <v>466</v>
      </c>
      <c r="F84" s="331"/>
      <c r="G84" s="331"/>
      <c r="H84" s="332">
        <v>75</v>
      </c>
      <c r="I84" s="333">
        <v>0.3</v>
      </c>
      <c r="J84" s="333">
        <v>0.15</v>
      </c>
      <c r="K84" s="334">
        <f t="shared" si="1"/>
      </c>
      <c r="L84" s="335"/>
      <c r="M84" s="336"/>
      <c r="N84" s="336"/>
      <c r="O84" s="337"/>
    </row>
    <row r="85" spans="1:21" ht="12.6">
      <c r="A85" s="328"/>
      <c r="D85" s="329">
        <v>4</v>
      </c>
      <c r="E85" s="330" t="s">
        <v>467</v>
      </c>
      <c r="F85" s="331"/>
      <c r="G85" s="331"/>
      <c r="H85" s="332">
        <v>100</v>
      </c>
      <c r="I85" s="333">
        <v>0.3</v>
      </c>
      <c r="J85" s="333">
        <v>0.15</v>
      </c>
      <c r="K85" s="334">
        <f t="shared" si="1"/>
      </c>
      <c r="L85" s="335"/>
      <c r="M85" s="336"/>
      <c r="N85" s="336"/>
      <c r="O85" s="337"/>
      <c r="P85" s="297">
        <f>K85</f>
      </c>
      <c r="Q85" s="297">
        <f>K84</f>
      </c>
      <c r="R85" s="297">
        <f>K83</f>
      </c>
      <c r="S85" s="297">
        <f>K82</f>
      </c>
      <c r="U85" s="269">
        <f>VLOOKUP('Informasi Pokok'!$D$51,Parameter!E82:K85,7,0)</f>
      </c>
    </row>
    <row r="86" spans="1:21" ht="12.6">
      <c r="A86" s="286" t="s">
        <v>468</v>
      </c>
      <c r="B86" s="299" t="s">
        <v>834</v>
      </c>
      <c r="H86" s="295"/>
      <c r="I86" s="289"/>
      <c r="K86" s="296"/>
      <c r="L86" s="295"/>
      <c r="M86" s="289"/>
      <c r="O86" s="296"/>
    </row>
    <row r="87" spans="1:21" ht="12.6">
      <c r="A87" s="338"/>
      <c r="D87" s="288">
        <v>1</v>
      </c>
      <c r="E87" s="268" t="s">
        <v>647</v>
      </c>
      <c r="H87" s="295">
        <v>0</v>
      </c>
      <c r="I87" s="289">
        <v>0.3</v>
      </c>
      <c r="J87" s="289">
        <v>0.1</v>
      </c>
      <c r="K87" s="296">
        <f t="shared" si="1"/>
      </c>
      <c r="L87" s="301"/>
      <c r="M87" s="302"/>
      <c r="N87" s="302"/>
      <c r="O87" s="303"/>
    </row>
    <row r="88" spans="1:21" ht="12.6">
      <c r="A88" s="328"/>
      <c r="D88" s="288">
        <v>2</v>
      </c>
      <c r="E88" s="268" t="s">
        <v>752</v>
      </c>
      <c r="H88" s="295">
        <v>25</v>
      </c>
      <c r="I88" s="289">
        <v>0.3</v>
      </c>
      <c r="J88" s="289">
        <v>0.1</v>
      </c>
      <c r="K88" s="296">
        <f t="shared" si="1"/>
      </c>
      <c r="L88" s="301"/>
      <c r="M88" s="302"/>
      <c r="N88" s="302"/>
      <c r="O88" s="303"/>
    </row>
    <row r="89" spans="1:21" ht="12.6">
      <c r="A89" s="328"/>
      <c r="D89" s="288">
        <v>3</v>
      </c>
      <c r="E89" s="268" t="s">
        <v>753</v>
      </c>
      <c r="H89" s="295">
        <v>70</v>
      </c>
      <c r="I89" s="289">
        <v>0.3</v>
      </c>
      <c r="J89" s="289">
        <v>0.1</v>
      </c>
      <c r="K89" s="296">
        <f t="shared" si="1"/>
      </c>
      <c r="L89" s="301"/>
      <c r="M89" s="302"/>
      <c r="N89" s="302"/>
      <c r="O89" s="303"/>
    </row>
    <row r="90" spans="1:21" ht="12.6">
      <c r="A90" s="328"/>
      <c r="D90" s="288">
        <v>4</v>
      </c>
      <c r="E90" s="268" t="s">
        <v>754</v>
      </c>
      <c r="H90" s="295">
        <v>100</v>
      </c>
      <c r="I90" s="289">
        <v>0.3</v>
      </c>
      <c r="J90" s="289">
        <v>0.1</v>
      </c>
      <c r="K90" s="296">
        <f t="shared" si="1"/>
      </c>
      <c r="L90" s="301"/>
      <c r="M90" s="302"/>
      <c r="N90" s="302"/>
      <c r="O90" s="303"/>
      <c r="P90" s="297">
        <f>K90</f>
      </c>
      <c r="Q90" s="297">
        <f>K89</f>
      </c>
      <c r="R90" s="297">
        <f>K88</f>
      </c>
      <c r="S90" s="297">
        <f>K87</f>
      </c>
      <c r="U90" s="269">
        <f>VLOOKUP('Informasi Pokok'!$D$52,Parameter!E87:K90,7,0)</f>
      </c>
    </row>
    <row r="91" spans="1:21" ht="13.2" thickBot="1">
      <c r="A91" s="339"/>
      <c r="B91" s="304"/>
      <c r="C91" s="304"/>
      <c r="D91" s="305"/>
      <c r="E91" s="304"/>
      <c r="F91" s="304"/>
      <c r="G91" s="304"/>
      <c r="H91" s="306"/>
      <c r="I91" s="304"/>
      <c r="J91" s="304"/>
      <c r="K91" s="308"/>
      <c r="L91" s="306"/>
      <c r="M91" s="304"/>
      <c r="N91" s="304"/>
      <c r="O91" s="308"/>
    </row>
    <row r="92" spans="1:21" s="284" customFormat="1" ht="14.4" thickBot="1">
      <c r="A92" s="276" t="s">
        <v>469</v>
      </c>
      <c r="B92" s="277"/>
      <c r="C92" s="278"/>
      <c r="D92" s="279"/>
      <c r="E92" s="280"/>
      <c r="F92" s="278"/>
      <c r="G92" s="278"/>
      <c r="H92" s="281"/>
      <c r="I92" s="282"/>
      <c r="J92" s="282"/>
      <c r="K92" s="283"/>
      <c r="L92" s="281"/>
      <c r="M92" s="282"/>
      <c r="N92" s="282"/>
      <c r="O92" s="283"/>
      <c r="U92" s="285"/>
    </row>
    <row r="93" spans="1:21" ht="12.6">
      <c r="A93" s="286" t="s">
        <v>419</v>
      </c>
      <c r="B93" s="299" t="s">
        <v>835</v>
      </c>
      <c r="E93" s="289"/>
      <c r="H93" s="295"/>
      <c r="K93" s="296"/>
      <c r="L93" s="295"/>
      <c r="O93" s="296"/>
    </row>
    <row r="94" spans="1:21">
      <c r="A94" s="340"/>
      <c r="D94" s="288">
        <v>1</v>
      </c>
      <c r="E94" s="268" t="s">
        <v>470</v>
      </c>
      <c r="H94" s="295">
        <v>20</v>
      </c>
      <c r="I94" s="289">
        <v>0.25</v>
      </c>
      <c r="J94" s="289">
        <v>0.25</v>
      </c>
      <c r="K94" s="296">
        <f>H94*I94*J94</f>
      </c>
      <c r="L94" s="317">
        <v>0</v>
      </c>
      <c r="M94" s="341">
        <v>0.25</v>
      </c>
      <c r="N94" s="341">
        <v>0.4</v>
      </c>
      <c r="O94" s="342">
        <f>L94*M94*N94</f>
      </c>
    </row>
    <row r="95" spans="1:21" ht="12.6">
      <c r="A95" s="286"/>
      <c r="D95" s="288">
        <v>2</v>
      </c>
      <c r="E95" s="268" t="s">
        <v>471</v>
      </c>
      <c r="H95" s="295">
        <v>40</v>
      </c>
      <c r="I95" s="289">
        <v>0.25</v>
      </c>
      <c r="J95" s="289">
        <v>0.25</v>
      </c>
      <c r="K95" s="296">
        <f t="shared" ref="K95:K117" si="2">H95*I95*J95</f>
      </c>
      <c r="L95" s="317">
        <v>40</v>
      </c>
      <c r="M95" s="341">
        <v>0.25</v>
      </c>
      <c r="N95" s="341">
        <v>0.4</v>
      </c>
      <c r="O95" s="342">
        <f>L95*M95*N95</f>
      </c>
    </row>
    <row r="96" spans="1:21" ht="12.6">
      <c r="A96" s="286"/>
      <c r="D96" s="288">
        <v>3</v>
      </c>
      <c r="E96" s="268" t="s">
        <v>472</v>
      </c>
      <c r="H96" s="295">
        <v>80</v>
      </c>
      <c r="I96" s="289">
        <v>0.25</v>
      </c>
      <c r="J96" s="289">
        <v>0.25</v>
      </c>
      <c r="K96" s="296">
        <f t="shared" si="2"/>
      </c>
      <c r="L96" s="317">
        <v>80</v>
      </c>
      <c r="M96" s="341">
        <v>0.25</v>
      </c>
      <c r="N96" s="341">
        <v>0.4</v>
      </c>
      <c r="O96" s="342">
        <f>L96*M96*N96</f>
      </c>
    </row>
    <row r="97" spans="1:21" ht="12.6">
      <c r="A97" s="286"/>
      <c r="D97" s="288">
        <v>4</v>
      </c>
      <c r="E97" s="268" t="s">
        <v>473</v>
      </c>
      <c r="H97" s="295">
        <v>100</v>
      </c>
      <c r="I97" s="289">
        <v>0.25</v>
      </c>
      <c r="J97" s="289">
        <v>0.25</v>
      </c>
      <c r="K97" s="296">
        <f t="shared" si="2"/>
      </c>
      <c r="L97" s="317">
        <v>100</v>
      </c>
      <c r="M97" s="341">
        <v>0.25</v>
      </c>
      <c r="N97" s="341">
        <v>0.4</v>
      </c>
      <c r="O97" s="342">
        <f>L97*M97*N97</f>
      </c>
      <c r="P97" s="297">
        <f>K97</f>
      </c>
      <c r="Q97" s="297">
        <f>K96</f>
      </c>
      <c r="R97" s="297">
        <f>K95</f>
      </c>
      <c r="S97" s="297">
        <f>K94</f>
      </c>
      <c r="U97" s="269">
        <f>VLOOKUP('Informasi Pokok'!$D$56,Parameter!E94:K97,7,0)</f>
      </c>
    </row>
    <row r="98" spans="1:21" ht="12.6">
      <c r="A98" s="286" t="s">
        <v>425</v>
      </c>
      <c r="B98" s="299" t="s">
        <v>474</v>
      </c>
      <c r="H98" s="295"/>
      <c r="I98" s="289"/>
      <c r="K98" s="296"/>
      <c r="L98" s="295"/>
      <c r="M98" s="289"/>
      <c r="O98" s="296"/>
    </row>
    <row r="99" spans="1:21">
      <c r="A99" s="340"/>
      <c r="D99" s="288">
        <v>1</v>
      </c>
      <c r="E99" s="268" t="s">
        <v>475</v>
      </c>
      <c r="H99" s="295">
        <v>20</v>
      </c>
      <c r="I99" s="289">
        <v>0.25</v>
      </c>
      <c r="J99" s="289">
        <v>0.2</v>
      </c>
      <c r="K99" s="296">
        <f t="shared" si="2"/>
      </c>
      <c r="L99" s="301"/>
      <c r="M99" s="302"/>
      <c r="N99" s="302"/>
      <c r="O99" s="303"/>
    </row>
    <row r="100" spans="1:21" ht="12.6">
      <c r="A100" s="286"/>
      <c r="D100" s="288">
        <v>2</v>
      </c>
      <c r="E100" s="268" t="s">
        <v>476</v>
      </c>
      <c r="H100" s="295">
        <v>60</v>
      </c>
      <c r="I100" s="289">
        <v>0.25</v>
      </c>
      <c r="J100" s="289">
        <v>0.2</v>
      </c>
      <c r="K100" s="296">
        <f t="shared" si="2"/>
      </c>
      <c r="L100" s="301"/>
      <c r="M100" s="302"/>
      <c r="N100" s="302"/>
      <c r="O100" s="303"/>
    </row>
    <row r="101" spans="1:21" ht="12.6">
      <c r="A101" s="286"/>
      <c r="D101" s="288">
        <v>3</v>
      </c>
      <c r="E101" s="268" t="s">
        <v>477</v>
      </c>
      <c r="H101" s="295">
        <v>80</v>
      </c>
      <c r="I101" s="289">
        <v>0.25</v>
      </c>
      <c r="J101" s="289">
        <v>0.2</v>
      </c>
      <c r="K101" s="296">
        <f t="shared" si="2"/>
      </c>
      <c r="L101" s="301"/>
      <c r="M101" s="302"/>
      <c r="N101" s="302"/>
      <c r="O101" s="303"/>
    </row>
    <row r="102" spans="1:21" ht="12.6">
      <c r="A102" s="286"/>
      <c r="D102" s="288">
        <v>4</v>
      </c>
      <c r="E102" s="268" t="s">
        <v>478</v>
      </c>
      <c r="H102" s="295">
        <v>100</v>
      </c>
      <c r="I102" s="289">
        <v>0.25</v>
      </c>
      <c r="J102" s="289">
        <v>0.2</v>
      </c>
      <c r="K102" s="296">
        <f t="shared" si="2"/>
      </c>
      <c r="L102" s="301"/>
      <c r="M102" s="302"/>
      <c r="N102" s="302"/>
      <c r="O102" s="303"/>
      <c r="P102" s="297">
        <f>K102</f>
      </c>
      <c r="Q102" s="297">
        <f>K101</f>
      </c>
      <c r="R102" s="297">
        <f>K100</f>
      </c>
      <c r="S102" s="297">
        <f>K99</f>
      </c>
      <c r="U102" s="269">
        <f>VLOOKUP('Aspek Keuangan'!W10,Parameter!E99:K102,7,0)</f>
      </c>
    </row>
    <row r="103" spans="1:21" ht="12.6">
      <c r="A103" s="286" t="s">
        <v>428</v>
      </c>
      <c r="B103" s="299" t="s">
        <v>479</v>
      </c>
      <c r="H103" s="295"/>
      <c r="I103" s="289"/>
      <c r="K103" s="296"/>
      <c r="L103" s="295"/>
      <c r="M103" s="289"/>
      <c r="O103" s="296"/>
    </row>
    <row r="104" spans="1:21" ht="12.6">
      <c r="A104" s="343"/>
      <c r="B104" s="299"/>
      <c r="D104" s="288">
        <v>1</v>
      </c>
      <c r="E104" s="268" t="s">
        <v>475</v>
      </c>
      <c r="H104" s="295">
        <v>20</v>
      </c>
      <c r="I104" s="289">
        <v>0.25</v>
      </c>
      <c r="J104" s="289">
        <v>0.25</v>
      </c>
      <c r="K104" s="296">
        <f t="shared" si="2"/>
      </c>
      <c r="L104" s="301"/>
      <c r="M104" s="302"/>
      <c r="N104" s="302"/>
      <c r="O104" s="303"/>
    </row>
    <row r="105" spans="1:21" ht="12.6">
      <c r="A105" s="286"/>
      <c r="D105" s="288">
        <v>2</v>
      </c>
      <c r="E105" s="268" t="s">
        <v>480</v>
      </c>
      <c r="H105" s="295">
        <v>40</v>
      </c>
      <c r="I105" s="289">
        <v>0.25</v>
      </c>
      <c r="J105" s="289">
        <v>0.25</v>
      </c>
      <c r="K105" s="296">
        <f t="shared" si="2"/>
      </c>
      <c r="L105" s="301"/>
      <c r="M105" s="302"/>
      <c r="N105" s="302"/>
      <c r="O105" s="303"/>
    </row>
    <row r="106" spans="1:21" ht="12.6">
      <c r="A106" s="286"/>
      <c r="D106" s="288">
        <v>3</v>
      </c>
      <c r="E106" s="268" t="s">
        <v>481</v>
      </c>
      <c r="H106" s="295">
        <v>80</v>
      </c>
      <c r="I106" s="289">
        <v>0.25</v>
      </c>
      <c r="J106" s="289">
        <v>0.25</v>
      </c>
      <c r="K106" s="296">
        <f t="shared" si="2"/>
      </c>
      <c r="L106" s="301"/>
      <c r="M106" s="302"/>
      <c r="N106" s="302"/>
      <c r="O106" s="303"/>
    </row>
    <row r="107" spans="1:21" ht="12.6">
      <c r="A107" s="286"/>
      <c r="D107" s="288">
        <v>4</v>
      </c>
      <c r="E107" s="268" t="s">
        <v>482</v>
      </c>
      <c r="H107" s="295">
        <v>100</v>
      </c>
      <c r="I107" s="289">
        <v>0.25</v>
      </c>
      <c r="J107" s="289">
        <v>0.25</v>
      </c>
      <c r="K107" s="296">
        <f t="shared" si="2"/>
      </c>
      <c r="L107" s="301"/>
      <c r="M107" s="302"/>
      <c r="N107" s="302"/>
      <c r="O107" s="303"/>
      <c r="P107" s="297">
        <f>K107</f>
      </c>
      <c r="Q107" s="297">
        <f>K106</f>
      </c>
      <c r="R107" s="297">
        <f>K105</f>
      </c>
      <c r="S107" s="297">
        <f>K104</f>
      </c>
      <c r="U107" s="269">
        <f>VLOOKUP('Aspek Keuangan'!W8,Parameter!E104:K107,7,0)</f>
      </c>
    </row>
    <row r="108" spans="1:21" ht="12.6">
      <c r="A108" s="286" t="s">
        <v>430</v>
      </c>
      <c r="B108" s="344" t="s">
        <v>836</v>
      </c>
      <c r="C108" s="345"/>
      <c r="D108" s="346"/>
      <c r="E108" s="345"/>
      <c r="F108" s="345"/>
      <c r="G108" s="345"/>
      <c r="H108" s="295"/>
      <c r="I108" s="289"/>
      <c r="K108" s="296"/>
      <c r="L108" s="295"/>
      <c r="M108" s="289"/>
      <c r="O108" s="296"/>
    </row>
    <row r="109" spans="1:21" ht="12.6">
      <c r="A109" s="343"/>
      <c r="B109" s="299"/>
      <c r="D109" s="288">
        <v>1</v>
      </c>
      <c r="E109" s="268" t="s">
        <v>611</v>
      </c>
      <c r="H109" s="295">
        <v>0</v>
      </c>
      <c r="I109" s="289">
        <v>0.25</v>
      </c>
      <c r="J109" s="289">
        <v>0.3</v>
      </c>
      <c r="K109" s="296">
        <f t="shared" si="2"/>
      </c>
      <c r="L109" s="295">
        <v>0</v>
      </c>
      <c r="M109" s="289">
        <v>0.25</v>
      </c>
      <c r="N109" s="289">
        <v>0.6</v>
      </c>
      <c r="O109" s="296">
        <f>L109*M109*N109</f>
      </c>
    </row>
    <row r="110" spans="1:21" ht="12.6">
      <c r="A110" s="286"/>
      <c r="D110" s="288">
        <v>2</v>
      </c>
      <c r="E110" s="268" t="s">
        <v>610</v>
      </c>
      <c r="H110" s="295">
        <v>25</v>
      </c>
      <c r="I110" s="289">
        <v>0.25</v>
      </c>
      <c r="J110" s="289">
        <v>0.3</v>
      </c>
      <c r="K110" s="296">
        <f t="shared" si="2"/>
      </c>
      <c r="L110" s="295">
        <v>25</v>
      </c>
      <c r="M110" s="289">
        <v>0.25</v>
      </c>
      <c r="N110" s="289">
        <v>0.6</v>
      </c>
      <c r="O110" s="296">
        <f>L110*M110*N110</f>
      </c>
    </row>
    <row r="111" spans="1:21" ht="12.6">
      <c r="A111" s="286"/>
      <c r="D111" s="288">
        <v>3</v>
      </c>
      <c r="E111" s="268" t="s">
        <v>650</v>
      </c>
      <c r="H111" s="295">
        <v>75</v>
      </c>
      <c r="I111" s="289">
        <v>0.25</v>
      </c>
      <c r="J111" s="289">
        <v>0.3</v>
      </c>
      <c r="K111" s="296">
        <f t="shared" si="2"/>
      </c>
      <c r="L111" s="295">
        <v>75</v>
      </c>
      <c r="M111" s="289">
        <v>0.25</v>
      </c>
      <c r="N111" s="289">
        <v>0.6</v>
      </c>
      <c r="O111" s="296">
        <f>L111*M111*N111</f>
      </c>
    </row>
    <row r="112" spans="1:21" ht="12.6">
      <c r="A112" s="286"/>
      <c r="D112" s="288">
        <v>4</v>
      </c>
      <c r="E112" s="268" t="s">
        <v>612</v>
      </c>
      <c r="H112" s="295">
        <v>100</v>
      </c>
      <c r="I112" s="289">
        <v>0.25</v>
      </c>
      <c r="J112" s="289">
        <v>0.3</v>
      </c>
      <c r="K112" s="296">
        <f t="shared" si="2"/>
      </c>
      <c r="L112" s="295">
        <v>100</v>
      </c>
      <c r="M112" s="289">
        <v>0.25</v>
      </c>
      <c r="N112" s="289">
        <v>0.6</v>
      </c>
      <c r="O112" s="296">
        <f>L112*M112*N112</f>
      </c>
      <c r="P112" s="297">
        <f>K112</f>
      </c>
      <c r="Q112" s="297">
        <f>K111</f>
      </c>
      <c r="R112" s="297">
        <f>K110</f>
      </c>
      <c r="S112" s="297">
        <f>K109</f>
      </c>
      <c r="U112" s="269">
        <f>VLOOKUP('Informasi Pokok'!$D$57,Parameter!E109:K112,7,0)</f>
      </c>
    </row>
    <row r="113" spans="1:30" ht="12.6">
      <c r="A113" s="286" t="s">
        <v>455</v>
      </c>
      <c r="B113" s="268" t="s">
        <v>707</v>
      </c>
      <c r="D113" s="288">
        <v>1</v>
      </c>
      <c r="E113" s="268" t="s">
        <v>788</v>
      </c>
      <c r="H113" s="295">
        <v>10</v>
      </c>
      <c r="I113" s="289">
        <v>0.25</v>
      </c>
      <c r="J113" s="289">
        <v>0.2</v>
      </c>
      <c r="K113" s="325">
        <f t="shared" si="2"/>
      </c>
      <c r="L113" s="295"/>
      <c r="M113" s="289"/>
      <c r="N113" s="289"/>
      <c r="O113" s="296"/>
      <c r="P113" s="297"/>
    </row>
    <row r="114" spans="1:30" ht="12.6">
      <c r="A114" s="286"/>
      <c r="D114" s="288">
        <v>2</v>
      </c>
      <c r="E114" s="268" t="s">
        <v>789</v>
      </c>
      <c r="G114" s="268" t="s">
        <v>793</v>
      </c>
      <c r="H114" s="295">
        <v>25</v>
      </c>
      <c r="I114" s="289">
        <v>0.25</v>
      </c>
      <c r="J114" s="289">
        <v>0.2</v>
      </c>
      <c r="K114" s="325">
        <f t="shared" si="2"/>
      </c>
      <c r="L114" s="295"/>
      <c r="M114" s="289"/>
      <c r="N114" s="289"/>
      <c r="O114" s="296"/>
      <c r="P114" s="297"/>
    </row>
    <row r="115" spans="1:30" ht="12.6">
      <c r="A115" s="286"/>
      <c r="D115" s="288">
        <v>3</v>
      </c>
      <c r="E115" s="268" t="s">
        <v>790</v>
      </c>
      <c r="G115" s="268" t="s">
        <v>794</v>
      </c>
      <c r="H115" s="295">
        <v>50</v>
      </c>
      <c r="I115" s="289">
        <v>0.25</v>
      </c>
      <c r="J115" s="289">
        <v>0.2</v>
      </c>
      <c r="K115" s="325">
        <f t="shared" si="2"/>
      </c>
      <c r="L115" s="295"/>
      <c r="M115" s="289"/>
      <c r="N115" s="289"/>
      <c r="O115" s="296"/>
      <c r="P115" s="297"/>
    </row>
    <row r="116" spans="1:30" ht="12.6">
      <c r="A116" s="286"/>
      <c r="D116" s="288">
        <v>4</v>
      </c>
      <c r="E116" s="268" t="s">
        <v>791</v>
      </c>
      <c r="G116" s="268" t="s">
        <v>795</v>
      </c>
      <c r="H116" s="295">
        <v>75</v>
      </c>
      <c r="I116" s="289">
        <v>0.25</v>
      </c>
      <c r="J116" s="289">
        <v>0.2</v>
      </c>
      <c r="K116" s="325">
        <f t="shared" si="2"/>
      </c>
      <c r="L116" s="295"/>
      <c r="M116" s="289"/>
      <c r="N116" s="289"/>
      <c r="O116" s="296"/>
      <c r="P116" s="297"/>
    </row>
    <row r="117" spans="1:30" ht="12.6">
      <c r="A117" s="286"/>
      <c r="D117" s="288">
        <v>5</v>
      </c>
      <c r="E117" s="268" t="s">
        <v>792</v>
      </c>
      <c r="G117" s="268" t="s">
        <v>796</v>
      </c>
      <c r="H117" s="295">
        <v>100</v>
      </c>
      <c r="I117" s="289">
        <v>0.25</v>
      </c>
      <c r="J117" s="289">
        <v>0.2</v>
      </c>
      <c r="K117" s="325">
        <f t="shared" si="2"/>
      </c>
      <c r="L117" s="295"/>
      <c r="M117" s="289"/>
      <c r="N117" s="289"/>
      <c r="O117" s="296"/>
      <c r="P117" s="297"/>
      <c r="Q117" s="297">
        <f>K116</f>
      </c>
      <c r="R117" s="297">
        <f>K115</f>
      </c>
      <c r="S117" s="297">
        <f>K114</f>
      </c>
      <c r="T117" s="268">
        <f>IF('Usulan Pembiayaan'!B102&lt;70,"Risiko Tinggi",IF(AND('Usulan Pembiayaan'!B102&gt;=70,'Usulan Pembiayaan'!B102&lt;80),"Risiko Sedang",IF(AND('Usulan Pembiayaan'!B102&gt;=80,'Usulan Pembiayaan'!B102&lt;90),"Risiko Rendah",IF('Usulan Pembiayaan'!B102&gt;=90,"Risiko Sangat Rendah"))))</f>
      </c>
      <c r="V117" s="269">
        <f>VLOOKUP(T117,Parameter!E113:L117,7,0)</f>
      </c>
    </row>
    <row r="118" spans="1:30" ht="13.2" thickBot="1">
      <c r="A118" s="347"/>
      <c r="B118" s="304"/>
      <c r="C118" s="304"/>
      <c r="D118" s="305"/>
      <c r="E118" s="304"/>
      <c r="F118" s="304"/>
      <c r="G118" s="304"/>
      <c r="H118" s="306"/>
      <c r="I118" s="307"/>
      <c r="J118" s="307"/>
      <c r="K118" s="308"/>
      <c r="L118" s="306"/>
      <c r="M118" s="307"/>
      <c r="N118" s="307"/>
      <c r="O118" s="308"/>
    </row>
    <row r="119" spans="1:30" ht="13.2" thickBot="1">
      <c r="A119" s="347" t="s">
        <v>529</v>
      </c>
      <c r="B119" s="304"/>
      <c r="C119" s="304"/>
      <c r="D119" s="305"/>
      <c r="E119" s="304"/>
      <c r="F119" s="304"/>
      <c r="G119" s="304"/>
      <c r="H119" s="306"/>
      <c r="I119" s="307"/>
      <c r="J119" s="307"/>
      <c r="K119" s="308"/>
      <c r="L119" s="306"/>
      <c r="M119" s="307"/>
      <c r="N119" s="307"/>
      <c r="O119" s="308"/>
      <c r="T119" s="348">
        <f>'Usulan Pembiayaan'!Q72</f>
      </c>
    </row>
    <row r="120" spans="1:30" ht="15" thickBot="1">
      <c r="A120" s="286"/>
      <c r="D120" s="288">
        <v>1</v>
      </c>
      <c r="E120" s="268">
        <f>'Usulan Pembiayaan'!AB87</f>
      </c>
      <c r="H120" s="295">
        <v>0</v>
      </c>
      <c r="I120" s="289">
        <v>0.2</v>
      </c>
      <c r="J120" s="289">
        <v>0.5</v>
      </c>
      <c r="K120" s="296">
        <f t="shared" ref="K120:K123" si="3">H120*I120*J120</f>
      </c>
      <c r="L120" s="306"/>
      <c r="M120" s="307"/>
      <c r="N120" s="307"/>
      <c r="O120" s="308"/>
      <c r="T120" s="349">
        <f>'Usulan Pembiayaan'!AA38</f>
      </c>
    </row>
    <row r="121" spans="1:30" ht="15" thickBot="1">
      <c r="A121" s="286"/>
      <c r="D121" s="288">
        <v>2</v>
      </c>
      <c r="E121" s="268">
        <f>'Usulan Pembiayaan'!AC87</f>
      </c>
      <c r="H121" s="295">
        <v>50</v>
      </c>
      <c r="I121" s="289">
        <v>0.2</v>
      </c>
      <c r="J121" s="289">
        <v>0.5</v>
      </c>
      <c r="K121" s="296">
        <f t="shared" si="3"/>
      </c>
      <c r="L121" s="306"/>
      <c r="M121" s="307"/>
      <c r="N121" s="307"/>
      <c r="O121" s="308"/>
      <c r="T121" s="350"/>
    </row>
    <row r="122" spans="1:30" ht="15" thickBot="1">
      <c r="A122" s="286"/>
      <c r="D122" s="288">
        <v>3</v>
      </c>
      <c r="E122" s="268">
        <f>'Usulan Pembiayaan'!AD87</f>
      </c>
      <c r="H122" s="295">
        <v>75</v>
      </c>
      <c r="I122" s="289">
        <v>0.1867</v>
      </c>
      <c r="J122" s="289">
        <v>0.5</v>
      </c>
      <c r="K122" s="296">
        <f t="shared" si="3"/>
      </c>
      <c r="L122" s="306"/>
      <c r="M122" s="307"/>
      <c r="N122" s="307"/>
      <c r="O122" s="308"/>
      <c r="T122" s="664">
        <f>'Usulan Pembiayaan'!AA88</f>
      </c>
    </row>
    <row r="123" spans="1:30" ht="15" thickBot="1">
      <c r="A123" s="286"/>
      <c r="D123" s="288">
        <v>4</v>
      </c>
      <c r="E123" s="268">
        <f>'Usulan Pembiayaan'!AE87</f>
      </c>
      <c r="H123" s="295">
        <v>100</v>
      </c>
      <c r="I123" s="289">
        <v>0.2</v>
      </c>
      <c r="J123" s="289">
        <v>0.5</v>
      </c>
      <c r="K123" s="296">
        <f t="shared" si="3"/>
      </c>
      <c r="L123" s="306"/>
      <c r="M123" s="307"/>
      <c r="N123" s="307"/>
      <c r="O123" s="308"/>
      <c r="P123" s="318">
        <f>K123</f>
      </c>
      <c r="Q123" s="297">
        <f>K122</f>
      </c>
      <c r="R123" s="297">
        <f>K121</f>
      </c>
      <c r="S123" s="297">
        <f>K120</f>
      </c>
      <c r="T123" s="350"/>
      <c r="U123" s="351">
        <f>MAX('Usulan Pembiayaan'!AF95:AF98)</f>
      </c>
    </row>
    <row r="124" spans="1:30" ht="13.2" thickBot="1">
      <c r="A124" s="347"/>
      <c r="B124" s="304"/>
      <c r="C124" s="304"/>
      <c r="D124" s="305"/>
      <c r="E124" s="304"/>
      <c r="F124" s="304"/>
      <c r="G124" s="304"/>
      <c r="H124" s="306"/>
      <c r="I124" s="307"/>
      <c r="J124" s="307"/>
      <c r="K124" s="308"/>
      <c r="L124" s="306"/>
      <c r="M124" s="307"/>
      <c r="N124" s="307"/>
      <c r="O124" s="308"/>
    </row>
    <row r="125" spans="1:30" s="284" customFormat="1" ht="14.4" thickBot="1">
      <c r="A125" s="276" t="s">
        <v>648</v>
      </c>
      <c r="B125" s="277"/>
      <c r="C125" s="278"/>
      <c r="D125" s="279"/>
      <c r="E125" s="280"/>
      <c r="F125" s="278"/>
      <c r="G125" s="278"/>
      <c r="H125" s="281"/>
      <c r="I125" s="282"/>
      <c r="J125" s="282"/>
      <c r="K125" s="283"/>
      <c r="L125" s="281"/>
      <c r="M125" s="282"/>
      <c r="N125" s="282"/>
      <c r="O125" s="283"/>
      <c r="U125" s="285"/>
    </row>
    <row r="126" spans="1:30" ht="12.6">
      <c r="A126" s="286" t="s">
        <v>419</v>
      </c>
      <c r="B126" s="299" t="s">
        <v>649</v>
      </c>
      <c r="E126" s="289"/>
      <c r="H126" s="295"/>
      <c r="K126" s="296"/>
      <c r="L126" s="295"/>
      <c r="O126" s="296"/>
    </row>
    <row r="127" spans="1:30" ht="12.6">
      <c r="A127" s="315"/>
      <c r="B127" s="299"/>
      <c r="D127" s="288">
        <v>1</v>
      </c>
      <c r="E127" s="352" t="s">
        <v>972</v>
      </c>
      <c r="H127" s="295">
        <v>20</v>
      </c>
      <c r="I127" s="289">
        <v>0.05</v>
      </c>
      <c r="J127" s="289">
        <v>0.5</v>
      </c>
      <c r="K127" s="296">
        <f>H127*I127*J127</f>
      </c>
      <c r="L127" s="295">
        <v>25</v>
      </c>
      <c r="M127" s="289">
        <v>0.1</v>
      </c>
      <c r="N127" s="289">
        <v>1</v>
      </c>
      <c r="O127" s="296">
        <f>L127*M127*N127</f>
      </c>
    </row>
    <row r="128" spans="1:30" ht="14.4">
      <c r="A128" s="313"/>
      <c r="B128" s="299"/>
      <c r="D128" s="288">
        <v>2</v>
      </c>
      <c r="E128" s="352" t="s">
        <v>973</v>
      </c>
      <c r="H128" s="295">
        <v>40</v>
      </c>
      <c r="I128" s="289">
        <v>0.05</v>
      </c>
      <c r="J128" s="289">
        <v>0.5</v>
      </c>
      <c r="K128" s="296">
        <f>H128*I128*J128</f>
      </c>
      <c r="L128" s="295">
        <v>50</v>
      </c>
      <c r="M128" s="289">
        <v>0.1</v>
      </c>
      <c r="N128" s="289">
        <v>1</v>
      </c>
      <c r="O128" s="296">
        <f>L128*M128*N128</f>
      </c>
      <c r="Q128" s="297"/>
      <c r="Y128" s="349">
        <f>IF(N131&lt;1,"Tidak ada",IF(N131&lt;3,"Pasif atau kurang dari 3 kali perbulan",IF(AND(N131&gt;=3,N131&lt;=8),"Mutasi 3 - 8 kali perbulan",IF(N131&gt;8,"Lebih dari 8 kali perbulan"))))</f>
      </c>
      <c r="Z128" s="349"/>
      <c r="AA128" s="349"/>
      <c r="AB128" s="349"/>
      <c r="AC128" s="349"/>
      <c r="AD128" s="349"/>
    </row>
    <row r="129" spans="1:21" ht="12.6">
      <c r="A129" s="313"/>
      <c r="B129" s="299"/>
      <c r="D129" s="288">
        <v>3</v>
      </c>
      <c r="E129" s="352" t="s">
        <v>974</v>
      </c>
      <c r="H129" s="295">
        <v>60</v>
      </c>
      <c r="I129" s="289">
        <v>0.05</v>
      </c>
      <c r="J129" s="289">
        <v>0.5</v>
      </c>
      <c r="K129" s="296">
        <f>H129*I129*J129</f>
      </c>
      <c r="L129" s="295">
        <v>75</v>
      </c>
      <c r="M129" s="289">
        <v>0.1</v>
      </c>
      <c r="N129" s="289">
        <v>1</v>
      </c>
      <c r="O129" s="296">
        <f>L129*M129*N129</f>
      </c>
      <c r="T129" s="612">
        <f>'Usulan Pembiayaan'!J81/12</f>
      </c>
    </row>
    <row r="130" spans="1:21" ht="12.6">
      <c r="A130" s="313"/>
      <c r="B130" s="299"/>
      <c r="D130" s="288">
        <v>4</v>
      </c>
      <c r="E130" s="352" t="s">
        <v>975</v>
      </c>
      <c r="H130" s="295">
        <v>80</v>
      </c>
      <c r="I130" s="289">
        <v>0.05</v>
      </c>
      <c r="J130" s="289">
        <v>0.5</v>
      </c>
      <c r="K130" s="296">
        <f>H130*I130*J130</f>
      </c>
      <c r="L130" s="295">
        <v>100</v>
      </c>
      <c r="M130" s="289">
        <v>0.1</v>
      </c>
      <c r="N130" s="289">
        <v>1</v>
      </c>
      <c r="O130" s="296">
        <f>L130*M130*N130</f>
      </c>
      <c r="P130" s="297"/>
      <c r="Q130" s="297"/>
      <c r="R130" s="297"/>
      <c r="S130" s="297"/>
    </row>
    <row r="131" spans="1:21" ht="13.2" thickBot="1">
      <c r="A131" s="299"/>
      <c r="B131" s="299"/>
      <c r="D131" s="288">
        <v>5</v>
      </c>
      <c r="E131" s="352" t="s">
        <v>976</v>
      </c>
      <c r="H131" s="295">
        <v>100</v>
      </c>
      <c r="I131" s="289">
        <v>0.05</v>
      </c>
      <c r="J131" s="289">
        <v>0.5</v>
      </c>
      <c r="K131" s="296">
        <f>H131*I131*J131</f>
      </c>
      <c r="L131" s="306"/>
      <c r="M131" s="304"/>
      <c r="N131" s="304"/>
      <c r="O131" s="308"/>
      <c r="P131" s="297">
        <f>K131</f>
      </c>
      <c r="Q131" s="297">
        <f>K130</f>
      </c>
      <c r="R131" s="297">
        <f>K129</f>
      </c>
      <c r="S131" s="297">
        <f>K128</f>
      </c>
      <c r="T131" s="609">
        <f>IF(T129&lt;=0,"0",IF(T129&lt;=2,"1 - 2 Tahun",IF(AND(T129&gt;2,T129&lt;=4),"3 - 4 Tahun",IF(AND(T129&gt;4,T129&lt;=6),"5 - 6 Tahun",IF(AND(T129&gt;6,T129&lt;=8),"7 - 8 Tahun",IF(T129&gt;8,"&gt;8 Tahun"))))))</f>
      </c>
      <c r="U131" s="351">
        <f>VLOOKUP(T131,E127:K131,7,0)</f>
      </c>
    </row>
    <row r="132" spans="1:21" ht="13.2" thickBot="1">
      <c r="A132" s="286"/>
      <c r="B132" s="299"/>
      <c r="E132" s="352"/>
      <c r="H132" s="295"/>
      <c r="I132" s="289"/>
      <c r="J132" s="289"/>
      <c r="K132" s="296"/>
      <c r="L132" s="305"/>
      <c r="M132" s="304"/>
      <c r="N132" s="304"/>
      <c r="O132" s="308"/>
      <c r="P132" s="297"/>
      <c r="Q132" s="297"/>
      <c r="R132" s="297"/>
      <c r="S132" s="297"/>
      <c r="U132" s="351"/>
    </row>
    <row r="133" spans="1:21" ht="13.2" thickBot="1">
      <c r="A133" s="286" t="s">
        <v>425</v>
      </c>
      <c r="B133" s="299" t="s">
        <v>797</v>
      </c>
      <c r="D133" s="288">
        <v>1</v>
      </c>
      <c r="E133" s="353" t="s">
        <v>798</v>
      </c>
      <c r="H133" s="295">
        <v>50</v>
      </c>
      <c r="I133" s="289">
        <v>0.15</v>
      </c>
      <c r="J133" s="289">
        <v>0.25</v>
      </c>
      <c r="K133" s="296">
        <f>H133*I133*J133</f>
      </c>
      <c r="L133" s="305"/>
      <c r="M133" s="304"/>
      <c r="N133" s="304"/>
      <c r="O133" s="308"/>
      <c r="P133" s="297"/>
      <c r="Q133" s="297"/>
      <c r="R133" s="297"/>
      <c r="S133" s="297"/>
      <c r="U133" s="351"/>
    </row>
    <row r="134" spans="1:21" ht="13.2" thickBot="1">
      <c r="A134" s="299"/>
      <c r="B134" s="299"/>
      <c r="D134" s="288">
        <v>2</v>
      </c>
      <c r="E134" s="353" t="s">
        <v>799</v>
      </c>
      <c r="H134" s="295">
        <v>75</v>
      </c>
      <c r="I134" s="289">
        <v>0.15</v>
      </c>
      <c r="J134" s="289">
        <v>0.25</v>
      </c>
      <c r="K134" s="296">
        <f>H134*I134*J134</f>
      </c>
      <c r="L134" s="305"/>
      <c r="M134" s="304"/>
      <c r="N134" s="304"/>
      <c r="O134" s="308"/>
      <c r="P134" s="297"/>
      <c r="Q134" s="297"/>
      <c r="R134" s="297"/>
      <c r="S134" s="297"/>
      <c r="U134" s="351"/>
    </row>
    <row r="135" spans="1:21" ht="13.2" thickBot="1">
      <c r="A135" s="299"/>
      <c r="B135" s="299"/>
      <c r="D135" s="288">
        <v>3</v>
      </c>
      <c r="E135" s="353" t="s">
        <v>800</v>
      </c>
      <c r="H135" s="295">
        <v>100</v>
      </c>
      <c r="I135" s="289">
        <v>0.15</v>
      </c>
      <c r="J135" s="289">
        <v>0.25</v>
      </c>
      <c r="K135" s="296">
        <f>H135*I135*J135</f>
      </c>
      <c r="L135" s="305"/>
      <c r="M135" s="304"/>
      <c r="N135" s="304"/>
      <c r="O135" s="308"/>
      <c r="P135" s="297">
        <f>K135</f>
      </c>
      <c r="Q135" s="297"/>
      <c r="R135" s="297">
        <f>K134</f>
      </c>
      <c r="S135" s="297">
        <f>K133</f>
      </c>
      <c r="T135" s="288">
        <f>IF('Informasi Pokok'!D62&lt;=2,"1-2",IF(AND('Informasi Pokok'!D62&gt;2,'Informasi Pokok'!D62&lt;5),"3-4",IF('Informasi Pokok'!D62&gt;=5,"&gt;=5")))</f>
      </c>
      <c r="U135" s="269">
        <f>VLOOKUP(T135,Parameter!E133:K135,7,0)</f>
      </c>
    </row>
    <row r="136" spans="1:21" ht="13.2" thickBot="1">
      <c r="A136" s="299"/>
      <c r="B136" s="299"/>
      <c r="E136" s="352"/>
      <c r="H136" s="306"/>
      <c r="I136" s="289"/>
      <c r="J136" s="289"/>
      <c r="K136" s="308"/>
      <c r="L136" s="305"/>
      <c r="M136" s="304"/>
      <c r="N136" s="304"/>
      <c r="O136" s="308"/>
      <c r="P136" s="297"/>
      <c r="Q136" s="297"/>
      <c r="R136" s="297"/>
      <c r="S136" s="297"/>
      <c r="U136" s="351"/>
    </row>
    <row r="137" spans="1:21" s="284" customFormat="1" ht="14.4" thickBot="1">
      <c r="A137" s="276" t="s">
        <v>487</v>
      </c>
      <c r="B137" s="277"/>
      <c r="C137" s="278"/>
      <c r="D137" s="279"/>
      <c r="E137" s="280"/>
      <c r="F137" s="278"/>
      <c r="G137" s="278"/>
      <c r="H137" s="281"/>
      <c r="I137" s="282"/>
      <c r="J137" s="282"/>
      <c r="K137" s="283"/>
      <c r="L137" s="281"/>
      <c r="M137" s="282"/>
      <c r="N137" s="282"/>
      <c r="O137" s="283"/>
      <c r="U137" s="285"/>
    </row>
    <row r="138" spans="1:21" ht="12.6">
      <c r="A138" s="286" t="s">
        <v>419</v>
      </c>
      <c r="B138" s="299" t="s">
        <v>488</v>
      </c>
      <c r="E138" s="289"/>
      <c r="H138" s="295"/>
      <c r="K138" s="296"/>
      <c r="L138" s="295"/>
      <c r="O138" s="296"/>
    </row>
    <row r="139" spans="1:21" ht="12.6">
      <c r="A139" s="286"/>
      <c r="B139" s="299"/>
      <c r="D139" s="288">
        <v>1</v>
      </c>
      <c r="E139" s="268" t="s">
        <v>1109</v>
      </c>
      <c r="H139" s="354">
        <v>50</v>
      </c>
      <c r="I139" s="289">
        <v>0.15</v>
      </c>
      <c r="J139" s="289">
        <v>0.5</v>
      </c>
      <c r="K139" s="296">
        <f>H139*I139*J139</f>
      </c>
      <c r="L139" s="295"/>
      <c r="O139" s="296"/>
      <c r="T139" s="289">
        <f>'Usulan Pembiayaan'!J96</f>
      </c>
    </row>
    <row r="140" spans="1:21" ht="14.4">
      <c r="A140" s="299"/>
      <c r="D140" s="288">
        <v>2</v>
      </c>
      <c r="E140" s="268" t="s">
        <v>1110</v>
      </c>
      <c r="H140" s="295">
        <v>75</v>
      </c>
      <c r="I140" s="289">
        <v>0.15</v>
      </c>
      <c r="J140" s="289">
        <v>0.5</v>
      </c>
      <c r="K140" s="296">
        <f>H140*I140*J140</f>
      </c>
      <c r="L140" s="295">
        <v>0</v>
      </c>
      <c r="M140" s="289">
        <v>0.2</v>
      </c>
      <c r="N140" s="289">
        <v>1</v>
      </c>
      <c r="O140" s="296">
        <f>L140*M140*N140</f>
      </c>
      <c r="Q140" s="297"/>
      <c r="T140" s="661">
        <f>IF(AND(T139&gt;=100%,T139&lt;=125%),"100% s.d 125%",IF(AND(T139&gt;125%,T139&lt;=150%),"&gt;125% s.d 150%",IF(T139&gt;150%,"&gt;150%",IF(T139&lt;100%,"&lt;100%"))))</f>
      </c>
    </row>
    <row r="141" spans="1:21" ht="12.6">
      <c r="A141" s="299"/>
      <c r="D141" s="288">
        <v>3</v>
      </c>
      <c r="E141" s="268" t="s">
        <v>1111</v>
      </c>
      <c r="H141" s="295">
        <v>100</v>
      </c>
      <c r="I141" s="289">
        <v>0.16</v>
      </c>
      <c r="J141" s="289">
        <v>0.5</v>
      </c>
      <c r="K141" s="296">
        <f>H141*I141*J141</f>
      </c>
      <c r="L141" s="295">
        <v>100</v>
      </c>
      <c r="M141" s="289">
        <v>0.2</v>
      </c>
      <c r="N141" s="289">
        <v>1</v>
      </c>
      <c r="O141" s="296">
        <f>L141*M141*N141</f>
      </c>
      <c r="P141" s="297">
        <f>K141</f>
      </c>
      <c r="Q141" s="297">
        <f>K140</f>
      </c>
      <c r="R141" s="297">
        <f>K139</f>
      </c>
      <c r="S141" s="297">
        <f>R141</f>
      </c>
      <c r="U141" s="300">
        <f>VLOOKUP(T140,Parameter!E139:K142,7,0)</f>
      </c>
    </row>
    <row r="142" spans="1:21" ht="13.2" thickBot="1">
      <c r="A142" s="299"/>
      <c r="D142" s="288">
        <v>4</v>
      </c>
      <c r="E142" s="268" t="s">
        <v>1112</v>
      </c>
      <c r="H142" s="295"/>
      <c r="I142" s="289"/>
      <c r="J142" s="289"/>
      <c r="K142" s="296">
        <v>-30</v>
      </c>
      <c r="L142" s="306"/>
      <c r="M142" s="307"/>
      <c r="N142" s="307"/>
      <c r="O142" s="308"/>
    </row>
    <row r="143" spans="1:21" ht="13.2" thickBot="1">
      <c r="A143" s="299"/>
      <c r="H143" s="295"/>
      <c r="I143" s="289"/>
      <c r="J143" s="289"/>
      <c r="K143" s="296"/>
      <c r="L143" s="305"/>
      <c r="M143" s="307"/>
      <c r="N143" s="307"/>
      <c r="O143" s="308"/>
    </row>
    <row r="144" spans="1:21" ht="13.2" thickBot="1">
      <c r="A144" s="299"/>
      <c r="B144" s="268" t="s">
        <v>740</v>
      </c>
      <c r="D144" s="288">
        <v>1</v>
      </c>
      <c r="E144" s="268" t="s">
        <v>727</v>
      </c>
      <c r="H144" s="295">
        <v>50</v>
      </c>
      <c r="I144" s="289">
        <v>0.05</v>
      </c>
      <c r="J144" s="289">
        <v>0.4</v>
      </c>
      <c r="K144" s="296">
        <f>H144*I144*J144</f>
      </c>
      <c r="L144" s="305"/>
      <c r="M144" s="307"/>
      <c r="N144" s="307"/>
      <c r="O144" s="308"/>
    </row>
    <row r="145" spans="1:21" ht="13.2" thickBot="1">
      <c r="A145" s="299"/>
      <c r="D145" s="288">
        <v>2</v>
      </c>
      <c r="E145" s="268" t="s">
        <v>726</v>
      </c>
      <c r="H145" s="295">
        <v>100</v>
      </c>
      <c r="I145" s="289">
        <v>0.1</v>
      </c>
      <c r="J145" s="289">
        <v>0.4</v>
      </c>
      <c r="K145" s="296">
        <f>H145*I145*J145</f>
      </c>
      <c r="L145" s="305"/>
      <c r="M145" s="307"/>
      <c r="N145" s="307"/>
      <c r="O145" s="308"/>
      <c r="P145" s="297">
        <f>K145</f>
      </c>
      <c r="U145" s="300">
        <f>VLOOKUP('Aspek Non Keuangan'!G111,Parameter!E144:K145,7,0)</f>
      </c>
    </row>
    <row r="146" spans="1:21" ht="13.2" thickBot="1">
      <c r="A146" s="299"/>
      <c r="H146" s="295"/>
      <c r="I146" s="289"/>
      <c r="J146" s="289"/>
      <c r="K146" s="296"/>
      <c r="L146" s="305"/>
      <c r="M146" s="307"/>
      <c r="N146" s="307"/>
      <c r="O146" s="308"/>
    </row>
    <row r="147" spans="1:21" ht="13.2" thickBot="1">
      <c r="A147" s="299"/>
      <c r="D147" s="268"/>
      <c r="H147" s="295"/>
      <c r="I147" s="289"/>
      <c r="J147" s="289"/>
      <c r="K147" s="296"/>
      <c r="L147" s="305"/>
      <c r="M147" s="307"/>
      <c r="N147" s="307"/>
      <c r="O147" s="308"/>
    </row>
    <row r="148" spans="1:21" ht="13.2" thickBot="1">
      <c r="A148" s="299"/>
      <c r="B148" s="268" t="s">
        <v>741</v>
      </c>
      <c r="D148" s="288">
        <v>1</v>
      </c>
      <c r="E148" s="268" t="s">
        <v>725</v>
      </c>
      <c r="H148" s="295">
        <v>50</v>
      </c>
      <c r="I148" s="289">
        <v>0.03</v>
      </c>
      <c r="J148" s="289">
        <v>0.3</v>
      </c>
      <c r="K148" s="296">
        <f>H148*I148*J148</f>
      </c>
      <c r="L148" s="305"/>
      <c r="M148" s="307"/>
      <c r="N148" s="307"/>
      <c r="O148" s="308"/>
    </row>
    <row r="149" spans="1:21" ht="13.2" thickBot="1">
      <c r="A149" s="299"/>
      <c r="D149" s="288">
        <v>2</v>
      </c>
      <c r="E149" s="268" t="s">
        <v>786</v>
      </c>
      <c r="H149" s="295">
        <v>100</v>
      </c>
      <c r="I149" s="289">
        <v>0.05</v>
      </c>
      <c r="J149" s="289">
        <v>0.35</v>
      </c>
      <c r="K149" s="296">
        <f>H149*I149*J149</f>
      </c>
      <c r="L149" s="305"/>
      <c r="M149" s="307"/>
      <c r="N149" s="307"/>
      <c r="O149" s="308"/>
      <c r="P149" s="297">
        <f>K149</f>
      </c>
      <c r="U149" s="300">
        <f>VLOOKUP('Aspek Non Keuangan'!G122,Parameter!E148:K149,7,0)</f>
      </c>
    </row>
    <row r="150" spans="1:21" ht="13.2" thickBot="1">
      <c r="A150" s="299"/>
      <c r="H150" s="295"/>
      <c r="I150" s="289"/>
      <c r="J150" s="289"/>
      <c r="K150" s="296"/>
      <c r="L150" s="305"/>
      <c r="M150" s="307"/>
      <c r="N150" s="307"/>
      <c r="O150" s="308"/>
      <c r="P150" s="297"/>
      <c r="U150" s="300"/>
    </row>
    <row r="151" spans="1:21" ht="13.2" thickBot="1">
      <c r="A151" s="299"/>
      <c r="B151" s="268" t="s">
        <v>742</v>
      </c>
      <c r="D151" s="288">
        <v>1</v>
      </c>
      <c r="E151" s="268" t="s">
        <v>725</v>
      </c>
      <c r="H151" s="295">
        <v>50</v>
      </c>
      <c r="I151" s="289">
        <v>0.03</v>
      </c>
      <c r="J151" s="289">
        <v>0.3</v>
      </c>
      <c r="K151" s="296">
        <f>H151*I151*J151</f>
      </c>
      <c r="L151" s="305"/>
      <c r="M151" s="307"/>
      <c r="N151" s="307"/>
      <c r="O151" s="308"/>
      <c r="U151" s="300"/>
    </row>
    <row r="152" spans="1:21" ht="13.2" thickBot="1">
      <c r="A152" s="299"/>
      <c r="D152" s="288">
        <v>2</v>
      </c>
      <c r="E152" s="268" t="s">
        <v>739</v>
      </c>
      <c r="H152" s="295">
        <v>100</v>
      </c>
      <c r="I152" s="289">
        <v>0.05</v>
      </c>
      <c r="J152" s="289">
        <v>0.35</v>
      </c>
      <c r="K152" s="296">
        <f>H152*I152*J152</f>
      </c>
      <c r="L152" s="305"/>
      <c r="M152" s="307"/>
      <c r="N152" s="307"/>
      <c r="O152" s="308"/>
      <c r="P152" s="297">
        <f>K152</f>
      </c>
      <c r="U152" s="300">
        <f>VLOOKUP('Aspek Non Keuangan'!G117,Parameter!E151:K152,7,0)</f>
      </c>
    </row>
    <row r="153" spans="1:21" ht="13.2" thickBot="1">
      <c r="A153" s="355"/>
      <c r="B153" s="304"/>
      <c r="C153" s="304"/>
      <c r="D153" s="305"/>
      <c r="E153" s="304"/>
      <c r="F153" s="304"/>
      <c r="G153" s="304"/>
      <c r="H153" s="306"/>
      <c r="I153" s="307"/>
      <c r="J153" s="307"/>
      <c r="K153" s="308"/>
      <c r="L153" s="305"/>
      <c r="M153" s="307"/>
      <c r="N153" s="307"/>
      <c r="O153" s="308"/>
    </row>
    <row r="154" spans="1:21" s="284" customFormat="1" ht="14.4" thickBot="1">
      <c r="A154" s="276" t="s">
        <v>724</v>
      </c>
      <c r="B154" s="277"/>
      <c r="C154" s="278"/>
      <c r="D154" s="279"/>
      <c r="E154" s="280"/>
      <c r="F154" s="278"/>
      <c r="G154" s="278"/>
      <c r="H154" s="281"/>
      <c r="I154" s="282"/>
      <c r="J154" s="282"/>
      <c r="K154" s="283"/>
      <c r="L154" s="281"/>
      <c r="M154" s="282"/>
      <c r="N154" s="282"/>
      <c r="O154" s="283"/>
      <c r="P154" s="356">
        <f>SUM(P6:P153)</f>
      </c>
      <c r="Q154" s="284">
        <f>SUM(Q1:Q141)</f>
      </c>
      <c r="R154" s="284">
        <f>SUM(R1:R141)</f>
      </c>
      <c r="S154" s="357">
        <f>SUM(S1:S141)</f>
      </c>
      <c r="U154" s="284">
        <f>SUM(U7:U153)</f>
      </c>
    </row>
    <row r="155" spans="1:21" ht="12.6">
      <c r="A155" s="286" t="s">
        <v>419</v>
      </c>
      <c r="B155" s="287" t="s">
        <v>489</v>
      </c>
      <c r="H155" s="295"/>
      <c r="K155" s="296"/>
      <c r="L155" s="295"/>
      <c r="O155" s="296"/>
    </row>
    <row r="156" spans="1:21" ht="12.6">
      <c r="A156" s="320"/>
      <c r="D156" s="329">
        <v>1</v>
      </c>
      <c r="E156" s="330">
        <v>-10</v>
      </c>
      <c r="F156" s="330"/>
      <c r="G156" s="330"/>
      <c r="H156" s="332"/>
      <c r="I156" s="333"/>
      <c r="J156" s="333"/>
      <c r="K156" s="334">
        <v>-10</v>
      </c>
      <c r="L156" s="332"/>
      <c r="M156" s="333"/>
      <c r="N156" s="333"/>
      <c r="O156" s="330">
        <v>-10</v>
      </c>
      <c r="U156" s="566">
        <f>IF('Usulan Pembiayaan'!B105&gt;='Usulan Pembiayaan'!AA87,U154,U154*70%)</f>
      </c>
    </row>
    <row r="157" spans="1:21" ht="12.6">
      <c r="A157" s="328"/>
      <c r="D157" s="329">
        <v>2</v>
      </c>
      <c r="E157" s="330">
        <f>E156+1</f>
      </c>
      <c r="F157" s="330"/>
      <c r="G157" s="330"/>
      <c r="H157" s="332"/>
      <c r="I157" s="333"/>
      <c r="J157" s="333"/>
      <c r="K157" s="334">
        <v>-5</v>
      </c>
      <c r="L157" s="332"/>
      <c r="M157" s="333"/>
      <c r="N157" s="333"/>
      <c r="O157" s="330">
        <f>O156+1</f>
      </c>
    </row>
    <row r="158" spans="1:21" ht="12.6">
      <c r="A158" s="328"/>
      <c r="D158" s="329">
        <v>3</v>
      </c>
      <c r="E158" s="330">
        <f t="shared" ref="E158:E176" si="4">E157+1</f>
      </c>
      <c r="F158" s="330"/>
      <c r="G158" s="330"/>
      <c r="H158" s="332"/>
      <c r="I158" s="333"/>
      <c r="J158" s="333"/>
      <c r="K158" s="334">
        <v>0</v>
      </c>
      <c r="L158" s="332"/>
      <c r="M158" s="333"/>
      <c r="N158" s="333"/>
      <c r="O158" s="330">
        <f t="shared" ref="O158:O176" si="5">O157+1</f>
      </c>
      <c r="U158" s="358"/>
    </row>
    <row r="159" spans="1:21" ht="12.6">
      <c r="A159" s="328"/>
      <c r="D159" s="329"/>
      <c r="E159" s="330">
        <f t="shared" si="4"/>
      </c>
      <c r="F159" s="330"/>
      <c r="G159" s="330"/>
      <c r="H159" s="332"/>
      <c r="I159" s="333"/>
      <c r="J159" s="333"/>
      <c r="K159" s="334"/>
      <c r="L159" s="332"/>
      <c r="M159" s="333"/>
      <c r="N159" s="333"/>
      <c r="O159" s="330">
        <f t="shared" si="5"/>
      </c>
    </row>
    <row r="160" spans="1:21" ht="12.6">
      <c r="A160" s="328"/>
      <c r="D160" s="329"/>
      <c r="E160" s="330">
        <f t="shared" si="4"/>
      </c>
      <c r="F160" s="330"/>
      <c r="G160" s="330"/>
      <c r="H160" s="332"/>
      <c r="I160" s="333"/>
      <c r="J160" s="333"/>
      <c r="K160" s="334"/>
      <c r="L160" s="332"/>
      <c r="M160" s="333"/>
      <c r="N160" s="333"/>
      <c r="O160" s="330">
        <f t="shared" si="5"/>
      </c>
    </row>
    <row r="161" spans="1:15" ht="12.6">
      <c r="A161" s="328"/>
      <c r="D161" s="329"/>
      <c r="E161" s="330">
        <f t="shared" si="4"/>
      </c>
      <c r="F161" s="330"/>
      <c r="G161" s="330"/>
      <c r="H161" s="332"/>
      <c r="I161" s="333"/>
      <c r="J161" s="333"/>
      <c r="K161" s="334"/>
      <c r="L161" s="332"/>
      <c r="M161" s="333"/>
      <c r="N161" s="333"/>
      <c r="O161" s="330">
        <f t="shared" si="5"/>
      </c>
    </row>
    <row r="162" spans="1:15" ht="12.6">
      <c r="A162" s="328"/>
      <c r="D162" s="329"/>
      <c r="E162" s="330">
        <f t="shared" si="4"/>
      </c>
      <c r="F162" s="330"/>
      <c r="G162" s="330"/>
      <c r="H162" s="332"/>
      <c r="I162" s="333"/>
      <c r="J162" s="333"/>
      <c r="K162" s="334"/>
      <c r="L162" s="332"/>
      <c r="M162" s="333"/>
      <c r="N162" s="333"/>
      <c r="O162" s="330">
        <f t="shared" si="5"/>
      </c>
    </row>
    <row r="163" spans="1:15" ht="12.6">
      <c r="A163" s="328"/>
      <c r="D163" s="329"/>
      <c r="E163" s="330">
        <f t="shared" si="4"/>
      </c>
      <c r="F163" s="330"/>
      <c r="G163" s="330"/>
      <c r="H163" s="332"/>
      <c r="I163" s="333"/>
      <c r="J163" s="333"/>
      <c r="K163" s="334"/>
      <c r="L163" s="332"/>
      <c r="M163" s="333"/>
      <c r="N163" s="333"/>
      <c r="O163" s="330">
        <f t="shared" si="5"/>
      </c>
    </row>
    <row r="164" spans="1:15" ht="12.6">
      <c r="A164" s="328"/>
      <c r="D164" s="329"/>
      <c r="E164" s="330">
        <f t="shared" si="4"/>
      </c>
      <c r="F164" s="330"/>
      <c r="G164" s="330"/>
      <c r="H164" s="332"/>
      <c r="I164" s="333"/>
      <c r="J164" s="333"/>
      <c r="K164" s="334"/>
      <c r="L164" s="332"/>
      <c r="M164" s="333"/>
      <c r="N164" s="333"/>
      <c r="O164" s="330">
        <f t="shared" si="5"/>
      </c>
    </row>
    <row r="165" spans="1:15" ht="12.6">
      <c r="A165" s="328"/>
      <c r="D165" s="329"/>
      <c r="E165" s="330">
        <f t="shared" si="4"/>
      </c>
      <c r="F165" s="330"/>
      <c r="G165" s="330"/>
      <c r="H165" s="332"/>
      <c r="I165" s="333"/>
      <c r="J165" s="333"/>
      <c r="K165" s="334"/>
      <c r="L165" s="332"/>
      <c r="M165" s="333"/>
      <c r="N165" s="333"/>
      <c r="O165" s="330">
        <f t="shared" si="5"/>
      </c>
    </row>
    <row r="166" spans="1:15" ht="12.6">
      <c r="A166" s="328"/>
      <c r="D166" s="329"/>
      <c r="E166" s="330">
        <f t="shared" si="4"/>
      </c>
      <c r="F166" s="330"/>
      <c r="G166" s="330"/>
      <c r="H166" s="332"/>
      <c r="I166" s="333"/>
      <c r="J166" s="333"/>
      <c r="K166" s="334"/>
      <c r="L166" s="332"/>
      <c r="M166" s="333"/>
      <c r="N166" s="333"/>
      <c r="O166" s="330">
        <f t="shared" si="5"/>
      </c>
    </row>
    <row r="167" spans="1:15" ht="12.6">
      <c r="A167" s="328"/>
      <c r="D167" s="329"/>
      <c r="E167" s="330">
        <f t="shared" si="4"/>
      </c>
      <c r="F167" s="330"/>
      <c r="G167" s="330"/>
      <c r="H167" s="332"/>
      <c r="I167" s="333"/>
      <c r="J167" s="333"/>
      <c r="K167" s="334"/>
      <c r="L167" s="332"/>
      <c r="M167" s="333"/>
      <c r="N167" s="333"/>
      <c r="O167" s="330">
        <f t="shared" si="5"/>
      </c>
    </row>
    <row r="168" spans="1:15" ht="12.6">
      <c r="A168" s="328"/>
      <c r="D168" s="329"/>
      <c r="E168" s="330">
        <f t="shared" si="4"/>
      </c>
      <c r="F168" s="330"/>
      <c r="G168" s="330"/>
      <c r="H168" s="332"/>
      <c r="I168" s="333"/>
      <c r="J168" s="333"/>
      <c r="K168" s="334"/>
      <c r="L168" s="332"/>
      <c r="M168" s="333"/>
      <c r="N168" s="333"/>
      <c r="O168" s="330">
        <f t="shared" si="5"/>
      </c>
    </row>
    <row r="169" spans="1:15" ht="12.6">
      <c r="A169" s="328"/>
      <c r="D169" s="329"/>
      <c r="E169" s="330">
        <f t="shared" si="4"/>
      </c>
      <c r="F169" s="330"/>
      <c r="G169" s="330"/>
      <c r="H169" s="332"/>
      <c r="I169" s="333"/>
      <c r="J169" s="333"/>
      <c r="K169" s="334"/>
      <c r="L169" s="332"/>
      <c r="M169" s="333"/>
      <c r="N169" s="333"/>
      <c r="O169" s="330">
        <f t="shared" si="5"/>
      </c>
    </row>
    <row r="170" spans="1:15" ht="12.6">
      <c r="A170" s="328"/>
      <c r="D170" s="329"/>
      <c r="E170" s="330">
        <f t="shared" si="4"/>
      </c>
      <c r="F170" s="330"/>
      <c r="G170" s="330"/>
      <c r="H170" s="332"/>
      <c r="I170" s="333"/>
      <c r="J170" s="333"/>
      <c r="K170" s="334"/>
      <c r="L170" s="332"/>
      <c r="M170" s="333"/>
      <c r="N170" s="333"/>
      <c r="O170" s="330">
        <f t="shared" si="5"/>
      </c>
    </row>
    <row r="171" spans="1:15" ht="12.6">
      <c r="A171" s="328"/>
      <c r="D171" s="329"/>
      <c r="E171" s="330">
        <f t="shared" si="4"/>
      </c>
      <c r="F171" s="330"/>
      <c r="G171" s="330"/>
      <c r="H171" s="332"/>
      <c r="I171" s="333"/>
      <c r="J171" s="333"/>
      <c r="K171" s="334"/>
      <c r="L171" s="332"/>
      <c r="M171" s="333"/>
      <c r="N171" s="333"/>
      <c r="O171" s="330">
        <f t="shared" si="5"/>
      </c>
    </row>
    <row r="172" spans="1:15" ht="12.6">
      <c r="A172" s="328"/>
      <c r="D172" s="329"/>
      <c r="E172" s="330">
        <f t="shared" si="4"/>
      </c>
      <c r="F172" s="330"/>
      <c r="G172" s="330"/>
      <c r="H172" s="332"/>
      <c r="I172" s="333"/>
      <c r="J172" s="333"/>
      <c r="K172" s="334"/>
      <c r="L172" s="332"/>
      <c r="M172" s="333"/>
      <c r="N172" s="333"/>
      <c r="O172" s="330">
        <f t="shared" si="5"/>
      </c>
    </row>
    <row r="173" spans="1:15" ht="12.6">
      <c r="A173" s="328"/>
      <c r="D173" s="329"/>
      <c r="E173" s="330">
        <f t="shared" si="4"/>
      </c>
      <c r="F173" s="330"/>
      <c r="G173" s="330"/>
      <c r="H173" s="332"/>
      <c r="I173" s="333"/>
      <c r="J173" s="333"/>
      <c r="K173" s="334"/>
      <c r="L173" s="332"/>
      <c r="M173" s="333"/>
      <c r="N173" s="333"/>
      <c r="O173" s="330">
        <f t="shared" si="5"/>
      </c>
    </row>
    <row r="174" spans="1:15" ht="12.6">
      <c r="A174" s="328"/>
      <c r="D174" s="329"/>
      <c r="E174" s="330">
        <f t="shared" si="4"/>
      </c>
      <c r="F174" s="330"/>
      <c r="G174" s="330"/>
      <c r="H174" s="332"/>
      <c r="I174" s="333"/>
      <c r="J174" s="333"/>
      <c r="K174" s="334"/>
      <c r="L174" s="332"/>
      <c r="M174" s="333"/>
      <c r="N174" s="333"/>
      <c r="O174" s="330">
        <f t="shared" si="5"/>
      </c>
    </row>
    <row r="175" spans="1:15" ht="12.6">
      <c r="A175" s="328"/>
      <c r="D175" s="329">
        <v>4</v>
      </c>
      <c r="E175" s="330">
        <f t="shared" si="4"/>
      </c>
      <c r="F175" s="330"/>
      <c r="G175" s="330"/>
      <c r="H175" s="332"/>
      <c r="I175" s="333"/>
      <c r="J175" s="333"/>
      <c r="K175" s="334">
        <v>5</v>
      </c>
      <c r="L175" s="332"/>
      <c r="M175" s="333"/>
      <c r="N175" s="333"/>
      <c r="O175" s="330">
        <f t="shared" si="5"/>
      </c>
    </row>
    <row r="176" spans="1:15" ht="12.6">
      <c r="A176" s="328"/>
      <c r="D176" s="329">
        <v>5</v>
      </c>
      <c r="E176" s="330">
        <f t="shared" si="4"/>
      </c>
      <c r="F176" s="330"/>
      <c r="G176" s="330"/>
      <c r="H176" s="359"/>
      <c r="I176" s="360"/>
      <c r="J176" s="360"/>
      <c r="K176" s="361">
        <v>10</v>
      </c>
      <c r="L176" s="359"/>
      <c r="M176" s="360"/>
      <c r="N176" s="360"/>
      <c r="O176" s="330">
        <f t="shared" si="5"/>
      </c>
    </row>
    <row r="177" spans="4:15">
      <c r="J177" s="362"/>
      <c r="N177" s="362"/>
    </row>
    <row r="178" spans="4:15">
      <c r="J178" s="362"/>
      <c r="N178" s="362"/>
    </row>
    <row r="190" spans="4:15" ht="12.6">
      <c r="D190" s="299" t="s">
        <v>490</v>
      </c>
      <c r="E190" s="299"/>
      <c r="H190" s="268"/>
      <c r="K190" s="268"/>
      <c r="L190" s="268"/>
      <c r="O190" s="268"/>
    </row>
    <row r="191" spans="4:15">
      <c r="D191" s="288">
        <v>1</v>
      </c>
      <c r="E191" s="268" t="s">
        <v>115</v>
      </c>
      <c r="H191" s="268"/>
      <c r="K191" s="268"/>
      <c r="L191" s="268"/>
      <c r="O191" s="268"/>
    </row>
    <row r="192" spans="4:15">
      <c r="D192" s="288">
        <v>2</v>
      </c>
      <c r="E192" s="268" t="s">
        <v>491</v>
      </c>
      <c r="H192" s="268"/>
      <c r="K192" s="268"/>
      <c r="L192" s="268"/>
      <c r="O192" s="268"/>
    </row>
    <row r="194" spans="4:15" ht="12.6">
      <c r="D194" s="299" t="s">
        <v>492</v>
      </c>
      <c r="E194" s="299"/>
      <c r="H194" s="268"/>
      <c r="K194" s="268"/>
      <c r="L194" s="268"/>
      <c r="O194" s="268"/>
    </row>
    <row r="195" spans="4:15">
      <c r="D195" s="288">
        <v>1</v>
      </c>
      <c r="E195" s="268" t="s">
        <v>493</v>
      </c>
      <c r="H195" s="268"/>
      <c r="K195" s="268"/>
      <c r="L195" s="268"/>
      <c r="O195" s="268"/>
    </row>
    <row r="196" spans="4:15">
      <c r="D196" s="288">
        <v>2</v>
      </c>
      <c r="E196" s="268" t="s">
        <v>494</v>
      </c>
      <c r="H196" s="268"/>
      <c r="K196" s="268"/>
      <c r="L196" s="268"/>
      <c r="O196" s="268"/>
    </row>
    <row r="198" spans="4:15" ht="12.6">
      <c r="D198" s="299" t="s">
        <v>495</v>
      </c>
      <c r="E198" s="299"/>
      <c r="H198" s="268"/>
      <c r="K198" s="268"/>
      <c r="L198" s="268"/>
      <c r="O198" s="268"/>
    </row>
    <row r="199" spans="4:15">
      <c r="D199" s="288">
        <v>1</v>
      </c>
      <c r="E199" s="268" t="s">
        <v>432</v>
      </c>
      <c r="H199" s="268"/>
      <c r="K199" s="268"/>
      <c r="L199" s="268"/>
      <c r="O199" s="268"/>
    </row>
    <row r="200" spans="4:15">
      <c r="D200" s="288">
        <v>2</v>
      </c>
      <c r="E200" s="268" t="s">
        <v>433</v>
      </c>
      <c r="H200" s="268"/>
      <c r="K200" s="268"/>
      <c r="L200" s="268"/>
      <c r="O200" s="268"/>
    </row>
    <row r="201" spans="4:15">
      <c r="D201" s="288">
        <v>3</v>
      </c>
      <c r="E201" s="268" t="s">
        <v>434</v>
      </c>
      <c r="H201" s="268"/>
      <c r="K201" s="268"/>
      <c r="L201" s="268"/>
      <c r="O201" s="268"/>
    </row>
    <row r="202" spans="4:15">
      <c r="D202" s="288">
        <v>4</v>
      </c>
      <c r="E202" s="268" t="s">
        <v>435</v>
      </c>
      <c r="H202" s="268"/>
      <c r="K202" s="268"/>
      <c r="L202" s="268"/>
      <c r="O202" s="268"/>
    </row>
    <row r="203" spans="4:15">
      <c r="D203" s="288">
        <v>5</v>
      </c>
      <c r="E203" s="268" t="s">
        <v>192</v>
      </c>
      <c r="H203" s="268"/>
      <c r="K203" s="268"/>
      <c r="L203" s="268"/>
      <c r="O203" s="268"/>
    </row>
    <row r="205" spans="4:15" ht="12.6">
      <c r="D205" s="299" t="s">
        <v>144</v>
      </c>
      <c r="E205" s="299"/>
      <c r="H205" s="268"/>
      <c r="K205" s="268"/>
      <c r="L205" s="268"/>
      <c r="O205" s="268"/>
    </row>
    <row r="206" spans="4:15">
      <c r="D206" s="288">
        <v>1</v>
      </c>
      <c r="E206" s="268" t="s">
        <v>496</v>
      </c>
      <c r="H206" s="268"/>
      <c r="K206" s="268"/>
      <c r="L206" s="268"/>
      <c r="O206" s="268"/>
    </row>
    <row r="207" spans="4:15">
      <c r="D207" s="288">
        <v>2</v>
      </c>
      <c r="E207" s="268" t="s">
        <v>497</v>
      </c>
      <c r="H207" s="268"/>
      <c r="K207" s="268"/>
      <c r="L207" s="268"/>
      <c r="O207" s="268"/>
    </row>
    <row r="208" spans="4:15">
      <c r="D208" s="288">
        <v>3</v>
      </c>
      <c r="E208" s="268" t="s">
        <v>498</v>
      </c>
      <c r="H208" s="268"/>
      <c r="K208" s="268"/>
      <c r="L208" s="268"/>
      <c r="O208" s="268"/>
    </row>
    <row r="209" spans="4:17">
      <c r="D209" s="288">
        <v>4</v>
      </c>
      <c r="E209" s="268" t="s">
        <v>192</v>
      </c>
      <c r="H209" s="268"/>
      <c r="K209" s="268"/>
      <c r="L209" s="268"/>
      <c r="O209" s="268"/>
    </row>
    <row r="211" spans="4:17" ht="12.6">
      <c r="D211" s="299" t="s">
        <v>426</v>
      </c>
      <c r="E211" s="299"/>
      <c r="H211" s="268"/>
      <c r="K211" s="268"/>
      <c r="L211" s="268"/>
      <c r="O211" s="268"/>
    </row>
    <row r="212" spans="4:17">
      <c r="D212" s="288">
        <v>1</v>
      </c>
      <c r="E212" s="268" t="s">
        <v>137</v>
      </c>
      <c r="H212" s="268"/>
      <c r="K212" s="268"/>
      <c r="L212" s="268"/>
      <c r="O212" s="268"/>
    </row>
    <row r="213" spans="4:17">
      <c r="D213" s="288">
        <v>2</v>
      </c>
      <c r="E213" s="268" t="s">
        <v>499</v>
      </c>
      <c r="H213" s="268"/>
      <c r="K213" s="268"/>
      <c r="L213" s="268"/>
      <c r="O213" s="268"/>
    </row>
    <row r="215" spans="4:17" ht="12.6">
      <c r="D215" s="299" t="s">
        <v>500</v>
      </c>
      <c r="E215" s="299"/>
      <c r="H215" s="268"/>
      <c r="K215" s="268"/>
      <c r="L215" s="268"/>
      <c r="O215" s="268"/>
    </row>
    <row r="216" spans="4:17">
      <c r="D216" s="288">
        <v>1</v>
      </c>
      <c r="E216" s="268" t="s">
        <v>496</v>
      </c>
      <c r="H216" s="268"/>
      <c r="K216" s="268"/>
      <c r="L216" s="268"/>
      <c r="O216" s="268"/>
    </row>
    <row r="217" spans="4:17">
      <c r="D217" s="288">
        <v>2</v>
      </c>
      <c r="E217" s="268" t="s">
        <v>497</v>
      </c>
      <c r="H217" s="268"/>
      <c r="K217" s="268"/>
      <c r="L217" s="268"/>
      <c r="O217" s="268"/>
    </row>
    <row r="218" spans="4:17">
      <c r="D218" s="288">
        <v>3</v>
      </c>
      <c r="E218" s="268" t="s">
        <v>498</v>
      </c>
      <c r="H218" s="268"/>
      <c r="K218" s="268"/>
      <c r="L218" s="268"/>
      <c r="O218" s="268"/>
    </row>
    <row r="219" spans="4:17">
      <c r="D219" s="288">
        <v>4</v>
      </c>
      <c r="E219" s="268" t="s">
        <v>192</v>
      </c>
      <c r="H219" s="268"/>
      <c r="K219" s="268"/>
      <c r="L219" s="268"/>
      <c r="O219" s="268"/>
    </row>
    <row r="221" spans="4:17" ht="12.6">
      <c r="D221" s="299" t="s">
        <v>3</v>
      </c>
    </row>
    <row r="222" spans="4:17">
      <c r="D222" s="288">
        <v>1</v>
      </c>
      <c r="E222" s="314" t="s">
        <v>501</v>
      </c>
      <c r="F222" s="352" t="s">
        <v>486</v>
      </c>
      <c r="G222" s="268">
        <v>0</v>
      </c>
      <c r="Q222" s="352"/>
    </row>
    <row r="223" spans="4:17">
      <c r="D223" s="288">
        <v>2</v>
      </c>
      <c r="E223" s="314" t="s">
        <v>502</v>
      </c>
      <c r="F223" s="352" t="s">
        <v>486</v>
      </c>
      <c r="G223" s="268">
        <v>0</v>
      </c>
      <c r="Q223" s="352"/>
    </row>
    <row r="224" spans="4:17">
      <c r="D224" s="288">
        <v>3</v>
      </c>
      <c r="E224" s="314" t="s">
        <v>503</v>
      </c>
      <c r="F224" s="352" t="s">
        <v>486</v>
      </c>
      <c r="G224" s="268">
        <v>0</v>
      </c>
      <c r="Q224" s="352"/>
    </row>
    <row r="225" spans="4:17">
      <c r="D225" s="288">
        <v>4</v>
      </c>
      <c r="E225" s="314" t="s">
        <v>504</v>
      </c>
      <c r="F225" s="352" t="s">
        <v>486</v>
      </c>
      <c r="G225" s="268">
        <v>0</v>
      </c>
      <c r="Q225" s="352"/>
    </row>
    <row r="226" spans="4:17">
      <c r="D226" s="288">
        <v>5</v>
      </c>
      <c r="E226" s="314" t="s">
        <v>505</v>
      </c>
      <c r="F226" s="352" t="s">
        <v>486</v>
      </c>
      <c r="G226" s="268">
        <v>0</v>
      </c>
    </row>
    <row r="227" spans="4:17">
      <c r="D227" s="288">
        <v>6</v>
      </c>
      <c r="E227" s="314" t="s">
        <v>506</v>
      </c>
      <c r="F227" s="352" t="s">
        <v>486</v>
      </c>
      <c r="G227" s="268">
        <v>0</v>
      </c>
    </row>
    <row r="228" spans="4:17">
      <c r="D228" s="288">
        <v>7</v>
      </c>
      <c r="E228" s="268" t="s">
        <v>507</v>
      </c>
      <c r="F228" s="352" t="s">
        <v>486</v>
      </c>
      <c r="G228" s="268">
        <v>0</v>
      </c>
    </row>
    <row r="229" spans="4:17">
      <c r="D229" s="288">
        <v>8</v>
      </c>
      <c r="E229" s="268" t="s">
        <v>508</v>
      </c>
      <c r="F229" s="352" t="s">
        <v>486</v>
      </c>
      <c r="G229" s="268">
        <v>0</v>
      </c>
    </row>
    <row r="230" spans="4:17">
      <c r="D230" s="288">
        <v>9</v>
      </c>
      <c r="E230" s="268" t="s">
        <v>509</v>
      </c>
      <c r="F230" s="352" t="s">
        <v>485</v>
      </c>
      <c r="G230" s="268">
        <v>0</v>
      </c>
    </row>
    <row r="231" spans="4:17">
      <c r="D231" s="288">
        <v>10</v>
      </c>
      <c r="E231" s="268" t="s">
        <v>510</v>
      </c>
      <c r="F231" s="352" t="s">
        <v>485</v>
      </c>
      <c r="G231" s="268">
        <v>0</v>
      </c>
    </row>
    <row r="232" spans="4:17">
      <c r="D232" s="288">
        <v>11</v>
      </c>
      <c r="E232" s="268" t="s">
        <v>511</v>
      </c>
      <c r="F232" s="352" t="s">
        <v>485</v>
      </c>
      <c r="G232" s="268">
        <v>0</v>
      </c>
    </row>
    <row r="233" spans="4:17">
      <c r="D233" s="288">
        <v>12</v>
      </c>
      <c r="E233" s="268" t="s">
        <v>512</v>
      </c>
      <c r="F233" s="352" t="s">
        <v>485</v>
      </c>
      <c r="G233" s="268">
        <v>0</v>
      </c>
    </row>
    <row r="234" spans="4:17">
      <c r="D234" s="288">
        <v>13</v>
      </c>
      <c r="E234" s="268" t="s">
        <v>513</v>
      </c>
      <c r="F234" s="352" t="s">
        <v>485</v>
      </c>
      <c r="G234" s="268">
        <v>0</v>
      </c>
    </row>
    <row r="235" spans="4:17">
      <c r="D235" s="288">
        <v>14</v>
      </c>
      <c r="E235" s="268" t="s">
        <v>514</v>
      </c>
      <c r="F235" s="352" t="s">
        <v>485</v>
      </c>
      <c r="G235" s="268">
        <v>0</v>
      </c>
    </row>
    <row r="236" spans="4:17">
      <c r="D236" s="288">
        <v>15</v>
      </c>
      <c r="E236" s="268" t="s">
        <v>515</v>
      </c>
      <c r="F236" s="352" t="s">
        <v>485</v>
      </c>
      <c r="G236" s="268">
        <v>0</v>
      </c>
    </row>
    <row r="237" spans="4:17">
      <c r="D237" s="288">
        <v>16</v>
      </c>
      <c r="E237" s="268" t="s">
        <v>516</v>
      </c>
      <c r="F237" s="352" t="s">
        <v>485</v>
      </c>
      <c r="G237" s="268">
        <v>0</v>
      </c>
      <c r="H237" s="268"/>
      <c r="K237" s="268"/>
      <c r="L237" s="268"/>
      <c r="O237" s="268"/>
    </row>
    <row r="238" spans="4:17">
      <c r="D238" s="288">
        <v>17</v>
      </c>
      <c r="E238" s="268" t="s">
        <v>517</v>
      </c>
      <c r="F238" s="352" t="s">
        <v>485</v>
      </c>
      <c r="G238" s="268">
        <v>0</v>
      </c>
      <c r="H238" s="268"/>
      <c r="K238" s="268"/>
      <c r="L238" s="268"/>
      <c r="O238" s="268"/>
    </row>
    <row r="239" spans="4:17">
      <c r="D239" s="288">
        <v>18</v>
      </c>
      <c r="E239" s="268" t="s">
        <v>518</v>
      </c>
      <c r="F239" s="352" t="s">
        <v>484</v>
      </c>
      <c r="G239" s="268">
        <v>0</v>
      </c>
      <c r="H239" s="268"/>
      <c r="K239" s="268"/>
      <c r="L239" s="268"/>
      <c r="O239" s="268"/>
    </row>
    <row r="240" spans="4:17">
      <c r="D240" s="288">
        <v>19</v>
      </c>
      <c r="E240" s="268" t="s">
        <v>519</v>
      </c>
      <c r="F240" s="352" t="s">
        <v>483</v>
      </c>
      <c r="G240" s="268">
        <v>1</v>
      </c>
      <c r="H240" s="268"/>
      <c r="K240" s="268"/>
      <c r="L240" s="268"/>
      <c r="O240" s="268"/>
    </row>
    <row r="241" spans="4:15">
      <c r="D241" s="288">
        <v>20</v>
      </c>
      <c r="E241" s="268" t="s">
        <v>520</v>
      </c>
      <c r="F241" s="352" t="s">
        <v>483</v>
      </c>
      <c r="G241" s="268">
        <v>1</v>
      </c>
      <c r="H241" s="268"/>
      <c r="K241" s="268"/>
      <c r="L241" s="268"/>
      <c r="O241" s="268"/>
    </row>
    <row r="242" spans="4:15">
      <c r="D242" s="288">
        <v>21</v>
      </c>
      <c r="E242" s="268" t="s">
        <v>521</v>
      </c>
      <c r="F242" s="352" t="s">
        <v>483</v>
      </c>
      <c r="G242" s="268">
        <v>1</v>
      </c>
      <c r="H242" s="268"/>
      <c r="K242" s="268"/>
      <c r="L242" s="268"/>
      <c r="O242" s="268"/>
    </row>
    <row r="243" spans="4:15">
      <c r="D243" s="288">
        <v>22</v>
      </c>
      <c r="E243" s="268" t="s">
        <v>522</v>
      </c>
      <c r="F243" s="352" t="s">
        <v>483</v>
      </c>
      <c r="G243" s="268">
        <v>1</v>
      </c>
      <c r="H243" s="268"/>
      <c r="K243" s="268"/>
      <c r="L243" s="268"/>
      <c r="O243" s="268"/>
    </row>
    <row r="245" spans="4:15" ht="12.6">
      <c r="D245" s="299" t="s">
        <v>523</v>
      </c>
      <c r="H245" s="268"/>
      <c r="K245" s="268"/>
      <c r="L245" s="268"/>
      <c r="O245" s="268"/>
    </row>
    <row r="246" spans="4:15">
      <c r="D246" s="288">
        <v>1</v>
      </c>
      <c r="E246" s="268" t="s">
        <v>524</v>
      </c>
      <c r="H246" s="268"/>
      <c r="K246" s="268"/>
      <c r="L246" s="268"/>
      <c r="O246" s="268"/>
    </row>
    <row r="247" spans="4:15">
      <c r="D247" s="288">
        <v>2</v>
      </c>
      <c r="E247" s="268" t="s">
        <v>525</v>
      </c>
      <c r="H247" s="268"/>
      <c r="K247" s="268"/>
      <c r="L247" s="268"/>
      <c r="O247" s="268"/>
    </row>
    <row r="248" spans="4:15">
      <c r="D248" s="288">
        <v>3</v>
      </c>
      <c r="E248" s="268" t="s">
        <v>526</v>
      </c>
      <c r="H248" s="268"/>
      <c r="K248" s="268"/>
      <c r="L248" s="268"/>
      <c r="O248" s="268"/>
    </row>
    <row r="250" spans="4:15" ht="12.6">
      <c r="D250" s="299" t="s">
        <v>527</v>
      </c>
      <c r="H250" s="268"/>
      <c r="K250" s="268"/>
      <c r="L250" s="268"/>
      <c r="O250" s="268"/>
    </row>
    <row r="251" spans="4:15">
      <c r="D251" s="288">
        <v>1</v>
      </c>
      <c r="E251" s="268" t="s">
        <v>528</v>
      </c>
      <c r="H251" s="268"/>
      <c r="K251" s="268"/>
      <c r="L251" s="268"/>
      <c r="O251" s="268"/>
    </row>
    <row r="259" spans="3:7">
      <c r="D259" s="268" t="s">
        <v>89</v>
      </c>
    </row>
    <row r="260" spans="3:7">
      <c r="D260" s="268" t="s">
        <v>85</v>
      </c>
    </row>
    <row r="261" spans="3:7">
      <c r="D261" s="268" t="s">
        <v>88</v>
      </c>
    </row>
    <row r="262" spans="3:7">
      <c r="D262" s="268" t="s">
        <v>87</v>
      </c>
    </row>
    <row r="263" spans="3:7">
      <c r="D263" s="268" t="s">
        <v>192</v>
      </c>
    </row>
    <row r="265" spans="3:7" ht="15.6">
      <c r="D265" s="363">
        <v>61</v>
      </c>
      <c r="E265" s="268">
        <f>IF(AND(D265&gt;=21,D265&lt;=30),"21 - 30 tahun",IF(AND(D265&gt;30,D265&lt;=40),"31 - 40 tahun",IF(AND(D265&gt;40,D265&lt;=55),"41 - 55 tahun",IF(AND(D265&gt;55,D265&lt;=60),"56 - 60 tahun"))))</f>
      </c>
    </row>
    <row r="267" spans="3:7" ht="15.6">
      <c r="D267" s="364">
        <f>YEAR('Informasi Pokok'!D7)-IF(MONTH('Informasi Pokok'!D7)&lt;MONTH('Informasi Pokok'!I14),1,0)-YEAR('Informasi Pokok'!I14)+IF('Informasi Pokok'!D7-DATE(YEAR('Informasi Pokok'!D7)-IF(MONTH('Informasi Pokok'!D7)&lt;MONTH('Informasi Pokok'!I14),1,0),MONTH('Informasi Pokok'!I14),DAY('Informasi Pokok'!I14))&lt;=180,0,1)</f>
      </c>
      <c r="E267" s="365">
        <f>IF(AND(D267&gt;=21,D267&lt;=30),"21 - 30 tahun",IF(AND(D267&gt;30,D267&lt;=40),"31 - 40 tahun",IF(AND(D267&gt;40,D267&lt;=55),"41 - 55 tahun",IF(AND(D267&gt;55,D267&lt;=60),"56 - 60 tahun"))))</f>
      </c>
      <c r="F267" s="365"/>
    </row>
    <row r="268" spans="3:7">
      <c r="D268" s="268"/>
    </row>
    <row r="269" spans="3:7" ht="15.6">
      <c r="C269" s="268">
        <v>1</v>
      </c>
      <c r="D269" s="364">
        <f>DATEDIF('Aspek Keuangan'!Q56,'Aspek Keuangan'!T56,"M")</f>
      </c>
      <c r="E269" s="366">
        <v>1</v>
      </c>
      <c r="F269" s="367">
        <f ca="1">DATEDIF(D270,F270,"M")</f>
      </c>
      <c r="G269" s="368">
        <f ca="1">D269-F269</f>
      </c>
    </row>
    <row r="270" spans="3:7">
      <c r="D270" s="369">
        <f>'Aspek Keuangan'!Q56</f>
      </c>
      <c r="E270" s="369">
        <f ca="1">TODAY()</f>
      </c>
      <c r="F270" s="370">
        <f ca="1">IF(E270="","",DATE(YEAR(E270),MONTH(E270)-E269,DAY(D270)))</f>
      </c>
      <c r="G270" s="371">
        <f>'Aspek Keuangan'!F56/Parameter!D269</f>
      </c>
    </row>
    <row r="271" spans="3:7" ht="15.6">
      <c r="C271" s="268">
        <v>2</v>
      </c>
      <c r="D271" s="364">
        <f>DATEDIF('Aspek Keuangan'!Q57,'Aspek Keuangan'!T57,"M")</f>
      </c>
      <c r="E271" s="366">
        <v>1</v>
      </c>
      <c r="F271" s="367">
        <f ca="1">DATEDIF(D272,F272,"M")</f>
      </c>
      <c r="G271" s="368">
        <f ca="1">D271-F271</f>
      </c>
    </row>
    <row r="272" spans="3:7">
      <c r="D272" s="369">
        <f>'Aspek Keuangan'!Q57</f>
      </c>
      <c r="E272" s="369">
        <f ca="1">TODAY()</f>
      </c>
      <c r="F272" s="370">
        <f ca="1">IF(E272="","",DATE(YEAR(E272),MONTH(E272)-E271,DAY(D272)))</f>
      </c>
      <c r="G272" s="371">
        <f>'Aspek Keuangan'!F57/Parameter!D271</f>
      </c>
    </row>
    <row r="273" spans="3:7" ht="15.6">
      <c r="C273" s="268">
        <v>3</v>
      </c>
      <c r="D273" s="364">
        <f>DATEDIF('Aspek Keuangan'!Q58,'Aspek Keuangan'!T58,"M")</f>
      </c>
      <c r="E273" s="366">
        <v>1</v>
      </c>
      <c r="F273" s="367">
        <f ca="1">DATEDIF(D274,F274,"M")</f>
      </c>
      <c r="G273" s="368">
        <f ca="1">D273-F273</f>
      </c>
    </row>
    <row r="274" spans="3:7">
      <c r="D274" s="369">
        <f>'Aspek Keuangan'!Q58</f>
      </c>
      <c r="E274" s="369">
        <f ca="1">TODAY()</f>
      </c>
      <c r="F274" s="370">
        <f ca="1">IF(E274="","",DATE(YEAR(E274),MONTH(E274)-E273,DAY(D274)))</f>
      </c>
      <c r="G274" s="371">
        <f>'Aspek Keuangan'!F58/Parameter!D273</f>
      </c>
    </row>
    <row r="275" spans="3:7" ht="15.6">
      <c r="C275" s="268">
        <v>4</v>
      </c>
      <c r="D275" s="364">
        <f>DATEDIF('Aspek Keuangan'!Q59,'Aspek Keuangan'!T59,"M")</f>
      </c>
      <c r="E275" s="366">
        <v>1</v>
      </c>
      <c r="F275" s="367">
        <f ca="1">DATEDIF(D276,F276,"M")</f>
      </c>
      <c r="G275" s="368">
        <f ca="1">D275-F275</f>
      </c>
    </row>
    <row r="276" spans="3:7">
      <c r="D276" s="369">
        <f>'Aspek Keuangan'!Q59</f>
      </c>
      <c r="E276" s="369">
        <f ca="1">TODAY()</f>
      </c>
      <c r="F276" s="370">
        <f ca="1">IF(E276="","",DATE(YEAR(E276),MONTH(E276)-E275,DAY(D276)))</f>
      </c>
      <c r="G276" s="371">
        <f>'Aspek Keuangan'!F59/Parameter!D275</f>
      </c>
    </row>
    <row r="277" spans="3:7" ht="15.6">
      <c r="C277" s="268">
        <v>5</v>
      </c>
      <c r="D277" s="364">
        <f>DATEDIF('Aspek Keuangan'!Q60,'Aspek Keuangan'!T60,"M")</f>
      </c>
      <c r="E277" s="366">
        <v>1</v>
      </c>
      <c r="F277" s="367">
        <f ca="1">DATEDIF(D278,F278,"M")</f>
      </c>
      <c r="G277" s="368">
        <f ca="1">D277-F277</f>
      </c>
    </row>
    <row r="278" spans="3:7">
      <c r="D278" s="369">
        <f>'Aspek Keuangan'!Q60</f>
      </c>
      <c r="E278" s="369">
        <f ca="1">TODAY()</f>
      </c>
      <c r="F278" s="370">
        <f ca="1">IF(E278="","",DATE(YEAR(E278),MONTH(E278)-E277,DAY(D278)))</f>
      </c>
      <c r="G278" s="371">
        <f>'Aspek Keuangan'!F60/Parameter!D277</f>
      </c>
    </row>
    <row r="280" spans="3:7" ht="15.6">
      <c r="C280" s="268">
        <v>1</v>
      </c>
      <c r="D280" s="364">
        <f>DATEDIF('Aspek Keuangan'!Q67,'Aspek Keuangan'!T67,"M")</f>
      </c>
      <c r="E280" s="366">
        <v>1</v>
      </c>
      <c r="F280" s="367">
        <f ca="1">DATEDIF(D281,F281,"M")</f>
      </c>
      <c r="G280" s="368">
        <f ca="1">D280-F280</f>
      </c>
    </row>
    <row r="281" spans="3:7">
      <c r="D281" s="369">
        <f>'Aspek Keuangan'!Q67</f>
      </c>
      <c r="E281" s="369">
        <f ca="1">TODAY()</f>
      </c>
      <c r="F281" s="370">
        <f ca="1">IF(E281="","",DATE(YEAR(E281),MONTH(E281)-E280,DAY(D281)))</f>
      </c>
      <c r="G281" s="371">
        <f>'Aspek Keuangan'!F67/Parameter!D280</f>
      </c>
    </row>
    <row r="282" spans="3:7" ht="15.6">
      <c r="C282" s="268">
        <v>2</v>
      </c>
      <c r="D282" s="364">
        <f>DATEDIF('Aspek Keuangan'!Q68,'Aspek Keuangan'!T68,"M")</f>
      </c>
      <c r="E282" s="366">
        <v>1</v>
      </c>
      <c r="F282" s="367">
        <f ca="1">DATEDIF(D283,F283,"M")</f>
      </c>
      <c r="G282" s="368">
        <f ca="1">D282-F282</f>
      </c>
    </row>
    <row r="283" spans="3:7">
      <c r="D283" s="369">
        <f>'Aspek Keuangan'!Q68</f>
      </c>
      <c r="E283" s="369">
        <f ca="1">TODAY()</f>
      </c>
      <c r="F283" s="370">
        <f ca="1">IF(E283="","",DATE(YEAR(E283),MONTH(E283)-E282,DAY(D283)))</f>
      </c>
      <c r="G283" s="371">
        <f>'Aspek Keuangan'!F68/Parameter!D282</f>
      </c>
    </row>
    <row r="284" spans="3:7" ht="15.6">
      <c r="C284" s="268">
        <v>3</v>
      </c>
      <c r="D284" s="364">
        <f>DATEDIF('Aspek Keuangan'!Q69,'Aspek Keuangan'!T69,"M")</f>
      </c>
      <c r="E284" s="366">
        <v>1</v>
      </c>
      <c r="F284" s="367">
        <f ca="1">DATEDIF(D285,F285,"M")</f>
      </c>
      <c r="G284" s="368">
        <f ca="1">D284-F284</f>
      </c>
    </row>
    <row r="285" spans="3:7">
      <c r="D285" s="369">
        <f>'Aspek Keuangan'!Q69</f>
      </c>
      <c r="E285" s="369">
        <f ca="1">TODAY()</f>
      </c>
      <c r="F285" s="370">
        <f ca="1">IF(E285="","",DATE(YEAR(E285),MONTH(E285)-E284,DAY(D285)))</f>
      </c>
      <c r="G285" s="371">
        <f>'Aspek Keuangan'!F69/Parameter!D284</f>
      </c>
    </row>
    <row r="286" spans="3:7" ht="15.6">
      <c r="C286" s="268">
        <v>4</v>
      </c>
      <c r="D286" s="364">
        <f>DATEDIF('Aspek Keuangan'!Q70,'Aspek Keuangan'!T70,"M")</f>
      </c>
      <c r="E286" s="366">
        <v>1</v>
      </c>
      <c r="F286" s="367">
        <f ca="1">DATEDIF(D287,F287,"M")</f>
      </c>
      <c r="G286" s="368">
        <f ca="1">D286-F286</f>
      </c>
    </row>
    <row r="287" spans="3:7">
      <c r="D287" s="369">
        <f>'Aspek Keuangan'!Q70</f>
      </c>
      <c r="E287" s="369">
        <f ca="1">TODAY()</f>
      </c>
      <c r="F287" s="370">
        <f ca="1">IF(E287="","",DATE(YEAR(E287),MONTH(E287)-E286,DAY(D287)))</f>
      </c>
      <c r="G287" s="371">
        <f>'Aspek Keuangan'!F70/Parameter!D286</f>
      </c>
    </row>
    <row r="288" spans="3:7" ht="15.6">
      <c r="C288" s="268">
        <v>5</v>
      </c>
      <c r="D288" s="364">
        <f>DATEDIF('Aspek Keuangan'!Q71,'Aspek Keuangan'!T71,"M")</f>
      </c>
      <c r="E288" s="366">
        <v>1</v>
      </c>
      <c r="F288" s="367">
        <f ca="1">DATEDIF(D289,F289,"M")</f>
      </c>
      <c r="G288" s="368">
        <f ca="1">D288-F288</f>
      </c>
    </row>
    <row r="289" spans="4:7">
      <c r="D289" s="369">
        <f>'Aspek Keuangan'!Q71</f>
      </c>
      <c r="E289" s="369">
        <f ca="1">TODAY()</f>
      </c>
      <c r="F289" s="370">
        <f ca="1">IF(E289="","",DATE(YEAR(E289),MONTH(E289)-E288,DAY(D289)))</f>
      </c>
      <c r="G289" s="371">
        <f>'Aspek Keuangan'!F71/Parameter!D288</f>
      </c>
    </row>
  </sheetData>
  <mergeCells count="3">
    <mergeCell ref="A1:G3"/>
    <mergeCell ref="H1:K1"/>
    <mergeCell ref="L1:O1"/>
  </mergeCell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26"/>
  <sheetViews>
    <sheetView workbookViewId="0">
      <selection activeCell="I10" sqref="I10"/>
    </sheetView>
  </sheetViews>
  <sheetFormatPr defaultColWidth="9.109375" defaultRowHeight="14.4"/>
  <cols>
    <col min="1" max="1" width="6" style="244" customWidth="1"/>
    <col min="2" max="3" width="7.88671875" style="244" customWidth="1"/>
    <col min="4" max="4" width="6" style="244" customWidth="1"/>
    <col min="5" max="5" width="14.33203125" style="244" customWidth="1"/>
    <col min="6" max="6" width="19.33203125" style="244" customWidth="1"/>
    <col min="7" max="7" width="7.88671875" style="244" customWidth="1"/>
    <col min="8" max="8" width="9" style="245" customWidth="1"/>
    <col min="9" max="9" width="130.33203125" style="244" customWidth="1"/>
    <col min="10" max="16384" width="9.109375" style="244"/>
  </cols>
  <sheetData>
    <row r="2" spans="1:9" ht="15" thickBot="1"/>
    <row r="3" spans="1:9" s="264" customFormat="1" ht="21.75" customHeight="1" thickBot="1">
      <c r="B3" s="265" t="s">
        <v>540</v>
      </c>
      <c r="C3" s="265" t="s">
        <v>541</v>
      </c>
      <c r="D3" s="265" t="s">
        <v>801</v>
      </c>
      <c r="E3" s="1972" t="s">
        <v>542</v>
      </c>
      <c r="F3" s="1972"/>
      <c r="G3" s="265" t="s">
        <v>801</v>
      </c>
      <c r="H3" s="266" t="s">
        <v>543</v>
      </c>
      <c r="I3" s="265" t="s">
        <v>544</v>
      </c>
    </row>
    <row r="4" spans="1:9" ht="29.4" thickBot="1">
      <c r="A4" s="244">
        <v>1</v>
      </c>
      <c r="B4" s="246">
        <v>100</v>
      </c>
      <c r="C4" s="246">
        <v>98</v>
      </c>
      <c r="D4" s="246">
        <v>1</v>
      </c>
      <c r="E4" s="247" t="s">
        <v>545</v>
      </c>
      <c r="F4" s="246" t="s">
        <v>546</v>
      </c>
      <c r="G4" s="246">
        <v>1</v>
      </c>
      <c r="H4" s="248">
        <v>2.9999999999999997E-4</v>
      </c>
      <c r="I4" s="249" t="s">
        <v>547</v>
      </c>
    </row>
    <row r="5" spans="1:9" ht="15.75" customHeight="1" thickBot="1">
      <c r="A5" s="244">
        <v>2</v>
      </c>
      <c r="B5" s="246">
        <v>97</v>
      </c>
      <c r="C5" s="246">
        <v>95</v>
      </c>
      <c r="D5" s="246">
        <v>2</v>
      </c>
      <c r="E5" s="247" t="s">
        <v>548</v>
      </c>
      <c r="F5" s="246" t="s">
        <v>549</v>
      </c>
      <c r="G5" s="246">
        <v>2</v>
      </c>
      <c r="H5" s="248">
        <v>2.9999999999999997E-4</v>
      </c>
      <c r="I5" s="250" t="s">
        <v>667</v>
      </c>
    </row>
    <row r="6" spans="1:9" ht="29.4" thickBot="1">
      <c r="A6" s="244">
        <v>3</v>
      </c>
      <c r="B6" s="246">
        <v>94</v>
      </c>
      <c r="C6" s="246">
        <v>92</v>
      </c>
      <c r="D6" s="246">
        <v>3</v>
      </c>
      <c r="E6" s="247" t="s">
        <v>551</v>
      </c>
      <c r="F6" s="246" t="s">
        <v>549</v>
      </c>
      <c r="G6" s="246">
        <v>3</v>
      </c>
      <c r="H6" s="248">
        <v>2.9999999999999997E-4</v>
      </c>
      <c r="I6" s="250" t="s">
        <v>550</v>
      </c>
    </row>
    <row r="7" spans="1:9" ht="29.4" thickBot="1">
      <c r="A7" s="244">
        <v>4</v>
      </c>
      <c r="B7" s="246">
        <v>91</v>
      </c>
      <c r="C7" s="246">
        <v>89</v>
      </c>
      <c r="D7" s="246">
        <v>4</v>
      </c>
      <c r="E7" s="247" t="s">
        <v>552</v>
      </c>
      <c r="F7" s="246" t="s">
        <v>549</v>
      </c>
      <c r="G7" s="246">
        <v>4</v>
      </c>
      <c r="H7" s="248">
        <v>2.9999999999999997E-4</v>
      </c>
      <c r="I7" s="250" t="s">
        <v>668</v>
      </c>
    </row>
    <row r="8" spans="1:9" ht="15.75" customHeight="1" thickBot="1">
      <c r="A8" s="244">
        <v>5</v>
      </c>
      <c r="B8" s="246">
        <v>88</v>
      </c>
      <c r="C8" s="246">
        <v>86</v>
      </c>
      <c r="D8" s="246">
        <v>5</v>
      </c>
      <c r="E8" s="247" t="s">
        <v>553</v>
      </c>
      <c r="F8" s="246" t="s">
        <v>554</v>
      </c>
      <c r="G8" s="246">
        <v>5</v>
      </c>
      <c r="H8" s="248">
        <v>5.9999999999999995E-4</v>
      </c>
      <c r="I8" s="250" t="s">
        <v>669</v>
      </c>
    </row>
    <row r="9" spans="1:9" ht="29.4" thickBot="1">
      <c r="A9" s="244">
        <v>6</v>
      </c>
      <c r="B9" s="246">
        <v>85</v>
      </c>
      <c r="C9" s="246">
        <v>83</v>
      </c>
      <c r="D9" s="246">
        <v>6</v>
      </c>
      <c r="E9" s="247" t="s">
        <v>556</v>
      </c>
      <c r="F9" s="246" t="s">
        <v>554</v>
      </c>
      <c r="G9" s="246">
        <v>6</v>
      </c>
      <c r="H9" s="248">
        <v>4.0000000000000002E-4</v>
      </c>
      <c r="I9" s="251" t="s">
        <v>555</v>
      </c>
    </row>
    <row r="10" spans="1:9" ht="29.4" thickBot="1">
      <c r="A10" s="244">
        <v>7</v>
      </c>
      <c r="B10" s="246">
        <v>82</v>
      </c>
      <c r="C10" s="246">
        <v>80</v>
      </c>
      <c r="D10" s="246">
        <v>7</v>
      </c>
      <c r="E10" s="247" t="s">
        <v>557</v>
      </c>
      <c r="F10" s="246" t="s">
        <v>554</v>
      </c>
      <c r="G10" s="246">
        <v>7</v>
      </c>
      <c r="H10" s="248">
        <v>5.0000000000000001E-4</v>
      </c>
      <c r="I10" s="250" t="s">
        <v>670</v>
      </c>
    </row>
    <row r="11" spans="1:9" ht="15.75" customHeight="1" thickBot="1">
      <c r="A11" s="244">
        <v>8</v>
      </c>
      <c r="B11" s="246">
        <v>79</v>
      </c>
      <c r="C11" s="246">
        <v>77</v>
      </c>
      <c r="D11" s="246">
        <v>8</v>
      </c>
      <c r="E11" s="247" t="s">
        <v>558</v>
      </c>
      <c r="F11" s="246" t="s">
        <v>559</v>
      </c>
      <c r="G11" s="246">
        <v>8</v>
      </c>
      <c r="H11" s="248">
        <v>1.8E-3</v>
      </c>
      <c r="I11" s="250" t="s">
        <v>671</v>
      </c>
    </row>
    <row r="12" spans="1:9" ht="29.4" thickBot="1">
      <c r="A12" s="244">
        <v>9</v>
      </c>
      <c r="B12" s="246">
        <v>76</v>
      </c>
      <c r="C12" s="246">
        <v>74</v>
      </c>
      <c r="D12" s="246">
        <v>9</v>
      </c>
      <c r="E12" s="247" t="s">
        <v>561</v>
      </c>
      <c r="F12" s="246" t="s">
        <v>559</v>
      </c>
      <c r="G12" s="246">
        <v>9</v>
      </c>
      <c r="H12" s="248">
        <v>2.8999999999999998E-3</v>
      </c>
      <c r="I12" s="250" t="s">
        <v>560</v>
      </c>
    </row>
    <row r="13" spans="1:9" ht="29.4" thickBot="1">
      <c r="A13" s="244">
        <v>10</v>
      </c>
      <c r="B13" s="246">
        <v>73</v>
      </c>
      <c r="C13" s="246">
        <v>71</v>
      </c>
      <c r="D13" s="246">
        <v>10</v>
      </c>
      <c r="E13" s="247" t="s">
        <v>562</v>
      </c>
      <c r="F13" s="246" t="s">
        <v>559</v>
      </c>
      <c r="G13" s="246">
        <v>10</v>
      </c>
      <c r="H13" s="248">
        <v>3.3E-3</v>
      </c>
      <c r="I13" s="250" t="s">
        <v>672</v>
      </c>
    </row>
    <row r="14" spans="1:9" ht="15.75" customHeight="1" thickBot="1">
      <c r="A14" s="244">
        <v>11</v>
      </c>
      <c r="B14" s="246">
        <v>70</v>
      </c>
      <c r="C14" s="246">
        <v>68</v>
      </c>
      <c r="D14" s="246">
        <v>11</v>
      </c>
      <c r="E14" s="247" t="s">
        <v>563</v>
      </c>
      <c r="F14" s="246" t="s">
        <v>564</v>
      </c>
      <c r="G14" s="246">
        <v>11</v>
      </c>
      <c r="H14" s="248">
        <v>4.7999999999999996E-3</v>
      </c>
      <c r="I14" s="250" t="s">
        <v>673</v>
      </c>
    </row>
    <row r="15" spans="1:9" ht="43.8" thickBot="1">
      <c r="A15" s="244">
        <v>12</v>
      </c>
      <c r="B15" s="246">
        <v>67</v>
      </c>
      <c r="C15" s="246">
        <v>65</v>
      </c>
      <c r="D15" s="246">
        <v>12</v>
      </c>
      <c r="E15" s="252" t="s">
        <v>566</v>
      </c>
      <c r="F15" s="246" t="s">
        <v>564</v>
      </c>
      <c r="G15" s="246">
        <v>12</v>
      </c>
      <c r="H15" s="248">
        <v>1.0699999999999999E-2</v>
      </c>
      <c r="I15" s="251" t="s">
        <v>565</v>
      </c>
    </row>
    <row r="16" spans="1:9" ht="43.8" thickBot="1">
      <c r="A16" s="244">
        <v>13</v>
      </c>
      <c r="B16" s="246">
        <v>64</v>
      </c>
      <c r="C16" s="246">
        <v>62</v>
      </c>
      <c r="D16" s="246">
        <v>13</v>
      </c>
      <c r="E16" s="252" t="s">
        <v>567</v>
      </c>
      <c r="F16" s="246" t="s">
        <v>568</v>
      </c>
      <c r="G16" s="246">
        <v>13</v>
      </c>
      <c r="H16" s="248">
        <v>1.46E-2</v>
      </c>
      <c r="I16" s="250" t="s">
        <v>674</v>
      </c>
    </row>
    <row r="17" spans="1:9" ht="15.75" customHeight="1" thickBot="1">
      <c r="A17" s="244">
        <v>14</v>
      </c>
      <c r="B17" s="246">
        <v>61</v>
      </c>
      <c r="C17" s="246">
        <v>59</v>
      </c>
      <c r="D17" s="246">
        <v>14</v>
      </c>
      <c r="E17" s="252" t="s">
        <v>569</v>
      </c>
      <c r="F17" s="246" t="s">
        <v>568</v>
      </c>
      <c r="G17" s="246">
        <v>14</v>
      </c>
      <c r="H17" s="248">
        <v>3.2399999999999998E-2</v>
      </c>
      <c r="I17" s="250" t="s">
        <v>675</v>
      </c>
    </row>
    <row r="18" spans="1:9" ht="43.8" thickBot="1">
      <c r="A18" s="244">
        <v>15</v>
      </c>
      <c r="B18" s="246">
        <v>58</v>
      </c>
      <c r="C18" s="246">
        <v>56</v>
      </c>
      <c r="D18" s="246">
        <v>15</v>
      </c>
      <c r="E18" s="253" t="s">
        <v>571</v>
      </c>
      <c r="F18" s="246" t="s">
        <v>572</v>
      </c>
      <c r="G18" s="246">
        <v>15</v>
      </c>
      <c r="H18" s="248">
        <v>9.2899999999999996E-2</v>
      </c>
      <c r="I18" s="251" t="s">
        <v>570</v>
      </c>
    </row>
    <row r="19" spans="1:9" ht="43.8" thickBot="1">
      <c r="A19" s="244">
        <v>16</v>
      </c>
      <c r="B19" s="246">
        <v>55</v>
      </c>
      <c r="C19" s="246">
        <v>53</v>
      </c>
      <c r="D19" s="246">
        <v>16</v>
      </c>
      <c r="E19" s="253" t="s">
        <v>573</v>
      </c>
      <c r="F19" s="246" t="s">
        <v>572</v>
      </c>
      <c r="G19" s="246">
        <v>16</v>
      </c>
      <c r="H19" s="248">
        <v>0.11890000000000001</v>
      </c>
      <c r="I19" s="250" t="s">
        <v>676</v>
      </c>
    </row>
    <row r="20" spans="1:9" ht="15.75" customHeight="1" thickBot="1">
      <c r="A20" s="244">
        <v>17</v>
      </c>
      <c r="B20" s="246">
        <v>52</v>
      </c>
      <c r="C20" s="246">
        <v>50</v>
      </c>
      <c r="D20" s="246">
        <v>17</v>
      </c>
      <c r="E20" s="252" t="s">
        <v>574</v>
      </c>
      <c r="F20" s="246" t="s">
        <v>575</v>
      </c>
      <c r="G20" s="246">
        <v>17</v>
      </c>
      <c r="H20" s="248">
        <v>0.2472</v>
      </c>
      <c r="I20" s="250" t="s">
        <v>677</v>
      </c>
    </row>
    <row r="21" spans="1:9" ht="43.8" thickBot="1">
      <c r="A21" s="244">
        <v>18</v>
      </c>
      <c r="B21" s="246">
        <v>49</v>
      </c>
      <c r="C21" s="246">
        <v>47</v>
      </c>
      <c r="D21" s="246">
        <v>18</v>
      </c>
      <c r="E21" s="252" t="s">
        <v>577</v>
      </c>
      <c r="F21" s="246" t="s">
        <v>575</v>
      </c>
      <c r="G21" s="246">
        <v>18</v>
      </c>
      <c r="H21" s="248">
        <v>0.2472</v>
      </c>
      <c r="I21" s="251" t="s">
        <v>576</v>
      </c>
    </row>
    <row r="22" spans="1:9" ht="43.8" thickBot="1">
      <c r="A22" s="244">
        <v>19</v>
      </c>
      <c r="B22" s="246">
        <v>46</v>
      </c>
      <c r="C22" s="246">
        <v>44</v>
      </c>
      <c r="D22" s="246">
        <v>19</v>
      </c>
      <c r="E22" s="252" t="s">
        <v>578</v>
      </c>
      <c r="F22" s="246" t="s">
        <v>579</v>
      </c>
      <c r="G22" s="246">
        <v>19</v>
      </c>
      <c r="H22" s="248">
        <v>0.2472</v>
      </c>
      <c r="I22" s="250" t="s">
        <v>678</v>
      </c>
    </row>
    <row r="23" spans="1:9" ht="15" thickBot="1">
      <c r="A23" s="244">
        <v>20</v>
      </c>
      <c r="B23" s="246">
        <v>43</v>
      </c>
      <c r="C23" s="246">
        <v>0</v>
      </c>
      <c r="D23" s="246">
        <v>20</v>
      </c>
      <c r="E23" s="246" t="s">
        <v>580</v>
      </c>
      <c r="F23" s="246" t="s">
        <v>581</v>
      </c>
      <c r="G23" s="246">
        <v>20</v>
      </c>
      <c r="H23" s="248">
        <v>1</v>
      </c>
      <c r="I23" s="246" t="s">
        <v>582</v>
      </c>
    </row>
    <row r="24" spans="1:9">
      <c r="E24" s="244" t="s">
        <v>583</v>
      </c>
      <c r="F24" s="244" t="s">
        <v>583</v>
      </c>
      <c r="G24" s="244">
        <v>21</v>
      </c>
    </row>
    <row r="26" spans="1:9">
      <c r="D26" s="254">
        <v>100</v>
      </c>
      <c r="E26" s="254" t="s">
        <v>545</v>
      </c>
      <c r="F26" s="254">
        <v>1</v>
      </c>
      <c r="H26" s="255"/>
    </row>
    <row r="27" spans="1:9">
      <c r="D27" s="254">
        <v>99</v>
      </c>
      <c r="E27" s="254" t="s">
        <v>545</v>
      </c>
      <c r="F27" s="254">
        <v>1</v>
      </c>
      <c r="H27" s="255"/>
    </row>
    <row r="28" spans="1:9">
      <c r="D28" s="254">
        <v>98</v>
      </c>
      <c r="E28" s="254" t="s">
        <v>545</v>
      </c>
      <c r="F28" s="254">
        <v>1</v>
      </c>
      <c r="H28" s="255"/>
    </row>
    <row r="29" spans="1:9">
      <c r="D29" s="254">
        <v>97</v>
      </c>
      <c r="E29" s="254" t="s">
        <v>548</v>
      </c>
      <c r="F29" s="254">
        <v>2</v>
      </c>
      <c r="H29" s="255"/>
    </row>
    <row r="30" spans="1:9">
      <c r="D30" s="254">
        <v>96</v>
      </c>
      <c r="E30" s="254" t="s">
        <v>548</v>
      </c>
      <c r="F30" s="254">
        <v>2</v>
      </c>
      <c r="H30" s="255"/>
    </row>
    <row r="31" spans="1:9">
      <c r="D31" s="254">
        <v>95</v>
      </c>
      <c r="E31" s="254" t="s">
        <v>548</v>
      </c>
      <c r="F31" s="254">
        <v>2</v>
      </c>
      <c r="H31" s="255"/>
    </row>
    <row r="32" spans="1:9">
      <c r="D32" s="254">
        <v>94</v>
      </c>
      <c r="E32" s="254" t="s">
        <v>551</v>
      </c>
      <c r="F32" s="254">
        <v>3</v>
      </c>
      <c r="H32" s="255"/>
    </row>
    <row r="33" spans="4:8">
      <c r="D33" s="254">
        <v>93</v>
      </c>
      <c r="E33" s="254" t="s">
        <v>551</v>
      </c>
      <c r="F33" s="254">
        <v>3</v>
      </c>
      <c r="H33" s="255"/>
    </row>
    <row r="34" spans="4:8">
      <c r="D34" s="254">
        <v>92</v>
      </c>
      <c r="E34" s="254" t="s">
        <v>551</v>
      </c>
      <c r="F34" s="254">
        <v>3</v>
      </c>
      <c r="H34" s="255"/>
    </row>
    <row r="35" spans="4:8">
      <c r="D35" s="254">
        <v>91</v>
      </c>
      <c r="E35" s="254" t="s">
        <v>552</v>
      </c>
      <c r="F35" s="254">
        <v>4</v>
      </c>
      <c r="H35" s="255"/>
    </row>
    <row r="36" spans="4:8">
      <c r="D36" s="254">
        <v>90</v>
      </c>
      <c r="E36" s="254" t="s">
        <v>552</v>
      </c>
      <c r="F36" s="254">
        <v>4</v>
      </c>
      <c r="H36" s="255"/>
    </row>
    <row r="37" spans="4:8">
      <c r="D37" s="254">
        <v>89</v>
      </c>
      <c r="E37" s="254" t="s">
        <v>552</v>
      </c>
      <c r="F37" s="254">
        <v>4</v>
      </c>
      <c r="H37" s="255"/>
    </row>
    <row r="38" spans="4:8">
      <c r="D38" s="254">
        <v>88</v>
      </c>
      <c r="E38" s="254" t="s">
        <v>553</v>
      </c>
      <c r="F38" s="254">
        <v>5</v>
      </c>
      <c r="H38" s="255"/>
    </row>
    <row r="39" spans="4:8">
      <c r="D39" s="254">
        <v>87</v>
      </c>
      <c r="E39" s="254" t="s">
        <v>553</v>
      </c>
      <c r="F39" s="254">
        <v>5</v>
      </c>
      <c r="H39" s="255"/>
    </row>
    <row r="40" spans="4:8">
      <c r="D40" s="254">
        <v>86</v>
      </c>
      <c r="E40" s="254" t="s">
        <v>553</v>
      </c>
      <c r="F40" s="254">
        <v>5</v>
      </c>
      <c r="H40" s="255"/>
    </row>
    <row r="41" spans="4:8">
      <c r="D41" s="254">
        <v>85</v>
      </c>
      <c r="E41" s="254" t="s">
        <v>556</v>
      </c>
      <c r="F41" s="254">
        <v>6</v>
      </c>
      <c r="H41" s="255"/>
    </row>
    <row r="42" spans="4:8">
      <c r="D42" s="254">
        <v>84</v>
      </c>
      <c r="E42" s="254" t="s">
        <v>556</v>
      </c>
      <c r="F42" s="254">
        <v>6</v>
      </c>
      <c r="H42" s="255"/>
    </row>
    <row r="43" spans="4:8">
      <c r="D43" s="254">
        <v>83</v>
      </c>
      <c r="E43" s="254" t="s">
        <v>556</v>
      </c>
      <c r="F43" s="254">
        <v>6</v>
      </c>
      <c r="H43" s="255"/>
    </row>
    <row r="44" spans="4:8">
      <c r="D44" s="254">
        <v>82</v>
      </c>
      <c r="E44" s="254" t="s">
        <v>557</v>
      </c>
      <c r="F44" s="254">
        <v>7</v>
      </c>
      <c r="H44" s="255"/>
    </row>
    <row r="45" spans="4:8">
      <c r="D45" s="254">
        <v>81</v>
      </c>
      <c r="E45" s="254" t="s">
        <v>557</v>
      </c>
      <c r="F45" s="254">
        <v>7</v>
      </c>
      <c r="H45" s="255"/>
    </row>
    <row r="46" spans="4:8">
      <c r="D46" s="254">
        <v>80</v>
      </c>
      <c r="E46" s="254" t="s">
        <v>557</v>
      </c>
      <c r="F46" s="254">
        <v>7</v>
      </c>
      <c r="H46" s="255"/>
    </row>
    <row r="47" spans="4:8">
      <c r="D47" s="254">
        <v>79</v>
      </c>
      <c r="E47" s="254" t="s">
        <v>558</v>
      </c>
      <c r="F47" s="254">
        <v>8</v>
      </c>
      <c r="H47" s="255"/>
    </row>
    <row r="48" spans="4:8">
      <c r="D48" s="254">
        <v>78</v>
      </c>
      <c r="E48" s="254" t="s">
        <v>558</v>
      </c>
      <c r="F48" s="254">
        <v>8</v>
      </c>
      <c r="H48" s="255"/>
    </row>
    <row r="49" spans="4:8">
      <c r="D49" s="254">
        <v>77</v>
      </c>
      <c r="E49" s="254" t="s">
        <v>558</v>
      </c>
      <c r="F49" s="254">
        <v>8</v>
      </c>
      <c r="H49" s="255"/>
    </row>
    <row r="50" spans="4:8">
      <c r="D50" s="254">
        <v>76</v>
      </c>
      <c r="E50" s="254" t="s">
        <v>561</v>
      </c>
      <c r="F50" s="254">
        <v>9</v>
      </c>
      <c r="H50" s="255"/>
    </row>
    <row r="51" spans="4:8">
      <c r="D51" s="254">
        <v>75</v>
      </c>
      <c r="E51" s="254" t="s">
        <v>561</v>
      </c>
      <c r="F51" s="254">
        <v>9</v>
      </c>
      <c r="H51" s="255"/>
    </row>
    <row r="52" spans="4:8">
      <c r="D52" s="254">
        <v>74</v>
      </c>
      <c r="E52" s="254" t="s">
        <v>561</v>
      </c>
      <c r="F52" s="254">
        <v>9</v>
      </c>
      <c r="H52" s="255"/>
    </row>
    <row r="53" spans="4:8">
      <c r="D53" s="254">
        <v>73</v>
      </c>
      <c r="E53" s="254" t="s">
        <v>562</v>
      </c>
      <c r="F53" s="254">
        <v>10</v>
      </c>
      <c r="H53" s="255"/>
    </row>
    <row r="54" spans="4:8">
      <c r="D54" s="254">
        <v>72</v>
      </c>
      <c r="E54" s="254" t="s">
        <v>562</v>
      </c>
      <c r="F54" s="254">
        <v>10</v>
      </c>
      <c r="H54" s="255"/>
    </row>
    <row r="55" spans="4:8">
      <c r="D55" s="254">
        <v>71</v>
      </c>
      <c r="E55" s="254" t="s">
        <v>562</v>
      </c>
      <c r="F55" s="254">
        <v>10</v>
      </c>
      <c r="H55" s="255"/>
    </row>
    <row r="56" spans="4:8">
      <c r="D56" s="254">
        <v>70</v>
      </c>
      <c r="E56" s="254" t="s">
        <v>563</v>
      </c>
      <c r="F56" s="254">
        <v>11</v>
      </c>
      <c r="H56" s="255"/>
    </row>
    <row r="57" spans="4:8">
      <c r="D57" s="254">
        <v>69</v>
      </c>
      <c r="E57" s="254" t="s">
        <v>563</v>
      </c>
      <c r="F57" s="254">
        <v>11</v>
      </c>
      <c r="H57" s="255"/>
    </row>
    <row r="58" spans="4:8">
      <c r="D58" s="254">
        <v>68</v>
      </c>
      <c r="E58" s="254" t="s">
        <v>563</v>
      </c>
      <c r="F58" s="254">
        <v>11</v>
      </c>
      <c r="H58" s="255"/>
    </row>
    <row r="59" spans="4:8">
      <c r="D59" s="254">
        <v>67</v>
      </c>
      <c r="E59" s="254" t="s">
        <v>566</v>
      </c>
      <c r="F59" s="254">
        <v>12</v>
      </c>
      <c r="H59" s="255"/>
    </row>
    <row r="60" spans="4:8">
      <c r="D60" s="254">
        <v>66</v>
      </c>
      <c r="E60" s="254" t="s">
        <v>566</v>
      </c>
      <c r="F60" s="254">
        <v>12</v>
      </c>
      <c r="H60" s="255"/>
    </row>
    <row r="61" spans="4:8">
      <c r="D61" s="254">
        <v>65</v>
      </c>
      <c r="E61" s="254" t="s">
        <v>566</v>
      </c>
      <c r="F61" s="254">
        <v>12</v>
      </c>
      <c r="H61" s="255"/>
    </row>
    <row r="62" spans="4:8">
      <c r="D62" s="254">
        <v>64</v>
      </c>
      <c r="E62" s="254" t="s">
        <v>567</v>
      </c>
      <c r="F62" s="254">
        <v>13</v>
      </c>
      <c r="H62" s="255"/>
    </row>
    <row r="63" spans="4:8">
      <c r="D63" s="254">
        <v>63</v>
      </c>
      <c r="E63" s="254" t="s">
        <v>567</v>
      </c>
      <c r="F63" s="254">
        <v>13</v>
      </c>
      <c r="H63" s="255"/>
    </row>
    <row r="64" spans="4:8">
      <c r="D64" s="254">
        <v>62</v>
      </c>
      <c r="E64" s="254" t="s">
        <v>567</v>
      </c>
      <c r="F64" s="254">
        <v>13</v>
      </c>
      <c r="H64" s="255"/>
    </row>
    <row r="65" spans="4:8">
      <c r="D65" s="254">
        <v>61</v>
      </c>
      <c r="E65" s="254" t="s">
        <v>569</v>
      </c>
      <c r="F65" s="254">
        <v>14</v>
      </c>
      <c r="H65" s="255"/>
    </row>
    <row r="66" spans="4:8">
      <c r="D66" s="254">
        <v>60</v>
      </c>
      <c r="E66" s="254" t="s">
        <v>569</v>
      </c>
      <c r="F66" s="254">
        <v>14</v>
      </c>
      <c r="H66" s="255"/>
    </row>
    <row r="67" spans="4:8">
      <c r="D67" s="254">
        <v>59</v>
      </c>
      <c r="E67" s="254" t="s">
        <v>569</v>
      </c>
      <c r="F67" s="254">
        <v>14</v>
      </c>
      <c r="H67" s="255"/>
    </row>
    <row r="68" spans="4:8">
      <c r="D68" s="254">
        <v>58</v>
      </c>
      <c r="E68" s="254" t="s">
        <v>571</v>
      </c>
      <c r="F68" s="254">
        <v>15</v>
      </c>
      <c r="H68" s="255"/>
    </row>
    <row r="69" spans="4:8">
      <c r="D69" s="254">
        <v>57</v>
      </c>
      <c r="E69" s="254" t="s">
        <v>571</v>
      </c>
      <c r="F69" s="254">
        <v>15</v>
      </c>
      <c r="H69" s="255"/>
    </row>
    <row r="70" spans="4:8">
      <c r="D70" s="254">
        <v>56</v>
      </c>
      <c r="E70" s="254" t="s">
        <v>571</v>
      </c>
      <c r="F70" s="254">
        <v>15</v>
      </c>
      <c r="H70" s="255"/>
    </row>
    <row r="71" spans="4:8">
      <c r="D71" s="254">
        <v>55</v>
      </c>
      <c r="E71" s="254" t="s">
        <v>573</v>
      </c>
      <c r="F71" s="254">
        <v>16</v>
      </c>
      <c r="H71" s="255"/>
    </row>
    <row r="72" spans="4:8">
      <c r="D72" s="254">
        <v>54</v>
      </c>
      <c r="E72" s="254" t="s">
        <v>573</v>
      </c>
      <c r="F72" s="254">
        <v>16</v>
      </c>
      <c r="H72" s="255"/>
    </row>
    <row r="73" spans="4:8">
      <c r="D73" s="254">
        <v>53</v>
      </c>
      <c r="E73" s="254" t="s">
        <v>573</v>
      </c>
      <c r="F73" s="254">
        <v>16</v>
      </c>
      <c r="H73" s="255"/>
    </row>
    <row r="74" spans="4:8">
      <c r="D74" s="254">
        <v>52</v>
      </c>
      <c r="E74" s="254" t="s">
        <v>574</v>
      </c>
      <c r="F74" s="254">
        <v>17</v>
      </c>
      <c r="H74" s="255"/>
    </row>
    <row r="75" spans="4:8">
      <c r="D75" s="254">
        <v>51</v>
      </c>
      <c r="E75" s="254" t="s">
        <v>574</v>
      </c>
      <c r="F75" s="254">
        <v>17</v>
      </c>
      <c r="H75" s="255"/>
    </row>
    <row r="76" spans="4:8">
      <c r="D76" s="254">
        <v>50</v>
      </c>
      <c r="E76" s="254" t="s">
        <v>574</v>
      </c>
      <c r="F76" s="254">
        <v>17</v>
      </c>
      <c r="H76" s="255"/>
    </row>
    <row r="77" spans="4:8">
      <c r="D77" s="254">
        <v>49</v>
      </c>
      <c r="E77" s="254" t="s">
        <v>577</v>
      </c>
      <c r="F77" s="254">
        <v>18</v>
      </c>
      <c r="H77" s="255"/>
    </row>
    <row r="78" spans="4:8">
      <c r="D78" s="254">
        <v>48</v>
      </c>
      <c r="E78" s="254" t="s">
        <v>577</v>
      </c>
      <c r="F78" s="254">
        <v>18</v>
      </c>
      <c r="H78" s="255"/>
    </row>
    <row r="79" spans="4:8">
      <c r="D79" s="254">
        <v>47</v>
      </c>
      <c r="E79" s="254" t="s">
        <v>577</v>
      </c>
      <c r="F79" s="254">
        <v>18</v>
      </c>
      <c r="H79" s="255"/>
    </row>
    <row r="80" spans="4:8">
      <c r="D80" s="254">
        <v>46</v>
      </c>
      <c r="E80" s="254" t="s">
        <v>578</v>
      </c>
      <c r="F80" s="254">
        <v>19</v>
      </c>
      <c r="H80" s="255"/>
    </row>
    <row r="81" spans="4:8">
      <c r="D81" s="254">
        <v>45</v>
      </c>
      <c r="E81" s="254" t="s">
        <v>578</v>
      </c>
      <c r="F81" s="254">
        <v>19</v>
      </c>
      <c r="H81" s="255"/>
    </row>
    <row r="82" spans="4:8">
      <c r="D82" s="254">
        <v>44</v>
      </c>
      <c r="E82" s="254" t="s">
        <v>578</v>
      </c>
      <c r="F82" s="254">
        <v>19</v>
      </c>
      <c r="H82" s="255"/>
    </row>
    <row r="83" spans="4:8">
      <c r="D83" s="254">
        <v>43</v>
      </c>
      <c r="E83" s="254" t="s">
        <v>580</v>
      </c>
      <c r="F83" s="254">
        <v>20</v>
      </c>
      <c r="H83" s="255"/>
    </row>
    <row r="84" spans="4:8">
      <c r="D84" s="254">
        <v>42</v>
      </c>
      <c r="E84" s="254" t="s">
        <v>580</v>
      </c>
      <c r="F84" s="254">
        <v>20</v>
      </c>
      <c r="H84" s="255"/>
    </row>
    <row r="85" spans="4:8">
      <c r="D85" s="254">
        <v>41</v>
      </c>
      <c r="E85" s="254" t="s">
        <v>580</v>
      </c>
      <c r="F85" s="254">
        <v>20</v>
      </c>
      <c r="H85" s="255"/>
    </row>
    <row r="86" spans="4:8">
      <c r="D86" s="254">
        <v>40</v>
      </c>
      <c r="E86" s="254" t="s">
        <v>580</v>
      </c>
      <c r="F86" s="254">
        <v>20</v>
      </c>
      <c r="H86" s="255"/>
    </row>
    <row r="87" spans="4:8">
      <c r="D87" s="254">
        <v>39</v>
      </c>
      <c r="E87" s="254" t="s">
        <v>580</v>
      </c>
      <c r="F87" s="254">
        <v>20</v>
      </c>
      <c r="H87" s="255"/>
    </row>
    <row r="88" spans="4:8">
      <c r="D88" s="254">
        <v>38</v>
      </c>
      <c r="E88" s="254" t="s">
        <v>580</v>
      </c>
      <c r="F88" s="254">
        <v>20</v>
      </c>
      <c r="H88" s="255"/>
    </row>
    <row r="89" spans="4:8">
      <c r="D89" s="254">
        <v>37</v>
      </c>
      <c r="E89" s="254" t="s">
        <v>580</v>
      </c>
      <c r="F89" s="254">
        <v>20</v>
      </c>
      <c r="H89" s="255"/>
    </row>
    <row r="90" spans="4:8">
      <c r="D90" s="254">
        <v>36</v>
      </c>
      <c r="E90" s="254" t="s">
        <v>580</v>
      </c>
      <c r="F90" s="254">
        <v>20</v>
      </c>
      <c r="H90" s="255"/>
    </row>
    <row r="91" spans="4:8">
      <c r="D91" s="254">
        <v>35</v>
      </c>
      <c r="E91" s="254" t="s">
        <v>580</v>
      </c>
      <c r="F91" s="254">
        <v>20</v>
      </c>
      <c r="H91" s="255"/>
    </row>
    <row r="92" spans="4:8">
      <c r="D92" s="254">
        <v>34</v>
      </c>
      <c r="E92" s="254" t="s">
        <v>580</v>
      </c>
      <c r="F92" s="254">
        <v>20</v>
      </c>
      <c r="H92" s="255"/>
    </row>
    <row r="93" spans="4:8">
      <c r="D93" s="254">
        <v>33</v>
      </c>
      <c r="E93" s="254" t="s">
        <v>580</v>
      </c>
      <c r="F93" s="254">
        <v>20</v>
      </c>
      <c r="H93" s="255"/>
    </row>
    <row r="94" spans="4:8">
      <c r="D94" s="254">
        <v>32</v>
      </c>
      <c r="E94" s="254" t="s">
        <v>580</v>
      </c>
      <c r="F94" s="254">
        <v>20</v>
      </c>
      <c r="H94" s="255"/>
    </row>
    <row r="95" spans="4:8">
      <c r="D95" s="254">
        <v>31</v>
      </c>
      <c r="E95" s="254" t="s">
        <v>580</v>
      </c>
      <c r="F95" s="254">
        <v>20</v>
      </c>
      <c r="H95" s="255"/>
    </row>
    <row r="96" spans="4:8">
      <c r="D96" s="254">
        <v>30</v>
      </c>
      <c r="E96" s="254" t="s">
        <v>580</v>
      </c>
      <c r="F96" s="254">
        <v>20</v>
      </c>
      <c r="H96" s="255"/>
    </row>
    <row r="97" spans="4:8">
      <c r="D97" s="254">
        <v>29</v>
      </c>
      <c r="E97" s="254" t="s">
        <v>580</v>
      </c>
      <c r="F97" s="254">
        <v>20</v>
      </c>
      <c r="H97" s="255"/>
    </row>
    <row r="98" spans="4:8">
      <c r="D98" s="254">
        <v>28</v>
      </c>
      <c r="E98" s="254" t="s">
        <v>580</v>
      </c>
      <c r="F98" s="254">
        <v>20</v>
      </c>
      <c r="H98" s="255"/>
    </row>
    <row r="99" spans="4:8">
      <c r="D99" s="254">
        <v>27</v>
      </c>
      <c r="E99" s="254" t="s">
        <v>580</v>
      </c>
      <c r="F99" s="254">
        <v>20</v>
      </c>
      <c r="H99" s="255"/>
    </row>
    <row r="100" spans="4:8">
      <c r="D100" s="254">
        <v>26</v>
      </c>
      <c r="E100" s="254" t="s">
        <v>580</v>
      </c>
      <c r="F100" s="254">
        <v>20</v>
      </c>
      <c r="H100" s="255"/>
    </row>
    <row r="101" spans="4:8">
      <c r="D101" s="254">
        <v>25</v>
      </c>
      <c r="E101" s="254" t="s">
        <v>580</v>
      </c>
      <c r="F101" s="254">
        <v>20</v>
      </c>
      <c r="H101" s="255"/>
    </row>
    <row r="102" spans="4:8">
      <c r="D102" s="254">
        <v>24</v>
      </c>
      <c r="E102" s="254" t="s">
        <v>580</v>
      </c>
      <c r="F102" s="254">
        <v>20</v>
      </c>
      <c r="H102" s="255"/>
    </row>
    <row r="103" spans="4:8">
      <c r="D103" s="254">
        <v>23</v>
      </c>
      <c r="E103" s="254" t="s">
        <v>580</v>
      </c>
      <c r="F103" s="254">
        <v>20</v>
      </c>
      <c r="H103" s="255"/>
    </row>
    <row r="104" spans="4:8">
      <c r="D104" s="254">
        <v>22</v>
      </c>
      <c r="E104" s="254" t="s">
        <v>580</v>
      </c>
      <c r="F104" s="254">
        <v>20</v>
      </c>
      <c r="H104" s="255"/>
    </row>
    <row r="105" spans="4:8">
      <c r="D105" s="254">
        <v>21</v>
      </c>
      <c r="E105" s="254" t="s">
        <v>580</v>
      </c>
      <c r="F105" s="254">
        <v>20</v>
      </c>
      <c r="H105" s="255"/>
    </row>
    <row r="106" spans="4:8">
      <c r="D106" s="254">
        <v>20</v>
      </c>
      <c r="E106" s="254" t="s">
        <v>580</v>
      </c>
      <c r="F106" s="254">
        <v>20</v>
      </c>
      <c r="H106" s="255"/>
    </row>
    <row r="107" spans="4:8">
      <c r="D107" s="254">
        <v>19</v>
      </c>
      <c r="E107" s="254" t="s">
        <v>580</v>
      </c>
      <c r="F107" s="254">
        <v>20</v>
      </c>
      <c r="H107" s="255"/>
    </row>
    <row r="108" spans="4:8">
      <c r="D108" s="254">
        <v>18</v>
      </c>
      <c r="E108" s="254" t="s">
        <v>580</v>
      </c>
      <c r="F108" s="254">
        <v>20</v>
      </c>
      <c r="H108" s="255"/>
    </row>
    <row r="109" spans="4:8">
      <c r="D109" s="254">
        <v>17</v>
      </c>
      <c r="E109" s="254" t="s">
        <v>580</v>
      </c>
      <c r="F109" s="254">
        <v>20</v>
      </c>
      <c r="H109" s="255"/>
    </row>
    <row r="110" spans="4:8">
      <c r="D110" s="254">
        <v>16</v>
      </c>
      <c r="E110" s="254" t="s">
        <v>580</v>
      </c>
      <c r="F110" s="254">
        <v>20</v>
      </c>
      <c r="H110" s="255"/>
    </row>
    <row r="111" spans="4:8">
      <c r="D111" s="254">
        <v>15</v>
      </c>
      <c r="E111" s="254" t="s">
        <v>580</v>
      </c>
      <c r="F111" s="254">
        <v>20</v>
      </c>
      <c r="H111" s="255"/>
    </row>
    <row r="112" spans="4:8">
      <c r="D112" s="254">
        <v>14</v>
      </c>
      <c r="E112" s="254" t="s">
        <v>580</v>
      </c>
      <c r="F112" s="254">
        <v>20</v>
      </c>
      <c r="H112" s="255"/>
    </row>
    <row r="113" spans="4:8">
      <c r="D113" s="254">
        <v>13</v>
      </c>
      <c r="E113" s="254" t="s">
        <v>580</v>
      </c>
      <c r="F113" s="254">
        <v>20</v>
      </c>
      <c r="H113" s="255"/>
    </row>
    <row r="114" spans="4:8">
      <c r="D114" s="254">
        <v>12</v>
      </c>
      <c r="E114" s="254" t="s">
        <v>580</v>
      </c>
      <c r="F114" s="254">
        <v>20</v>
      </c>
      <c r="H114" s="255"/>
    </row>
    <row r="115" spans="4:8">
      <c r="D115" s="254">
        <v>11</v>
      </c>
      <c r="E115" s="254" t="s">
        <v>580</v>
      </c>
      <c r="F115" s="254">
        <v>20</v>
      </c>
      <c r="H115" s="255"/>
    </row>
    <row r="116" spans="4:8">
      <c r="D116" s="254">
        <v>10</v>
      </c>
      <c r="E116" s="254" t="s">
        <v>580</v>
      </c>
      <c r="F116" s="254">
        <v>20</v>
      </c>
      <c r="H116" s="255"/>
    </row>
    <row r="117" spans="4:8">
      <c r="D117" s="254">
        <v>9</v>
      </c>
      <c r="E117" s="254" t="s">
        <v>580</v>
      </c>
      <c r="F117" s="254">
        <v>20</v>
      </c>
      <c r="H117" s="255"/>
    </row>
    <row r="118" spans="4:8">
      <c r="D118" s="254">
        <v>8</v>
      </c>
      <c r="E118" s="254" t="s">
        <v>580</v>
      </c>
      <c r="F118" s="254">
        <v>20</v>
      </c>
      <c r="H118" s="255"/>
    </row>
    <row r="119" spans="4:8">
      <c r="D119" s="254">
        <v>7</v>
      </c>
      <c r="E119" s="254" t="s">
        <v>580</v>
      </c>
      <c r="F119" s="254">
        <v>20</v>
      </c>
      <c r="H119" s="255"/>
    </row>
    <row r="120" spans="4:8">
      <c r="D120" s="254">
        <v>6</v>
      </c>
      <c r="E120" s="254" t="s">
        <v>580</v>
      </c>
      <c r="F120" s="254">
        <v>20</v>
      </c>
      <c r="H120" s="255"/>
    </row>
    <row r="121" spans="4:8">
      <c r="D121" s="254">
        <v>5</v>
      </c>
      <c r="E121" s="254" t="s">
        <v>580</v>
      </c>
      <c r="F121" s="254">
        <v>20</v>
      </c>
      <c r="H121" s="255"/>
    </row>
    <row r="122" spans="4:8">
      <c r="D122" s="254">
        <v>4</v>
      </c>
      <c r="E122" s="254" t="s">
        <v>580</v>
      </c>
      <c r="F122" s="254">
        <v>20</v>
      </c>
      <c r="H122" s="255"/>
    </row>
    <row r="123" spans="4:8">
      <c r="D123" s="254">
        <v>3</v>
      </c>
      <c r="E123" s="254" t="s">
        <v>580</v>
      </c>
      <c r="F123" s="254">
        <v>20</v>
      </c>
      <c r="H123" s="255"/>
    </row>
    <row r="124" spans="4:8">
      <c r="D124" s="254">
        <v>2</v>
      </c>
      <c r="E124" s="254" t="s">
        <v>580</v>
      </c>
      <c r="F124" s="254">
        <v>20</v>
      </c>
      <c r="H124" s="255"/>
    </row>
    <row r="125" spans="4:8">
      <c r="D125" s="254">
        <v>1</v>
      </c>
      <c r="E125" s="254" t="s">
        <v>580</v>
      </c>
      <c r="F125" s="254">
        <v>20</v>
      </c>
      <c r="H125" s="255"/>
    </row>
    <row r="126" spans="4:8">
      <c r="D126" s="254">
        <v>0</v>
      </c>
      <c r="E126" s="254" t="s">
        <v>580</v>
      </c>
      <c r="F126" s="254">
        <v>20</v>
      </c>
      <c r="H126" s="255"/>
    </row>
    <row r="127" spans="4:8">
      <c r="E127" s="245"/>
      <c r="H127" s="255"/>
    </row>
    <row r="128" spans="4:8">
      <c r="E128" s="245"/>
      <c r="H128" s="255"/>
    </row>
    <row r="129" spans="5:8">
      <c r="E129" s="245"/>
      <c r="H129" s="255"/>
    </row>
    <row r="130" spans="5:8">
      <c r="E130" s="245"/>
      <c r="H130" s="255"/>
    </row>
    <row r="131" spans="5:8">
      <c r="E131" s="245"/>
      <c r="H131" s="255"/>
    </row>
    <row r="132" spans="5:8">
      <c r="E132" s="245"/>
      <c r="H132" s="255"/>
    </row>
    <row r="133" spans="5:8">
      <c r="E133" s="245"/>
      <c r="H133" s="255"/>
    </row>
    <row r="134" spans="5:8">
      <c r="E134" s="245"/>
      <c r="H134" s="255"/>
    </row>
    <row r="135" spans="5:8">
      <c r="E135" s="245"/>
      <c r="H135" s="255"/>
    </row>
    <row r="136" spans="5:8">
      <c r="E136" s="245"/>
      <c r="H136" s="255"/>
    </row>
    <row r="137" spans="5:8">
      <c r="E137" s="245"/>
      <c r="H137" s="255"/>
    </row>
    <row r="138" spans="5:8">
      <c r="E138" s="245"/>
      <c r="H138" s="255"/>
    </row>
    <row r="139" spans="5:8">
      <c r="E139" s="245"/>
      <c r="H139" s="255"/>
    </row>
    <row r="140" spans="5:8">
      <c r="E140" s="245"/>
      <c r="H140" s="255"/>
    </row>
    <row r="141" spans="5:8">
      <c r="E141" s="245"/>
      <c r="H141" s="255"/>
    </row>
    <row r="142" spans="5:8">
      <c r="E142" s="245"/>
      <c r="H142" s="255"/>
    </row>
    <row r="143" spans="5:8">
      <c r="E143" s="245"/>
      <c r="H143" s="255"/>
    </row>
    <row r="144" spans="5:8">
      <c r="E144" s="245"/>
      <c r="H144" s="255"/>
    </row>
    <row r="145" spans="5:8">
      <c r="E145" s="245"/>
      <c r="H145" s="255"/>
    </row>
    <row r="146" spans="5:8">
      <c r="E146" s="245"/>
      <c r="H146" s="255"/>
    </row>
    <row r="147" spans="5:8">
      <c r="E147" s="245"/>
      <c r="H147" s="255"/>
    </row>
    <row r="148" spans="5:8">
      <c r="E148" s="245"/>
      <c r="H148" s="255"/>
    </row>
    <row r="149" spans="5:8">
      <c r="E149" s="245"/>
      <c r="H149" s="255"/>
    </row>
    <row r="150" spans="5:8">
      <c r="E150" s="245"/>
      <c r="H150" s="255"/>
    </row>
    <row r="151" spans="5:8">
      <c r="E151" s="245"/>
      <c r="H151" s="255"/>
    </row>
    <row r="152" spans="5:8">
      <c r="E152" s="245"/>
      <c r="H152" s="255"/>
    </row>
    <row r="153" spans="5:8">
      <c r="E153" s="245"/>
      <c r="H153" s="255"/>
    </row>
    <row r="154" spans="5:8">
      <c r="E154" s="245"/>
      <c r="H154" s="255"/>
    </row>
    <row r="155" spans="5:8">
      <c r="E155" s="245"/>
      <c r="H155" s="255"/>
    </row>
    <row r="156" spans="5:8">
      <c r="E156" s="245"/>
      <c r="H156" s="255"/>
    </row>
    <row r="157" spans="5:8">
      <c r="E157" s="245"/>
      <c r="H157" s="255"/>
    </row>
    <row r="158" spans="5:8">
      <c r="E158" s="245"/>
      <c r="H158" s="255"/>
    </row>
    <row r="159" spans="5:8">
      <c r="E159" s="245"/>
      <c r="H159" s="255"/>
    </row>
    <row r="160" spans="5:8">
      <c r="E160" s="245"/>
      <c r="H160" s="255"/>
    </row>
    <row r="161" spans="5:8">
      <c r="E161" s="245"/>
      <c r="H161" s="255"/>
    </row>
    <row r="162" spans="5:8">
      <c r="E162" s="245"/>
      <c r="H162" s="255"/>
    </row>
    <row r="163" spans="5:8">
      <c r="E163" s="245"/>
      <c r="H163" s="255"/>
    </row>
    <row r="164" spans="5:8">
      <c r="E164" s="245"/>
      <c r="H164" s="255"/>
    </row>
    <row r="165" spans="5:8">
      <c r="E165" s="245"/>
      <c r="H165" s="255"/>
    </row>
    <row r="166" spans="5:8">
      <c r="E166" s="245"/>
      <c r="H166" s="255"/>
    </row>
    <row r="167" spans="5:8">
      <c r="E167" s="245"/>
      <c r="H167" s="255"/>
    </row>
    <row r="168" spans="5:8">
      <c r="E168" s="245"/>
      <c r="H168" s="255"/>
    </row>
    <row r="169" spans="5:8">
      <c r="E169" s="245"/>
      <c r="H169" s="255"/>
    </row>
    <row r="170" spans="5:8">
      <c r="E170" s="245"/>
      <c r="H170" s="255"/>
    </row>
    <row r="171" spans="5:8">
      <c r="E171" s="245"/>
      <c r="H171" s="255"/>
    </row>
    <row r="172" spans="5:8">
      <c r="E172" s="245"/>
      <c r="H172" s="255"/>
    </row>
    <row r="173" spans="5:8">
      <c r="E173" s="245"/>
      <c r="H173" s="255"/>
    </row>
    <row r="174" spans="5:8">
      <c r="E174" s="245"/>
      <c r="H174" s="255"/>
    </row>
    <row r="175" spans="5:8">
      <c r="E175" s="245"/>
      <c r="H175" s="255"/>
    </row>
    <row r="176" spans="5:8">
      <c r="E176" s="245"/>
      <c r="H176" s="255"/>
    </row>
    <row r="177" spans="5:8">
      <c r="E177" s="245"/>
      <c r="H177" s="255"/>
    </row>
    <row r="178" spans="5:8">
      <c r="E178" s="245"/>
      <c r="H178" s="255"/>
    </row>
    <row r="179" spans="5:8">
      <c r="E179" s="245"/>
      <c r="H179" s="255"/>
    </row>
    <row r="180" spans="5:8">
      <c r="E180" s="245"/>
      <c r="H180" s="255"/>
    </row>
    <row r="181" spans="5:8">
      <c r="E181" s="245"/>
      <c r="H181" s="255"/>
    </row>
    <row r="182" spans="5:8">
      <c r="E182" s="245"/>
      <c r="H182" s="255"/>
    </row>
    <row r="183" spans="5:8">
      <c r="E183" s="245"/>
      <c r="H183" s="255"/>
    </row>
    <row r="184" spans="5:8">
      <c r="E184" s="245"/>
      <c r="H184" s="255"/>
    </row>
    <row r="185" spans="5:8">
      <c r="E185" s="245"/>
      <c r="H185" s="255"/>
    </row>
    <row r="186" spans="5:8">
      <c r="E186" s="245"/>
      <c r="H186" s="255"/>
    </row>
    <row r="187" spans="5:8">
      <c r="E187" s="245"/>
      <c r="H187" s="255"/>
    </row>
    <row r="188" spans="5:8">
      <c r="E188" s="245"/>
      <c r="H188" s="255"/>
    </row>
    <row r="189" spans="5:8">
      <c r="E189" s="245"/>
      <c r="H189" s="255"/>
    </row>
    <row r="190" spans="5:8">
      <c r="E190" s="245"/>
      <c r="H190" s="255"/>
    </row>
    <row r="191" spans="5:8">
      <c r="E191" s="245"/>
      <c r="H191" s="255"/>
    </row>
    <row r="192" spans="5:8">
      <c r="E192" s="245"/>
      <c r="H192" s="255"/>
    </row>
    <row r="193" spans="5:8">
      <c r="E193" s="245"/>
      <c r="H193" s="255"/>
    </row>
    <row r="194" spans="5:8">
      <c r="E194" s="245"/>
      <c r="H194" s="255"/>
    </row>
    <row r="195" spans="5:8">
      <c r="E195" s="245"/>
      <c r="H195" s="255"/>
    </row>
    <row r="196" spans="5:8">
      <c r="E196" s="245"/>
      <c r="H196" s="255"/>
    </row>
    <row r="197" spans="5:8">
      <c r="E197" s="245"/>
      <c r="H197" s="255"/>
    </row>
    <row r="198" spans="5:8">
      <c r="E198" s="245"/>
      <c r="H198" s="255"/>
    </row>
    <row r="199" spans="5:8">
      <c r="E199" s="245"/>
      <c r="H199" s="255"/>
    </row>
    <row r="200" spans="5:8">
      <c r="E200" s="245"/>
      <c r="H200" s="255"/>
    </row>
    <row r="201" spans="5:8">
      <c r="E201" s="245"/>
      <c r="H201" s="255"/>
    </row>
    <row r="202" spans="5:8">
      <c r="E202" s="245"/>
      <c r="H202" s="255"/>
    </row>
    <row r="203" spans="5:8">
      <c r="E203" s="245"/>
      <c r="H203" s="255"/>
    </row>
    <row r="204" spans="5:8">
      <c r="E204" s="245"/>
      <c r="H204" s="255"/>
    </row>
    <row r="205" spans="5:8">
      <c r="E205" s="245"/>
      <c r="H205" s="255"/>
    </row>
    <row r="206" spans="5:8">
      <c r="E206" s="245"/>
      <c r="H206" s="255"/>
    </row>
    <row r="207" spans="5:8">
      <c r="E207" s="245"/>
      <c r="H207" s="255"/>
    </row>
    <row r="208" spans="5:8">
      <c r="E208" s="245"/>
      <c r="H208" s="255"/>
    </row>
    <row r="209" spans="5:8">
      <c r="E209" s="245"/>
      <c r="H209" s="255"/>
    </row>
    <row r="210" spans="5:8">
      <c r="E210" s="245"/>
      <c r="H210" s="255"/>
    </row>
    <row r="211" spans="5:8">
      <c r="E211" s="245"/>
      <c r="H211" s="255"/>
    </row>
    <row r="212" spans="5:8">
      <c r="E212" s="245"/>
      <c r="H212" s="255"/>
    </row>
    <row r="213" spans="5:8">
      <c r="E213" s="245"/>
      <c r="H213" s="255"/>
    </row>
    <row r="214" spans="5:8">
      <c r="E214" s="245"/>
      <c r="H214" s="255"/>
    </row>
    <row r="215" spans="5:8">
      <c r="E215" s="245"/>
      <c r="H215" s="255"/>
    </row>
    <row r="216" spans="5:8">
      <c r="E216" s="245"/>
      <c r="H216" s="255"/>
    </row>
    <row r="217" spans="5:8">
      <c r="E217" s="245"/>
      <c r="H217" s="255"/>
    </row>
    <row r="218" spans="5:8">
      <c r="E218" s="245"/>
      <c r="H218" s="255"/>
    </row>
    <row r="219" spans="5:8">
      <c r="E219" s="245"/>
      <c r="H219" s="255"/>
    </row>
    <row r="220" spans="5:8">
      <c r="E220" s="245"/>
      <c r="H220" s="255"/>
    </row>
    <row r="221" spans="5:8">
      <c r="E221" s="245"/>
      <c r="H221" s="255"/>
    </row>
    <row r="222" spans="5:8">
      <c r="E222" s="245"/>
      <c r="H222" s="255"/>
    </row>
    <row r="223" spans="5:8">
      <c r="E223" s="245"/>
      <c r="H223" s="255"/>
    </row>
    <row r="224" spans="5:8">
      <c r="E224" s="245"/>
      <c r="H224" s="255"/>
    </row>
    <row r="225" spans="5:8">
      <c r="E225" s="245"/>
      <c r="H225" s="255"/>
    </row>
    <row r="226" spans="5:8">
      <c r="E226" s="245"/>
      <c r="H226" s="255"/>
    </row>
    <row r="227" spans="5:8">
      <c r="E227" s="245"/>
      <c r="H227" s="255"/>
    </row>
    <row r="228" spans="5:8">
      <c r="E228" s="245"/>
      <c r="H228" s="255"/>
    </row>
    <row r="229" spans="5:8">
      <c r="E229" s="245"/>
      <c r="H229" s="255"/>
    </row>
    <row r="230" spans="5:8">
      <c r="E230" s="245"/>
      <c r="H230" s="255"/>
    </row>
    <row r="231" spans="5:8">
      <c r="E231" s="245"/>
      <c r="H231" s="255"/>
    </row>
    <row r="232" spans="5:8">
      <c r="E232" s="245"/>
      <c r="H232" s="255"/>
    </row>
    <row r="233" spans="5:8">
      <c r="E233" s="245"/>
      <c r="H233" s="255"/>
    </row>
    <row r="234" spans="5:8">
      <c r="E234" s="245"/>
      <c r="H234" s="255"/>
    </row>
    <row r="235" spans="5:8">
      <c r="E235" s="245"/>
      <c r="H235" s="255"/>
    </row>
    <row r="236" spans="5:8">
      <c r="E236" s="245"/>
      <c r="H236" s="255"/>
    </row>
    <row r="237" spans="5:8">
      <c r="E237" s="245"/>
      <c r="H237" s="255"/>
    </row>
    <row r="238" spans="5:8">
      <c r="E238" s="245"/>
      <c r="H238" s="255"/>
    </row>
    <row r="239" spans="5:8">
      <c r="E239" s="245"/>
      <c r="H239" s="255"/>
    </row>
    <row r="240" spans="5:8">
      <c r="E240" s="245"/>
      <c r="H240" s="255"/>
    </row>
    <row r="241" spans="5:8">
      <c r="E241" s="245"/>
      <c r="H241" s="255"/>
    </row>
    <row r="242" spans="5:8">
      <c r="E242" s="245"/>
      <c r="H242" s="255"/>
    </row>
    <row r="243" spans="5:8">
      <c r="E243" s="245"/>
      <c r="H243" s="255"/>
    </row>
    <row r="244" spans="5:8">
      <c r="E244" s="245"/>
      <c r="H244" s="255"/>
    </row>
    <row r="245" spans="5:8">
      <c r="E245" s="245"/>
      <c r="H245" s="255"/>
    </row>
    <row r="246" spans="5:8">
      <c r="E246" s="245"/>
      <c r="H246" s="255"/>
    </row>
    <row r="247" spans="5:8">
      <c r="E247" s="245"/>
      <c r="H247" s="255"/>
    </row>
    <row r="248" spans="5:8">
      <c r="E248" s="245"/>
      <c r="H248" s="255"/>
    </row>
    <row r="249" spans="5:8">
      <c r="E249" s="245"/>
      <c r="H249" s="255"/>
    </row>
    <row r="250" spans="5:8">
      <c r="E250" s="245"/>
      <c r="H250" s="255"/>
    </row>
    <row r="251" spans="5:8">
      <c r="E251" s="245"/>
      <c r="H251" s="255"/>
    </row>
    <row r="252" spans="5:8">
      <c r="E252" s="245"/>
      <c r="H252" s="255"/>
    </row>
    <row r="253" spans="5:8">
      <c r="E253" s="245"/>
      <c r="H253" s="255"/>
    </row>
    <row r="254" spans="5:8">
      <c r="E254" s="245"/>
      <c r="H254" s="255"/>
    </row>
    <row r="255" spans="5:8">
      <c r="E255" s="245"/>
      <c r="H255" s="255"/>
    </row>
    <row r="256" spans="5:8">
      <c r="E256" s="245"/>
      <c r="H256" s="255"/>
    </row>
    <row r="257" spans="5:8">
      <c r="E257" s="245"/>
      <c r="H257" s="255"/>
    </row>
    <row r="258" spans="5:8">
      <c r="E258" s="245"/>
      <c r="H258" s="255"/>
    </row>
    <row r="259" spans="5:8">
      <c r="E259" s="245"/>
      <c r="H259" s="255"/>
    </row>
    <row r="260" spans="5:8">
      <c r="E260" s="245"/>
      <c r="H260" s="255"/>
    </row>
    <row r="261" spans="5:8">
      <c r="E261" s="245"/>
      <c r="H261" s="255"/>
    </row>
    <row r="262" spans="5:8">
      <c r="E262" s="245"/>
      <c r="H262" s="255"/>
    </row>
    <row r="263" spans="5:8">
      <c r="E263" s="245"/>
      <c r="H263" s="255"/>
    </row>
    <row r="264" spans="5:8">
      <c r="E264" s="245"/>
      <c r="H264" s="255"/>
    </row>
    <row r="265" spans="5:8">
      <c r="E265" s="245"/>
      <c r="H265" s="255"/>
    </row>
    <row r="266" spans="5:8">
      <c r="E266" s="245"/>
      <c r="H266" s="255"/>
    </row>
    <row r="267" spans="5:8">
      <c r="E267" s="245"/>
      <c r="H267" s="255"/>
    </row>
    <row r="268" spans="5:8">
      <c r="E268" s="245"/>
      <c r="H268" s="255"/>
    </row>
    <row r="269" spans="5:8">
      <c r="E269" s="245"/>
      <c r="H269" s="255"/>
    </row>
    <row r="270" spans="5:8">
      <c r="E270" s="245"/>
      <c r="H270" s="255"/>
    </row>
    <row r="271" spans="5:8">
      <c r="E271" s="245"/>
      <c r="H271" s="255"/>
    </row>
    <row r="272" spans="5:8">
      <c r="E272" s="245"/>
      <c r="H272" s="255"/>
    </row>
    <row r="273" spans="5:8">
      <c r="E273" s="245"/>
      <c r="H273" s="255"/>
    </row>
    <row r="274" spans="5:8">
      <c r="E274" s="245"/>
      <c r="H274" s="255"/>
    </row>
    <row r="275" spans="5:8">
      <c r="E275" s="245"/>
      <c r="H275" s="255"/>
    </row>
    <row r="276" spans="5:8">
      <c r="E276" s="245"/>
      <c r="H276" s="255"/>
    </row>
    <row r="277" spans="5:8">
      <c r="E277" s="245"/>
      <c r="H277" s="255"/>
    </row>
    <row r="278" spans="5:8">
      <c r="E278" s="245"/>
      <c r="H278" s="255"/>
    </row>
    <row r="279" spans="5:8">
      <c r="E279" s="245"/>
      <c r="H279" s="255"/>
    </row>
    <row r="280" spans="5:8">
      <c r="E280" s="245"/>
      <c r="H280" s="255"/>
    </row>
    <row r="281" spans="5:8">
      <c r="E281" s="245"/>
      <c r="H281" s="255"/>
    </row>
    <row r="282" spans="5:8">
      <c r="E282" s="245"/>
      <c r="H282" s="255"/>
    </row>
    <row r="283" spans="5:8">
      <c r="E283" s="245"/>
      <c r="H283" s="255"/>
    </row>
    <row r="284" spans="5:8">
      <c r="E284" s="245"/>
      <c r="H284" s="255"/>
    </row>
    <row r="285" spans="5:8">
      <c r="E285" s="245"/>
      <c r="H285" s="255"/>
    </row>
    <row r="286" spans="5:8">
      <c r="E286" s="245"/>
      <c r="H286" s="255"/>
    </row>
    <row r="287" spans="5:8">
      <c r="E287" s="245"/>
      <c r="H287" s="255"/>
    </row>
    <row r="288" spans="5:8">
      <c r="E288" s="245"/>
      <c r="H288" s="255"/>
    </row>
    <row r="289" spans="5:8">
      <c r="E289" s="245"/>
      <c r="H289" s="255"/>
    </row>
    <row r="290" spans="5:8">
      <c r="E290" s="245"/>
      <c r="H290" s="255"/>
    </row>
    <row r="291" spans="5:8">
      <c r="E291" s="245"/>
      <c r="H291" s="255"/>
    </row>
    <row r="292" spans="5:8">
      <c r="E292" s="245"/>
      <c r="H292" s="255"/>
    </row>
    <row r="293" spans="5:8">
      <c r="E293" s="245"/>
      <c r="H293" s="255"/>
    </row>
    <row r="294" spans="5:8">
      <c r="E294" s="245"/>
      <c r="H294" s="255"/>
    </row>
    <row r="295" spans="5:8">
      <c r="E295" s="245"/>
      <c r="H295" s="255"/>
    </row>
    <row r="296" spans="5:8">
      <c r="E296" s="245"/>
      <c r="H296" s="255"/>
    </row>
    <row r="297" spans="5:8">
      <c r="E297" s="245"/>
      <c r="H297" s="255"/>
    </row>
    <row r="298" spans="5:8">
      <c r="E298" s="245"/>
      <c r="H298" s="255"/>
    </row>
    <row r="299" spans="5:8">
      <c r="E299" s="245"/>
      <c r="H299" s="255"/>
    </row>
    <row r="300" spans="5:8">
      <c r="E300" s="245"/>
      <c r="H300" s="255"/>
    </row>
    <row r="301" spans="5:8">
      <c r="E301" s="245"/>
      <c r="H301" s="255"/>
    </row>
    <row r="302" spans="5:8">
      <c r="E302" s="245"/>
      <c r="H302" s="255"/>
    </row>
    <row r="303" spans="5:8">
      <c r="E303" s="245"/>
      <c r="H303" s="255"/>
    </row>
    <row r="304" spans="5:8">
      <c r="E304" s="245"/>
      <c r="H304" s="255"/>
    </row>
    <row r="305" spans="5:8">
      <c r="E305" s="245"/>
      <c r="H305" s="255"/>
    </row>
    <row r="306" spans="5:8">
      <c r="E306" s="245"/>
      <c r="H306" s="255"/>
    </row>
    <row r="307" spans="5:8">
      <c r="E307" s="245"/>
      <c r="H307" s="255"/>
    </row>
    <row r="308" spans="5:8">
      <c r="E308" s="245"/>
      <c r="H308" s="255"/>
    </row>
    <row r="309" spans="5:8">
      <c r="E309" s="245"/>
      <c r="H309" s="255"/>
    </row>
    <row r="310" spans="5:8">
      <c r="E310" s="245"/>
      <c r="H310" s="255"/>
    </row>
    <row r="311" spans="5:8">
      <c r="E311" s="245"/>
      <c r="H311" s="255"/>
    </row>
    <row r="312" spans="5:8">
      <c r="E312" s="245"/>
      <c r="H312" s="255"/>
    </row>
    <row r="313" spans="5:8">
      <c r="E313" s="245"/>
      <c r="H313" s="255"/>
    </row>
    <row r="314" spans="5:8">
      <c r="E314" s="245"/>
      <c r="H314" s="255"/>
    </row>
    <row r="315" spans="5:8">
      <c r="E315" s="245"/>
      <c r="H315" s="255"/>
    </row>
    <row r="316" spans="5:8">
      <c r="E316" s="245"/>
      <c r="H316" s="255"/>
    </row>
    <row r="317" spans="5:8">
      <c r="E317" s="245"/>
      <c r="H317" s="255"/>
    </row>
    <row r="318" spans="5:8">
      <c r="E318" s="245"/>
      <c r="H318" s="255"/>
    </row>
    <row r="319" spans="5:8">
      <c r="E319" s="245"/>
      <c r="H319" s="255"/>
    </row>
    <row r="320" spans="5:8">
      <c r="E320" s="245"/>
      <c r="H320" s="255"/>
    </row>
    <row r="321" spans="5:8">
      <c r="E321" s="245"/>
      <c r="H321" s="255"/>
    </row>
    <row r="322" spans="5:8">
      <c r="E322" s="245"/>
      <c r="H322" s="255"/>
    </row>
    <row r="323" spans="5:8">
      <c r="E323" s="245"/>
      <c r="H323" s="255"/>
    </row>
    <row r="324" spans="5:8">
      <c r="E324" s="245"/>
      <c r="H324" s="255"/>
    </row>
    <row r="325" spans="5:8">
      <c r="E325" s="245"/>
      <c r="H325" s="255"/>
    </row>
    <row r="326" spans="5:8">
      <c r="E326" s="245"/>
      <c r="H326" s="255"/>
    </row>
    <row r="327" spans="5:8">
      <c r="E327" s="245"/>
      <c r="H327" s="255"/>
    </row>
    <row r="328" spans="5:8">
      <c r="E328" s="245"/>
      <c r="H328" s="255"/>
    </row>
    <row r="329" spans="5:8">
      <c r="E329" s="245"/>
      <c r="H329" s="255"/>
    </row>
    <row r="330" spans="5:8">
      <c r="E330" s="245"/>
      <c r="H330" s="255"/>
    </row>
    <row r="331" spans="5:8">
      <c r="E331" s="245"/>
      <c r="H331" s="255"/>
    </row>
    <row r="332" spans="5:8">
      <c r="E332" s="245"/>
      <c r="H332" s="255"/>
    </row>
    <row r="333" spans="5:8">
      <c r="E333" s="245"/>
      <c r="H333" s="255"/>
    </row>
    <row r="334" spans="5:8">
      <c r="E334" s="245"/>
      <c r="H334" s="255"/>
    </row>
    <row r="335" spans="5:8">
      <c r="E335" s="245"/>
      <c r="H335" s="255"/>
    </row>
    <row r="336" spans="5:8">
      <c r="E336" s="245"/>
      <c r="H336" s="255"/>
    </row>
    <row r="337" spans="5:8">
      <c r="E337" s="245"/>
      <c r="H337" s="255"/>
    </row>
    <row r="338" spans="5:8">
      <c r="E338" s="245"/>
      <c r="H338" s="255"/>
    </row>
    <row r="339" spans="5:8">
      <c r="E339" s="245"/>
      <c r="H339" s="255"/>
    </row>
    <row r="340" spans="5:8">
      <c r="E340" s="245"/>
      <c r="H340" s="255"/>
    </row>
    <row r="341" spans="5:8">
      <c r="E341" s="245"/>
      <c r="H341" s="255"/>
    </row>
    <row r="342" spans="5:8">
      <c r="E342" s="245"/>
      <c r="H342" s="255"/>
    </row>
    <row r="343" spans="5:8">
      <c r="E343" s="245"/>
      <c r="H343" s="255"/>
    </row>
    <row r="344" spans="5:8">
      <c r="E344" s="245"/>
      <c r="H344" s="255"/>
    </row>
    <row r="345" spans="5:8">
      <c r="E345" s="245"/>
      <c r="H345" s="255"/>
    </row>
    <row r="346" spans="5:8">
      <c r="E346" s="245"/>
      <c r="H346" s="255"/>
    </row>
    <row r="347" spans="5:8">
      <c r="E347" s="245"/>
      <c r="H347" s="255"/>
    </row>
    <row r="348" spans="5:8">
      <c r="E348" s="245"/>
      <c r="H348" s="255"/>
    </row>
    <row r="349" spans="5:8">
      <c r="E349" s="245"/>
      <c r="H349" s="255"/>
    </row>
    <row r="350" spans="5:8">
      <c r="E350" s="245"/>
      <c r="H350" s="255"/>
    </row>
    <row r="351" spans="5:8">
      <c r="E351" s="245"/>
      <c r="H351" s="255"/>
    </row>
    <row r="352" spans="5:8">
      <c r="E352" s="245"/>
      <c r="H352" s="255"/>
    </row>
    <row r="353" spans="5:8">
      <c r="E353" s="245"/>
      <c r="H353" s="255"/>
    </row>
    <row r="354" spans="5:8">
      <c r="E354" s="245"/>
      <c r="H354" s="255"/>
    </row>
    <row r="355" spans="5:8">
      <c r="E355" s="245"/>
      <c r="H355" s="255"/>
    </row>
    <row r="356" spans="5:8">
      <c r="E356" s="245"/>
      <c r="H356" s="255"/>
    </row>
    <row r="357" spans="5:8">
      <c r="E357" s="245"/>
      <c r="H357" s="255"/>
    </row>
    <row r="358" spans="5:8">
      <c r="E358" s="245"/>
      <c r="H358" s="255"/>
    </row>
    <row r="359" spans="5:8">
      <c r="E359" s="245"/>
      <c r="H359" s="255"/>
    </row>
    <row r="360" spans="5:8">
      <c r="E360" s="245"/>
      <c r="H360" s="255"/>
    </row>
    <row r="361" spans="5:8">
      <c r="E361" s="245"/>
      <c r="H361" s="255"/>
    </row>
    <row r="362" spans="5:8">
      <c r="E362" s="245"/>
      <c r="H362" s="255"/>
    </row>
    <row r="363" spans="5:8">
      <c r="E363" s="245"/>
      <c r="H363" s="255"/>
    </row>
    <row r="364" spans="5:8">
      <c r="E364" s="245"/>
      <c r="H364" s="255"/>
    </row>
    <row r="365" spans="5:8">
      <c r="E365" s="245"/>
      <c r="H365" s="255"/>
    </row>
    <row r="366" spans="5:8">
      <c r="E366" s="245"/>
      <c r="H366" s="255"/>
    </row>
    <row r="367" spans="5:8">
      <c r="E367" s="245"/>
      <c r="H367" s="255"/>
    </row>
    <row r="368" spans="5:8">
      <c r="E368" s="245"/>
      <c r="H368" s="255"/>
    </row>
    <row r="369" spans="5:8">
      <c r="E369" s="245"/>
      <c r="H369" s="255"/>
    </row>
    <row r="370" spans="5:8">
      <c r="E370" s="245"/>
      <c r="H370" s="255"/>
    </row>
    <row r="371" spans="5:8">
      <c r="E371" s="245"/>
      <c r="H371" s="255"/>
    </row>
    <row r="372" spans="5:8">
      <c r="E372" s="245"/>
      <c r="H372" s="255"/>
    </row>
    <row r="373" spans="5:8">
      <c r="E373" s="245"/>
      <c r="H373" s="255"/>
    </row>
    <row r="374" spans="5:8">
      <c r="E374" s="245"/>
      <c r="H374" s="255"/>
    </row>
    <row r="375" spans="5:8">
      <c r="E375" s="245"/>
      <c r="H375" s="255"/>
    </row>
    <row r="376" spans="5:8">
      <c r="E376" s="245"/>
      <c r="H376" s="255"/>
    </row>
    <row r="377" spans="5:8">
      <c r="E377" s="245"/>
      <c r="H377" s="255"/>
    </row>
    <row r="378" spans="5:8">
      <c r="E378" s="245"/>
      <c r="H378" s="255"/>
    </row>
    <row r="379" spans="5:8">
      <c r="E379" s="245"/>
      <c r="H379" s="255"/>
    </row>
    <row r="380" spans="5:8">
      <c r="E380" s="245"/>
      <c r="H380" s="255"/>
    </row>
    <row r="381" spans="5:8">
      <c r="E381" s="245"/>
      <c r="H381" s="255"/>
    </row>
    <row r="382" spans="5:8">
      <c r="E382" s="245"/>
      <c r="H382" s="255"/>
    </row>
    <row r="383" spans="5:8">
      <c r="E383" s="245"/>
      <c r="H383" s="255"/>
    </row>
    <row r="384" spans="5:8">
      <c r="E384" s="245"/>
      <c r="H384" s="255"/>
    </row>
    <row r="385" spans="5:8">
      <c r="E385" s="245"/>
      <c r="H385" s="255"/>
    </row>
    <row r="386" spans="5:8">
      <c r="E386" s="245"/>
      <c r="H386" s="255"/>
    </row>
    <row r="387" spans="5:8">
      <c r="E387" s="245"/>
      <c r="H387" s="255"/>
    </row>
    <row r="388" spans="5:8">
      <c r="E388" s="245"/>
      <c r="H388" s="255"/>
    </row>
    <row r="389" spans="5:8">
      <c r="E389" s="245"/>
      <c r="H389" s="255"/>
    </row>
    <row r="390" spans="5:8">
      <c r="E390" s="245"/>
      <c r="H390" s="255"/>
    </row>
    <row r="391" spans="5:8">
      <c r="E391" s="245"/>
      <c r="H391" s="255"/>
    </row>
    <row r="392" spans="5:8">
      <c r="E392" s="245"/>
      <c r="H392" s="255"/>
    </row>
    <row r="393" spans="5:8">
      <c r="E393" s="245"/>
      <c r="H393" s="255"/>
    </row>
    <row r="394" spans="5:8">
      <c r="E394" s="245"/>
      <c r="H394" s="255"/>
    </row>
    <row r="395" spans="5:8">
      <c r="E395" s="245"/>
      <c r="H395" s="255"/>
    </row>
    <row r="396" spans="5:8">
      <c r="E396" s="245"/>
      <c r="H396" s="255"/>
    </row>
    <row r="397" spans="5:8">
      <c r="E397" s="245"/>
      <c r="H397" s="255"/>
    </row>
    <row r="398" spans="5:8">
      <c r="E398" s="245"/>
      <c r="H398" s="255"/>
    </row>
    <row r="399" spans="5:8">
      <c r="E399" s="245"/>
      <c r="H399" s="255"/>
    </row>
    <row r="400" spans="5:8">
      <c r="E400" s="245"/>
      <c r="H400" s="255"/>
    </row>
    <row r="401" spans="5:8">
      <c r="E401" s="245"/>
      <c r="H401" s="255"/>
    </row>
    <row r="402" spans="5:8">
      <c r="E402" s="245"/>
      <c r="H402" s="255"/>
    </row>
    <row r="403" spans="5:8">
      <c r="E403" s="245"/>
      <c r="H403" s="255"/>
    </row>
    <row r="404" spans="5:8">
      <c r="E404" s="245"/>
      <c r="H404" s="255"/>
    </row>
    <row r="405" spans="5:8">
      <c r="E405" s="245"/>
      <c r="H405" s="255"/>
    </row>
    <row r="406" spans="5:8">
      <c r="E406" s="245"/>
      <c r="H406" s="255"/>
    </row>
    <row r="407" spans="5:8">
      <c r="E407" s="245"/>
      <c r="H407" s="255"/>
    </row>
    <row r="408" spans="5:8">
      <c r="E408" s="245"/>
      <c r="H408" s="255"/>
    </row>
    <row r="409" spans="5:8">
      <c r="E409" s="245"/>
      <c r="H409" s="255"/>
    </row>
    <row r="410" spans="5:8">
      <c r="E410" s="245"/>
      <c r="H410" s="255"/>
    </row>
    <row r="411" spans="5:8">
      <c r="E411" s="245"/>
      <c r="H411" s="255"/>
    </row>
    <row r="412" spans="5:8">
      <c r="E412" s="245"/>
      <c r="H412" s="255"/>
    </row>
    <row r="413" spans="5:8">
      <c r="E413" s="245"/>
      <c r="H413" s="255"/>
    </row>
    <row r="414" spans="5:8">
      <c r="E414" s="245"/>
      <c r="H414" s="255"/>
    </row>
    <row r="415" spans="5:8">
      <c r="E415" s="245"/>
      <c r="H415" s="255"/>
    </row>
    <row r="416" spans="5:8">
      <c r="E416" s="245"/>
      <c r="H416" s="255"/>
    </row>
    <row r="417" spans="5:8">
      <c r="E417" s="245"/>
      <c r="H417" s="255"/>
    </row>
    <row r="418" spans="5:8">
      <c r="E418" s="245"/>
      <c r="H418" s="255"/>
    </row>
    <row r="419" spans="5:8">
      <c r="E419" s="245"/>
      <c r="H419" s="255"/>
    </row>
    <row r="420" spans="5:8">
      <c r="E420" s="245"/>
      <c r="H420" s="255"/>
    </row>
    <row r="421" spans="5:8">
      <c r="E421" s="245"/>
      <c r="H421" s="255"/>
    </row>
    <row r="422" spans="5:8">
      <c r="E422" s="245"/>
      <c r="H422" s="255"/>
    </row>
    <row r="423" spans="5:8">
      <c r="E423" s="245"/>
      <c r="H423" s="255"/>
    </row>
    <row r="424" spans="5:8">
      <c r="E424" s="245"/>
      <c r="H424" s="255"/>
    </row>
    <row r="425" spans="5:8">
      <c r="E425" s="245"/>
      <c r="H425" s="255"/>
    </row>
    <row r="426" spans="5:8">
      <c r="E426" s="245"/>
      <c r="H426" s="255"/>
    </row>
    <row r="427" spans="5:8">
      <c r="E427" s="245"/>
      <c r="H427" s="255"/>
    </row>
    <row r="428" spans="5:8">
      <c r="E428" s="245"/>
      <c r="H428" s="255"/>
    </row>
    <row r="429" spans="5:8">
      <c r="E429" s="245"/>
      <c r="H429" s="255"/>
    </row>
    <row r="430" spans="5:8">
      <c r="E430" s="245"/>
      <c r="H430" s="255"/>
    </row>
    <row r="431" spans="5:8">
      <c r="E431" s="245"/>
      <c r="H431" s="255"/>
    </row>
    <row r="432" spans="5:8">
      <c r="E432" s="245"/>
      <c r="H432" s="255"/>
    </row>
    <row r="433" spans="5:8">
      <c r="E433" s="245"/>
      <c r="H433" s="255"/>
    </row>
    <row r="434" spans="5:8">
      <c r="E434" s="245"/>
      <c r="H434" s="255"/>
    </row>
    <row r="435" spans="5:8">
      <c r="E435" s="245"/>
      <c r="H435" s="255"/>
    </row>
    <row r="436" spans="5:8">
      <c r="E436" s="245"/>
      <c r="H436" s="255"/>
    </row>
    <row r="437" spans="5:8">
      <c r="E437" s="245"/>
      <c r="H437" s="255"/>
    </row>
    <row r="438" spans="5:8">
      <c r="E438" s="245"/>
      <c r="H438" s="255"/>
    </row>
    <row r="439" spans="5:8">
      <c r="E439" s="245"/>
      <c r="H439" s="255"/>
    </row>
    <row r="440" spans="5:8">
      <c r="E440" s="245"/>
      <c r="H440" s="255"/>
    </row>
    <row r="441" spans="5:8">
      <c r="E441" s="245"/>
      <c r="H441" s="255"/>
    </row>
    <row r="442" spans="5:8">
      <c r="E442" s="245"/>
      <c r="H442" s="255"/>
    </row>
    <row r="443" spans="5:8">
      <c r="E443" s="245"/>
      <c r="H443" s="255"/>
    </row>
    <row r="444" spans="5:8">
      <c r="E444" s="245"/>
      <c r="H444" s="255"/>
    </row>
    <row r="445" spans="5:8">
      <c r="E445" s="245"/>
      <c r="H445" s="255"/>
    </row>
    <row r="446" spans="5:8">
      <c r="E446" s="245"/>
      <c r="H446" s="255"/>
    </row>
    <row r="447" spans="5:8">
      <c r="E447" s="245"/>
      <c r="H447" s="255"/>
    </row>
    <row r="448" spans="5:8">
      <c r="E448" s="245"/>
      <c r="H448" s="255"/>
    </row>
    <row r="449" spans="5:8">
      <c r="E449" s="245"/>
      <c r="H449" s="255"/>
    </row>
    <row r="450" spans="5:8">
      <c r="E450" s="245"/>
      <c r="H450" s="255"/>
    </row>
    <row r="451" spans="5:8">
      <c r="E451" s="245"/>
      <c r="H451" s="255"/>
    </row>
    <row r="452" spans="5:8">
      <c r="E452" s="245"/>
      <c r="H452" s="255"/>
    </row>
    <row r="453" spans="5:8">
      <c r="E453" s="245"/>
      <c r="H453" s="255"/>
    </row>
    <row r="454" spans="5:8">
      <c r="E454" s="245"/>
      <c r="H454" s="255"/>
    </row>
    <row r="455" spans="5:8">
      <c r="E455" s="245"/>
      <c r="H455" s="255"/>
    </row>
    <row r="456" spans="5:8">
      <c r="E456" s="245"/>
      <c r="H456" s="255"/>
    </row>
    <row r="457" spans="5:8">
      <c r="E457" s="245"/>
      <c r="H457" s="255"/>
    </row>
    <row r="458" spans="5:8">
      <c r="E458" s="245"/>
      <c r="H458" s="255"/>
    </row>
    <row r="459" spans="5:8">
      <c r="E459" s="245"/>
      <c r="H459" s="255"/>
    </row>
    <row r="460" spans="5:8">
      <c r="E460" s="245"/>
      <c r="H460" s="255"/>
    </row>
    <row r="461" spans="5:8">
      <c r="E461" s="245"/>
      <c r="H461" s="255"/>
    </row>
    <row r="462" spans="5:8">
      <c r="E462" s="245"/>
      <c r="H462" s="255"/>
    </row>
    <row r="463" spans="5:8">
      <c r="E463" s="245"/>
      <c r="H463" s="255"/>
    </row>
    <row r="464" spans="5:8">
      <c r="E464" s="245"/>
      <c r="H464" s="255"/>
    </row>
    <row r="465" spans="5:8">
      <c r="E465" s="245"/>
      <c r="H465" s="255"/>
    </row>
    <row r="466" spans="5:8">
      <c r="E466" s="245"/>
      <c r="H466" s="255"/>
    </row>
    <row r="467" spans="5:8">
      <c r="E467" s="245"/>
      <c r="H467" s="255"/>
    </row>
    <row r="468" spans="5:8">
      <c r="E468" s="245"/>
      <c r="H468" s="255"/>
    </row>
    <row r="469" spans="5:8">
      <c r="E469" s="245"/>
      <c r="H469" s="255"/>
    </row>
    <row r="470" spans="5:8">
      <c r="E470" s="245"/>
      <c r="H470" s="255"/>
    </row>
    <row r="471" spans="5:8">
      <c r="E471" s="245"/>
      <c r="H471" s="255"/>
    </row>
    <row r="472" spans="5:8">
      <c r="E472" s="245"/>
      <c r="H472" s="255"/>
    </row>
    <row r="473" spans="5:8">
      <c r="E473" s="245"/>
      <c r="H473" s="255"/>
    </row>
    <row r="474" spans="5:8">
      <c r="E474" s="245"/>
      <c r="H474" s="255"/>
    </row>
    <row r="475" spans="5:8">
      <c r="E475" s="245"/>
      <c r="H475" s="255"/>
    </row>
    <row r="476" spans="5:8">
      <c r="E476" s="245"/>
      <c r="H476" s="255"/>
    </row>
    <row r="477" spans="5:8">
      <c r="E477" s="245"/>
      <c r="H477" s="255"/>
    </row>
    <row r="478" spans="5:8">
      <c r="E478" s="245"/>
      <c r="H478" s="255"/>
    </row>
    <row r="479" spans="5:8">
      <c r="E479" s="245"/>
      <c r="H479" s="255"/>
    </row>
    <row r="480" spans="5:8">
      <c r="E480" s="245"/>
      <c r="H480" s="255"/>
    </row>
    <row r="481" spans="5:8">
      <c r="E481" s="245"/>
      <c r="H481" s="255"/>
    </row>
    <row r="482" spans="5:8">
      <c r="E482" s="245"/>
      <c r="H482" s="255"/>
    </row>
    <row r="483" spans="5:8">
      <c r="E483" s="245"/>
      <c r="H483" s="255"/>
    </row>
    <row r="484" spans="5:8">
      <c r="E484" s="245"/>
      <c r="H484" s="255"/>
    </row>
    <row r="485" spans="5:8">
      <c r="E485" s="245"/>
      <c r="H485" s="255"/>
    </row>
    <row r="486" spans="5:8">
      <c r="E486" s="245"/>
      <c r="H486" s="255"/>
    </row>
    <row r="487" spans="5:8">
      <c r="E487" s="245"/>
      <c r="H487" s="255"/>
    </row>
    <row r="488" spans="5:8">
      <c r="E488" s="245"/>
      <c r="H488" s="255"/>
    </row>
    <row r="489" spans="5:8">
      <c r="E489" s="245"/>
      <c r="H489" s="255"/>
    </row>
    <row r="490" spans="5:8">
      <c r="E490" s="245"/>
      <c r="H490" s="255"/>
    </row>
    <row r="491" spans="5:8">
      <c r="E491" s="245"/>
      <c r="H491" s="255"/>
    </row>
    <row r="492" spans="5:8">
      <c r="E492" s="245"/>
      <c r="H492" s="255"/>
    </row>
    <row r="493" spans="5:8">
      <c r="E493" s="245"/>
      <c r="H493" s="255"/>
    </row>
    <row r="494" spans="5:8">
      <c r="E494" s="245"/>
      <c r="H494" s="255"/>
    </row>
    <row r="495" spans="5:8">
      <c r="E495" s="245"/>
      <c r="H495" s="255"/>
    </row>
    <row r="496" spans="5:8">
      <c r="E496" s="245"/>
      <c r="H496" s="255"/>
    </row>
    <row r="497" spans="5:8">
      <c r="E497" s="245"/>
      <c r="H497" s="255"/>
    </row>
    <row r="498" spans="5:8">
      <c r="E498" s="245"/>
      <c r="H498" s="255"/>
    </row>
    <row r="499" spans="5:8">
      <c r="E499" s="245"/>
      <c r="H499" s="255"/>
    </row>
    <row r="500" spans="5:8">
      <c r="E500" s="245"/>
      <c r="H500" s="255"/>
    </row>
    <row r="501" spans="5:8">
      <c r="E501" s="245"/>
      <c r="H501" s="255"/>
    </row>
    <row r="502" spans="5:8">
      <c r="E502" s="245"/>
      <c r="H502" s="255"/>
    </row>
    <row r="503" spans="5:8">
      <c r="E503" s="245"/>
      <c r="H503" s="255"/>
    </row>
    <row r="504" spans="5:8">
      <c r="E504" s="245"/>
      <c r="H504" s="255"/>
    </row>
    <row r="505" spans="5:8">
      <c r="E505" s="245"/>
      <c r="H505" s="255"/>
    </row>
    <row r="506" spans="5:8">
      <c r="E506" s="245"/>
      <c r="H506" s="255"/>
    </row>
    <row r="507" spans="5:8">
      <c r="E507" s="245"/>
      <c r="H507" s="255"/>
    </row>
    <row r="508" spans="5:8">
      <c r="E508" s="245"/>
      <c r="H508" s="255"/>
    </row>
    <row r="509" spans="5:8">
      <c r="E509" s="245"/>
      <c r="H509" s="255"/>
    </row>
    <row r="510" spans="5:8">
      <c r="E510" s="245"/>
      <c r="H510" s="255"/>
    </row>
    <row r="511" spans="5:8">
      <c r="E511" s="245"/>
      <c r="H511" s="255"/>
    </row>
    <row r="512" spans="5:8">
      <c r="E512" s="245"/>
      <c r="H512" s="255"/>
    </row>
    <row r="513" spans="5:8">
      <c r="E513" s="245"/>
      <c r="H513" s="255"/>
    </row>
    <row r="514" spans="5:8">
      <c r="E514" s="245"/>
      <c r="H514" s="255"/>
    </row>
    <row r="515" spans="5:8">
      <c r="E515" s="245"/>
      <c r="H515" s="255"/>
    </row>
    <row r="516" spans="5:8">
      <c r="E516" s="245"/>
      <c r="H516" s="255"/>
    </row>
    <row r="517" spans="5:8">
      <c r="E517" s="245"/>
      <c r="H517" s="255"/>
    </row>
    <row r="518" spans="5:8">
      <c r="E518" s="245"/>
      <c r="H518" s="255"/>
    </row>
    <row r="519" spans="5:8">
      <c r="E519" s="245"/>
      <c r="H519" s="255"/>
    </row>
    <row r="520" spans="5:8">
      <c r="E520" s="245"/>
      <c r="H520" s="255"/>
    </row>
    <row r="521" spans="5:8">
      <c r="E521" s="245"/>
      <c r="H521" s="255"/>
    </row>
    <row r="522" spans="5:8">
      <c r="E522" s="245"/>
      <c r="H522" s="255"/>
    </row>
    <row r="523" spans="5:8">
      <c r="E523" s="245"/>
      <c r="H523" s="255"/>
    </row>
    <row r="524" spans="5:8">
      <c r="E524" s="245"/>
      <c r="H524" s="255"/>
    </row>
    <row r="525" spans="5:8">
      <c r="E525" s="245"/>
      <c r="H525" s="255"/>
    </row>
    <row r="526" spans="5:8">
      <c r="E526" s="245"/>
      <c r="H526" s="255"/>
    </row>
    <row r="527" spans="5:8">
      <c r="E527" s="245"/>
      <c r="H527" s="255"/>
    </row>
    <row r="528" spans="5:8">
      <c r="E528" s="245"/>
      <c r="H528" s="255"/>
    </row>
    <row r="529" spans="5:8">
      <c r="E529" s="245"/>
      <c r="H529" s="255"/>
    </row>
    <row r="530" spans="5:8">
      <c r="E530" s="245"/>
      <c r="H530" s="255"/>
    </row>
    <row r="531" spans="5:8">
      <c r="E531" s="245"/>
      <c r="H531" s="255"/>
    </row>
    <row r="532" spans="5:8">
      <c r="E532" s="245"/>
      <c r="H532" s="255"/>
    </row>
    <row r="533" spans="5:8">
      <c r="E533" s="245"/>
      <c r="H533" s="255"/>
    </row>
    <row r="534" spans="5:8">
      <c r="E534" s="245"/>
      <c r="H534" s="255"/>
    </row>
    <row r="535" spans="5:8">
      <c r="E535" s="245"/>
      <c r="H535" s="255"/>
    </row>
    <row r="536" spans="5:8">
      <c r="E536" s="245"/>
      <c r="H536" s="255"/>
    </row>
    <row r="537" spans="5:8">
      <c r="E537" s="245"/>
      <c r="H537" s="255"/>
    </row>
    <row r="538" spans="5:8">
      <c r="E538" s="245"/>
      <c r="H538" s="255"/>
    </row>
    <row r="539" spans="5:8">
      <c r="E539" s="245"/>
      <c r="H539" s="255"/>
    </row>
    <row r="540" spans="5:8">
      <c r="E540" s="245"/>
      <c r="H540" s="255"/>
    </row>
    <row r="541" spans="5:8">
      <c r="E541" s="245"/>
      <c r="H541" s="255"/>
    </row>
    <row r="542" spans="5:8">
      <c r="E542" s="245"/>
      <c r="H542" s="255"/>
    </row>
    <row r="543" spans="5:8">
      <c r="E543" s="245"/>
      <c r="H543" s="255"/>
    </row>
    <row r="544" spans="5:8">
      <c r="E544" s="245"/>
      <c r="H544" s="255"/>
    </row>
    <row r="545" spans="5:8">
      <c r="E545" s="245"/>
      <c r="H545" s="255"/>
    </row>
    <row r="546" spans="5:8">
      <c r="E546" s="245"/>
      <c r="H546" s="255"/>
    </row>
    <row r="547" spans="5:8">
      <c r="E547" s="245"/>
      <c r="H547" s="255"/>
    </row>
    <row r="548" spans="5:8">
      <c r="E548" s="245"/>
      <c r="H548" s="255"/>
    </row>
    <row r="549" spans="5:8">
      <c r="E549" s="245"/>
      <c r="H549" s="255"/>
    </row>
    <row r="550" spans="5:8">
      <c r="E550" s="245"/>
      <c r="H550" s="255"/>
    </row>
    <row r="551" spans="5:8">
      <c r="E551" s="245"/>
      <c r="H551" s="255"/>
    </row>
    <row r="552" spans="5:8">
      <c r="E552" s="245"/>
      <c r="H552" s="255"/>
    </row>
    <row r="553" spans="5:8">
      <c r="E553" s="245"/>
      <c r="H553" s="255"/>
    </row>
    <row r="554" spans="5:8">
      <c r="E554" s="245"/>
      <c r="H554" s="255"/>
    </row>
    <row r="555" spans="5:8">
      <c r="E555" s="245"/>
      <c r="H555" s="255"/>
    </row>
    <row r="556" spans="5:8">
      <c r="E556" s="245"/>
      <c r="H556" s="255"/>
    </row>
    <row r="557" spans="5:8">
      <c r="E557" s="245"/>
      <c r="H557" s="255"/>
    </row>
    <row r="558" spans="5:8">
      <c r="E558" s="245"/>
      <c r="H558" s="255"/>
    </row>
    <row r="559" spans="5:8">
      <c r="E559" s="245"/>
      <c r="H559" s="255"/>
    </row>
    <row r="560" spans="5:8">
      <c r="E560" s="245"/>
      <c r="H560" s="255"/>
    </row>
    <row r="561" spans="5:8">
      <c r="E561" s="245"/>
      <c r="H561" s="255"/>
    </row>
    <row r="562" spans="5:8">
      <c r="E562" s="245"/>
      <c r="H562" s="255"/>
    </row>
    <row r="563" spans="5:8">
      <c r="E563" s="245"/>
      <c r="H563" s="255"/>
    </row>
    <row r="564" spans="5:8">
      <c r="E564" s="245"/>
      <c r="H564" s="255"/>
    </row>
    <row r="565" spans="5:8">
      <c r="E565" s="245"/>
      <c r="H565" s="255"/>
    </row>
    <row r="566" spans="5:8">
      <c r="E566" s="245"/>
      <c r="H566" s="255"/>
    </row>
    <row r="567" spans="5:8">
      <c r="E567" s="245"/>
      <c r="H567" s="255"/>
    </row>
    <row r="568" spans="5:8">
      <c r="E568" s="245"/>
      <c r="H568" s="255"/>
    </row>
    <row r="569" spans="5:8">
      <c r="E569" s="245"/>
      <c r="H569" s="255"/>
    </row>
    <row r="570" spans="5:8">
      <c r="E570" s="245"/>
      <c r="H570" s="255"/>
    </row>
    <row r="571" spans="5:8">
      <c r="E571" s="245"/>
      <c r="H571" s="255"/>
    </row>
    <row r="572" spans="5:8">
      <c r="E572" s="245"/>
      <c r="H572" s="255"/>
    </row>
    <row r="573" spans="5:8">
      <c r="E573" s="245"/>
      <c r="H573" s="255"/>
    </row>
    <row r="574" spans="5:8">
      <c r="E574" s="245"/>
      <c r="H574" s="255"/>
    </row>
    <row r="575" spans="5:8">
      <c r="E575" s="245"/>
      <c r="H575" s="255"/>
    </row>
    <row r="576" spans="5:8">
      <c r="E576" s="245"/>
      <c r="H576" s="255"/>
    </row>
    <row r="577" spans="5:8">
      <c r="E577" s="245"/>
      <c r="H577" s="255"/>
    </row>
    <row r="578" spans="5:8">
      <c r="E578" s="245"/>
      <c r="H578" s="255"/>
    </row>
    <row r="579" spans="5:8">
      <c r="E579" s="245"/>
      <c r="H579" s="255"/>
    </row>
    <row r="580" spans="5:8">
      <c r="E580" s="245"/>
      <c r="H580" s="255"/>
    </row>
    <row r="581" spans="5:8">
      <c r="E581" s="245"/>
      <c r="H581" s="255"/>
    </row>
    <row r="582" spans="5:8">
      <c r="E582" s="245"/>
      <c r="H582" s="255"/>
    </row>
    <row r="583" spans="5:8">
      <c r="E583" s="245"/>
      <c r="H583" s="255"/>
    </row>
    <row r="584" spans="5:8">
      <c r="E584" s="245"/>
      <c r="H584" s="255"/>
    </row>
    <row r="585" spans="5:8">
      <c r="E585" s="245"/>
      <c r="H585" s="255"/>
    </row>
    <row r="586" spans="5:8">
      <c r="E586" s="245"/>
      <c r="H586" s="255"/>
    </row>
    <row r="587" spans="5:8">
      <c r="E587" s="245"/>
      <c r="H587" s="255"/>
    </row>
    <row r="588" spans="5:8">
      <c r="E588" s="245"/>
      <c r="H588" s="255"/>
    </row>
    <row r="589" spans="5:8">
      <c r="E589" s="245"/>
      <c r="H589" s="255"/>
    </row>
    <row r="590" spans="5:8">
      <c r="E590" s="245"/>
      <c r="H590" s="255"/>
    </row>
    <row r="591" spans="5:8">
      <c r="E591" s="245"/>
      <c r="H591" s="255"/>
    </row>
    <row r="592" spans="5:8">
      <c r="E592" s="245"/>
      <c r="H592" s="255"/>
    </row>
    <row r="593" spans="5:8">
      <c r="E593" s="245"/>
      <c r="H593" s="255"/>
    </row>
    <row r="594" spans="5:8">
      <c r="E594" s="245"/>
      <c r="H594" s="255"/>
    </row>
    <row r="595" spans="5:8">
      <c r="E595" s="245"/>
      <c r="H595" s="255"/>
    </row>
    <row r="596" spans="5:8">
      <c r="E596" s="245"/>
      <c r="H596" s="255"/>
    </row>
    <row r="597" spans="5:8">
      <c r="E597" s="245"/>
      <c r="H597" s="255"/>
    </row>
    <row r="598" spans="5:8">
      <c r="E598" s="245"/>
      <c r="H598" s="255"/>
    </row>
    <row r="599" spans="5:8">
      <c r="E599" s="245"/>
      <c r="H599" s="255"/>
    </row>
    <row r="600" spans="5:8">
      <c r="E600" s="245"/>
      <c r="H600" s="255"/>
    </row>
    <row r="601" spans="5:8">
      <c r="E601" s="245"/>
      <c r="H601" s="255"/>
    </row>
    <row r="602" spans="5:8">
      <c r="E602" s="245"/>
      <c r="H602" s="255"/>
    </row>
    <row r="603" spans="5:8">
      <c r="E603" s="245"/>
      <c r="H603" s="255"/>
    </row>
    <row r="604" spans="5:8">
      <c r="E604" s="245"/>
      <c r="H604" s="255"/>
    </row>
    <row r="605" spans="5:8">
      <c r="E605" s="245"/>
      <c r="H605" s="255"/>
    </row>
    <row r="606" spans="5:8">
      <c r="E606" s="245"/>
      <c r="H606" s="255"/>
    </row>
    <row r="607" spans="5:8">
      <c r="E607" s="245"/>
      <c r="H607" s="255"/>
    </row>
    <row r="608" spans="5:8">
      <c r="E608" s="245"/>
      <c r="H608" s="255"/>
    </row>
    <row r="609" spans="5:8">
      <c r="E609" s="245"/>
      <c r="H609" s="255"/>
    </row>
    <row r="610" spans="5:8">
      <c r="E610" s="245"/>
      <c r="H610" s="255"/>
    </row>
    <row r="611" spans="5:8">
      <c r="E611" s="245"/>
      <c r="H611" s="255"/>
    </row>
    <row r="612" spans="5:8">
      <c r="E612" s="245"/>
      <c r="H612" s="255"/>
    </row>
    <row r="613" spans="5:8">
      <c r="E613" s="245"/>
      <c r="H613" s="255"/>
    </row>
    <row r="614" spans="5:8">
      <c r="E614" s="245"/>
      <c r="H614" s="255"/>
    </row>
    <row r="615" spans="5:8">
      <c r="E615" s="245"/>
      <c r="H615" s="255"/>
    </row>
    <row r="616" spans="5:8">
      <c r="E616" s="245"/>
      <c r="H616" s="255"/>
    </row>
    <row r="617" spans="5:8">
      <c r="E617" s="245"/>
      <c r="H617" s="255"/>
    </row>
    <row r="618" spans="5:8">
      <c r="E618" s="245"/>
      <c r="H618" s="255"/>
    </row>
    <row r="619" spans="5:8">
      <c r="E619" s="245"/>
      <c r="H619" s="255"/>
    </row>
    <row r="620" spans="5:8">
      <c r="E620" s="245"/>
      <c r="H620" s="255"/>
    </row>
    <row r="621" spans="5:8">
      <c r="E621" s="245"/>
      <c r="H621" s="255"/>
    </row>
    <row r="622" spans="5:8">
      <c r="E622" s="245"/>
      <c r="H622" s="255"/>
    </row>
    <row r="623" spans="5:8">
      <c r="E623" s="245"/>
      <c r="H623" s="255"/>
    </row>
    <row r="624" spans="5:8">
      <c r="E624" s="245"/>
      <c r="H624" s="255"/>
    </row>
    <row r="625" spans="5:8">
      <c r="E625" s="245"/>
      <c r="H625" s="255"/>
    </row>
    <row r="626" spans="5:8">
      <c r="E626" s="245"/>
      <c r="H626" s="255"/>
    </row>
    <row r="627" spans="5:8">
      <c r="E627" s="245"/>
      <c r="H627" s="255"/>
    </row>
    <row r="628" spans="5:8">
      <c r="E628" s="245"/>
      <c r="H628" s="255"/>
    </row>
    <row r="629" spans="5:8">
      <c r="E629" s="245"/>
      <c r="H629" s="255"/>
    </row>
    <row r="630" spans="5:8">
      <c r="E630" s="245"/>
      <c r="H630" s="255"/>
    </row>
    <row r="631" spans="5:8">
      <c r="E631" s="245"/>
      <c r="H631" s="255"/>
    </row>
    <row r="632" spans="5:8">
      <c r="E632" s="245"/>
      <c r="H632" s="255"/>
    </row>
    <row r="633" spans="5:8">
      <c r="E633" s="245"/>
      <c r="H633" s="255"/>
    </row>
    <row r="634" spans="5:8">
      <c r="E634" s="245"/>
      <c r="H634" s="255"/>
    </row>
    <row r="635" spans="5:8">
      <c r="E635" s="245"/>
      <c r="H635" s="255"/>
    </row>
    <row r="636" spans="5:8">
      <c r="E636" s="245"/>
      <c r="H636" s="255"/>
    </row>
    <row r="637" spans="5:8">
      <c r="E637" s="245"/>
      <c r="H637" s="255"/>
    </row>
    <row r="638" spans="5:8">
      <c r="E638" s="245"/>
      <c r="H638" s="255"/>
    </row>
    <row r="639" spans="5:8">
      <c r="E639" s="245"/>
      <c r="H639" s="255"/>
    </row>
    <row r="640" spans="5:8">
      <c r="E640" s="245"/>
      <c r="H640" s="255"/>
    </row>
    <row r="641" spans="5:8">
      <c r="E641" s="245"/>
      <c r="H641" s="255"/>
    </row>
    <row r="642" spans="5:8">
      <c r="E642" s="245"/>
      <c r="H642" s="255"/>
    </row>
    <row r="643" spans="5:8">
      <c r="E643" s="245"/>
      <c r="H643" s="255"/>
    </row>
    <row r="644" spans="5:8">
      <c r="E644" s="245"/>
      <c r="H644" s="255"/>
    </row>
    <row r="645" spans="5:8">
      <c r="E645" s="245"/>
      <c r="H645" s="255"/>
    </row>
    <row r="646" spans="5:8">
      <c r="E646" s="245"/>
      <c r="H646" s="255"/>
    </row>
    <row r="647" spans="5:8">
      <c r="E647" s="245"/>
      <c r="H647" s="255"/>
    </row>
    <row r="648" spans="5:8">
      <c r="E648" s="245"/>
      <c r="H648" s="255"/>
    </row>
    <row r="649" spans="5:8">
      <c r="E649" s="245"/>
      <c r="H649" s="255"/>
    </row>
    <row r="650" spans="5:8">
      <c r="E650" s="245"/>
      <c r="H650" s="255"/>
    </row>
    <row r="651" spans="5:8">
      <c r="E651" s="245"/>
      <c r="H651" s="255"/>
    </row>
    <row r="652" spans="5:8">
      <c r="E652" s="245"/>
      <c r="H652" s="255"/>
    </row>
    <row r="653" spans="5:8">
      <c r="E653" s="245"/>
      <c r="H653" s="255"/>
    </row>
    <row r="654" spans="5:8">
      <c r="E654" s="245"/>
      <c r="H654" s="255"/>
    </row>
    <row r="655" spans="5:8">
      <c r="E655" s="245"/>
      <c r="H655" s="255"/>
    </row>
    <row r="656" spans="5:8">
      <c r="E656" s="245"/>
      <c r="H656" s="255"/>
    </row>
    <row r="657" spans="5:8">
      <c r="E657" s="245"/>
      <c r="H657" s="255"/>
    </row>
    <row r="658" spans="5:8">
      <c r="E658" s="245"/>
      <c r="H658" s="255"/>
    </row>
    <row r="659" spans="5:8">
      <c r="E659" s="245"/>
      <c r="H659" s="255"/>
    </row>
    <row r="660" spans="5:8">
      <c r="E660" s="245"/>
      <c r="H660" s="255"/>
    </row>
    <row r="661" spans="5:8">
      <c r="E661" s="245"/>
      <c r="H661" s="255"/>
    </row>
    <row r="662" spans="5:8">
      <c r="E662" s="245"/>
      <c r="H662" s="255"/>
    </row>
    <row r="663" spans="5:8">
      <c r="E663" s="245"/>
      <c r="H663" s="255"/>
    </row>
    <row r="664" spans="5:8">
      <c r="E664" s="245"/>
      <c r="H664" s="255"/>
    </row>
    <row r="665" spans="5:8">
      <c r="E665" s="245"/>
      <c r="H665" s="255"/>
    </row>
    <row r="666" spans="5:8">
      <c r="E666" s="245"/>
      <c r="H666" s="255"/>
    </row>
    <row r="667" spans="5:8">
      <c r="E667" s="245"/>
      <c r="H667" s="255"/>
    </row>
    <row r="668" spans="5:8">
      <c r="E668" s="245"/>
      <c r="H668" s="255"/>
    </row>
    <row r="669" spans="5:8">
      <c r="E669" s="245"/>
      <c r="H669" s="255"/>
    </row>
    <row r="670" spans="5:8">
      <c r="E670" s="245"/>
      <c r="H670" s="255"/>
    </row>
    <row r="671" spans="5:8">
      <c r="E671" s="245"/>
      <c r="H671" s="255"/>
    </row>
    <row r="672" spans="5:8">
      <c r="E672" s="245"/>
      <c r="H672" s="255"/>
    </row>
    <row r="673" spans="5:8">
      <c r="E673" s="245"/>
      <c r="H673" s="255"/>
    </row>
    <row r="674" spans="5:8">
      <c r="E674" s="245"/>
      <c r="H674" s="255"/>
    </row>
    <row r="675" spans="5:8">
      <c r="E675" s="245"/>
      <c r="H675" s="255"/>
    </row>
    <row r="676" spans="5:8">
      <c r="E676" s="245"/>
      <c r="H676" s="255"/>
    </row>
    <row r="677" spans="5:8">
      <c r="E677" s="245"/>
      <c r="H677" s="255"/>
    </row>
    <row r="678" spans="5:8">
      <c r="E678" s="245"/>
      <c r="H678" s="255"/>
    </row>
    <row r="679" spans="5:8">
      <c r="E679" s="245"/>
      <c r="H679" s="255"/>
    </row>
    <row r="680" spans="5:8">
      <c r="E680" s="245"/>
      <c r="H680" s="255"/>
    </row>
    <row r="681" spans="5:8">
      <c r="E681" s="245"/>
      <c r="H681" s="255"/>
    </row>
    <row r="682" spans="5:8">
      <c r="E682" s="245"/>
      <c r="H682" s="255"/>
    </row>
    <row r="683" spans="5:8">
      <c r="E683" s="245"/>
      <c r="H683" s="255"/>
    </row>
    <row r="684" spans="5:8">
      <c r="E684" s="245"/>
      <c r="H684" s="255"/>
    </row>
    <row r="685" spans="5:8">
      <c r="E685" s="245"/>
      <c r="H685" s="255"/>
    </row>
    <row r="686" spans="5:8">
      <c r="E686" s="245"/>
      <c r="H686" s="255"/>
    </row>
    <row r="687" spans="5:8">
      <c r="E687" s="245"/>
      <c r="H687" s="255"/>
    </row>
    <row r="688" spans="5:8">
      <c r="E688" s="245"/>
      <c r="H688" s="255"/>
    </row>
    <row r="689" spans="5:8">
      <c r="E689" s="245"/>
      <c r="H689" s="255"/>
    </row>
    <row r="690" spans="5:8">
      <c r="E690" s="245"/>
      <c r="H690" s="255"/>
    </row>
    <row r="691" spans="5:8">
      <c r="E691" s="245"/>
      <c r="H691" s="255"/>
    </row>
    <row r="692" spans="5:8">
      <c r="E692" s="245"/>
      <c r="H692" s="255"/>
    </row>
    <row r="693" spans="5:8">
      <c r="E693" s="245"/>
      <c r="H693" s="255"/>
    </row>
    <row r="694" spans="5:8">
      <c r="E694" s="245"/>
      <c r="H694" s="255"/>
    </row>
    <row r="695" spans="5:8">
      <c r="E695" s="245"/>
      <c r="H695" s="255"/>
    </row>
    <row r="696" spans="5:8">
      <c r="E696" s="245"/>
      <c r="H696" s="255"/>
    </row>
    <row r="697" spans="5:8">
      <c r="E697" s="245"/>
      <c r="H697" s="255"/>
    </row>
    <row r="698" spans="5:8">
      <c r="E698" s="245"/>
      <c r="H698" s="255"/>
    </row>
    <row r="699" spans="5:8">
      <c r="E699" s="245"/>
      <c r="H699" s="255"/>
    </row>
    <row r="700" spans="5:8">
      <c r="E700" s="245"/>
      <c r="H700" s="255"/>
    </row>
    <row r="701" spans="5:8">
      <c r="E701" s="245"/>
      <c r="H701" s="255"/>
    </row>
    <row r="702" spans="5:8">
      <c r="E702" s="245"/>
      <c r="H702" s="255"/>
    </row>
    <row r="703" spans="5:8">
      <c r="E703" s="245"/>
      <c r="H703" s="255"/>
    </row>
    <row r="704" spans="5:8">
      <c r="E704" s="245"/>
      <c r="H704" s="255"/>
    </row>
    <row r="705" spans="5:8">
      <c r="E705" s="245"/>
      <c r="H705" s="255"/>
    </row>
    <row r="706" spans="5:8">
      <c r="E706" s="245"/>
      <c r="H706" s="255"/>
    </row>
    <row r="707" spans="5:8">
      <c r="E707" s="245"/>
      <c r="H707" s="255"/>
    </row>
    <row r="708" spans="5:8">
      <c r="E708" s="245"/>
      <c r="H708" s="255"/>
    </row>
    <row r="709" spans="5:8">
      <c r="E709" s="245"/>
      <c r="H709" s="255"/>
    </row>
    <row r="710" spans="5:8">
      <c r="E710" s="245"/>
      <c r="H710" s="255"/>
    </row>
    <row r="711" spans="5:8">
      <c r="E711" s="245"/>
      <c r="H711" s="255"/>
    </row>
    <row r="712" spans="5:8">
      <c r="E712" s="245"/>
      <c r="H712" s="255"/>
    </row>
    <row r="713" spans="5:8">
      <c r="E713" s="245"/>
      <c r="H713" s="255"/>
    </row>
    <row r="714" spans="5:8">
      <c r="E714" s="245"/>
      <c r="H714" s="255"/>
    </row>
    <row r="715" spans="5:8">
      <c r="E715" s="245"/>
      <c r="H715" s="255"/>
    </row>
    <row r="716" spans="5:8">
      <c r="E716" s="245"/>
      <c r="H716" s="255"/>
    </row>
    <row r="717" spans="5:8">
      <c r="E717" s="245"/>
      <c r="H717" s="255"/>
    </row>
    <row r="718" spans="5:8">
      <c r="E718" s="245"/>
      <c r="H718" s="255"/>
    </row>
    <row r="719" spans="5:8">
      <c r="E719" s="245"/>
      <c r="H719" s="255"/>
    </row>
    <row r="720" spans="5:8">
      <c r="E720" s="245"/>
      <c r="H720" s="255"/>
    </row>
    <row r="721" spans="5:8">
      <c r="E721" s="245"/>
      <c r="H721" s="255"/>
    </row>
    <row r="722" spans="5:8">
      <c r="E722" s="245"/>
      <c r="H722" s="255"/>
    </row>
    <row r="723" spans="5:8">
      <c r="E723" s="245"/>
      <c r="H723" s="255"/>
    </row>
    <row r="724" spans="5:8">
      <c r="E724" s="245"/>
      <c r="H724" s="255"/>
    </row>
    <row r="725" spans="5:8">
      <c r="E725" s="245"/>
      <c r="H725" s="255"/>
    </row>
    <row r="726" spans="5:8">
      <c r="E726" s="245"/>
      <c r="H726" s="255"/>
    </row>
    <row r="727" spans="5:8">
      <c r="E727" s="245"/>
      <c r="H727" s="255"/>
    </row>
    <row r="728" spans="5:8">
      <c r="E728" s="245"/>
      <c r="H728" s="255"/>
    </row>
    <row r="729" spans="5:8">
      <c r="E729" s="245"/>
      <c r="H729" s="255"/>
    </row>
    <row r="730" spans="5:8">
      <c r="E730" s="245"/>
      <c r="H730" s="255"/>
    </row>
    <row r="731" spans="5:8">
      <c r="E731" s="245"/>
      <c r="H731" s="255"/>
    </row>
    <row r="732" spans="5:8">
      <c r="E732" s="245"/>
      <c r="H732" s="255"/>
    </row>
    <row r="733" spans="5:8">
      <c r="E733" s="245"/>
      <c r="H733" s="255"/>
    </row>
    <row r="734" spans="5:8">
      <c r="E734" s="245"/>
      <c r="H734" s="255"/>
    </row>
    <row r="735" spans="5:8">
      <c r="E735" s="245"/>
      <c r="H735" s="255"/>
    </row>
    <row r="736" spans="5:8">
      <c r="E736" s="245"/>
      <c r="H736" s="255"/>
    </row>
    <row r="737" spans="5:8">
      <c r="E737" s="245"/>
      <c r="H737" s="255"/>
    </row>
    <row r="738" spans="5:8">
      <c r="E738" s="245"/>
      <c r="H738" s="255"/>
    </row>
    <row r="739" spans="5:8">
      <c r="E739" s="245"/>
      <c r="H739" s="255"/>
    </row>
    <row r="740" spans="5:8">
      <c r="E740" s="245"/>
      <c r="H740" s="255"/>
    </row>
    <row r="741" spans="5:8">
      <c r="E741" s="245"/>
      <c r="H741" s="255"/>
    </row>
    <row r="742" spans="5:8">
      <c r="E742" s="245"/>
      <c r="H742" s="255"/>
    </row>
    <row r="743" spans="5:8">
      <c r="E743" s="245"/>
      <c r="H743" s="255"/>
    </row>
    <row r="744" spans="5:8">
      <c r="E744" s="245"/>
      <c r="H744" s="255"/>
    </row>
    <row r="745" spans="5:8">
      <c r="E745" s="245"/>
      <c r="H745" s="255"/>
    </row>
    <row r="746" spans="5:8">
      <c r="E746" s="245"/>
      <c r="H746" s="255"/>
    </row>
    <row r="747" spans="5:8">
      <c r="E747" s="245"/>
      <c r="H747" s="255"/>
    </row>
    <row r="748" spans="5:8">
      <c r="E748" s="245"/>
      <c r="H748" s="255"/>
    </row>
    <row r="749" spans="5:8">
      <c r="E749" s="245"/>
      <c r="H749" s="255"/>
    </row>
    <row r="750" spans="5:8">
      <c r="E750" s="245"/>
      <c r="H750" s="255"/>
    </row>
    <row r="751" spans="5:8">
      <c r="E751" s="245"/>
      <c r="H751" s="255"/>
    </row>
    <row r="752" spans="5:8">
      <c r="E752" s="245"/>
      <c r="H752" s="255"/>
    </row>
    <row r="753" spans="5:8">
      <c r="E753" s="245"/>
      <c r="H753" s="255"/>
    </row>
    <row r="754" spans="5:8">
      <c r="E754" s="245"/>
      <c r="H754" s="255"/>
    </row>
    <row r="755" spans="5:8">
      <c r="E755" s="245"/>
      <c r="H755" s="255"/>
    </row>
    <row r="756" spans="5:8">
      <c r="E756" s="245"/>
      <c r="H756" s="255"/>
    </row>
    <row r="757" spans="5:8">
      <c r="E757" s="245"/>
      <c r="H757" s="255"/>
    </row>
    <row r="758" spans="5:8">
      <c r="E758" s="245"/>
      <c r="H758" s="255"/>
    </row>
    <row r="759" spans="5:8">
      <c r="E759" s="245"/>
      <c r="H759" s="255"/>
    </row>
    <row r="760" spans="5:8">
      <c r="E760" s="245"/>
      <c r="H760" s="255"/>
    </row>
    <row r="761" spans="5:8">
      <c r="E761" s="245"/>
      <c r="H761" s="255"/>
    </row>
    <row r="762" spans="5:8">
      <c r="E762" s="245"/>
      <c r="H762" s="255"/>
    </row>
    <row r="763" spans="5:8">
      <c r="E763" s="245"/>
      <c r="H763" s="255"/>
    </row>
    <row r="764" spans="5:8">
      <c r="E764" s="245"/>
      <c r="H764" s="255"/>
    </row>
    <row r="765" spans="5:8">
      <c r="E765" s="245"/>
      <c r="H765" s="255"/>
    </row>
    <row r="766" spans="5:8">
      <c r="E766" s="245"/>
      <c r="H766" s="255"/>
    </row>
    <row r="767" spans="5:8">
      <c r="E767" s="245"/>
      <c r="H767" s="255"/>
    </row>
    <row r="768" spans="5:8">
      <c r="E768" s="245"/>
      <c r="H768" s="255"/>
    </row>
    <row r="769" spans="5:8">
      <c r="E769" s="245"/>
      <c r="H769" s="255"/>
    </row>
    <row r="770" spans="5:8">
      <c r="E770" s="245"/>
      <c r="H770" s="255"/>
    </row>
    <row r="771" spans="5:8">
      <c r="E771" s="245"/>
      <c r="H771" s="255"/>
    </row>
    <row r="772" spans="5:8">
      <c r="E772" s="245"/>
      <c r="H772" s="255"/>
    </row>
    <row r="773" spans="5:8">
      <c r="E773" s="245"/>
      <c r="H773" s="255"/>
    </row>
    <row r="774" spans="5:8">
      <c r="E774" s="245"/>
      <c r="H774" s="255"/>
    </row>
    <row r="775" spans="5:8">
      <c r="E775" s="245"/>
      <c r="H775" s="255"/>
    </row>
    <row r="776" spans="5:8">
      <c r="E776" s="245"/>
      <c r="H776" s="255"/>
    </row>
    <row r="777" spans="5:8">
      <c r="E777" s="245"/>
      <c r="H777" s="255"/>
    </row>
    <row r="778" spans="5:8">
      <c r="E778" s="245"/>
      <c r="H778" s="255"/>
    </row>
    <row r="779" spans="5:8">
      <c r="E779" s="245"/>
      <c r="H779" s="255"/>
    </row>
    <row r="780" spans="5:8">
      <c r="E780" s="245"/>
      <c r="H780" s="255"/>
    </row>
    <row r="781" spans="5:8">
      <c r="E781" s="245"/>
      <c r="H781" s="255"/>
    </row>
    <row r="782" spans="5:8">
      <c r="E782" s="245"/>
      <c r="H782" s="255"/>
    </row>
    <row r="783" spans="5:8">
      <c r="E783" s="245"/>
      <c r="H783" s="255"/>
    </row>
    <row r="784" spans="5:8">
      <c r="E784" s="245"/>
      <c r="H784" s="255"/>
    </row>
    <row r="785" spans="5:8">
      <c r="E785" s="245"/>
      <c r="H785" s="255"/>
    </row>
    <row r="786" spans="5:8">
      <c r="E786" s="245"/>
      <c r="H786" s="255"/>
    </row>
    <row r="787" spans="5:8">
      <c r="E787" s="245"/>
      <c r="H787" s="255"/>
    </row>
    <row r="788" spans="5:8">
      <c r="E788" s="245"/>
      <c r="H788" s="255"/>
    </row>
    <row r="789" spans="5:8">
      <c r="E789" s="245"/>
      <c r="H789" s="255"/>
    </row>
    <row r="790" spans="5:8">
      <c r="E790" s="245"/>
      <c r="H790" s="255"/>
    </row>
    <row r="791" spans="5:8">
      <c r="E791" s="245"/>
      <c r="H791" s="255"/>
    </row>
    <row r="792" spans="5:8">
      <c r="E792" s="245"/>
      <c r="H792" s="255"/>
    </row>
    <row r="793" spans="5:8">
      <c r="E793" s="245"/>
      <c r="H793" s="255"/>
    </row>
    <row r="794" spans="5:8">
      <c r="E794" s="245"/>
      <c r="H794" s="255"/>
    </row>
    <row r="795" spans="5:8">
      <c r="E795" s="245"/>
      <c r="H795" s="255"/>
    </row>
    <row r="796" spans="5:8">
      <c r="E796" s="245"/>
      <c r="H796" s="255"/>
    </row>
    <row r="797" spans="5:8">
      <c r="E797" s="245"/>
      <c r="H797" s="255"/>
    </row>
    <row r="798" spans="5:8">
      <c r="E798" s="245"/>
      <c r="H798" s="255"/>
    </row>
    <row r="799" spans="5:8">
      <c r="E799" s="245"/>
      <c r="H799" s="255"/>
    </row>
    <row r="800" spans="5:8">
      <c r="E800" s="245"/>
      <c r="H800" s="255"/>
    </row>
    <row r="801" spans="5:8">
      <c r="E801" s="245"/>
      <c r="H801" s="255"/>
    </row>
    <row r="802" spans="5:8">
      <c r="E802" s="245"/>
      <c r="H802" s="255"/>
    </row>
    <row r="803" spans="5:8">
      <c r="E803" s="245"/>
      <c r="H803" s="255"/>
    </row>
    <row r="804" spans="5:8">
      <c r="E804" s="245"/>
      <c r="H804" s="255"/>
    </row>
    <row r="805" spans="5:8">
      <c r="E805" s="245"/>
      <c r="H805" s="255"/>
    </row>
    <row r="806" spans="5:8">
      <c r="E806" s="245"/>
      <c r="H806" s="255"/>
    </row>
    <row r="807" spans="5:8">
      <c r="E807" s="245"/>
      <c r="H807" s="255"/>
    </row>
    <row r="808" spans="5:8">
      <c r="E808" s="245"/>
      <c r="H808" s="255"/>
    </row>
    <row r="809" spans="5:8">
      <c r="E809" s="245"/>
      <c r="H809" s="255"/>
    </row>
    <row r="810" spans="5:8">
      <c r="E810" s="245"/>
      <c r="H810" s="255"/>
    </row>
    <row r="811" spans="5:8">
      <c r="E811" s="245"/>
      <c r="H811" s="255"/>
    </row>
    <row r="812" spans="5:8">
      <c r="E812" s="245"/>
      <c r="H812" s="255"/>
    </row>
    <row r="813" spans="5:8">
      <c r="E813" s="245"/>
      <c r="H813" s="255"/>
    </row>
    <row r="814" spans="5:8">
      <c r="E814" s="245"/>
      <c r="H814" s="255"/>
    </row>
    <row r="815" spans="5:8">
      <c r="E815" s="245"/>
      <c r="H815" s="255"/>
    </row>
    <row r="816" spans="5:8">
      <c r="E816" s="245"/>
      <c r="H816" s="255"/>
    </row>
    <row r="817" spans="5:8">
      <c r="E817" s="245"/>
      <c r="H817" s="255"/>
    </row>
    <row r="818" spans="5:8">
      <c r="E818" s="245"/>
      <c r="H818" s="255"/>
    </row>
    <row r="819" spans="5:8">
      <c r="E819" s="245"/>
      <c r="H819" s="255"/>
    </row>
    <row r="820" spans="5:8">
      <c r="E820" s="245"/>
      <c r="H820" s="255"/>
    </row>
    <row r="821" spans="5:8">
      <c r="E821" s="245"/>
      <c r="H821" s="255"/>
    </row>
    <row r="822" spans="5:8">
      <c r="E822" s="245"/>
      <c r="H822" s="255"/>
    </row>
    <row r="823" spans="5:8">
      <c r="E823" s="245"/>
      <c r="H823" s="255"/>
    </row>
    <row r="824" spans="5:8">
      <c r="E824" s="245"/>
      <c r="H824" s="255"/>
    </row>
    <row r="825" spans="5:8">
      <c r="E825" s="245"/>
      <c r="H825" s="255"/>
    </row>
    <row r="826" spans="5:8">
      <c r="E826" s="245"/>
      <c r="H826" s="255"/>
    </row>
    <row r="827" spans="5:8">
      <c r="E827" s="245"/>
      <c r="H827" s="255"/>
    </row>
    <row r="828" spans="5:8">
      <c r="E828" s="245"/>
      <c r="H828" s="255"/>
    </row>
    <row r="829" spans="5:8">
      <c r="E829" s="245"/>
      <c r="H829" s="255"/>
    </row>
    <row r="830" spans="5:8">
      <c r="E830" s="245"/>
      <c r="H830" s="255"/>
    </row>
    <row r="831" spans="5:8">
      <c r="E831" s="245"/>
      <c r="H831" s="255"/>
    </row>
    <row r="832" spans="5:8">
      <c r="E832" s="245"/>
      <c r="H832" s="255"/>
    </row>
    <row r="833" spans="5:8">
      <c r="E833" s="245"/>
      <c r="H833" s="255"/>
    </row>
    <row r="834" spans="5:8">
      <c r="E834" s="245"/>
      <c r="H834" s="255"/>
    </row>
    <row r="835" spans="5:8">
      <c r="E835" s="245"/>
      <c r="H835" s="255"/>
    </row>
    <row r="836" spans="5:8">
      <c r="E836" s="245"/>
      <c r="H836" s="255"/>
    </row>
    <row r="837" spans="5:8">
      <c r="E837" s="245"/>
      <c r="H837" s="255"/>
    </row>
    <row r="838" spans="5:8">
      <c r="E838" s="245"/>
      <c r="H838" s="255"/>
    </row>
    <row r="839" spans="5:8">
      <c r="E839" s="245"/>
      <c r="H839" s="255"/>
    </row>
    <row r="840" spans="5:8">
      <c r="E840" s="245"/>
      <c r="H840" s="255"/>
    </row>
    <row r="841" spans="5:8">
      <c r="E841" s="245"/>
      <c r="H841" s="255"/>
    </row>
    <row r="842" spans="5:8">
      <c r="E842" s="245"/>
      <c r="H842" s="255"/>
    </row>
    <row r="843" spans="5:8">
      <c r="E843" s="245"/>
      <c r="H843" s="255"/>
    </row>
    <row r="844" spans="5:8">
      <c r="E844" s="245"/>
      <c r="H844" s="255"/>
    </row>
    <row r="845" spans="5:8">
      <c r="E845" s="245"/>
      <c r="H845" s="255"/>
    </row>
    <row r="846" spans="5:8">
      <c r="E846" s="245"/>
      <c r="H846" s="255"/>
    </row>
    <row r="847" spans="5:8">
      <c r="E847" s="245"/>
      <c r="H847" s="255"/>
    </row>
    <row r="848" spans="5:8">
      <c r="E848" s="245"/>
      <c r="H848" s="255"/>
    </row>
    <row r="849" spans="5:8">
      <c r="E849" s="245"/>
      <c r="H849" s="255"/>
    </row>
    <row r="850" spans="5:8">
      <c r="E850" s="245"/>
      <c r="H850" s="255"/>
    </row>
    <row r="851" spans="5:8">
      <c r="E851" s="245"/>
      <c r="H851" s="255"/>
    </row>
    <row r="852" spans="5:8">
      <c r="E852" s="245"/>
      <c r="H852" s="255"/>
    </row>
    <row r="853" spans="5:8">
      <c r="E853" s="245"/>
      <c r="H853" s="255"/>
    </row>
    <row r="854" spans="5:8">
      <c r="E854" s="245"/>
      <c r="H854" s="255"/>
    </row>
    <row r="855" spans="5:8">
      <c r="E855" s="245"/>
      <c r="H855" s="255"/>
    </row>
    <row r="856" spans="5:8">
      <c r="E856" s="245"/>
      <c r="H856" s="255"/>
    </row>
    <row r="857" spans="5:8">
      <c r="E857" s="245"/>
      <c r="H857" s="255"/>
    </row>
    <row r="858" spans="5:8">
      <c r="E858" s="245"/>
      <c r="H858" s="255"/>
    </row>
    <row r="859" spans="5:8">
      <c r="E859" s="245"/>
      <c r="H859" s="255"/>
    </row>
    <row r="860" spans="5:8">
      <c r="E860" s="245"/>
      <c r="H860" s="255"/>
    </row>
    <row r="861" spans="5:8">
      <c r="E861" s="245"/>
      <c r="H861" s="255"/>
    </row>
    <row r="862" spans="5:8">
      <c r="E862" s="245"/>
      <c r="H862" s="255"/>
    </row>
    <row r="863" spans="5:8">
      <c r="E863" s="245"/>
      <c r="H863" s="255"/>
    </row>
    <row r="864" spans="5:8">
      <c r="E864" s="245"/>
      <c r="H864" s="255"/>
    </row>
    <row r="865" spans="5:8">
      <c r="E865" s="245"/>
      <c r="H865" s="255"/>
    </row>
    <row r="866" spans="5:8">
      <c r="E866" s="245"/>
      <c r="H866" s="255"/>
    </row>
    <row r="867" spans="5:8">
      <c r="E867" s="245"/>
      <c r="H867" s="255"/>
    </row>
    <row r="868" spans="5:8">
      <c r="E868" s="245"/>
      <c r="H868" s="255"/>
    </row>
    <row r="869" spans="5:8">
      <c r="E869" s="245"/>
      <c r="H869" s="255"/>
    </row>
    <row r="870" spans="5:8">
      <c r="E870" s="245"/>
      <c r="H870" s="255"/>
    </row>
    <row r="871" spans="5:8">
      <c r="E871" s="245"/>
      <c r="H871" s="255"/>
    </row>
    <row r="872" spans="5:8">
      <c r="E872" s="245"/>
      <c r="H872" s="255"/>
    </row>
    <row r="873" spans="5:8">
      <c r="E873" s="245"/>
      <c r="H873" s="255"/>
    </row>
    <row r="874" spans="5:8">
      <c r="E874" s="245"/>
      <c r="H874" s="255"/>
    </row>
    <row r="875" spans="5:8">
      <c r="E875" s="245"/>
      <c r="H875" s="255"/>
    </row>
    <row r="876" spans="5:8">
      <c r="E876" s="245"/>
      <c r="H876" s="255"/>
    </row>
    <row r="877" spans="5:8">
      <c r="E877" s="245"/>
      <c r="H877" s="255"/>
    </row>
    <row r="878" spans="5:8">
      <c r="E878" s="245"/>
      <c r="H878" s="255"/>
    </row>
    <row r="879" spans="5:8">
      <c r="E879" s="245"/>
      <c r="H879" s="255"/>
    </row>
    <row r="880" spans="5:8">
      <c r="E880" s="245"/>
      <c r="H880" s="255"/>
    </row>
    <row r="881" spans="5:8">
      <c r="E881" s="245"/>
      <c r="H881" s="255"/>
    </row>
    <row r="882" spans="5:8">
      <c r="E882" s="245"/>
      <c r="H882" s="255"/>
    </row>
    <row r="883" spans="5:8">
      <c r="E883" s="245"/>
      <c r="H883" s="255"/>
    </row>
    <row r="884" spans="5:8">
      <c r="E884" s="245"/>
      <c r="H884" s="255"/>
    </row>
    <row r="885" spans="5:8">
      <c r="E885" s="245"/>
      <c r="H885" s="255"/>
    </row>
    <row r="886" spans="5:8">
      <c r="E886" s="245"/>
      <c r="H886" s="255"/>
    </row>
    <row r="887" spans="5:8">
      <c r="E887" s="245"/>
      <c r="H887" s="255"/>
    </row>
    <row r="888" spans="5:8">
      <c r="E888" s="245"/>
      <c r="H888" s="255"/>
    </row>
    <row r="889" spans="5:8">
      <c r="E889" s="245"/>
      <c r="H889" s="255"/>
    </row>
    <row r="890" spans="5:8">
      <c r="E890" s="245"/>
      <c r="H890" s="255"/>
    </row>
    <row r="891" spans="5:8">
      <c r="E891" s="245"/>
      <c r="H891" s="255"/>
    </row>
    <row r="892" spans="5:8">
      <c r="E892" s="245"/>
      <c r="H892" s="255"/>
    </row>
    <row r="893" spans="5:8">
      <c r="E893" s="245"/>
      <c r="H893" s="255"/>
    </row>
    <row r="894" spans="5:8">
      <c r="E894" s="245"/>
      <c r="H894" s="255"/>
    </row>
    <row r="895" spans="5:8">
      <c r="E895" s="245"/>
      <c r="H895" s="255"/>
    </row>
    <row r="896" spans="5:8">
      <c r="E896" s="245"/>
      <c r="H896" s="255"/>
    </row>
    <row r="897" spans="5:8">
      <c r="E897" s="245"/>
      <c r="H897" s="255"/>
    </row>
    <row r="898" spans="5:8">
      <c r="E898" s="245"/>
      <c r="H898" s="255"/>
    </row>
    <row r="899" spans="5:8">
      <c r="E899" s="245"/>
      <c r="H899" s="255"/>
    </row>
    <row r="900" spans="5:8">
      <c r="E900" s="245"/>
      <c r="H900" s="255"/>
    </row>
    <row r="901" spans="5:8">
      <c r="E901" s="245"/>
      <c r="H901" s="255"/>
    </row>
    <row r="902" spans="5:8">
      <c r="E902" s="245"/>
      <c r="H902" s="255"/>
    </row>
    <row r="903" spans="5:8">
      <c r="E903" s="245"/>
      <c r="H903" s="255"/>
    </row>
    <row r="904" spans="5:8">
      <c r="E904" s="245"/>
      <c r="H904" s="255"/>
    </row>
    <row r="905" spans="5:8">
      <c r="E905" s="245"/>
      <c r="H905" s="255"/>
    </row>
    <row r="906" spans="5:8">
      <c r="E906" s="245"/>
      <c r="H906" s="255"/>
    </row>
    <row r="907" spans="5:8">
      <c r="E907" s="245"/>
      <c r="H907" s="255"/>
    </row>
    <row r="908" spans="5:8">
      <c r="E908" s="245"/>
      <c r="H908" s="255"/>
    </row>
    <row r="909" spans="5:8">
      <c r="E909" s="245"/>
      <c r="H909" s="255"/>
    </row>
    <row r="910" spans="5:8">
      <c r="E910" s="245"/>
      <c r="H910" s="255"/>
    </row>
    <row r="911" spans="5:8">
      <c r="E911" s="245"/>
      <c r="H911" s="255"/>
    </row>
    <row r="912" spans="5:8">
      <c r="E912" s="245"/>
      <c r="H912" s="255"/>
    </row>
    <row r="913" spans="5:8">
      <c r="E913" s="245"/>
      <c r="H913" s="255"/>
    </row>
    <row r="914" spans="5:8">
      <c r="E914" s="245"/>
      <c r="H914" s="255"/>
    </row>
    <row r="915" spans="5:8">
      <c r="E915" s="245"/>
      <c r="H915" s="255"/>
    </row>
    <row r="916" spans="5:8">
      <c r="E916" s="245"/>
      <c r="H916" s="255"/>
    </row>
    <row r="917" spans="5:8">
      <c r="E917" s="245"/>
      <c r="H917" s="255"/>
    </row>
    <row r="918" spans="5:8">
      <c r="E918" s="245"/>
      <c r="H918" s="255"/>
    </row>
    <row r="919" spans="5:8">
      <c r="E919" s="245"/>
      <c r="H919" s="255"/>
    </row>
    <row r="920" spans="5:8">
      <c r="E920" s="245"/>
      <c r="H920" s="255"/>
    </row>
    <row r="921" spans="5:8">
      <c r="E921" s="245"/>
      <c r="H921" s="255"/>
    </row>
    <row r="922" spans="5:8">
      <c r="E922" s="245"/>
      <c r="H922" s="255"/>
    </row>
    <row r="923" spans="5:8">
      <c r="E923" s="245"/>
      <c r="H923" s="255"/>
    </row>
    <row r="924" spans="5:8">
      <c r="E924" s="245"/>
      <c r="H924" s="255"/>
    </row>
    <row r="925" spans="5:8">
      <c r="E925" s="245"/>
      <c r="H925" s="255"/>
    </row>
    <row r="926" spans="5:8">
      <c r="E926" s="245"/>
      <c r="H926" s="255"/>
    </row>
    <row r="927" spans="5:8">
      <c r="E927" s="245"/>
      <c r="H927" s="255"/>
    </row>
    <row r="928" spans="5:8">
      <c r="E928" s="245"/>
      <c r="H928" s="255"/>
    </row>
    <row r="929" spans="5:8">
      <c r="E929" s="245"/>
      <c r="H929" s="255"/>
    </row>
    <row r="930" spans="5:8">
      <c r="E930" s="245"/>
      <c r="H930" s="255"/>
    </row>
    <row r="931" spans="5:8">
      <c r="E931" s="245"/>
      <c r="H931" s="255"/>
    </row>
    <row r="932" spans="5:8">
      <c r="E932" s="245"/>
      <c r="H932" s="255"/>
    </row>
    <row r="933" spans="5:8">
      <c r="E933" s="245"/>
      <c r="H933" s="255"/>
    </row>
    <row r="934" spans="5:8">
      <c r="E934" s="245"/>
      <c r="H934" s="255"/>
    </row>
    <row r="935" spans="5:8">
      <c r="E935" s="245"/>
      <c r="H935" s="255"/>
    </row>
    <row r="936" spans="5:8">
      <c r="E936" s="245"/>
      <c r="H936" s="255"/>
    </row>
    <row r="937" spans="5:8">
      <c r="E937" s="245"/>
      <c r="H937" s="255"/>
    </row>
    <row r="938" spans="5:8">
      <c r="E938" s="245"/>
      <c r="H938" s="255"/>
    </row>
    <row r="939" spans="5:8">
      <c r="E939" s="245"/>
      <c r="H939" s="255"/>
    </row>
    <row r="940" spans="5:8">
      <c r="E940" s="245"/>
      <c r="H940" s="255"/>
    </row>
    <row r="941" spans="5:8">
      <c r="E941" s="245"/>
      <c r="H941" s="255"/>
    </row>
    <row r="942" spans="5:8">
      <c r="E942" s="245"/>
      <c r="H942" s="255"/>
    </row>
    <row r="943" spans="5:8">
      <c r="E943" s="245"/>
      <c r="H943" s="255"/>
    </row>
    <row r="944" spans="5:8">
      <c r="E944" s="245"/>
      <c r="H944" s="255"/>
    </row>
    <row r="945" spans="5:8">
      <c r="E945" s="245"/>
      <c r="H945" s="255"/>
    </row>
    <row r="946" spans="5:8">
      <c r="E946" s="245"/>
      <c r="H946" s="255"/>
    </row>
    <row r="947" spans="5:8">
      <c r="E947" s="245"/>
      <c r="H947" s="255"/>
    </row>
    <row r="948" spans="5:8">
      <c r="E948" s="245"/>
      <c r="H948" s="255"/>
    </row>
    <row r="949" spans="5:8">
      <c r="E949" s="245"/>
      <c r="H949" s="255"/>
    </row>
    <row r="950" spans="5:8">
      <c r="E950" s="245"/>
      <c r="H950" s="255"/>
    </row>
    <row r="951" spans="5:8">
      <c r="E951" s="245"/>
      <c r="H951" s="255"/>
    </row>
    <row r="952" spans="5:8">
      <c r="E952" s="245"/>
      <c r="H952" s="255"/>
    </row>
    <row r="953" spans="5:8">
      <c r="E953" s="245"/>
      <c r="H953" s="255"/>
    </row>
    <row r="954" spans="5:8">
      <c r="E954" s="245"/>
      <c r="H954" s="255"/>
    </row>
    <row r="955" spans="5:8">
      <c r="E955" s="245"/>
      <c r="H955" s="255"/>
    </row>
    <row r="956" spans="5:8">
      <c r="E956" s="245"/>
      <c r="H956" s="255"/>
    </row>
    <row r="957" spans="5:8">
      <c r="E957" s="245"/>
      <c r="H957" s="255"/>
    </row>
    <row r="958" spans="5:8">
      <c r="E958" s="245"/>
      <c r="H958" s="255"/>
    </row>
    <row r="959" spans="5:8">
      <c r="E959" s="245"/>
      <c r="H959" s="255"/>
    </row>
    <row r="960" spans="5:8">
      <c r="E960" s="245"/>
      <c r="H960" s="255"/>
    </row>
    <row r="961" spans="5:8">
      <c r="E961" s="245"/>
      <c r="H961" s="255"/>
    </row>
    <row r="962" spans="5:8">
      <c r="E962" s="245"/>
      <c r="H962" s="255"/>
    </row>
    <row r="963" spans="5:8">
      <c r="E963" s="245"/>
      <c r="H963" s="255"/>
    </row>
    <row r="964" spans="5:8">
      <c r="E964" s="245"/>
      <c r="H964" s="255"/>
    </row>
    <row r="965" spans="5:8">
      <c r="E965" s="245"/>
      <c r="H965" s="255"/>
    </row>
    <row r="966" spans="5:8">
      <c r="E966" s="245"/>
      <c r="H966" s="255"/>
    </row>
    <row r="967" spans="5:8">
      <c r="E967" s="245"/>
      <c r="H967" s="255"/>
    </row>
    <row r="968" spans="5:8">
      <c r="E968" s="245"/>
      <c r="H968" s="255"/>
    </row>
    <row r="969" spans="5:8">
      <c r="E969" s="245"/>
      <c r="H969" s="255"/>
    </row>
    <row r="970" spans="5:8">
      <c r="E970" s="245"/>
      <c r="H970" s="255"/>
    </row>
    <row r="971" spans="5:8">
      <c r="E971" s="245"/>
      <c r="H971" s="255"/>
    </row>
    <row r="972" spans="5:8">
      <c r="E972" s="245"/>
      <c r="H972" s="255"/>
    </row>
    <row r="973" spans="5:8">
      <c r="E973" s="245"/>
      <c r="H973" s="255"/>
    </row>
    <row r="974" spans="5:8">
      <c r="E974" s="245"/>
      <c r="H974" s="255"/>
    </row>
    <row r="975" spans="5:8">
      <c r="E975" s="245"/>
      <c r="H975" s="255"/>
    </row>
    <row r="976" spans="5:8">
      <c r="E976" s="245"/>
      <c r="H976" s="255"/>
    </row>
    <row r="977" spans="5:8">
      <c r="E977" s="245"/>
      <c r="H977" s="255"/>
    </row>
    <row r="978" spans="5:8">
      <c r="E978" s="245"/>
      <c r="H978" s="255"/>
    </row>
    <row r="979" spans="5:8">
      <c r="E979" s="245"/>
      <c r="H979" s="255"/>
    </row>
    <row r="980" spans="5:8">
      <c r="E980" s="245"/>
      <c r="H980" s="255"/>
    </row>
    <row r="981" spans="5:8">
      <c r="E981" s="245"/>
      <c r="H981" s="255"/>
    </row>
    <row r="982" spans="5:8">
      <c r="E982" s="245"/>
      <c r="H982" s="255"/>
    </row>
    <row r="983" spans="5:8">
      <c r="E983" s="245"/>
      <c r="H983" s="255"/>
    </row>
    <row r="984" spans="5:8">
      <c r="E984" s="245"/>
      <c r="H984" s="255"/>
    </row>
    <row r="985" spans="5:8">
      <c r="E985" s="245"/>
      <c r="H985" s="255"/>
    </row>
    <row r="986" spans="5:8">
      <c r="E986" s="245"/>
      <c r="H986" s="255"/>
    </row>
    <row r="987" spans="5:8">
      <c r="E987" s="245"/>
      <c r="H987" s="255"/>
    </row>
    <row r="988" spans="5:8">
      <c r="E988" s="245"/>
      <c r="H988" s="255"/>
    </row>
    <row r="989" spans="5:8">
      <c r="E989" s="245"/>
      <c r="H989" s="255"/>
    </row>
    <row r="990" spans="5:8">
      <c r="E990" s="245"/>
      <c r="H990" s="255"/>
    </row>
    <row r="991" spans="5:8">
      <c r="E991" s="245"/>
      <c r="H991" s="255"/>
    </row>
    <row r="992" spans="5:8">
      <c r="E992" s="245"/>
      <c r="H992" s="255"/>
    </row>
    <row r="993" spans="5:8">
      <c r="E993" s="245"/>
      <c r="H993" s="255"/>
    </row>
    <row r="994" spans="5:8">
      <c r="E994" s="245"/>
      <c r="H994" s="255"/>
    </row>
    <row r="995" spans="5:8">
      <c r="E995" s="245"/>
      <c r="H995" s="255"/>
    </row>
    <row r="996" spans="5:8">
      <c r="E996" s="245"/>
      <c r="H996" s="255"/>
    </row>
    <row r="997" spans="5:8">
      <c r="E997" s="245"/>
      <c r="H997" s="255"/>
    </row>
    <row r="998" spans="5:8">
      <c r="E998" s="245"/>
      <c r="H998" s="255"/>
    </row>
    <row r="999" spans="5:8">
      <c r="E999" s="245"/>
      <c r="H999" s="255"/>
    </row>
    <row r="1000" spans="5:8">
      <c r="E1000" s="245"/>
      <c r="H1000" s="255"/>
    </row>
    <row r="1001" spans="5:8">
      <c r="E1001" s="245"/>
      <c r="H1001" s="255"/>
    </row>
    <row r="1002" spans="5:8">
      <c r="E1002" s="245"/>
      <c r="H1002" s="255"/>
    </row>
    <row r="1003" spans="5:8">
      <c r="E1003" s="245"/>
      <c r="H1003" s="255"/>
    </row>
    <row r="1004" spans="5:8">
      <c r="E1004" s="245"/>
      <c r="H1004" s="255"/>
    </row>
    <row r="1005" spans="5:8">
      <c r="E1005" s="245"/>
      <c r="H1005" s="255"/>
    </row>
    <row r="1006" spans="5:8">
      <c r="E1006" s="245"/>
      <c r="H1006" s="255"/>
    </row>
    <row r="1007" spans="5:8">
      <c r="E1007" s="245"/>
      <c r="H1007" s="255"/>
    </row>
    <row r="1008" spans="5:8">
      <c r="E1008" s="245"/>
      <c r="H1008" s="255"/>
    </row>
    <row r="1009" spans="5:8">
      <c r="E1009" s="245"/>
      <c r="H1009" s="255"/>
    </row>
    <row r="1010" spans="5:8">
      <c r="E1010" s="245"/>
      <c r="H1010" s="255"/>
    </row>
    <row r="1011" spans="5:8">
      <c r="E1011" s="245"/>
      <c r="H1011" s="255"/>
    </row>
    <row r="1012" spans="5:8">
      <c r="E1012" s="245"/>
      <c r="H1012" s="255"/>
    </row>
    <row r="1013" spans="5:8">
      <c r="E1013" s="245"/>
      <c r="H1013" s="255"/>
    </row>
    <row r="1014" spans="5:8">
      <c r="E1014" s="245"/>
      <c r="H1014" s="255"/>
    </row>
    <row r="1015" spans="5:8">
      <c r="E1015" s="245"/>
      <c r="H1015" s="255"/>
    </row>
    <row r="1016" spans="5:8">
      <c r="E1016" s="245"/>
      <c r="H1016" s="255"/>
    </row>
    <row r="1017" spans="5:8">
      <c r="E1017" s="245"/>
      <c r="H1017" s="255"/>
    </row>
    <row r="1018" spans="5:8">
      <c r="E1018" s="245"/>
      <c r="H1018" s="255"/>
    </row>
    <row r="1019" spans="5:8">
      <c r="E1019" s="245"/>
      <c r="H1019" s="255"/>
    </row>
    <row r="1020" spans="5:8">
      <c r="E1020" s="245"/>
      <c r="H1020" s="255"/>
    </row>
    <row r="1021" spans="5:8">
      <c r="E1021" s="245"/>
      <c r="H1021" s="255"/>
    </row>
    <row r="1022" spans="5:8">
      <c r="E1022" s="245"/>
      <c r="H1022" s="255"/>
    </row>
    <row r="1023" spans="5:8">
      <c r="E1023" s="245"/>
      <c r="H1023" s="255"/>
    </row>
    <row r="1024" spans="5:8">
      <c r="E1024" s="245"/>
      <c r="H1024" s="255"/>
    </row>
    <row r="1025" spans="5:8">
      <c r="E1025" s="245"/>
      <c r="H1025" s="255"/>
    </row>
    <row r="1026" spans="5:8">
      <c r="E1026" s="245"/>
      <c r="H1026" s="255"/>
    </row>
  </sheetData>
  <mergeCells count="1">
    <mergeCell ref="E3:F3"/>
  </mergeCells>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Z1048576"/>
    </sheetView>
  </sheetViews>
  <sheetFormatPr defaultColWidth="8.88671875" defaultRowHeight="14.4"/>
  <cols>
    <col min="1" max="26" width="3.44140625"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Informasi Pokok</vt:lpstr>
      <vt:lpstr>Aspek Non Keuangan</vt:lpstr>
      <vt:lpstr>AKTIVITAS USAHA</vt:lpstr>
      <vt:lpstr>Rekening Koran &amp; Aset </vt:lpstr>
      <vt:lpstr>Aspek Keuangan</vt:lpstr>
      <vt:lpstr>Usulan Pembiayaan</vt:lpstr>
      <vt:lpstr>K Modal</vt:lpstr>
      <vt:lpstr>Komite Kredit</vt:lpstr>
      <vt:lpstr>Keputusan Pembiayaan</vt:lpstr>
      <vt:lpstr>Jadang</vt:lpstr>
      <vt:lpstr>Parameter</vt:lpstr>
      <vt:lpstr>Rating</vt:lpstr>
      <vt:lpstr>SPPK</vt:lpstr>
      <vt:lpstr>Sheet1</vt:lpstr>
      <vt:lpstr>'Aspek Non Keuangan'!Print_Area</vt:lpstr>
      <vt:lpstr>'Informasi Pokok'!Print_Area</vt:lpstr>
      <vt:lpstr>Jadang!Print_Area</vt:lpstr>
      <vt:lpstr>'Keputusan Pembiayaan'!Print_Area</vt:lpstr>
      <vt:lpstr>'Rekening Koran &amp; Aset '!Print_Area</vt:lpstr>
      <vt:lpstr>'Usulan Pembiayaan'!Print_Area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BPRSAR</cp:lastModifiedBy>
  <cp:lastPrinted>2024-10-22T12:27:44Z</cp:lastPrinted>
  <dcterms:created xsi:type="dcterms:W3CDTF">2011-05-18T22:45:14Z</dcterms:created>
  <dcterms:modified xsi:type="dcterms:W3CDTF">2026-10-06T04:24:06Z</dcterms:modified>
</cp:coreProperties>
</file>